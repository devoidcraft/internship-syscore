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filterPrivacy="1" codeName="ThisWorkbook" defaultThemeVersion="124226"/>
  <xr:revisionPtr revIDLastSave="63" documentId="8_{6F01BB8C-96AF-4770-93B7-A31EDC2E78A1}" xr6:coauthVersionLast="47" xr6:coauthVersionMax="47" xr10:uidLastSave="{5DEC0FB1-1A43-46C5-BFCE-392157406788}"/>
  <bookViews>
    <workbookView xWindow="-108" yWindow="-108" windowWidth="41496" windowHeight="16896" tabRatio="706" firstSheet="1" activeTab="2" xr2:uid="{00000000-000D-0000-FFFF-FFFF00000000}"/>
  </bookViews>
  <sheets>
    <sheet name="Reminders-Updated 2021-03-05" sheetId="4" state="hidden" r:id="rId1"/>
    <sheet name="Overview" sheetId="2" r:id="rId2"/>
    <sheet name="Review Comments" sheetId="1" r:id="rId3"/>
    <sheet name="Air" sheetId="5" state="hidden" r:id="rId4"/>
    <sheet name="Air_v2g" sheetId="10" state="hidden" r:id="rId5"/>
    <sheet name="Water" sheetId="6" state="hidden" r:id="rId6"/>
    <sheet name="Water_v2g" sheetId="12" state="hidden" r:id="rId7"/>
    <sheet name="Light" sheetId="7" state="hidden" r:id="rId8"/>
    <sheet name="Thermal Comfort" sheetId="8" state="hidden" r:id="rId9"/>
    <sheet name="Sound" sheetId="9" state="hidden" r:id="rId10"/>
    <sheet name="Sound_v2g" sheetId="13" state="hidden" r:id="rId11"/>
    <sheet name="Lists" sheetId="3" state="hidden" r:id="rId12"/>
  </sheets>
  <definedNames>
    <definedName name="_xlnm._FilterDatabase" localSheetId="3" hidden="1">Air!$S$1:$T$119</definedName>
    <definedName name="_xlnm._FilterDatabase" localSheetId="4" hidden="1">Air_v2g!$P$1:$Q$96</definedName>
    <definedName name="_xlnm._FilterDatabase" localSheetId="7" hidden="1">Light!$M$1:$N$174</definedName>
    <definedName name="_xlnm._FilterDatabase" localSheetId="9" hidden="1">Sound!$N$1:$O$59</definedName>
    <definedName name="_xlnm._FilterDatabase" localSheetId="10" hidden="1">Sound_v2g!$N$1:$O$59</definedName>
    <definedName name="_xlnm._FilterDatabase" localSheetId="8" hidden="1">'Thermal Comfort'!$U$1:$V$1</definedName>
    <definedName name="_xlnm._FilterDatabase" localSheetId="5" hidden="1">Water!$P$1:$P$64</definedName>
    <definedName name="_xlnm._FilterDatabase" localSheetId="6" hidden="1">Water_v2g!$N$1:$N$50</definedName>
    <definedName name="_xlnm.Print_Area" localSheetId="3">Air!$A$1:$Q$120</definedName>
    <definedName name="_xlnm.Print_Area" localSheetId="4">Air_v2g!$A$1:$N$97</definedName>
    <definedName name="_xlnm.Print_Area" localSheetId="7">Light!$A$1:$L$169</definedName>
    <definedName name="_xlnm.Print_Area" localSheetId="1">Overview!$B$1:$M$291</definedName>
    <definedName name="_xlnm.Print_Area" localSheetId="2">'Review Comments'!$A$1:$J$323</definedName>
    <definedName name="_xlnm.Print_Area" localSheetId="9">Sound!$A$1:$M$60</definedName>
    <definedName name="_xlnm.Print_Area" localSheetId="10">Sound_v2g!$A$1:$M$60</definedName>
    <definedName name="_xlnm.Print_Area" localSheetId="8">'Thermal Comfort'!$A$1:$T$32</definedName>
    <definedName name="_xlnm.Print_Area" localSheetId="5">Water!$A$1:$O$65</definedName>
    <definedName name="_xlnm.Print_Area" localSheetId="6">Water_v2g!$A$1:$M$51</definedName>
    <definedName name="_xlnm.Print_Titles" localSheetId="1">Overview!$1:$9</definedName>
    <definedName name="_xlnm.Print_Titles" localSheetId="2">'Review Comments'!$2:$4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8" i="5" l="1"/>
  <c r="F27" i="5"/>
  <c r="P83" i="10" l="1"/>
  <c r="P82" i="10"/>
  <c r="P81" i="10"/>
  <c r="P80" i="10"/>
  <c r="P79" i="10"/>
  <c r="P73" i="10"/>
  <c r="P72" i="10"/>
  <c r="P71" i="10"/>
  <c r="P70" i="10"/>
  <c r="P78" i="10"/>
  <c r="P77" i="10"/>
  <c r="P76" i="10"/>
  <c r="P75" i="10"/>
  <c r="P74" i="10"/>
  <c r="H96" i="10"/>
  <c r="H95" i="10"/>
  <c r="H94" i="10"/>
  <c r="H93" i="10"/>
  <c r="H92" i="10"/>
  <c r="H91" i="10"/>
  <c r="H90" i="10"/>
  <c r="H89" i="10"/>
  <c r="H88" i="10"/>
  <c r="H87" i="10"/>
  <c r="H86" i="10"/>
  <c r="C86" i="10"/>
  <c r="D85" i="10"/>
  <c r="C72" i="10"/>
  <c r="D71" i="10"/>
  <c r="P84" i="10"/>
  <c r="N59" i="13"/>
  <c r="N58" i="13"/>
  <c r="N57" i="13"/>
  <c r="N56" i="13"/>
  <c r="N55" i="13"/>
  <c r="N54" i="13"/>
  <c r="N53" i="13"/>
  <c r="N52" i="13"/>
  <c r="N51" i="13"/>
  <c r="N50" i="13"/>
  <c r="N49" i="13"/>
  <c r="N48" i="13"/>
  <c r="N47" i="13"/>
  <c r="N46" i="13"/>
  <c r="K46" i="13"/>
  <c r="N45" i="13"/>
  <c r="K45" i="13"/>
  <c r="N44" i="13"/>
  <c r="K44" i="13"/>
  <c r="N43" i="13"/>
  <c r="K43" i="13"/>
  <c r="N42" i="13"/>
  <c r="N41" i="13"/>
  <c r="N40" i="13"/>
  <c r="N39" i="13"/>
  <c r="N38" i="13"/>
  <c r="N37" i="13"/>
  <c r="N36" i="13"/>
  <c r="N35" i="13"/>
  <c r="N34" i="13"/>
  <c r="N33" i="13"/>
  <c r="N32" i="13"/>
  <c r="N31" i="13"/>
  <c r="N30" i="13"/>
  <c r="N29" i="13"/>
  <c r="N28" i="13"/>
  <c r="N27" i="13"/>
  <c r="N26" i="13"/>
  <c r="N25" i="13"/>
  <c r="N24" i="13"/>
  <c r="N23" i="13"/>
  <c r="N22" i="13"/>
  <c r="N21" i="13"/>
  <c r="N20" i="13"/>
  <c r="N19" i="13"/>
  <c r="N18" i="13"/>
  <c r="N17" i="13"/>
  <c r="N16" i="13"/>
  <c r="N15" i="13"/>
  <c r="N14" i="13"/>
  <c r="N13" i="13"/>
  <c r="AF9" i="8" l="1"/>
  <c r="AE9" i="8"/>
  <c r="N32" i="12"/>
  <c r="N31" i="12"/>
  <c r="N30" i="12"/>
  <c r="A3" i="12"/>
  <c r="N50" i="12"/>
  <c r="N49" i="12"/>
  <c r="N48" i="12"/>
  <c r="N47" i="12"/>
  <c r="N46" i="12"/>
  <c r="C46" i="12"/>
  <c r="N45" i="12"/>
  <c r="D45" i="12"/>
  <c r="N44" i="12"/>
  <c r="N43" i="12"/>
  <c r="N42" i="12"/>
  <c r="N41" i="12"/>
  <c r="C39" i="12"/>
  <c r="D38" i="12"/>
  <c r="N36" i="12"/>
  <c r="N35" i="12"/>
  <c r="N34" i="12"/>
  <c r="N33" i="12"/>
  <c r="C32" i="12"/>
  <c r="D31" i="12"/>
  <c r="N29" i="12"/>
  <c r="N28" i="12"/>
  <c r="N27" i="12"/>
  <c r="C25" i="12"/>
  <c r="D24" i="12"/>
  <c r="N22" i="12"/>
  <c r="N21" i="12"/>
  <c r="N20" i="12"/>
  <c r="C18" i="12"/>
  <c r="D17" i="12"/>
  <c r="N15" i="12"/>
  <c r="N14" i="12"/>
  <c r="N13" i="12"/>
  <c r="N12" i="12"/>
  <c r="N11" i="12"/>
  <c r="D56" i="10" l="1"/>
  <c r="P56" i="10" s="1"/>
  <c r="D55" i="10"/>
  <c r="P55" i="10" s="1"/>
  <c r="D54" i="10"/>
  <c r="P54" i="10" s="1"/>
  <c r="D53" i="10"/>
  <c r="H53" i="10" s="1"/>
  <c r="D52" i="10"/>
  <c r="H52" i="10" s="1"/>
  <c r="D51" i="10"/>
  <c r="H51" i="10" s="1"/>
  <c r="D50" i="10"/>
  <c r="P50" i="10" s="1"/>
  <c r="D49" i="10"/>
  <c r="P49" i="10" s="1"/>
  <c r="D48" i="10"/>
  <c r="P48" i="10" s="1"/>
  <c r="D47" i="10"/>
  <c r="H47" i="10" s="1"/>
  <c r="D41" i="10"/>
  <c r="P41" i="10" s="1"/>
  <c r="D39" i="10"/>
  <c r="D37" i="10"/>
  <c r="P37" i="10" s="1"/>
  <c r="D35" i="10"/>
  <c r="D33" i="10"/>
  <c r="D31" i="10"/>
  <c r="P31" i="10" s="1"/>
  <c r="D29" i="10"/>
  <c r="P29" i="10" s="1"/>
  <c r="D27" i="10"/>
  <c r="P27" i="10" s="1"/>
  <c r="D25" i="10"/>
  <c r="P25" i="10" s="1"/>
  <c r="D23" i="10"/>
  <c r="P23" i="10" s="1"/>
  <c r="P96" i="10"/>
  <c r="P95" i="10"/>
  <c r="P94" i="10"/>
  <c r="P93" i="10"/>
  <c r="P92" i="10"/>
  <c r="P91" i="10"/>
  <c r="P90" i="10"/>
  <c r="P89" i="10"/>
  <c r="P88" i="10"/>
  <c r="P87" i="10"/>
  <c r="P86" i="10"/>
  <c r="P85" i="10"/>
  <c r="AC69" i="10"/>
  <c r="AB69" i="10"/>
  <c r="AA69" i="10"/>
  <c r="Z69" i="10"/>
  <c r="Y69" i="10"/>
  <c r="P69" i="10"/>
  <c r="J69" i="10"/>
  <c r="I69" i="10"/>
  <c r="H69" i="10"/>
  <c r="AC68" i="10"/>
  <c r="AB68" i="10"/>
  <c r="AA68" i="10"/>
  <c r="Z68" i="10"/>
  <c r="Y68" i="10"/>
  <c r="P68" i="10"/>
  <c r="J68" i="10"/>
  <c r="I68" i="10"/>
  <c r="H68" i="10"/>
  <c r="AC67" i="10"/>
  <c r="AB67" i="10"/>
  <c r="AA67" i="10"/>
  <c r="Z67" i="10"/>
  <c r="Y67" i="10"/>
  <c r="P67" i="10"/>
  <c r="J67" i="10"/>
  <c r="I67" i="10"/>
  <c r="H67" i="10"/>
  <c r="AC66" i="10"/>
  <c r="AB66" i="10"/>
  <c r="AA66" i="10"/>
  <c r="Z66" i="10"/>
  <c r="Y66" i="10"/>
  <c r="P66" i="10"/>
  <c r="J66" i="10"/>
  <c r="I66" i="10"/>
  <c r="H66" i="10"/>
  <c r="AC65" i="10"/>
  <c r="AB65" i="10"/>
  <c r="AA65" i="10"/>
  <c r="Z65" i="10"/>
  <c r="Y65" i="10"/>
  <c r="P65" i="10"/>
  <c r="J65" i="10"/>
  <c r="I65" i="10"/>
  <c r="H65" i="10"/>
  <c r="AC64" i="10"/>
  <c r="AB64" i="10"/>
  <c r="AA64" i="10"/>
  <c r="Z64" i="10"/>
  <c r="Y64" i="10"/>
  <c r="P64" i="10"/>
  <c r="J64" i="10"/>
  <c r="I64" i="10"/>
  <c r="H64" i="10"/>
  <c r="AC63" i="10"/>
  <c r="AB63" i="10"/>
  <c r="AA63" i="10"/>
  <c r="Z63" i="10"/>
  <c r="Y63" i="10"/>
  <c r="P63" i="10"/>
  <c r="J63" i="10"/>
  <c r="I63" i="10"/>
  <c r="H63" i="10"/>
  <c r="AC62" i="10"/>
  <c r="AB62" i="10"/>
  <c r="AA62" i="10"/>
  <c r="Z62" i="10"/>
  <c r="Y62" i="10"/>
  <c r="P62" i="10"/>
  <c r="J62" i="10"/>
  <c r="I62" i="10"/>
  <c r="H62" i="10"/>
  <c r="AC61" i="10"/>
  <c r="AB61" i="10"/>
  <c r="AA61" i="10"/>
  <c r="Z61" i="10"/>
  <c r="Y61" i="10"/>
  <c r="P61" i="10"/>
  <c r="J61" i="10"/>
  <c r="I61" i="10"/>
  <c r="H61" i="10"/>
  <c r="AC60" i="10"/>
  <c r="AB60" i="10"/>
  <c r="AA60" i="10"/>
  <c r="Z60" i="10"/>
  <c r="Y60" i="10"/>
  <c r="P60" i="10"/>
  <c r="J60" i="10"/>
  <c r="I60" i="10"/>
  <c r="H60" i="10"/>
  <c r="P59" i="10"/>
  <c r="C59" i="10"/>
  <c r="P58" i="10"/>
  <c r="D58" i="10"/>
  <c r="P57" i="10"/>
  <c r="Y56" i="10"/>
  <c r="Y55" i="10"/>
  <c r="Y54" i="10"/>
  <c r="Y53" i="10"/>
  <c r="Y52" i="10"/>
  <c r="Y51" i="10"/>
  <c r="Y50" i="10"/>
  <c r="Y49" i="10"/>
  <c r="Y48" i="10"/>
  <c r="Y47" i="10"/>
  <c r="H46" i="10"/>
  <c r="C46" i="10"/>
  <c r="D45" i="10"/>
  <c r="AH43" i="10"/>
  <c r="AG43" i="10"/>
  <c r="AF43" i="10"/>
  <c r="AE43" i="10"/>
  <c r="AD43" i="10"/>
  <c r="AC43" i="10"/>
  <c r="AB43" i="10"/>
  <c r="AA43" i="10"/>
  <c r="Z43" i="10"/>
  <c r="Y43" i="10"/>
  <c r="AH42" i="10"/>
  <c r="AG42" i="10"/>
  <c r="AF42" i="10"/>
  <c r="AE42" i="10"/>
  <c r="AD42" i="10"/>
  <c r="AC42" i="10"/>
  <c r="AB42" i="10"/>
  <c r="AA42" i="10"/>
  <c r="Z42" i="10"/>
  <c r="Y42" i="10"/>
  <c r="P42" i="10"/>
  <c r="F42" i="10"/>
  <c r="AH41" i="10"/>
  <c r="AG41" i="10"/>
  <c r="AF41" i="10"/>
  <c r="AE41" i="10"/>
  <c r="AD41" i="10"/>
  <c r="AC41" i="10"/>
  <c r="AB41" i="10"/>
  <c r="AA41" i="10"/>
  <c r="Z41" i="10"/>
  <c r="Y41" i="10"/>
  <c r="F41" i="10"/>
  <c r="AH40" i="10"/>
  <c r="AG40" i="10"/>
  <c r="AF40" i="10"/>
  <c r="AE40" i="10"/>
  <c r="AD40" i="10"/>
  <c r="AC40" i="10"/>
  <c r="AB40" i="10"/>
  <c r="AA40" i="10"/>
  <c r="Z40" i="10"/>
  <c r="Y40" i="10"/>
  <c r="P40" i="10"/>
  <c r="F40" i="10"/>
  <c r="AH39" i="10"/>
  <c r="AG39" i="10"/>
  <c r="AF39" i="10"/>
  <c r="AE39" i="10"/>
  <c r="AD39" i="10"/>
  <c r="AC39" i="10"/>
  <c r="AB39" i="10"/>
  <c r="AA39" i="10"/>
  <c r="Z39" i="10"/>
  <c r="Y39" i="10"/>
  <c r="F39" i="10"/>
  <c r="AH38" i="10"/>
  <c r="AG38" i="10"/>
  <c r="AF38" i="10"/>
  <c r="AE38" i="10"/>
  <c r="AD38" i="10"/>
  <c r="AC38" i="10"/>
  <c r="AB38" i="10"/>
  <c r="AA38" i="10"/>
  <c r="Z38" i="10"/>
  <c r="Y38" i="10"/>
  <c r="P38" i="10"/>
  <c r="F38" i="10"/>
  <c r="AH37" i="10"/>
  <c r="AG37" i="10"/>
  <c r="AF37" i="10"/>
  <c r="AE37" i="10"/>
  <c r="AD37" i="10"/>
  <c r="AC37" i="10"/>
  <c r="AB37" i="10"/>
  <c r="AA37" i="10"/>
  <c r="Z37" i="10"/>
  <c r="Y37" i="10"/>
  <c r="F37" i="10"/>
  <c r="AH36" i="10"/>
  <c r="AG36" i="10"/>
  <c r="AF36" i="10"/>
  <c r="AE36" i="10"/>
  <c r="AD36" i="10"/>
  <c r="AC36" i="10"/>
  <c r="AB36" i="10"/>
  <c r="AA36" i="10"/>
  <c r="Z36" i="10"/>
  <c r="Y36" i="10"/>
  <c r="P36" i="10"/>
  <c r="F36" i="10"/>
  <c r="AH35" i="10"/>
  <c r="AG35" i="10"/>
  <c r="AF35" i="10"/>
  <c r="AE35" i="10"/>
  <c r="AD35" i="10"/>
  <c r="AC35" i="10"/>
  <c r="AB35" i="10"/>
  <c r="AA35" i="10"/>
  <c r="Z35" i="10"/>
  <c r="Y35" i="10"/>
  <c r="F35" i="10"/>
  <c r="AH34" i="10"/>
  <c r="AG34" i="10"/>
  <c r="AF34" i="10"/>
  <c r="AE34" i="10"/>
  <c r="AD34" i="10"/>
  <c r="AC34" i="10"/>
  <c r="AB34" i="10"/>
  <c r="AA34" i="10"/>
  <c r="Z34" i="10"/>
  <c r="Y34" i="10"/>
  <c r="P34" i="10"/>
  <c r="F34" i="10"/>
  <c r="AH33" i="10"/>
  <c r="AG33" i="10"/>
  <c r="AF33" i="10"/>
  <c r="AE33" i="10"/>
  <c r="AD33" i="10"/>
  <c r="AC33" i="10"/>
  <c r="AB33" i="10"/>
  <c r="AA33" i="10"/>
  <c r="Z33" i="10"/>
  <c r="Y33" i="10"/>
  <c r="F33" i="10"/>
  <c r="AH32" i="10"/>
  <c r="AG32" i="10"/>
  <c r="AF32" i="10"/>
  <c r="AE32" i="10"/>
  <c r="AD32" i="10"/>
  <c r="AC32" i="10"/>
  <c r="AB32" i="10"/>
  <c r="AA32" i="10"/>
  <c r="Z32" i="10"/>
  <c r="Y32" i="10"/>
  <c r="P32" i="10"/>
  <c r="F32" i="10"/>
  <c r="AH31" i="10"/>
  <c r="AG31" i="10"/>
  <c r="AF31" i="10"/>
  <c r="AE31" i="10"/>
  <c r="AD31" i="10"/>
  <c r="AC31" i="10"/>
  <c r="AB31" i="10"/>
  <c r="AA31" i="10"/>
  <c r="Z31" i="10"/>
  <c r="Y31" i="10"/>
  <c r="F31" i="10"/>
  <c r="AH30" i="10"/>
  <c r="AG30" i="10"/>
  <c r="AF30" i="10"/>
  <c r="AE30" i="10"/>
  <c r="AD30" i="10"/>
  <c r="AC30" i="10"/>
  <c r="AB30" i="10"/>
  <c r="AA30" i="10"/>
  <c r="Z30" i="10"/>
  <c r="Y30" i="10"/>
  <c r="P30" i="10"/>
  <c r="F30" i="10"/>
  <c r="AH29" i="10"/>
  <c r="AG29" i="10"/>
  <c r="AF29" i="10"/>
  <c r="AE29" i="10"/>
  <c r="AD29" i="10"/>
  <c r="AC29" i="10"/>
  <c r="AB29" i="10"/>
  <c r="AA29" i="10"/>
  <c r="Z29" i="10"/>
  <c r="Y29" i="10"/>
  <c r="F29" i="10"/>
  <c r="AH28" i="10"/>
  <c r="AG28" i="10"/>
  <c r="AF28" i="10"/>
  <c r="AE28" i="10"/>
  <c r="AD28" i="10"/>
  <c r="AC28" i="10"/>
  <c r="AB28" i="10"/>
  <c r="AA28" i="10"/>
  <c r="Z28" i="10"/>
  <c r="Y28" i="10"/>
  <c r="P28" i="10"/>
  <c r="F28" i="10"/>
  <c r="AH27" i="10"/>
  <c r="AG27" i="10"/>
  <c r="AF27" i="10"/>
  <c r="AE27" i="10"/>
  <c r="AD27" i="10"/>
  <c r="AC27" i="10"/>
  <c r="AB27" i="10"/>
  <c r="AA27" i="10"/>
  <c r="Z27" i="10"/>
  <c r="Y27" i="10"/>
  <c r="F27" i="10"/>
  <c r="AH26" i="10"/>
  <c r="AG26" i="10"/>
  <c r="AF26" i="10"/>
  <c r="AE26" i="10"/>
  <c r="AD26" i="10"/>
  <c r="AC26" i="10"/>
  <c r="AB26" i="10"/>
  <c r="AA26" i="10"/>
  <c r="Z26" i="10"/>
  <c r="Y26" i="10"/>
  <c r="P26" i="10"/>
  <c r="F26" i="10"/>
  <c r="AH25" i="10"/>
  <c r="AG25" i="10"/>
  <c r="AF25" i="10"/>
  <c r="AE25" i="10"/>
  <c r="AD25" i="10"/>
  <c r="AC25" i="10"/>
  <c r="AB25" i="10"/>
  <c r="AA25" i="10"/>
  <c r="Z25" i="10"/>
  <c r="Y25" i="10"/>
  <c r="F25" i="10"/>
  <c r="AH24" i="10"/>
  <c r="AG24" i="10"/>
  <c r="AF24" i="10"/>
  <c r="AE24" i="10"/>
  <c r="AD24" i="10"/>
  <c r="AC24" i="10"/>
  <c r="AB24" i="10"/>
  <c r="AA24" i="10"/>
  <c r="Z24" i="10"/>
  <c r="Y24" i="10"/>
  <c r="P24" i="10"/>
  <c r="F24" i="10"/>
  <c r="AH23" i="10"/>
  <c r="AG23" i="10"/>
  <c r="AF23" i="10"/>
  <c r="AE23" i="10"/>
  <c r="AD23" i="10"/>
  <c r="AC23" i="10"/>
  <c r="AB23" i="10"/>
  <c r="AA23" i="10"/>
  <c r="Z23" i="10"/>
  <c r="Y23" i="10"/>
  <c r="F23" i="10"/>
  <c r="C22" i="10"/>
  <c r="D21" i="10"/>
  <c r="Z19" i="10"/>
  <c r="Y19" i="10"/>
  <c r="R19" i="10"/>
  <c r="Q19" i="10"/>
  <c r="P19" i="10"/>
  <c r="H19" i="10"/>
  <c r="Z18" i="10"/>
  <c r="Y18" i="10"/>
  <c r="R18" i="10"/>
  <c r="Q18" i="10"/>
  <c r="P18" i="10"/>
  <c r="H18" i="10"/>
  <c r="Z17" i="10"/>
  <c r="Y17" i="10"/>
  <c r="R17" i="10"/>
  <c r="Q17" i="10"/>
  <c r="P17" i="10"/>
  <c r="H17" i="10"/>
  <c r="Z16" i="10"/>
  <c r="Y16" i="10"/>
  <c r="R16" i="10"/>
  <c r="Q16" i="10"/>
  <c r="P16" i="10"/>
  <c r="H16" i="10"/>
  <c r="Z15" i="10"/>
  <c r="Y15" i="10"/>
  <c r="P15" i="10"/>
  <c r="H15" i="10"/>
  <c r="Z14" i="10"/>
  <c r="Y14" i="10"/>
  <c r="P14" i="10"/>
  <c r="H14" i="10"/>
  <c r="Z13" i="10"/>
  <c r="Y13" i="10"/>
  <c r="P13" i="10"/>
  <c r="H13" i="10"/>
  <c r="Z12" i="10"/>
  <c r="Y12" i="10"/>
  <c r="P12" i="10"/>
  <c r="H12" i="10"/>
  <c r="Z11" i="10"/>
  <c r="Y11" i="10"/>
  <c r="P11" i="10"/>
  <c r="H11" i="10"/>
  <c r="Z10" i="10"/>
  <c r="Y10" i="10"/>
  <c r="P10" i="10"/>
  <c r="H10" i="10"/>
  <c r="Z9" i="10"/>
  <c r="Y9" i="10"/>
  <c r="H9" i="10"/>
  <c r="A1" i="10"/>
  <c r="M320" i="1"/>
  <c r="L320" i="1"/>
  <c r="M319" i="1"/>
  <c r="L319" i="1"/>
  <c r="M318" i="1"/>
  <c r="L318" i="1"/>
  <c r="M317" i="1"/>
  <c r="L317" i="1"/>
  <c r="W289" i="2"/>
  <c r="V289" i="2"/>
  <c r="W288" i="2"/>
  <c r="V288" i="2"/>
  <c r="W287" i="2"/>
  <c r="V287" i="2"/>
  <c r="W286" i="2"/>
  <c r="V286" i="2"/>
  <c r="J289" i="2"/>
  <c r="H289" i="2"/>
  <c r="I289" i="2" s="1"/>
  <c r="G289" i="2"/>
  <c r="J288" i="2"/>
  <c r="H288" i="2"/>
  <c r="I288" i="2" s="1"/>
  <c r="G288" i="2"/>
  <c r="J287" i="2"/>
  <c r="H287" i="2"/>
  <c r="I287" i="2" s="1"/>
  <c r="G287" i="2"/>
  <c r="J286" i="2"/>
  <c r="H286" i="2"/>
  <c r="I286" i="2" s="1"/>
  <c r="G286" i="2"/>
  <c r="J285" i="2"/>
  <c r="H285" i="2"/>
  <c r="I285" i="2" s="1"/>
  <c r="G285" i="2"/>
  <c r="J284" i="2"/>
  <c r="H284" i="2"/>
  <c r="I284" i="2" s="1"/>
  <c r="G284" i="2"/>
  <c r="J283" i="2"/>
  <c r="H283" i="2"/>
  <c r="I283" i="2" s="1"/>
  <c r="G283" i="2"/>
  <c r="S320" i="1"/>
  <c r="R320" i="1"/>
  <c r="Q320" i="1"/>
  <c r="P320" i="1"/>
  <c r="S319" i="1"/>
  <c r="R319" i="1"/>
  <c r="Q319" i="1"/>
  <c r="P319" i="1"/>
  <c r="S318" i="1"/>
  <c r="R318" i="1"/>
  <c r="Q318" i="1"/>
  <c r="P318" i="1"/>
  <c r="S317" i="1"/>
  <c r="R317" i="1"/>
  <c r="Q317" i="1"/>
  <c r="P317" i="1"/>
  <c r="H263" i="2"/>
  <c r="G263" i="2"/>
  <c r="H262" i="2"/>
  <c r="G262" i="2"/>
  <c r="H261" i="2"/>
  <c r="G261" i="2"/>
  <c r="H260" i="2"/>
  <c r="G260" i="2"/>
  <c r="H259" i="2"/>
  <c r="G259" i="2"/>
  <c r="H258" i="2"/>
  <c r="G258" i="2"/>
  <c r="H257" i="2"/>
  <c r="G257" i="2"/>
  <c r="H256" i="2"/>
  <c r="G256" i="2"/>
  <c r="H255" i="2"/>
  <c r="G255" i="2"/>
  <c r="H254" i="2"/>
  <c r="G254" i="2"/>
  <c r="H253" i="2"/>
  <c r="G253" i="2"/>
  <c r="H252" i="2"/>
  <c r="G252" i="2"/>
  <c r="H251" i="2"/>
  <c r="G251" i="2"/>
  <c r="H250" i="2"/>
  <c r="G250" i="2"/>
  <c r="H249" i="2"/>
  <c r="G249" i="2"/>
  <c r="H248" i="2"/>
  <c r="G248" i="2"/>
  <c r="H247" i="2"/>
  <c r="G247" i="2"/>
  <c r="H246" i="2"/>
  <c r="G246" i="2"/>
  <c r="H245" i="2"/>
  <c r="G245" i="2"/>
  <c r="H244" i="2"/>
  <c r="G244" i="2"/>
  <c r="H243" i="2"/>
  <c r="G243" i="2"/>
  <c r="H242" i="2"/>
  <c r="G242" i="2"/>
  <c r="H241" i="2"/>
  <c r="G241" i="2"/>
  <c r="H240" i="2"/>
  <c r="G240" i="2"/>
  <c r="H239" i="2"/>
  <c r="G239" i="2"/>
  <c r="H238" i="2"/>
  <c r="G238" i="2"/>
  <c r="H237" i="2"/>
  <c r="G237" i="2"/>
  <c r="P321" i="1"/>
  <c r="P316" i="1"/>
  <c r="P315" i="1"/>
  <c r="P314" i="1"/>
  <c r="P313" i="1"/>
  <c r="P312" i="1"/>
  <c r="P311" i="1"/>
  <c r="P310" i="1"/>
  <c r="P309" i="1"/>
  <c r="P308" i="1"/>
  <c r="P307" i="1"/>
  <c r="P306" i="1"/>
  <c r="P305" i="1"/>
  <c r="P304" i="1"/>
  <c r="P303" i="1"/>
  <c r="P302"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87" i="1"/>
  <c r="P186" i="1"/>
  <c r="P185" i="1"/>
  <c r="P184" i="1"/>
  <c r="P183" i="1"/>
  <c r="P182" i="1"/>
  <c r="P181" i="1"/>
  <c r="P180" i="1"/>
  <c r="P179" i="1"/>
  <c r="P178" i="1"/>
  <c r="P177" i="1"/>
  <c r="P176" i="1"/>
  <c r="P175" i="1"/>
  <c r="P174" i="1"/>
  <c r="P173" i="1"/>
  <c r="P172" i="1"/>
  <c r="P168" i="1"/>
  <c r="P167" i="1"/>
  <c r="P166" i="1"/>
  <c r="P165" i="1"/>
  <c r="P164" i="1"/>
  <c r="P163" i="1"/>
  <c r="P162" i="1"/>
  <c r="P161" i="1"/>
  <c r="P160" i="1"/>
  <c r="P159" i="1"/>
  <c r="P158" i="1"/>
  <c r="P157" i="1"/>
  <c r="P156" i="1"/>
  <c r="P155" i="1"/>
  <c r="P154" i="1"/>
  <c r="P153" i="1"/>
  <c r="P152" i="1"/>
  <c r="P151"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3" i="1"/>
  <c r="P112" i="1"/>
  <c r="P111" i="1"/>
  <c r="P110" i="1"/>
  <c r="P109" i="1"/>
  <c r="P108" i="1"/>
  <c r="P107" i="1"/>
  <c r="P106" i="1"/>
  <c r="P105" i="1"/>
  <c r="P104" i="1"/>
  <c r="P103" i="1"/>
  <c r="P102" i="1"/>
  <c r="P101" i="1"/>
  <c r="P100" i="1"/>
  <c r="P99" i="1"/>
  <c r="P98" i="1"/>
  <c r="P94" i="1"/>
  <c r="P93" i="1"/>
  <c r="P92" i="1"/>
  <c r="P91" i="1"/>
  <c r="P90" i="1"/>
  <c r="P89" i="1"/>
  <c r="P88" i="1"/>
  <c r="P87" i="1"/>
  <c r="P86" i="1"/>
  <c r="P85" i="1"/>
  <c r="P84" i="1"/>
  <c r="P83" i="1"/>
  <c r="P82" i="1"/>
  <c r="P81" i="1"/>
  <c r="P80" i="1"/>
  <c r="P79" i="1"/>
  <c r="P78" i="1"/>
  <c r="P77" i="1"/>
  <c r="P76" i="1"/>
  <c r="P75" i="1"/>
  <c r="P74" i="1"/>
  <c r="P73" i="1"/>
  <c r="P72" i="1"/>
  <c r="P71" i="1"/>
  <c r="P70" i="1"/>
  <c r="P66" i="1"/>
  <c r="P65" i="1"/>
  <c r="P64" i="1"/>
  <c r="P63" i="1"/>
  <c r="P62" i="1"/>
  <c r="P61" i="1"/>
  <c r="P60" i="1"/>
  <c r="P59" i="1"/>
  <c r="P58" i="1"/>
  <c r="P57" i="1"/>
  <c r="P56" i="1"/>
  <c r="P55" i="1"/>
  <c r="P54" i="1"/>
  <c r="P53" i="1"/>
  <c r="P52" i="1"/>
  <c r="P51" i="1"/>
  <c r="P50" i="1"/>
  <c r="P49" i="1"/>
  <c r="P48" i="1"/>
  <c r="P47" i="1"/>
  <c r="P46" i="1"/>
  <c r="P45" i="1"/>
  <c r="P44"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R321" i="1"/>
  <c r="R316" i="1"/>
  <c r="R315" i="1"/>
  <c r="R314" i="1"/>
  <c r="R313" i="1"/>
  <c r="R312" i="1"/>
  <c r="R311" i="1"/>
  <c r="R310" i="1"/>
  <c r="R309" i="1"/>
  <c r="R308" i="1"/>
  <c r="R307" i="1"/>
  <c r="R306" i="1"/>
  <c r="R305" i="1"/>
  <c r="R304" i="1"/>
  <c r="R303" i="1"/>
  <c r="R302"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87" i="1"/>
  <c r="R186" i="1"/>
  <c r="R185" i="1"/>
  <c r="R184" i="1"/>
  <c r="R183" i="1"/>
  <c r="R182" i="1"/>
  <c r="R181" i="1"/>
  <c r="R180" i="1"/>
  <c r="R179" i="1"/>
  <c r="R178" i="1"/>
  <c r="R177" i="1"/>
  <c r="R176" i="1"/>
  <c r="R175" i="1"/>
  <c r="R174" i="1"/>
  <c r="R173" i="1"/>
  <c r="R172" i="1"/>
  <c r="R168" i="1"/>
  <c r="R167" i="1"/>
  <c r="R166" i="1"/>
  <c r="R165" i="1"/>
  <c r="R164" i="1"/>
  <c r="R163" i="1"/>
  <c r="R162" i="1"/>
  <c r="R161" i="1"/>
  <c r="R160" i="1"/>
  <c r="R159" i="1"/>
  <c r="R158" i="1"/>
  <c r="R157" i="1"/>
  <c r="R156" i="1"/>
  <c r="R155" i="1"/>
  <c r="R154" i="1"/>
  <c r="R153" i="1"/>
  <c r="R152" i="1"/>
  <c r="R151"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3" i="1"/>
  <c r="R112" i="1"/>
  <c r="R111" i="1"/>
  <c r="R110" i="1"/>
  <c r="R109" i="1"/>
  <c r="R108" i="1"/>
  <c r="R107" i="1"/>
  <c r="R106" i="1"/>
  <c r="R105" i="1"/>
  <c r="R104" i="1"/>
  <c r="R103" i="1"/>
  <c r="R102" i="1"/>
  <c r="R101" i="1"/>
  <c r="R100" i="1"/>
  <c r="R99" i="1"/>
  <c r="R98" i="1"/>
  <c r="R94" i="1"/>
  <c r="R93" i="1"/>
  <c r="R92" i="1"/>
  <c r="R91" i="1"/>
  <c r="R90" i="1"/>
  <c r="R89" i="1"/>
  <c r="R88" i="1"/>
  <c r="R87" i="1"/>
  <c r="R86" i="1"/>
  <c r="R85" i="1"/>
  <c r="R84" i="1"/>
  <c r="R83" i="1"/>
  <c r="R82" i="1"/>
  <c r="R81" i="1"/>
  <c r="R80" i="1"/>
  <c r="R79" i="1"/>
  <c r="R78" i="1"/>
  <c r="R77" i="1"/>
  <c r="R76" i="1"/>
  <c r="R75" i="1"/>
  <c r="R74" i="1"/>
  <c r="R73" i="1"/>
  <c r="R72" i="1"/>
  <c r="R71" i="1"/>
  <c r="R70" i="1"/>
  <c r="R66" i="1"/>
  <c r="R65" i="1"/>
  <c r="R64" i="1"/>
  <c r="R63" i="1"/>
  <c r="R62" i="1"/>
  <c r="R61" i="1"/>
  <c r="R60" i="1"/>
  <c r="R59" i="1"/>
  <c r="R58" i="1"/>
  <c r="R57" i="1"/>
  <c r="R56" i="1"/>
  <c r="R55" i="1"/>
  <c r="R54" i="1"/>
  <c r="R53" i="1"/>
  <c r="R52" i="1"/>
  <c r="R51" i="1"/>
  <c r="R50" i="1"/>
  <c r="R49" i="1"/>
  <c r="R48" i="1"/>
  <c r="R47" i="1"/>
  <c r="R46" i="1"/>
  <c r="R45" i="1"/>
  <c r="R44"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31" i="8"/>
  <c r="R30" i="8"/>
  <c r="R29" i="8"/>
  <c r="R28" i="8"/>
  <c r="R27" i="8"/>
  <c r="R26" i="8"/>
  <c r="R25" i="8"/>
  <c r="R24" i="8"/>
  <c r="R23" i="8"/>
  <c r="R22" i="8"/>
  <c r="R21" i="8"/>
  <c r="R20" i="8"/>
  <c r="R19" i="8"/>
  <c r="R18" i="8"/>
  <c r="R17" i="8"/>
  <c r="R16" i="8"/>
  <c r="R15" i="8"/>
  <c r="R14" i="8"/>
  <c r="R13" i="8"/>
  <c r="R12" i="8"/>
  <c r="R11" i="8"/>
  <c r="R10" i="8"/>
  <c r="J9" i="9"/>
  <c r="J37" i="9"/>
  <c r="J33" i="9"/>
  <c r="J29" i="9"/>
  <c r="J25" i="9"/>
  <c r="J21" i="9"/>
  <c r="J17" i="9"/>
  <c r="J13" i="9"/>
  <c r="J19" i="7"/>
  <c r="J18" i="7"/>
  <c r="J17" i="7"/>
  <c r="J16" i="7"/>
  <c r="J15" i="7"/>
  <c r="J14" i="7"/>
  <c r="J13" i="7"/>
  <c r="J12" i="7"/>
  <c r="J11" i="7"/>
  <c r="J10" i="7"/>
  <c r="J9" i="7"/>
  <c r="M169" i="7"/>
  <c r="U31" i="8"/>
  <c r="U30" i="8"/>
  <c r="U29" i="8"/>
  <c r="U28" i="8"/>
  <c r="U27" i="8"/>
  <c r="U26" i="8"/>
  <c r="U25" i="8"/>
  <c r="U24" i="8"/>
  <c r="U23" i="8"/>
  <c r="U22" i="8"/>
  <c r="U21" i="8"/>
  <c r="U20" i="8"/>
  <c r="U19" i="8"/>
  <c r="U18" i="8"/>
  <c r="U17" i="8"/>
  <c r="U16" i="8"/>
  <c r="U15" i="8"/>
  <c r="U14" i="8"/>
  <c r="U13" i="8"/>
  <c r="U12" i="8"/>
  <c r="U11" i="8"/>
  <c r="P53" i="10" l="1"/>
  <c r="P52" i="10"/>
  <c r="H48" i="10"/>
  <c r="P51" i="10"/>
  <c r="H50" i="10"/>
  <c r="U289" i="2"/>
  <c r="U287" i="2"/>
  <c r="U288" i="2"/>
  <c r="K285" i="2"/>
  <c r="H54" i="10"/>
  <c r="P39" i="10"/>
  <c r="P35" i="10"/>
  <c r="H56" i="10"/>
  <c r="P47" i="10"/>
  <c r="P33" i="10"/>
  <c r="H49" i="10"/>
  <c r="H55" i="10"/>
  <c r="AJ23" i="10"/>
  <c r="AJ43" i="10"/>
  <c r="AJ27" i="10"/>
  <c r="AI41" i="10"/>
  <c r="AJ28" i="10"/>
  <c r="AJ36" i="10"/>
  <c r="AJ26" i="10"/>
  <c r="AJ39" i="10"/>
  <c r="AI28" i="10"/>
  <c r="AJ34" i="10"/>
  <c r="AJ25" i="10"/>
  <c r="AI36" i="10"/>
  <c r="AJ42" i="10"/>
  <c r="AJ29" i="10"/>
  <c r="AJ30" i="10"/>
  <c r="AJ33" i="10"/>
  <c r="K62" i="10"/>
  <c r="AJ24" i="10"/>
  <c r="AI25" i="10"/>
  <c r="AI29" i="10"/>
  <c r="AJ37" i="10"/>
  <c r="AJ38" i="10"/>
  <c r="AJ41" i="10"/>
  <c r="AI43" i="10"/>
  <c r="K69" i="10"/>
  <c r="AI24" i="10"/>
  <c r="AI33" i="10"/>
  <c r="AI37" i="10"/>
  <c r="AJ32" i="10"/>
  <c r="AI32" i="10"/>
  <c r="AJ31" i="10"/>
  <c r="AJ35" i="10"/>
  <c r="AJ40" i="10"/>
  <c r="AI27" i="10"/>
  <c r="AI35" i="10"/>
  <c r="K66" i="10"/>
  <c r="K63" i="10"/>
  <c r="AI26" i="10"/>
  <c r="AI34" i="10"/>
  <c r="AI42" i="10"/>
  <c r="K60" i="10"/>
  <c r="K68" i="10"/>
  <c r="K65" i="10"/>
  <c r="AI40" i="10"/>
  <c r="AI23" i="10"/>
  <c r="AI31" i="10"/>
  <c r="AI39" i="10"/>
  <c r="K67" i="10"/>
  <c r="AI30" i="10"/>
  <c r="AI38" i="10"/>
  <c r="K64" i="10"/>
  <c r="K61" i="10"/>
  <c r="K286" i="2"/>
  <c r="R286" i="2"/>
  <c r="T288" i="2"/>
  <c r="Q288" i="2"/>
  <c r="R288" i="2"/>
  <c r="S288" i="2"/>
  <c r="Q286" i="2"/>
  <c r="S286" i="2"/>
  <c r="T286" i="2"/>
  <c r="U286" i="2"/>
  <c r="Q289" i="2"/>
  <c r="R289" i="2"/>
  <c r="Q287" i="2"/>
  <c r="S289" i="2"/>
  <c r="R287" i="2"/>
  <c r="T289" i="2"/>
  <c r="S287" i="2"/>
  <c r="T287" i="2"/>
  <c r="L289" i="2"/>
  <c r="L286" i="2"/>
  <c r="L287" i="2"/>
  <c r="K287" i="2"/>
  <c r="L283" i="2"/>
  <c r="K283" i="2"/>
  <c r="K284" i="2"/>
  <c r="L284" i="2"/>
  <c r="L288" i="2"/>
  <c r="K288" i="2"/>
  <c r="K289" i="2"/>
  <c r="L285" i="2"/>
  <c r="H19" i="5"/>
  <c r="H18" i="5"/>
  <c r="H17" i="5"/>
  <c r="H16" i="5"/>
  <c r="H15" i="5"/>
  <c r="H14" i="5"/>
  <c r="H13" i="5"/>
  <c r="H12" i="5"/>
  <c r="H11" i="5"/>
  <c r="R129" i="7"/>
  <c r="N31" i="8"/>
  <c r="N30" i="8"/>
  <c r="N29" i="8"/>
  <c r="N28" i="8"/>
  <c r="N27" i="8"/>
  <c r="N26" i="8"/>
  <c r="N25" i="8"/>
  <c r="N24" i="8"/>
  <c r="N23" i="8"/>
  <c r="N22" i="8"/>
  <c r="N21" i="8"/>
  <c r="N20" i="8"/>
  <c r="N19" i="8"/>
  <c r="N18" i="8"/>
  <c r="N17" i="8"/>
  <c r="N16" i="8"/>
  <c r="N15" i="8"/>
  <c r="N14" i="8"/>
  <c r="N13" i="8"/>
  <c r="N12" i="8"/>
  <c r="N11" i="8"/>
  <c r="N10" i="8"/>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M19" i="7"/>
  <c r="M168" i="7"/>
  <c r="M167" i="7"/>
  <c r="M166" i="7"/>
  <c r="M165" i="7"/>
  <c r="M164" i="7"/>
  <c r="M163" i="7"/>
  <c r="M162" i="7"/>
  <c r="M161" i="7"/>
  <c r="M160" i="7"/>
  <c r="M159" i="7"/>
  <c r="M158" i="7"/>
  <c r="M157" i="7"/>
  <c r="M156" i="7"/>
  <c r="M155" i="7"/>
  <c r="M154" i="7"/>
  <c r="M153" i="7"/>
  <c r="M152" i="7"/>
  <c r="M151" i="7"/>
  <c r="M150" i="7"/>
  <c r="M149" i="7"/>
  <c r="M148" i="7"/>
  <c r="M147" i="7"/>
  <c r="M146" i="7"/>
  <c r="M145" i="7"/>
  <c r="M144" i="7"/>
  <c r="M143" i="7"/>
  <c r="M142" i="7"/>
  <c r="M141" i="7"/>
  <c r="M140" i="7"/>
  <c r="M139" i="7"/>
  <c r="M138" i="7"/>
  <c r="M137" i="7"/>
  <c r="M136" i="7"/>
  <c r="M135" i="7"/>
  <c r="M134" i="7"/>
  <c r="M133" i="7"/>
  <c r="M132" i="7"/>
  <c r="M131" i="7"/>
  <c r="M130" i="7"/>
  <c r="M129" i="7"/>
  <c r="M128" i="7"/>
  <c r="M127" i="7"/>
  <c r="M126" i="7"/>
  <c r="M125" i="7"/>
  <c r="M124" i="7"/>
  <c r="M123" i="7"/>
  <c r="M121" i="7"/>
  <c r="M120" i="7"/>
  <c r="M119" i="7"/>
  <c r="M118" i="7"/>
  <c r="M117" i="7"/>
  <c r="M116" i="7"/>
  <c r="M115" i="7"/>
  <c r="M114" i="7"/>
  <c r="M113" i="7"/>
  <c r="M112" i="7"/>
  <c r="M111" i="7"/>
  <c r="M110" i="7"/>
  <c r="M109" i="7"/>
  <c r="M108" i="7"/>
  <c r="M107" i="7"/>
  <c r="M106" i="7"/>
  <c r="M105" i="7"/>
  <c r="M104" i="7"/>
  <c r="M103" i="7"/>
  <c r="M102" i="7"/>
  <c r="M101" i="7"/>
  <c r="M100" i="7"/>
  <c r="M99" i="7"/>
  <c r="M98" i="7"/>
  <c r="M97" i="7"/>
  <c r="M96" i="7"/>
  <c r="M95" i="7"/>
  <c r="M94" i="7"/>
  <c r="M93" i="7"/>
  <c r="M92" i="7"/>
  <c r="M91" i="7"/>
  <c r="M90" i="7"/>
  <c r="M89" i="7"/>
  <c r="M88" i="7"/>
  <c r="M87" i="7"/>
  <c r="M86" i="7"/>
  <c r="M85" i="7"/>
  <c r="M84" i="7"/>
  <c r="M83" i="7"/>
  <c r="M82" i="7"/>
  <c r="M81" i="7"/>
  <c r="M80" i="7"/>
  <c r="M79" i="7"/>
  <c r="M78" i="7"/>
  <c r="M77" i="7"/>
  <c r="M76" i="7"/>
  <c r="M75" i="7"/>
  <c r="M74" i="7"/>
  <c r="M73" i="7"/>
  <c r="M72" i="7"/>
  <c r="M71" i="7"/>
  <c r="M70" i="7"/>
  <c r="M69" i="7"/>
  <c r="M68" i="7"/>
  <c r="M67" i="7"/>
  <c r="M66" i="7"/>
  <c r="M65" i="7"/>
  <c r="M64" i="7"/>
  <c r="M63" i="7"/>
  <c r="M62" i="7"/>
  <c r="M61" i="7"/>
  <c r="M60" i="7"/>
  <c r="M59" i="7"/>
  <c r="M58" i="7"/>
  <c r="M57" i="7"/>
  <c r="M56" i="7"/>
  <c r="M55" i="7"/>
  <c r="M54" i="7"/>
  <c r="M53" i="7"/>
  <c r="M52" i="7"/>
  <c r="M51" i="7"/>
  <c r="M50" i="7"/>
  <c r="M49" i="7"/>
  <c r="M48" i="7"/>
  <c r="M47" i="7"/>
  <c r="M46" i="7"/>
  <c r="M45" i="7"/>
  <c r="M44" i="7"/>
  <c r="M43" i="7"/>
  <c r="M42" i="7"/>
  <c r="M41" i="7"/>
  <c r="M40" i="7"/>
  <c r="M39" i="7"/>
  <c r="M38" i="7"/>
  <c r="M37" i="7"/>
  <c r="M36" i="7"/>
  <c r="M35" i="7"/>
  <c r="M34" i="7"/>
  <c r="M33" i="7"/>
  <c r="M32" i="7"/>
  <c r="M31" i="7"/>
  <c r="M30" i="7"/>
  <c r="M29" i="7"/>
  <c r="M28" i="7"/>
  <c r="M27" i="7"/>
  <c r="M26" i="7"/>
  <c r="M25" i="7"/>
  <c r="M24" i="7"/>
  <c r="M23" i="7"/>
  <c r="M18" i="7"/>
  <c r="M17" i="7"/>
  <c r="M16" i="7"/>
  <c r="M15" i="7"/>
  <c r="M14" i="7"/>
  <c r="M13" i="7"/>
  <c r="M12" i="7"/>
  <c r="M11" i="7"/>
  <c r="M10" i="7"/>
  <c r="P64" i="6"/>
  <c r="P63" i="6"/>
  <c r="P62" i="6"/>
  <c r="P61" i="6"/>
  <c r="P60" i="6"/>
  <c r="P59" i="6"/>
  <c r="P58" i="6"/>
  <c r="P57" i="6"/>
  <c r="P56" i="6"/>
  <c r="P55" i="6"/>
  <c r="P50" i="6"/>
  <c r="P49" i="6"/>
  <c r="P48" i="6"/>
  <c r="P43" i="6"/>
  <c r="P42" i="6"/>
  <c r="P41" i="6"/>
  <c r="P36" i="6"/>
  <c r="P35" i="6"/>
  <c r="P34" i="6"/>
  <c r="P29" i="6"/>
  <c r="P28" i="6"/>
  <c r="P27" i="6"/>
  <c r="P22" i="6"/>
  <c r="P21" i="6"/>
  <c r="P20" i="6"/>
  <c r="P15" i="6"/>
  <c r="P14" i="6"/>
  <c r="P13" i="6"/>
  <c r="P12" i="6"/>
  <c r="P11" i="6"/>
  <c r="S119" i="5"/>
  <c r="S118" i="5"/>
  <c r="S117" i="5"/>
  <c r="S116" i="5"/>
  <c r="S115" i="5"/>
  <c r="S114" i="5"/>
  <c r="S113" i="5"/>
  <c r="S112" i="5"/>
  <c r="S111" i="5"/>
  <c r="S110" i="5"/>
  <c r="S109" i="5"/>
  <c r="S108" i="5"/>
  <c r="S107" i="5"/>
  <c r="S106" i="5"/>
  <c r="S105" i="5"/>
  <c r="S104" i="5"/>
  <c r="S103" i="5"/>
  <c r="S102" i="5"/>
  <c r="S101" i="5"/>
  <c r="S100" i="5"/>
  <c r="S99" i="5"/>
  <c r="S98" i="5"/>
  <c r="S97" i="5"/>
  <c r="S96" i="5"/>
  <c r="S95" i="5"/>
  <c r="S94" i="5"/>
  <c r="S93" i="5"/>
  <c r="S92" i="5"/>
  <c r="S91" i="5"/>
  <c r="S90" i="5"/>
  <c r="S89" i="5"/>
  <c r="S88" i="5"/>
  <c r="S87" i="5"/>
  <c r="S86" i="5"/>
  <c r="S85" i="5"/>
  <c r="S84" i="5"/>
  <c r="S83" i="5"/>
  <c r="S82" i="5"/>
  <c r="S81" i="5"/>
  <c r="S80" i="5"/>
  <c r="S65" i="5"/>
  <c r="S64" i="5"/>
  <c r="S63" i="5"/>
  <c r="S62" i="5"/>
  <c r="S61" i="5"/>
  <c r="S60" i="5"/>
  <c r="S59" i="5"/>
  <c r="S58" i="5"/>
  <c r="S57" i="5"/>
  <c r="S56" i="5"/>
  <c r="S55" i="5"/>
  <c r="S54" i="5"/>
  <c r="S53" i="5"/>
  <c r="S52" i="5"/>
  <c r="S51" i="5"/>
  <c r="S50" i="5"/>
  <c r="S49" i="5"/>
  <c r="S48" i="5"/>
  <c r="S47" i="5"/>
  <c r="S46" i="5"/>
  <c r="S42" i="5"/>
  <c r="S41" i="5"/>
  <c r="S40" i="5"/>
  <c r="S39" i="5"/>
  <c r="S38" i="5"/>
  <c r="S37" i="5"/>
  <c r="S36" i="5"/>
  <c r="S35" i="5"/>
  <c r="S34" i="5"/>
  <c r="S33" i="5"/>
  <c r="S32" i="5"/>
  <c r="S31" i="5"/>
  <c r="S30" i="5"/>
  <c r="S29" i="5"/>
  <c r="S28" i="5"/>
  <c r="S27" i="5"/>
  <c r="S26" i="5"/>
  <c r="S25" i="5"/>
  <c r="S24" i="5"/>
  <c r="S23" i="5"/>
  <c r="S79" i="5"/>
  <c r="S78" i="5"/>
  <c r="S77" i="5"/>
  <c r="S76" i="5"/>
  <c r="S75" i="5"/>
  <c r="S74" i="5"/>
  <c r="S73" i="5"/>
  <c r="S72" i="5"/>
  <c r="S71" i="5"/>
  <c r="S70" i="5"/>
  <c r="S19" i="5"/>
  <c r="S18" i="5"/>
  <c r="S17" i="5"/>
  <c r="S16" i="5"/>
  <c r="S15" i="5"/>
  <c r="S14" i="5"/>
  <c r="S13" i="5"/>
  <c r="S12" i="5"/>
  <c r="S11" i="5"/>
  <c r="S10" i="5"/>
  <c r="E125" i="7"/>
  <c r="U125" i="7" s="1"/>
  <c r="H105" i="5"/>
  <c r="H104" i="5"/>
  <c r="H103" i="5"/>
  <c r="H102" i="5"/>
  <c r="H101" i="5"/>
  <c r="H100" i="5"/>
  <c r="H99" i="5"/>
  <c r="H98" i="5"/>
  <c r="H97" i="5"/>
  <c r="H96" i="5"/>
  <c r="H79" i="5"/>
  <c r="H78" i="5"/>
  <c r="H77" i="5"/>
  <c r="H76" i="5"/>
  <c r="H75" i="5"/>
  <c r="H74" i="5"/>
  <c r="H73" i="5"/>
  <c r="H72" i="5"/>
  <c r="H71" i="5"/>
  <c r="H70" i="5"/>
  <c r="H119" i="5"/>
  <c r="H118" i="5"/>
  <c r="H117" i="5"/>
  <c r="H116" i="5"/>
  <c r="H115" i="5"/>
  <c r="H114" i="5"/>
  <c r="H113" i="5"/>
  <c r="H112" i="5"/>
  <c r="H111" i="5"/>
  <c r="H110" i="5"/>
  <c r="H95" i="5"/>
  <c r="I92" i="5"/>
  <c r="I91" i="5"/>
  <c r="I90" i="5"/>
  <c r="I89" i="5"/>
  <c r="I88" i="5"/>
  <c r="I87" i="5"/>
  <c r="I86" i="5"/>
  <c r="I85" i="5"/>
  <c r="I84" i="5"/>
  <c r="H92" i="5"/>
  <c r="H91" i="5"/>
  <c r="H90" i="5"/>
  <c r="H89" i="5"/>
  <c r="H88" i="5"/>
  <c r="H87" i="5"/>
  <c r="H86" i="5"/>
  <c r="H85" i="5"/>
  <c r="H84" i="5"/>
  <c r="AJ65" i="5"/>
  <c r="AI65" i="5"/>
  <c r="AH65" i="5"/>
  <c r="AG65" i="5"/>
  <c r="AF65" i="5"/>
  <c r="AE65" i="5"/>
  <c r="AD65" i="5"/>
  <c r="AC65" i="5"/>
  <c r="AJ64" i="5"/>
  <c r="AI64" i="5"/>
  <c r="AH64" i="5"/>
  <c r="AG64" i="5"/>
  <c r="AF64" i="5"/>
  <c r="AE64" i="5"/>
  <c r="AD64" i="5"/>
  <c r="AC64" i="5"/>
  <c r="AJ63" i="5"/>
  <c r="AI63" i="5"/>
  <c r="AH63" i="5"/>
  <c r="AG63" i="5"/>
  <c r="AF63" i="5"/>
  <c r="AE63" i="5"/>
  <c r="AD63" i="5"/>
  <c r="AC63" i="5"/>
  <c r="AJ62" i="5"/>
  <c r="AI62" i="5"/>
  <c r="AH62" i="5"/>
  <c r="AG62" i="5"/>
  <c r="AF62" i="5"/>
  <c r="AE62" i="5"/>
  <c r="AD62" i="5"/>
  <c r="AC62" i="5"/>
  <c r="AJ61" i="5"/>
  <c r="AI61" i="5"/>
  <c r="AH61" i="5"/>
  <c r="AG61" i="5"/>
  <c r="AF61" i="5"/>
  <c r="AE61" i="5"/>
  <c r="AD61" i="5"/>
  <c r="AC61" i="5"/>
  <c r="AJ60" i="5"/>
  <c r="AI60" i="5"/>
  <c r="AH60" i="5"/>
  <c r="AG60" i="5"/>
  <c r="AF60" i="5"/>
  <c r="AE60" i="5"/>
  <c r="AD60" i="5"/>
  <c r="AC60" i="5"/>
  <c r="AJ59" i="5"/>
  <c r="AI59" i="5"/>
  <c r="AH59" i="5"/>
  <c r="AG59" i="5"/>
  <c r="AF59" i="5"/>
  <c r="AE59" i="5"/>
  <c r="AD59" i="5"/>
  <c r="AC59" i="5"/>
  <c r="AJ58" i="5"/>
  <c r="AI58" i="5"/>
  <c r="AH58" i="5"/>
  <c r="AG58" i="5"/>
  <c r="AF58" i="5"/>
  <c r="AE58" i="5"/>
  <c r="AD58" i="5"/>
  <c r="AC58" i="5"/>
  <c r="AJ57" i="5"/>
  <c r="AI57" i="5"/>
  <c r="AH57" i="5"/>
  <c r="AG57" i="5"/>
  <c r="AF57" i="5"/>
  <c r="AE57" i="5"/>
  <c r="AD57" i="5"/>
  <c r="AC57" i="5"/>
  <c r="AJ56" i="5"/>
  <c r="AI56" i="5"/>
  <c r="AH56" i="5"/>
  <c r="AG56" i="5"/>
  <c r="AF56" i="5"/>
  <c r="AE56" i="5"/>
  <c r="AD56" i="5"/>
  <c r="AC56" i="5"/>
  <c r="AJ55" i="5"/>
  <c r="AI55" i="5"/>
  <c r="AH55" i="5"/>
  <c r="AG55" i="5"/>
  <c r="AF55" i="5"/>
  <c r="AE55" i="5"/>
  <c r="AD55" i="5"/>
  <c r="AC55" i="5"/>
  <c r="AJ54" i="5"/>
  <c r="AI54" i="5"/>
  <c r="AH54" i="5"/>
  <c r="AG54" i="5"/>
  <c r="AF54" i="5"/>
  <c r="AE54" i="5"/>
  <c r="AD54" i="5"/>
  <c r="AC54" i="5"/>
  <c r="AJ53" i="5"/>
  <c r="AI53" i="5"/>
  <c r="AH53" i="5"/>
  <c r="AG53" i="5"/>
  <c r="AF53" i="5"/>
  <c r="AE53" i="5"/>
  <c r="AD53" i="5"/>
  <c r="AC53" i="5"/>
  <c r="AJ52" i="5"/>
  <c r="AI52" i="5"/>
  <c r="AH52" i="5"/>
  <c r="AG52" i="5"/>
  <c r="AF52" i="5"/>
  <c r="AE52" i="5"/>
  <c r="AD52" i="5"/>
  <c r="AC52" i="5"/>
  <c r="AJ51" i="5"/>
  <c r="AI51" i="5"/>
  <c r="AH51" i="5"/>
  <c r="AG51" i="5"/>
  <c r="AF51" i="5"/>
  <c r="AE51" i="5"/>
  <c r="AD51" i="5"/>
  <c r="AC51" i="5"/>
  <c r="AJ50" i="5"/>
  <c r="AI50" i="5"/>
  <c r="AH50" i="5"/>
  <c r="AG50" i="5"/>
  <c r="AF50" i="5"/>
  <c r="AE50" i="5"/>
  <c r="AD50" i="5"/>
  <c r="AC50" i="5"/>
  <c r="AJ49" i="5"/>
  <c r="AI49" i="5"/>
  <c r="AH49" i="5"/>
  <c r="AG49" i="5"/>
  <c r="AF49" i="5"/>
  <c r="AE49" i="5"/>
  <c r="AD49" i="5"/>
  <c r="AC49" i="5"/>
  <c r="AJ48" i="5"/>
  <c r="AI48" i="5"/>
  <c r="AH48" i="5"/>
  <c r="AG48" i="5"/>
  <c r="AF48" i="5"/>
  <c r="AE48" i="5"/>
  <c r="AD48" i="5"/>
  <c r="AC48" i="5"/>
  <c r="AJ47" i="5"/>
  <c r="AI47" i="5"/>
  <c r="AH47" i="5"/>
  <c r="AG47" i="5"/>
  <c r="AF47" i="5"/>
  <c r="AE47" i="5"/>
  <c r="AD47" i="5"/>
  <c r="AC47" i="5"/>
  <c r="AJ46" i="5"/>
  <c r="AI46" i="5"/>
  <c r="AH46" i="5"/>
  <c r="AG46" i="5"/>
  <c r="AF46" i="5"/>
  <c r="AE46" i="5"/>
  <c r="AD46" i="5"/>
  <c r="AC46" i="5"/>
  <c r="AB65" i="5"/>
  <c r="AB64" i="5"/>
  <c r="AB63" i="5"/>
  <c r="AB62" i="5"/>
  <c r="AB61" i="5"/>
  <c r="AB60" i="5"/>
  <c r="AB59" i="5"/>
  <c r="AB58" i="5"/>
  <c r="AB57" i="5"/>
  <c r="AB56" i="5"/>
  <c r="AB55" i="5"/>
  <c r="AB54" i="5"/>
  <c r="AB53" i="5"/>
  <c r="AB52" i="5"/>
  <c r="AB51" i="5"/>
  <c r="AB50" i="5"/>
  <c r="AB49" i="5"/>
  <c r="AB48" i="5"/>
  <c r="AB47" i="5"/>
  <c r="AB46" i="5"/>
  <c r="P65" i="5"/>
  <c r="P64" i="5"/>
  <c r="P63" i="5"/>
  <c r="P62" i="5"/>
  <c r="P61" i="5"/>
  <c r="AK43" i="5"/>
  <c r="AJ43" i="5"/>
  <c r="AI43" i="5"/>
  <c r="AH43" i="5"/>
  <c r="AG43" i="5"/>
  <c r="AF43" i="5"/>
  <c r="AE43" i="5"/>
  <c r="AD43" i="5"/>
  <c r="AC43" i="5"/>
  <c r="AB43" i="5"/>
  <c r="AK42" i="5"/>
  <c r="AJ42" i="5"/>
  <c r="AI42" i="5"/>
  <c r="AH42" i="5"/>
  <c r="AG42" i="5"/>
  <c r="AF42" i="5"/>
  <c r="AE42" i="5"/>
  <c r="AD42" i="5"/>
  <c r="AC42" i="5"/>
  <c r="AB42" i="5"/>
  <c r="AK41" i="5"/>
  <c r="AJ41" i="5"/>
  <c r="AI41" i="5"/>
  <c r="AH41" i="5"/>
  <c r="AG41" i="5"/>
  <c r="AF41" i="5"/>
  <c r="AE41" i="5"/>
  <c r="AD41" i="5"/>
  <c r="AC41" i="5"/>
  <c r="AB41" i="5"/>
  <c r="AK40" i="5"/>
  <c r="AJ40" i="5"/>
  <c r="AI40" i="5"/>
  <c r="AH40" i="5"/>
  <c r="AG40" i="5"/>
  <c r="AF40" i="5"/>
  <c r="AE40" i="5"/>
  <c r="AD40" i="5"/>
  <c r="AC40" i="5"/>
  <c r="AB40" i="5"/>
  <c r="AK39" i="5"/>
  <c r="AJ39" i="5"/>
  <c r="AI39" i="5"/>
  <c r="AH39" i="5"/>
  <c r="AG39" i="5"/>
  <c r="AF39" i="5"/>
  <c r="AE39" i="5"/>
  <c r="AD39" i="5"/>
  <c r="AC39" i="5"/>
  <c r="AB39" i="5"/>
  <c r="AK38" i="5"/>
  <c r="AJ38" i="5"/>
  <c r="AI38" i="5"/>
  <c r="AH38" i="5"/>
  <c r="AG38" i="5"/>
  <c r="AF38" i="5"/>
  <c r="AE38" i="5"/>
  <c r="AD38" i="5"/>
  <c r="AC38" i="5"/>
  <c r="AB38" i="5"/>
  <c r="AK37" i="5"/>
  <c r="AJ37" i="5"/>
  <c r="AI37" i="5"/>
  <c r="AH37" i="5"/>
  <c r="AG37" i="5"/>
  <c r="AF37" i="5"/>
  <c r="AE37" i="5"/>
  <c r="AD37" i="5"/>
  <c r="AC37" i="5"/>
  <c r="AB37" i="5"/>
  <c r="AK36" i="5"/>
  <c r="AJ36" i="5"/>
  <c r="AI36" i="5"/>
  <c r="AH36" i="5"/>
  <c r="AG36" i="5"/>
  <c r="AF36" i="5"/>
  <c r="AE36" i="5"/>
  <c r="AD36" i="5"/>
  <c r="AC36" i="5"/>
  <c r="AB36" i="5"/>
  <c r="AK35" i="5"/>
  <c r="AJ35" i="5"/>
  <c r="AI35" i="5"/>
  <c r="AH35" i="5"/>
  <c r="AG35" i="5"/>
  <c r="AF35" i="5"/>
  <c r="AE35" i="5"/>
  <c r="AD35" i="5"/>
  <c r="AC35" i="5"/>
  <c r="AB35" i="5"/>
  <c r="AK34" i="5"/>
  <c r="AJ34" i="5"/>
  <c r="AI34" i="5"/>
  <c r="AH34" i="5"/>
  <c r="AG34" i="5"/>
  <c r="AF34" i="5"/>
  <c r="AE34" i="5"/>
  <c r="AD34" i="5"/>
  <c r="AC34" i="5"/>
  <c r="AB34" i="5"/>
  <c r="AK33" i="5"/>
  <c r="AJ33" i="5"/>
  <c r="AI33" i="5"/>
  <c r="AH33" i="5"/>
  <c r="AG33" i="5"/>
  <c r="AF33" i="5"/>
  <c r="AE33" i="5"/>
  <c r="AD33" i="5"/>
  <c r="AC33" i="5"/>
  <c r="AB33" i="5"/>
  <c r="AK32" i="5"/>
  <c r="AJ32" i="5"/>
  <c r="AI32" i="5"/>
  <c r="AH32" i="5"/>
  <c r="AG32" i="5"/>
  <c r="AF32" i="5"/>
  <c r="AE32" i="5"/>
  <c r="AD32" i="5"/>
  <c r="AC32" i="5"/>
  <c r="AB32" i="5"/>
  <c r="AK31" i="5"/>
  <c r="AJ31" i="5"/>
  <c r="AI31" i="5"/>
  <c r="AH31" i="5"/>
  <c r="AG31" i="5"/>
  <c r="AF31" i="5"/>
  <c r="AE31" i="5"/>
  <c r="AD31" i="5"/>
  <c r="AC31" i="5"/>
  <c r="AB31" i="5"/>
  <c r="AK30" i="5"/>
  <c r="AJ30" i="5"/>
  <c r="AI30" i="5"/>
  <c r="AH30" i="5"/>
  <c r="AG30" i="5"/>
  <c r="AF30" i="5"/>
  <c r="AE30" i="5"/>
  <c r="AD30" i="5"/>
  <c r="AC30" i="5"/>
  <c r="AB30" i="5"/>
  <c r="AK29" i="5"/>
  <c r="AJ29" i="5"/>
  <c r="AI29" i="5"/>
  <c r="AH29" i="5"/>
  <c r="AG29" i="5"/>
  <c r="AF29" i="5"/>
  <c r="AE29" i="5"/>
  <c r="AD29" i="5"/>
  <c r="AC29" i="5"/>
  <c r="AB29" i="5"/>
  <c r="AK28" i="5"/>
  <c r="AJ28" i="5"/>
  <c r="AI28" i="5"/>
  <c r="AH28" i="5"/>
  <c r="AG28" i="5"/>
  <c r="AF28" i="5"/>
  <c r="AE28" i="5"/>
  <c r="AD28" i="5"/>
  <c r="AC28" i="5"/>
  <c r="AB28" i="5"/>
  <c r="AK27" i="5"/>
  <c r="AJ27" i="5"/>
  <c r="AI27" i="5"/>
  <c r="AH27" i="5"/>
  <c r="AG27" i="5"/>
  <c r="AF27" i="5"/>
  <c r="AE27" i="5"/>
  <c r="AD27" i="5"/>
  <c r="AC27" i="5"/>
  <c r="AB27" i="5"/>
  <c r="AK26" i="5"/>
  <c r="AJ26" i="5"/>
  <c r="AI26" i="5"/>
  <c r="AH26" i="5"/>
  <c r="AG26" i="5"/>
  <c r="AF26" i="5"/>
  <c r="AE26" i="5"/>
  <c r="AD26" i="5"/>
  <c r="AC26" i="5"/>
  <c r="AB26" i="5"/>
  <c r="AK25" i="5"/>
  <c r="AJ25" i="5"/>
  <c r="AI25" i="5"/>
  <c r="AH25" i="5"/>
  <c r="AG25" i="5"/>
  <c r="AF25" i="5"/>
  <c r="AE25" i="5"/>
  <c r="AD25" i="5"/>
  <c r="AC25" i="5"/>
  <c r="AB25" i="5"/>
  <c r="AK24" i="5"/>
  <c r="AJ24" i="5"/>
  <c r="AI24" i="5"/>
  <c r="AH24" i="5"/>
  <c r="AG24" i="5"/>
  <c r="AF24" i="5"/>
  <c r="AE24" i="5"/>
  <c r="AD24" i="5"/>
  <c r="AC24" i="5"/>
  <c r="AB24" i="5"/>
  <c r="AK23" i="5"/>
  <c r="AJ23" i="5"/>
  <c r="AI23" i="5"/>
  <c r="AH23" i="5"/>
  <c r="AG23" i="5"/>
  <c r="AF23" i="5"/>
  <c r="AE23" i="5"/>
  <c r="AD23" i="5"/>
  <c r="AC23" i="5"/>
  <c r="AB23" i="5"/>
  <c r="S31" i="8"/>
  <c r="S30" i="8"/>
  <c r="S29" i="8"/>
  <c r="S28" i="8"/>
  <c r="S27" i="8"/>
  <c r="S26" i="8"/>
  <c r="S25" i="8"/>
  <c r="S24" i="8"/>
  <c r="S23" i="8"/>
  <c r="S22" i="8"/>
  <c r="S21" i="8"/>
  <c r="S20" i="8"/>
  <c r="S19" i="8"/>
  <c r="S18" i="8"/>
  <c r="S17" i="8"/>
  <c r="S16" i="8"/>
  <c r="S15" i="8"/>
  <c r="S14" i="8"/>
  <c r="S13" i="8"/>
  <c r="S12" i="8"/>
  <c r="S11" i="8"/>
  <c r="S10" i="8"/>
  <c r="O65" i="5"/>
  <c r="O64" i="5"/>
  <c r="O63" i="5"/>
  <c r="O62" i="5"/>
  <c r="O61" i="5"/>
  <c r="AM36" i="5" l="1"/>
  <c r="AM42" i="5"/>
  <c r="AM65" i="5" s="1"/>
  <c r="AM24" i="5"/>
  <c r="AM26" i="5"/>
  <c r="AM40" i="5"/>
  <c r="AM63" i="5" s="1"/>
  <c r="AM37" i="5"/>
  <c r="AM41" i="5"/>
  <c r="AM64" i="5" s="1"/>
  <c r="AM43" i="5"/>
  <c r="AM32" i="5"/>
  <c r="AM34" i="5"/>
  <c r="AM28" i="5"/>
  <c r="AM33" i="5"/>
  <c r="AM25" i="5"/>
  <c r="AM30" i="5"/>
  <c r="AM38" i="5"/>
  <c r="AM61" i="5" s="1"/>
  <c r="AM35" i="5"/>
  <c r="AM29" i="5"/>
  <c r="AM27" i="5"/>
  <c r="AM31" i="5"/>
  <c r="AM39" i="5"/>
  <c r="AM62" i="5" s="1"/>
  <c r="AM23" i="5"/>
  <c r="F23" i="5"/>
  <c r="C60" i="6"/>
  <c r="D59" i="6"/>
  <c r="C53" i="6"/>
  <c r="D52" i="6"/>
  <c r="C46" i="6"/>
  <c r="D45" i="6"/>
  <c r="C39" i="6"/>
  <c r="D38" i="6"/>
  <c r="C25" i="6"/>
  <c r="D24" i="6"/>
  <c r="D17" i="6"/>
  <c r="C18" i="6"/>
  <c r="D108" i="5"/>
  <c r="D94" i="5"/>
  <c r="D81" i="5"/>
  <c r="D68" i="5"/>
  <c r="D44" i="5"/>
  <c r="D21" i="5"/>
  <c r="C109" i="5"/>
  <c r="C95" i="5"/>
  <c r="C82" i="5"/>
  <c r="C69" i="5"/>
  <c r="C45" i="5"/>
  <c r="C22" i="5"/>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AC19" i="5" l="1"/>
  <c r="AB19" i="5"/>
  <c r="AC18" i="5"/>
  <c r="AB18" i="5"/>
  <c r="AC17" i="5"/>
  <c r="AB17" i="5"/>
  <c r="AC16" i="5"/>
  <c r="AB16" i="5"/>
  <c r="AC15" i="5"/>
  <c r="AB15" i="5"/>
  <c r="AC14" i="5"/>
  <c r="AB14" i="5"/>
  <c r="AC13" i="5"/>
  <c r="AB13" i="5"/>
  <c r="AC12" i="5"/>
  <c r="AB12" i="5"/>
  <c r="AC11" i="5"/>
  <c r="AB11" i="5"/>
  <c r="AC10" i="5"/>
  <c r="H10" i="5" s="1"/>
  <c r="AB10" i="5"/>
  <c r="AC9" i="5"/>
  <c r="AB9" i="5"/>
  <c r="J270" i="2" l="1"/>
  <c r="H270" i="2"/>
  <c r="I270" i="2" s="1"/>
  <c r="G270" i="2"/>
  <c r="J269" i="2"/>
  <c r="H269" i="2"/>
  <c r="I269" i="2" s="1"/>
  <c r="G269" i="2"/>
  <c r="W269" i="2"/>
  <c r="V269" i="2"/>
  <c r="W296" i="1"/>
  <c r="U296" i="1"/>
  <c r="T296" i="1"/>
  <c r="S296" i="1"/>
  <c r="Q296" i="1"/>
  <c r="O296" i="1"/>
  <c r="N296" i="1"/>
  <c r="M296" i="1"/>
  <c r="L296" i="1"/>
  <c r="J133" i="2"/>
  <c r="H133" i="2"/>
  <c r="I133" i="2" s="1"/>
  <c r="G133" i="2"/>
  <c r="J132" i="2"/>
  <c r="H132" i="2"/>
  <c r="I132" i="2" s="1"/>
  <c r="G132" i="2"/>
  <c r="J131" i="2"/>
  <c r="H131" i="2"/>
  <c r="I131" i="2" s="1"/>
  <c r="G131" i="2"/>
  <c r="J130" i="2"/>
  <c r="H130" i="2"/>
  <c r="I130" i="2" s="1"/>
  <c r="G130" i="2"/>
  <c r="W142" i="1"/>
  <c r="U142" i="1"/>
  <c r="T142" i="1"/>
  <c r="S142" i="1"/>
  <c r="Q142" i="1"/>
  <c r="O142" i="1"/>
  <c r="N142" i="1"/>
  <c r="M142" i="1"/>
  <c r="L142" i="1"/>
  <c r="W141" i="1"/>
  <c r="U141" i="1"/>
  <c r="T141" i="1"/>
  <c r="S141" i="1"/>
  <c r="Q141" i="1"/>
  <c r="O141" i="1"/>
  <c r="N141" i="1"/>
  <c r="M141" i="1"/>
  <c r="L141" i="1"/>
  <c r="W131" i="2"/>
  <c r="V131" i="2"/>
  <c r="W130" i="2"/>
  <c r="V130" i="2"/>
  <c r="L270" i="2" l="1"/>
  <c r="K270" i="2"/>
  <c r="K269" i="2"/>
  <c r="L269" i="2"/>
  <c r="U269" i="2"/>
  <c r="Q269" i="2"/>
  <c r="R269" i="2"/>
  <c r="S269" i="2"/>
  <c r="T269" i="2"/>
  <c r="L133" i="2"/>
  <c r="K133" i="2"/>
  <c r="K131" i="2"/>
  <c r="L131" i="2"/>
  <c r="L130" i="2"/>
  <c r="K130" i="2"/>
  <c r="L132" i="2"/>
  <c r="K132" i="2"/>
  <c r="U131" i="2"/>
  <c r="T131" i="2"/>
  <c r="S131" i="2"/>
  <c r="Q131" i="2"/>
  <c r="R131" i="2"/>
  <c r="T130" i="2"/>
  <c r="S130" i="2"/>
  <c r="R130" i="2"/>
  <c r="U130" i="2"/>
  <c r="Q130" i="2"/>
  <c r="G274" i="2"/>
  <c r="H274" i="2"/>
  <c r="I274" i="2" s="1"/>
  <c r="J274" i="2"/>
  <c r="W274" i="2"/>
  <c r="G275" i="2"/>
  <c r="H275" i="2"/>
  <c r="I275" i="2" s="1"/>
  <c r="J275" i="2"/>
  <c r="W275" i="2"/>
  <c r="G276" i="2"/>
  <c r="H276" i="2"/>
  <c r="I276" i="2" s="1"/>
  <c r="J276" i="2"/>
  <c r="W276" i="2"/>
  <c r="G277" i="2"/>
  <c r="H277" i="2"/>
  <c r="I277" i="2" s="1"/>
  <c r="J277" i="2"/>
  <c r="W277" i="2"/>
  <c r="G278" i="2"/>
  <c r="H278" i="2"/>
  <c r="I278" i="2" s="1"/>
  <c r="J278" i="2"/>
  <c r="W278" i="2"/>
  <c r="G279" i="2"/>
  <c r="H279" i="2"/>
  <c r="I279" i="2" s="1"/>
  <c r="J279" i="2"/>
  <c r="W279" i="2"/>
  <c r="G280" i="2"/>
  <c r="H280" i="2"/>
  <c r="I280" i="2" s="1"/>
  <c r="J280" i="2"/>
  <c r="W280" i="2"/>
  <c r="G281" i="2"/>
  <c r="H281" i="2"/>
  <c r="I281" i="2" s="1"/>
  <c r="J281" i="2"/>
  <c r="W281" i="2"/>
  <c r="Q10" i="8"/>
  <c r="Q11" i="8"/>
  <c r="Q12" i="8"/>
  <c r="Q13" i="8"/>
  <c r="Q14" i="8"/>
  <c r="Q15" i="8"/>
  <c r="Q16" i="8"/>
  <c r="Q17" i="8"/>
  <c r="Q18" i="8"/>
  <c r="Q19" i="8"/>
  <c r="Q20" i="8"/>
  <c r="Q21" i="8"/>
  <c r="Q22" i="8"/>
  <c r="Q23" i="8"/>
  <c r="Q24" i="8"/>
  <c r="Q25" i="8"/>
  <c r="Q26" i="8"/>
  <c r="Q27" i="8"/>
  <c r="Q28" i="8"/>
  <c r="Q29" i="8"/>
  <c r="Q30" i="8"/>
  <c r="Q31" i="8"/>
  <c r="F128" i="7"/>
  <c r="F129" i="7"/>
  <c r="F130" i="7"/>
  <c r="F131" i="7"/>
  <c r="G131" i="7" s="1"/>
  <c r="F132" i="7"/>
  <c r="G132" i="7" s="1"/>
  <c r="F133" i="7"/>
  <c r="G133" i="7" s="1"/>
  <c r="F134" i="7"/>
  <c r="G134" i="7" s="1"/>
  <c r="F135" i="7"/>
  <c r="G135" i="7" s="1"/>
  <c r="F136" i="7"/>
  <c r="G136" i="7" s="1"/>
  <c r="F137" i="7"/>
  <c r="G137" i="7" s="1"/>
  <c r="F138" i="7"/>
  <c r="G138" i="7" s="1"/>
  <c r="F139" i="7"/>
  <c r="G139" i="7" s="1"/>
  <c r="F140" i="7"/>
  <c r="G140" i="7" s="1"/>
  <c r="F141" i="7"/>
  <c r="G141" i="7" s="1"/>
  <c r="F142" i="7"/>
  <c r="G142" i="7" s="1"/>
  <c r="F143" i="7"/>
  <c r="G143" i="7" s="1"/>
  <c r="F144" i="7"/>
  <c r="G144" i="7" s="1"/>
  <c r="F145" i="7"/>
  <c r="G145" i="7" s="1"/>
  <c r="F146" i="7"/>
  <c r="G146" i="7" s="1"/>
  <c r="F147" i="7"/>
  <c r="G147" i="7" s="1"/>
  <c r="F148" i="7"/>
  <c r="G148" i="7" s="1"/>
  <c r="F149" i="7"/>
  <c r="G149" i="7" s="1"/>
  <c r="F150" i="7"/>
  <c r="G150" i="7" s="1"/>
  <c r="F151" i="7"/>
  <c r="G151" i="7" s="1"/>
  <c r="F152" i="7"/>
  <c r="G152" i="7" s="1"/>
  <c r="F153" i="7"/>
  <c r="G153" i="7" s="1"/>
  <c r="F154" i="7"/>
  <c r="G154" i="7" s="1"/>
  <c r="F155" i="7"/>
  <c r="G155" i="7" s="1"/>
  <c r="F156" i="7"/>
  <c r="G156" i="7" s="1"/>
  <c r="F157" i="7"/>
  <c r="G157" i="7" s="1"/>
  <c r="F158" i="7"/>
  <c r="G158" i="7" s="1"/>
  <c r="F159" i="7"/>
  <c r="G159" i="7" s="1"/>
  <c r="F160" i="7"/>
  <c r="G160" i="7" s="1"/>
  <c r="F161" i="7"/>
  <c r="G161" i="7" s="1"/>
  <c r="F162" i="7"/>
  <c r="G162" i="7" s="1"/>
  <c r="F163" i="7"/>
  <c r="G163" i="7" s="1"/>
  <c r="F164" i="7"/>
  <c r="G164" i="7" s="1"/>
  <c r="F165" i="7"/>
  <c r="G165" i="7" s="1"/>
  <c r="F166" i="7"/>
  <c r="G166" i="7" s="1"/>
  <c r="F167" i="7"/>
  <c r="G167" i="7" s="1"/>
  <c r="F168" i="7"/>
  <c r="G168" i="7" s="1"/>
  <c r="G22" i="7"/>
  <c r="H22" i="7" s="1"/>
  <c r="I22" i="7"/>
  <c r="J22" i="7"/>
  <c r="G23" i="7"/>
  <c r="H23" i="7" s="1"/>
  <c r="I23" i="7"/>
  <c r="J23" i="7"/>
  <c r="G24" i="7"/>
  <c r="H24" i="7" s="1"/>
  <c r="I24" i="7"/>
  <c r="J24" i="7"/>
  <c r="G25" i="7"/>
  <c r="H25" i="7" s="1"/>
  <c r="I25" i="7"/>
  <c r="J25" i="7"/>
  <c r="G26" i="7"/>
  <c r="H26" i="7" s="1"/>
  <c r="I26" i="7"/>
  <c r="J26" i="7"/>
  <c r="G27" i="7"/>
  <c r="H27" i="7" s="1"/>
  <c r="I27" i="7"/>
  <c r="J27" i="7"/>
  <c r="G28" i="7"/>
  <c r="H28" i="7" s="1"/>
  <c r="I28" i="7"/>
  <c r="J28" i="7"/>
  <c r="G29" i="7"/>
  <c r="H29" i="7" s="1"/>
  <c r="I29" i="7"/>
  <c r="J29" i="7"/>
  <c r="G30" i="7"/>
  <c r="H30" i="7" s="1"/>
  <c r="I30" i="7"/>
  <c r="J30" i="7"/>
  <c r="G31" i="7"/>
  <c r="H31" i="7" s="1"/>
  <c r="I31" i="7"/>
  <c r="J31" i="7"/>
  <c r="G32" i="7"/>
  <c r="H32" i="7" s="1"/>
  <c r="I32" i="7"/>
  <c r="J32" i="7"/>
  <c r="G33" i="7"/>
  <c r="H33" i="7" s="1"/>
  <c r="I33" i="7"/>
  <c r="J33" i="7"/>
  <c r="G34" i="7"/>
  <c r="H34" i="7" s="1"/>
  <c r="I34" i="7"/>
  <c r="J34" i="7"/>
  <c r="G35" i="7"/>
  <c r="H35" i="7" s="1"/>
  <c r="I35" i="7"/>
  <c r="J35" i="7"/>
  <c r="G36" i="7"/>
  <c r="H36" i="7" s="1"/>
  <c r="I36" i="7"/>
  <c r="J36" i="7"/>
  <c r="G37" i="7"/>
  <c r="H37" i="7" s="1"/>
  <c r="I37" i="7"/>
  <c r="J37" i="7"/>
  <c r="G38" i="7"/>
  <c r="H38" i="7" s="1"/>
  <c r="I38" i="7"/>
  <c r="J38" i="7"/>
  <c r="G39" i="7"/>
  <c r="H39" i="7" s="1"/>
  <c r="I39" i="7"/>
  <c r="J39" i="7"/>
  <c r="G40" i="7"/>
  <c r="H40" i="7" s="1"/>
  <c r="I40" i="7"/>
  <c r="J40" i="7"/>
  <c r="G41" i="7"/>
  <c r="H41" i="7" s="1"/>
  <c r="I41" i="7"/>
  <c r="J41" i="7"/>
  <c r="G42" i="7"/>
  <c r="H42" i="7" s="1"/>
  <c r="I42" i="7"/>
  <c r="J42" i="7"/>
  <c r="G43" i="7"/>
  <c r="H43" i="7" s="1"/>
  <c r="I43" i="7"/>
  <c r="J43" i="7"/>
  <c r="G44" i="7"/>
  <c r="H44" i="7" s="1"/>
  <c r="I44" i="7"/>
  <c r="J44" i="7"/>
  <c r="G45" i="7"/>
  <c r="H45" i="7" s="1"/>
  <c r="I45" i="7"/>
  <c r="J45" i="7"/>
  <c r="G46" i="7"/>
  <c r="H46" i="7" s="1"/>
  <c r="I46" i="7"/>
  <c r="J46" i="7"/>
  <c r="G47" i="7"/>
  <c r="H47" i="7" s="1"/>
  <c r="I47" i="7"/>
  <c r="J47" i="7"/>
  <c r="G48" i="7"/>
  <c r="H48" i="7" s="1"/>
  <c r="I48" i="7"/>
  <c r="J48" i="7"/>
  <c r="G49" i="7"/>
  <c r="H49" i="7" s="1"/>
  <c r="I49" i="7"/>
  <c r="J49" i="7"/>
  <c r="G50" i="7"/>
  <c r="H50" i="7" s="1"/>
  <c r="I50" i="7"/>
  <c r="J50" i="7"/>
  <c r="G51" i="7"/>
  <c r="H51" i="7" s="1"/>
  <c r="I51" i="7"/>
  <c r="J51" i="7"/>
  <c r="G52" i="7"/>
  <c r="H52" i="7" s="1"/>
  <c r="I52" i="7"/>
  <c r="J52" i="7"/>
  <c r="G53" i="7"/>
  <c r="H53" i="7" s="1"/>
  <c r="I53" i="7"/>
  <c r="J53" i="7"/>
  <c r="G54" i="7"/>
  <c r="H54" i="7" s="1"/>
  <c r="I54" i="7"/>
  <c r="J54" i="7"/>
  <c r="G55" i="7"/>
  <c r="H55" i="7" s="1"/>
  <c r="I55" i="7"/>
  <c r="J55" i="7"/>
  <c r="G56" i="7"/>
  <c r="H56" i="7" s="1"/>
  <c r="I56" i="7"/>
  <c r="J56" i="7"/>
  <c r="G57" i="7"/>
  <c r="H57" i="7" s="1"/>
  <c r="I57" i="7"/>
  <c r="J57" i="7"/>
  <c r="G58" i="7"/>
  <c r="H58" i="7" s="1"/>
  <c r="I58" i="7"/>
  <c r="J58" i="7"/>
  <c r="G59" i="7"/>
  <c r="H59" i="7" s="1"/>
  <c r="I59" i="7"/>
  <c r="J59" i="7"/>
  <c r="G60" i="7"/>
  <c r="H60" i="7" s="1"/>
  <c r="I60" i="7"/>
  <c r="J60" i="7"/>
  <c r="G61" i="7"/>
  <c r="H61" i="7" s="1"/>
  <c r="I61" i="7"/>
  <c r="J61" i="7"/>
  <c r="G62" i="7"/>
  <c r="H62" i="7" s="1"/>
  <c r="I62" i="7"/>
  <c r="J62" i="7"/>
  <c r="G63" i="7"/>
  <c r="H63" i="7" s="1"/>
  <c r="I63" i="7"/>
  <c r="J63" i="7"/>
  <c r="G64" i="7"/>
  <c r="H64" i="7" s="1"/>
  <c r="I64" i="7"/>
  <c r="J64" i="7"/>
  <c r="G65" i="7"/>
  <c r="H65" i="7" s="1"/>
  <c r="I65" i="7"/>
  <c r="J65" i="7"/>
  <c r="G66" i="7"/>
  <c r="H66" i="7" s="1"/>
  <c r="I66" i="7"/>
  <c r="J66" i="7"/>
  <c r="G67" i="7"/>
  <c r="H67" i="7" s="1"/>
  <c r="I67" i="7"/>
  <c r="J67" i="7"/>
  <c r="G68" i="7"/>
  <c r="H68" i="7" s="1"/>
  <c r="I68" i="7"/>
  <c r="J68" i="7"/>
  <c r="G69" i="7"/>
  <c r="H69" i="7" s="1"/>
  <c r="I69" i="7"/>
  <c r="J69" i="7"/>
  <c r="G70" i="7"/>
  <c r="H70" i="7" s="1"/>
  <c r="I70" i="7"/>
  <c r="J70" i="7"/>
  <c r="G71" i="7"/>
  <c r="H71" i="7" s="1"/>
  <c r="I71" i="7"/>
  <c r="J71" i="7"/>
  <c r="G72" i="7"/>
  <c r="H72" i="7" s="1"/>
  <c r="I72" i="7"/>
  <c r="J72" i="7"/>
  <c r="G73" i="7"/>
  <c r="H73" i="7" s="1"/>
  <c r="I73" i="7"/>
  <c r="J73" i="7"/>
  <c r="G74" i="7"/>
  <c r="H74" i="7" s="1"/>
  <c r="I74" i="7"/>
  <c r="J74" i="7"/>
  <c r="G75" i="7"/>
  <c r="H75" i="7" s="1"/>
  <c r="I75" i="7"/>
  <c r="J75" i="7"/>
  <c r="G76" i="7"/>
  <c r="H76" i="7" s="1"/>
  <c r="I76" i="7"/>
  <c r="J76" i="7"/>
  <c r="G77" i="7"/>
  <c r="H77" i="7" s="1"/>
  <c r="I77" i="7"/>
  <c r="J77" i="7"/>
  <c r="G78" i="7"/>
  <c r="H78" i="7" s="1"/>
  <c r="I78" i="7"/>
  <c r="J78" i="7"/>
  <c r="G79" i="7"/>
  <c r="H79" i="7" s="1"/>
  <c r="I79" i="7"/>
  <c r="J79" i="7"/>
  <c r="G80" i="7"/>
  <c r="H80" i="7" s="1"/>
  <c r="I80" i="7"/>
  <c r="J80" i="7"/>
  <c r="G81" i="7"/>
  <c r="H81" i="7" s="1"/>
  <c r="I81" i="7"/>
  <c r="J81" i="7"/>
  <c r="G82" i="7"/>
  <c r="H82" i="7" s="1"/>
  <c r="I82" i="7"/>
  <c r="J82" i="7"/>
  <c r="G83" i="7"/>
  <c r="H83" i="7" s="1"/>
  <c r="I83" i="7"/>
  <c r="J83" i="7"/>
  <c r="G84" i="7"/>
  <c r="H84" i="7" s="1"/>
  <c r="I84" i="7"/>
  <c r="J84" i="7"/>
  <c r="G85" i="7"/>
  <c r="H85" i="7" s="1"/>
  <c r="I85" i="7"/>
  <c r="J85" i="7"/>
  <c r="G86" i="7"/>
  <c r="H86" i="7" s="1"/>
  <c r="I86" i="7"/>
  <c r="J86" i="7"/>
  <c r="G87" i="7"/>
  <c r="H87" i="7" s="1"/>
  <c r="I87" i="7"/>
  <c r="J87" i="7"/>
  <c r="G88" i="7"/>
  <c r="H88" i="7" s="1"/>
  <c r="I88" i="7"/>
  <c r="J88" i="7"/>
  <c r="G89" i="7"/>
  <c r="H89" i="7" s="1"/>
  <c r="I89" i="7"/>
  <c r="J89" i="7"/>
  <c r="G90" i="7"/>
  <c r="H90" i="7" s="1"/>
  <c r="I90" i="7"/>
  <c r="J90" i="7"/>
  <c r="G91" i="7"/>
  <c r="H91" i="7" s="1"/>
  <c r="I91" i="7"/>
  <c r="J91" i="7"/>
  <c r="G92" i="7"/>
  <c r="H92" i="7" s="1"/>
  <c r="I92" i="7"/>
  <c r="J92" i="7"/>
  <c r="G93" i="7"/>
  <c r="H93" i="7" s="1"/>
  <c r="I93" i="7"/>
  <c r="J93" i="7"/>
  <c r="G94" i="7"/>
  <c r="H94" i="7" s="1"/>
  <c r="I94" i="7"/>
  <c r="J94" i="7"/>
  <c r="G95" i="7"/>
  <c r="H95" i="7" s="1"/>
  <c r="I95" i="7"/>
  <c r="J95" i="7"/>
  <c r="G96" i="7"/>
  <c r="H96" i="7" s="1"/>
  <c r="I96" i="7"/>
  <c r="J96" i="7"/>
  <c r="G97" i="7"/>
  <c r="H97" i="7" s="1"/>
  <c r="I97" i="7"/>
  <c r="J97" i="7"/>
  <c r="G98" i="7"/>
  <c r="H98" i="7" s="1"/>
  <c r="I98" i="7"/>
  <c r="J98" i="7"/>
  <c r="G99" i="7"/>
  <c r="H99" i="7" s="1"/>
  <c r="I99" i="7"/>
  <c r="J99" i="7"/>
  <c r="G100" i="7"/>
  <c r="H100" i="7" s="1"/>
  <c r="I100" i="7"/>
  <c r="J100" i="7"/>
  <c r="G101" i="7"/>
  <c r="H101" i="7" s="1"/>
  <c r="I101" i="7"/>
  <c r="J101" i="7"/>
  <c r="G102" i="7"/>
  <c r="H102" i="7" s="1"/>
  <c r="I102" i="7"/>
  <c r="J102" i="7"/>
  <c r="G103" i="7"/>
  <c r="H103" i="7" s="1"/>
  <c r="I103" i="7"/>
  <c r="J103" i="7"/>
  <c r="G104" i="7"/>
  <c r="H104" i="7" s="1"/>
  <c r="I104" i="7"/>
  <c r="J104" i="7"/>
  <c r="G105" i="7"/>
  <c r="H105" i="7" s="1"/>
  <c r="I105" i="7"/>
  <c r="J105" i="7"/>
  <c r="G106" i="7"/>
  <c r="H106" i="7" s="1"/>
  <c r="I106" i="7"/>
  <c r="J106" i="7"/>
  <c r="G107" i="7"/>
  <c r="H107" i="7" s="1"/>
  <c r="I107" i="7"/>
  <c r="J107" i="7"/>
  <c r="G108" i="7"/>
  <c r="H108" i="7" s="1"/>
  <c r="I108" i="7"/>
  <c r="J108" i="7"/>
  <c r="G109" i="7"/>
  <c r="H109" i="7" s="1"/>
  <c r="I109" i="7"/>
  <c r="J109" i="7"/>
  <c r="G110" i="7"/>
  <c r="H110" i="7" s="1"/>
  <c r="I110" i="7"/>
  <c r="J110" i="7"/>
  <c r="G111" i="7"/>
  <c r="H111" i="7" s="1"/>
  <c r="I111" i="7"/>
  <c r="J111" i="7"/>
  <c r="G112" i="7"/>
  <c r="H112" i="7" s="1"/>
  <c r="I112" i="7"/>
  <c r="J112" i="7"/>
  <c r="G113" i="7"/>
  <c r="H113" i="7" s="1"/>
  <c r="I113" i="7"/>
  <c r="J113" i="7"/>
  <c r="G114" i="7"/>
  <c r="H114" i="7" s="1"/>
  <c r="I114" i="7"/>
  <c r="J114" i="7"/>
  <c r="G115" i="7"/>
  <c r="H115" i="7" s="1"/>
  <c r="I115" i="7"/>
  <c r="J115" i="7"/>
  <c r="G116" i="7"/>
  <c r="H116" i="7" s="1"/>
  <c r="I116" i="7"/>
  <c r="J116" i="7"/>
  <c r="G117" i="7"/>
  <c r="H117" i="7" s="1"/>
  <c r="I117" i="7"/>
  <c r="J117" i="7"/>
  <c r="G118" i="7"/>
  <c r="H118" i="7" s="1"/>
  <c r="I118" i="7"/>
  <c r="J118" i="7"/>
  <c r="G119" i="7"/>
  <c r="H119" i="7" s="1"/>
  <c r="I119" i="7"/>
  <c r="J119" i="7"/>
  <c r="G120" i="7"/>
  <c r="H120" i="7" s="1"/>
  <c r="I120" i="7"/>
  <c r="J120" i="7"/>
  <c r="G121" i="7"/>
  <c r="H121" i="7" s="1"/>
  <c r="I121" i="7"/>
  <c r="J121" i="7"/>
  <c r="R128" i="7"/>
  <c r="R127" i="7"/>
  <c r="K277" i="2" l="1"/>
  <c r="Q277" i="2"/>
  <c r="K280" i="2"/>
  <c r="L278" i="2"/>
  <c r="U278" i="2"/>
  <c r="K278" i="2"/>
  <c r="S281" i="2"/>
  <c r="L281" i="2"/>
  <c r="R281" i="2"/>
  <c r="L274" i="2"/>
  <c r="S274" i="2" s="1"/>
  <c r="S277" i="2"/>
  <c r="Q281" i="2"/>
  <c r="K281" i="2"/>
  <c r="R277" i="2"/>
  <c r="K274" i="2"/>
  <c r="L277" i="2"/>
  <c r="Q279" i="2"/>
  <c r="S279" i="2"/>
  <c r="T279" i="2"/>
  <c r="U279" i="2"/>
  <c r="R279" i="2"/>
  <c r="K279" i="2"/>
  <c r="L279" i="2"/>
  <c r="K276" i="2"/>
  <c r="R276" i="2"/>
  <c r="U276" i="2"/>
  <c r="L276" i="2"/>
  <c r="T276" i="2"/>
  <c r="Q276" i="2"/>
  <c r="S276" i="2"/>
  <c r="R275" i="2"/>
  <c r="T275" i="2"/>
  <c r="U275" i="2"/>
  <c r="K275" i="2"/>
  <c r="L275" i="2"/>
  <c r="S275" i="2"/>
  <c r="Q275" i="2"/>
  <c r="U281" i="2"/>
  <c r="Q280" i="2"/>
  <c r="U277" i="2"/>
  <c r="R280" i="2"/>
  <c r="T281" i="2"/>
  <c r="L280" i="2"/>
  <c r="T277" i="2"/>
  <c r="U280" i="2"/>
  <c r="T280" i="2"/>
  <c r="S280" i="2"/>
  <c r="U274" i="2"/>
  <c r="T278" i="2"/>
  <c r="R278" i="2"/>
  <c r="R274" i="2"/>
  <c r="T274" i="2"/>
  <c r="S278" i="2"/>
  <c r="Q278" i="2"/>
  <c r="Q274" i="2"/>
  <c r="R130" i="7"/>
  <c r="F125" i="7" s="1"/>
  <c r="A1" i="5"/>
  <c r="A1" i="12" l="1"/>
  <c r="C125" i="7"/>
  <c r="T127" i="7"/>
  <c r="H125" i="7"/>
  <c r="AE36" i="9"/>
  <c r="AF36" i="9" s="1"/>
  <c r="AG36" i="9" s="1"/>
  <c r="AD36" i="9"/>
  <c r="AE35" i="9"/>
  <c r="AF35" i="9" s="1"/>
  <c r="AG35" i="9" s="1"/>
  <c r="AD35" i="9"/>
  <c r="AF34" i="9"/>
  <c r="AE34" i="9"/>
  <c r="AD34" i="9"/>
  <c r="AF33" i="9"/>
  <c r="AE33" i="9"/>
  <c r="AD33" i="9"/>
  <c r="K46" i="9"/>
  <c r="K45" i="9"/>
  <c r="K44" i="9"/>
  <c r="K43" i="9"/>
  <c r="AE40" i="9"/>
  <c r="AF40" i="9" s="1"/>
  <c r="AG40" i="9" s="1"/>
  <c r="AD40" i="9"/>
  <c r="AE39" i="9"/>
  <c r="AF39" i="9" s="1"/>
  <c r="AG39" i="9" s="1"/>
  <c r="AD39" i="9"/>
  <c r="AF38" i="9"/>
  <c r="AE38" i="9"/>
  <c r="AD38" i="9"/>
  <c r="AF37" i="9"/>
  <c r="AE37" i="9"/>
  <c r="AD37" i="9"/>
  <c r="AE32" i="9"/>
  <c r="AF32" i="9" s="1"/>
  <c r="AG32" i="9" s="1"/>
  <c r="AD32" i="9"/>
  <c r="AE31" i="9"/>
  <c r="AF31" i="9" s="1"/>
  <c r="AG31" i="9" s="1"/>
  <c r="AD31" i="9"/>
  <c r="AF30" i="9"/>
  <c r="AE30" i="9"/>
  <c r="AD30" i="9"/>
  <c r="AF29" i="9"/>
  <c r="AE29" i="9"/>
  <c r="AD29" i="9"/>
  <c r="AE28" i="9"/>
  <c r="AF28" i="9" s="1"/>
  <c r="AG28" i="9" s="1"/>
  <c r="AD28" i="9"/>
  <c r="AE27" i="9"/>
  <c r="AF27" i="9" s="1"/>
  <c r="AG27" i="9" s="1"/>
  <c r="AD27" i="9"/>
  <c r="AF26" i="9"/>
  <c r="AE26" i="9"/>
  <c r="AD26" i="9"/>
  <c r="AF25" i="9"/>
  <c r="AE25" i="9"/>
  <c r="AD25" i="9"/>
  <c r="AE24" i="9"/>
  <c r="AF24" i="9" s="1"/>
  <c r="AG24" i="9" s="1"/>
  <c r="AD24" i="9"/>
  <c r="AE23" i="9"/>
  <c r="AF23" i="9" s="1"/>
  <c r="AG23" i="9" s="1"/>
  <c r="AD23" i="9"/>
  <c r="AF22" i="9"/>
  <c r="AE22" i="9"/>
  <c r="AD22" i="9"/>
  <c r="AF21" i="9"/>
  <c r="AE21" i="9"/>
  <c r="AD21" i="9"/>
  <c r="AE20" i="9"/>
  <c r="AF20" i="9" s="1"/>
  <c r="AG20" i="9" s="1"/>
  <c r="AD20" i="9"/>
  <c r="AE19" i="9"/>
  <c r="AF19" i="9" s="1"/>
  <c r="AG19" i="9" s="1"/>
  <c r="AD19" i="9"/>
  <c r="AF18" i="9"/>
  <c r="AE18" i="9"/>
  <c r="AD18" i="9"/>
  <c r="AF17" i="9"/>
  <c r="AE17" i="9"/>
  <c r="AD17" i="9"/>
  <c r="AE16" i="9"/>
  <c r="AF16" i="9" s="1"/>
  <c r="AG16" i="9" s="1"/>
  <c r="AD16" i="9"/>
  <c r="AE15" i="9"/>
  <c r="AF15" i="9" s="1"/>
  <c r="AG15" i="9" s="1"/>
  <c r="AD15" i="9"/>
  <c r="AF14" i="9"/>
  <c r="AE14" i="9"/>
  <c r="AD14" i="9"/>
  <c r="AF13" i="9"/>
  <c r="AE13" i="9"/>
  <c r="AD13" i="9"/>
  <c r="AE12" i="9"/>
  <c r="AF12" i="9" s="1"/>
  <c r="AG12" i="9" s="1"/>
  <c r="AD12" i="9"/>
  <c r="AE11" i="9"/>
  <c r="AF11" i="9" s="1"/>
  <c r="AG11" i="9" s="1"/>
  <c r="AD11" i="9"/>
  <c r="AF10" i="9"/>
  <c r="AE10" i="9"/>
  <c r="AD10" i="9"/>
  <c r="AF9" i="9"/>
  <c r="AE9" i="9"/>
  <c r="AD9" i="9"/>
  <c r="K31" i="8"/>
  <c r="K30" i="8"/>
  <c r="K29" i="8"/>
  <c r="K28" i="8"/>
  <c r="K27" i="8"/>
  <c r="K26" i="8"/>
  <c r="K25" i="8"/>
  <c r="K24" i="8"/>
  <c r="K23" i="8"/>
  <c r="K22" i="8"/>
  <c r="K21" i="8"/>
  <c r="K20" i="8"/>
  <c r="K19" i="8"/>
  <c r="K18" i="8"/>
  <c r="K17" i="8"/>
  <c r="K16" i="8"/>
  <c r="K15" i="8"/>
  <c r="K14" i="8"/>
  <c r="K13" i="8"/>
  <c r="K12" i="8"/>
  <c r="K11" i="8"/>
  <c r="K10" i="8"/>
  <c r="F174" i="7"/>
  <c r="G11" i="7"/>
  <c r="G13" i="7"/>
  <c r="G10" i="7"/>
  <c r="G9" i="7"/>
  <c r="H19" i="7"/>
  <c r="G19" i="7"/>
  <c r="I18" i="7"/>
  <c r="H18" i="7"/>
  <c r="G18" i="7"/>
  <c r="I17" i="7"/>
  <c r="H17" i="7"/>
  <c r="G17" i="7"/>
  <c r="I16" i="7"/>
  <c r="H16" i="7"/>
  <c r="G16" i="7"/>
  <c r="I15" i="7"/>
  <c r="H15" i="7"/>
  <c r="G15" i="7"/>
  <c r="H14" i="7"/>
  <c r="G14" i="7"/>
  <c r="H13" i="7"/>
  <c r="H12" i="7"/>
  <c r="G12" i="7"/>
  <c r="H11" i="7"/>
  <c r="H10" i="7"/>
  <c r="H9" i="7"/>
  <c r="A3" i="6"/>
  <c r="A1" i="6"/>
  <c r="J119" i="5"/>
  <c r="J118" i="5"/>
  <c r="J117" i="5"/>
  <c r="J116" i="5"/>
  <c r="J115" i="5"/>
  <c r="J114" i="5"/>
  <c r="J113" i="5"/>
  <c r="J112" i="5"/>
  <c r="J111" i="5"/>
  <c r="J110" i="5"/>
  <c r="J109" i="5"/>
  <c r="H109" i="5"/>
  <c r="F105" i="5"/>
  <c r="F104" i="5"/>
  <c r="F103" i="5"/>
  <c r="F102" i="5"/>
  <c r="F101" i="5"/>
  <c r="F100" i="5"/>
  <c r="F99" i="5"/>
  <c r="F98" i="5"/>
  <c r="F97" i="5"/>
  <c r="F96" i="5"/>
  <c r="AF92" i="5"/>
  <c r="AE92" i="5"/>
  <c r="AD92" i="5"/>
  <c r="AC92" i="5"/>
  <c r="AB92" i="5"/>
  <c r="J92" i="5"/>
  <c r="AF91" i="5"/>
  <c r="AE91" i="5"/>
  <c r="AD91" i="5"/>
  <c r="AC91" i="5"/>
  <c r="AB91" i="5"/>
  <c r="J91" i="5"/>
  <c r="AF90" i="5"/>
  <c r="AE90" i="5"/>
  <c r="AD90" i="5"/>
  <c r="AC90" i="5"/>
  <c r="AB90" i="5"/>
  <c r="J90" i="5"/>
  <c r="AF89" i="5"/>
  <c r="AE89" i="5"/>
  <c r="AD89" i="5"/>
  <c r="AC89" i="5"/>
  <c r="AB89" i="5"/>
  <c r="J89" i="5"/>
  <c r="AF88" i="5"/>
  <c r="AE88" i="5"/>
  <c r="AD88" i="5"/>
  <c r="AC88" i="5"/>
  <c r="AB88" i="5"/>
  <c r="J88" i="5"/>
  <c r="AF87" i="5"/>
  <c r="AE87" i="5"/>
  <c r="AD87" i="5"/>
  <c r="AC87" i="5"/>
  <c r="AB87" i="5"/>
  <c r="J87" i="5"/>
  <c r="AF86" i="5"/>
  <c r="AE86" i="5"/>
  <c r="AD86" i="5"/>
  <c r="AC86" i="5"/>
  <c r="AB86" i="5"/>
  <c r="J86" i="5"/>
  <c r="AF85" i="5"/>
  <c r="AE85" i="5"/>
  <c r="AD85" i="5"/>
  <c r="AC85" i="5"/>
  <c r="AB85" i="5"/>
  <c r="J85" i="5"/>
  <c r="AF84" i="5"/>
  <c r="AE84" i="5"/>
  <c r="AD84" i="5"/>
  <c r="AC84" i="5"/>
  <c r="AB84" i="5"/>
  <c r="AF83" i="5"/>
  <c r="AE83" i="5"/>
  <c r="AD83" i="5"/>
  <c r="AC83" i="5"/>
  <c r="AB83" i="5"/>
  <c r="AB79" i="5"/>
  <c r="AB78" i="5"/>
  <c r="AB77" i="5"/>
  <c r="AB76" i="5"/>
  <c r="AB75" i="5"/>
  <c r="AB74" i="5"/>
  <c r="AB73" i="5"/>
  <c r="AB72" i="5"/>
  <c r="AB71" i="5"/>
  <c r="AB70" i="5"/>
  <c r="H69" i="5"/>
  <c r="AL43" i="5"/>
  <c r="F42" i="5"/>
  <c r="F41" i="5"/>
  <c r="F40" i="5"/>
  <c r="F39" i="5"/>
  <c r="F38" i="5"/>
  <c r="F37" i="5"/>
  <c r="F36" i="5"/>
  <c r="F35" i="5"/>
  <c r="F34" i="5"/>
  <c r="F33" i="5"/>
  <c r="F32" i="5"/>
  <c r="F31" i="5"/>
  <c r="F30" i="5"/>
  <c r="F29" i="5"/>
  <c r="F26" i="5"/>
  <c r="F25" i="5"/>
  <c r="F24" i="5"/>
  <c r="U19" i="5"/>
  <c r="T19" i="5"/>
  <c r="U18" i="5"/>
  <c r="T18" i="5"/>
  <c r="U17" i="5"/>
  <c r="T17" i="5"/>
  <c r="U16" i="5"/>
  <c r="T16" i="5"/>
  <c r="H9" i="5"/>
  <c r="A1" i="7" l="1"/>
  <c r="A1" i="8" s="1"/>
  <c r="A1" i="13" s="1"/>
  <c r="A3" i="7"/>
  <c r="A3" i="8" s="1"/>
  <c r="K125" i="7"/>
  <c r="AG34" i="9"/>
  <c r="K89" i="5"/>
  <c r="AG13" i="9"/>
  <c r="AG33" i="9"/>
  <c r="AG37" i="9"/>
  <c r="AG22" i="9"/>
  <c r="AG29" i="9"/>
  <c r="AG17" i="9"/>
  <c r="AL36" i="5"/>
  <c r="AL27" i="5"/>
  <c r="AL41" i="5"/>
  <c r="AL64" i="5" s="1"/>
  <c r="AL23" i="5"/>
  <c r="AL37" i="5"/>
  <c r="AL39" i="5"/>
  <c r="AL62" i="5" s="1"/>
  <c r="AL31" i="5"/>
  <c r="AL35" i="5"/>
  <c r="AL26" i="5"/>
  <c r="AL34" i="5"/>
  <c r="AL42" i="5"/>
  <c r="AL65" i="5" s="1"/>
  <c r="K86" i="5"/>
  <c r="AL30" i="5"/>
  <c r="AL29" i="5"/>
  <c r="AL38" i="5"/>
  <c r="AL61" i="5" s="1"/>
  <c r="K88" i="5"/>
  <c r="AL33" i="5"/>
  <c r="AL32" i="5"/>
  <c r="AL28" i="5"/>
  <c r="AL40" i="5"/>
  <c r="AL63" i="5" s="1"/>
  <c r="K84" i="5"/>
  <c r="AL25" i="5"/>
  <c r="AG9" i="9"/>
  <c r="AL24" i="5"/>
  <c r="AG14" i="9"/>
  <c r="AG25" i="9"/>
  <c r="AG30" i="9"/>
  <c r="AG10" i="9"/>
  <c r="AG26" i="9"/>
  <c r="AG38" i="9"/>
  <c r="AG18" i="9"/>
  <c r="AG21" i="9"/>
  <c r="J84" i="5"/>
  <c r="K85" i="5"/>
  <c r="K90" i="5"/>
  <c r="I10" i="7"/>
  <c r="K87" i="5"/>
  <c r="K92" i="5"/>
  <c r="K83" i="5"/>
  <c r="K91" i="5"/>
  <c r="A1" i="9" l="1"/>
  <c r="A3" i="9"/>
  <c r="A3" i="13"/>
  <c r="H83" i="5"/>
  <c r="I83" i="5"/>
  <c r="I13" i="7"/>
  <c r="I19" i="7"/>
  <c r="I9" i="7"/>
  <c r="I12" i="7"/>
  <c r="I11" i="7"/>
  <c r="AH7" i="9"/>
  <c r="G9" i="9" s="1"/>
  <c r="J83" i="5"/>
  <c r="I14" i="7"/>
  <c r="I34" i="9" l="1"/>
  <c r="I18" i="9"/>
  <c r="I33" i="9"/>
  <c r="I17" i="9"/>
  <c r="I32" i="9"/>
  <c r="I31" i="9"/>
  <c r="I30" i="9"/>
  <c r="I37" i="9"/>
  <c r="I20" i="9"/>
  <c r="I19" i="9"/>
  <c r="I29" i="9"/>
  <c r="I26" i="9"/>
  <c r="I25" i="9"/>
  <c r="I40" i="9"/>
  <c r="I24" i="9"/>
  <c r="I39" i="9"/>
  <c r="I23" i="9"/>
  <c r="I38" i="9"/>
  <c r="I22" i="9"/>
  <c r="I21" i="9"/>
  <c r="I36" i="9"/>
  <c r="I35" i="9"/>
  <c r="I28" i="9"/>
  <c r="I27" i="9"/>
  <c r="G14" i="9"/>
  <c r="G129" i="7"/>
  <c r="G130" i="7"/>
  <c r="G34" i="9"/>
  <c r="G36" i="9"/>
  <c r="G33" i="9"/>
  <c r="G35" i="9"/>
  <c r="G17" i="9"/>
  <c r="G37" i="9"/>
  <c r="G16" i="9"/>
  <c r="G15" i="9"/>
  <c r="G31" i="9"/>
  <c r="G22" i="9"/>
  <c r="G10" i="9"/>
  <c r="G32" i="9"/>
  <c r="I9" i="9"/>
  <c r="G12" i="9"/>
  <c r="G28" i="9"/>
  <c r="G11" i="9"/>
  <c r="I14" i="9"/>
  <c r="I13" i="9"/>
  <c r="I16" i="9"/>
  <c r="G27" i="9"/>
  <c r="I10" i="9"/>
  <c r="G29" i="9"/>
  <c r="G39" i="9"/>
  <c r="G23" i="9"/>
  <c r="G38" i="9"/>
  <c r="G21" i="9"/>
  <c r="I12" i="9"/>
  <c r="G26" i="9"/>
  <c r="G19" i="9"/>
  <c r="I15" i="9"/>
  <c r="G25" i="9"/>
  <c r="G13" i="9"/>
  <c r="I11" i="9"/>
  <c r="G30" i="9"/>
  <c r="G18" i="9"/>
  <c r="G24" i="9"/>
  <c r="G20" i="9"/>
  <c r="G40" i="9"/>
  <c r="K10" i="2" l="1"/>
  <c r="W298" i="1" l="1"/>
  <c r="W297" i="1"/>
  <c r="W295" i="1"/>
  <c r="W294" i="1"/>
  <c r="W293" i="1"/>
  <c r="W292" i="1"/>
  <c r="W291" i="1"/>
  <c r="W290" i="1"/>
  <c r="O290" i="1"/>
  <c r="W289" i="1"/>
  <c r="W288" i="1"/>
  <c r="W287" i="1"/>
  <c r="W286" i="1"/>
  <c r="W285" i="1"/>
  <c r="W284" i="1"/>
  <c r="O284" i="1" s="1"/>
  <c r="W283" i="1"/>
  <c r="W282" i="1"/>
  <c r="O282" i="1" s="1"/>
  <c r="W281" i="1"/>
  <c r="W280" i="1"/>
  <c r="W279" i="1"/>
  <c r="O279" i="1" s="1"/>
  <c r="W278" i="1"/>
  <c r="W277" i="1"/>
  <c r="W276" i="1"/>
  <c r="W275" i="1"/>
  <c r="O275" i="1" s="1"/>
  <c r="W274" i="1"/>
  <c r="O274" i="1" s="1"/>
  <c r="W273" i="1"/>
  <c r="W272" i="1"/>
  <c r="W271" i="1"/>
  <c r="W270" i="1"/>
  <c r="W269" i="1"/>
  <c r="W268" i="1"/>
  <c r="W267" i="1"/>
  <c r="W266" i="1"/>
  <c r="O266" i="1"/>
  <c r="W265" i="1"/>
  <c r="W264" i="1"/>
  <c r="W263" i="1"/>
  <c r="W262" i="1"/>
  <c r="O262" i="1" s="1"/>
  <c r="W261" i="1"/>
  <c r="O261" i="1" s="1"/>
  <c r="W260" i="1"/>
  <c r="W259" i="1"/>
  <c r="O259" i="1" s="1"/>
  <c r="W258" i="1"/>
  <c r="O258" i="1"/>
  <c r="W257" i="1"/>
  <c r="O257" i="1" s="1"/>
  <c r="W256" i="1"/>
  <c r="O256" i="1" s="1"/>
  <c r="W255" i="1"/>
  <c r="O255" i="1" s="1"/>
  <c r="W254" i="1"/>
  <c r="W253" i="1"/>
  <c r="W252" i="1"/>
  <c r="W251" i="1"/>
  <c r="W250" i="1"/>
  <c r="O250" i="1"/>
  <c r="W249" i="1"/>
  <c r="W248" i="1"/>
  <c r="W247" i="1"/>
  <c r="O247" i="1" s="1"/>
  <c r="W246" i="1"/>
  <c r="O246" i="1" s="1"/>
  <c r="W245" i="1"/>
  <c r="W244" i="1"/>
  <c r="W243" i="1"/>
  <c r="O243" i="1" s="1"/>
  <c r="W242" i="1"/>
  <c r="O242" i="1" s="1"/>
  <c r="W241" i="1"/>
  <c r="O241" i="1" s="1"/>
  <c r="W240" i="1"/>
  <c r="W239" i="1"/>
  <c r="O239" i="1" s="1"/>
  <c r="W238" i="1"/>
  <c r="O238" i="1" s="1"/>
  <c r="W237" i="1"/>
  <c r="W236" i="1"/>
  <c r="W235" i="1"/>
  <c r="O235" i="1" s="1"/>
  <c r="W234" i="1"/>
  <c r="O234" i="1" s="1"/>
  <c r="W233" i="1"/>
  <c r="O233" i="1" s="1"/>
  <c r="W232" i="1"/>
  <c r="O232" i="1" s="1"/>
  <c r="W231" i="1"/>
  <c r="O231" i="1" s="1"/>
  <c r="W230" i="1"/>
  <c r="W229" i="1"/>
  <c r="O229" i="1" s="1"/>
  <c r="W228" i="1"/>
  <c r="W227" i="1"/>
  <c r="O227" i="1" s="1"/>
  <c r="W226" i="1"/>
  <c r="O226" i="1"/>
  <c r="W225" i="1"/>
  <c r="W224" i="1"/>
  <c r="W223" i="1"/>
  <c r="W222" i="1"/>
  <c r="W221" i="1"/>
  <c r="W220" i="1"/>
  <c r="W219" i="1"/>
  <c r="W218" i="1"/>
  <c r="O218" i="1"/>
  <c r="W217" i="1"/>
  <c r="W216" i="1"/>
  <c r="W215" i="1"/>
  <c r="W214" i="1"/>
  <c r="W213" i="1"/>
  <c r="O213" i="1" s="1"/>
  <c r="W212" i="1"/>
  <c r="O212" i="1" s="1"/>
  <c r="W211" i="1"/>
  <c r="O211" i="1" s="1"/>
  <c r="W210" i="1"/>
  <c r="O210" i="1" s="1"/>
  <c r="W209" i="1"/>
  <c r="W208" i="1"/>
  <c r="W207" i="1"/>
  <c r="O207" i="1" s="1"/>
  <c r="W206" i="1"/>
  <c r="W205" i="1"/>
  <c r="O205" i="1" s="1"/>
  <c r="W204" i="1"/>
  <c r="W203" i="1"/>
  <c r="O203" i="1" s="1"/>
  <c r="W202" i="1"/>
  <c r="O202" i="1" s="1"/>
  <c r="W201" i="1"/>
  <c r="W200" i="1"/>
  <c r="O200" i="1" s="1"/>
  <c r="W199" i="1"/>
  <c r="O199" i="1" s="1"/>
  <c r="W198" i="1"/>
  <c r="O198" i="1" s="1"/>
  <c r="W197" i="1"/>
  <c r="W196" i="1"/>
  <c r="O196" i="1" s="1"/>
  <c r="W195" i="1"/>
  <c r="W194" i="1"/>
  <c r="O194" i="1" s="1"/>
  <c r="W193" i="1"/>
  <c r="O193" i="1" s="1"/>
  <c r="W192" i="1"/>
  <c r="W191" i="1"/>
  <c r="O191" i="1" s="1"/>
  <c r="W190" i="1"/>
  <c r="W189" i="1"/>
  <c r="W188" i="1"/>
  <c r="W187" i="1"/>
  <c r="W186" i="1"/>
  <c r="O186" i="1"/>
  <c r="W185" i="1"/>
  <c r="W184" i="1"/>
  <c r="W183" i="1"/>
  <c r="W182" i="1"/>
  <c r="W181" i="1"/>
  <c r="W180" i="1"/>
  <c r="W179" i="1"/>
  <c r="W178" i="1"/>
  <c r="O178" i="1" s="1"/>
  <c r="W177" i="1"/>
  <c r="O177" i="1" s="1"/>
  <c r="W176" i="1"/>
  <c r="O176" i="1" s="1"/>
  <c r="W175" i="1"/>
  <c r="O175" i="1" s="1"/>
  <c r="W174" i="1"/>
  <c r="W173" i="1"/>
  <c r="O173" i="1" s="1"/>
  <c r="W172" i="1"/>
  <c r="O172" i="1" s="1"/>
  <c r="W171" i="1"/>
  <c r="W170" i="1"/>
  <c r="O170" i="1"/>
  <c r="W169" i="1"/>
  <c r="W168" i="1"/>
  <c r="W167" i="1"/>
  <c r="W166" i="1"/>
  <c r="W165" i="1"/>
  <c r="W164" i="1"/>
  <c r="W163" i="1"/>
  <c r="W162" i="1"/>
  <c r="O162" i="1"/>
  <c r="W161" i="1"/>
  <c r="O161" i="1" s="1"/>
  <c r="W160" i="1"/>
  <c r="W159" i="1"/>
  <c r="O159" i="1" s="1"/>
  <c r="W158" i="1"/>
  <c r="O158" i="1" s="1"/>
  <c r="W157" i="1"/>
  <c r="O157" i="1" s="1"/>
  <c r="W156" i="1"/>
  <c r="O156" i="1" s="1"/>
  <c r="W155" i="1"/>
  <c r="O155" i="1" s="1"/>
  <c r="W154" i="1"/>
  <c r="O154" i="1" s="1"/>
  <c r="W153" i="1"/>
  <c r="W152" i="1"/>
  <c r="W151" i="1"/>
  <c r="O151" i="1" s="1"/>
  <c r="W150" i="1"/>
  <c r="W149" i="1"/>
  <c r="W148" i="1"/>
  <c r="W147" i="1"/>
  <c r="W146" i="1"/>
  <c r="O146" i="1"/>
  <c r="W145" i="1"/>
  <c r="W144" i="1"/>
  <c r="W143" i="1"/>
  <c r="O143" i="1" s="1"/>
  <c r="W140" i="1"/>
  <c r="O140" i="1" s="1"/>
  <c r="W139" i="1"/>
  <c r="W138" i="1"/>
  <c r="W137" i="1"/>
  <c r="W136" i="1"/>
  <c r="O136" i="1"/>
  <c r="W135" i="1"/>
  <c r="O135" i="1" s="1"/>
  <c r="W134" i="1"/>
  <c r="O134" i="1" s="1"/>
  <c r="W133" i="1"/>
  <c r="W132" i="1"/>
  <c r="O132" i="1" s="1"/>
  <c r="W131" i="1"/>
  <c r="O131" i="1" s="1"/>
  <c r="W130" i="1"/>
  <c r="W129" i="1"/>
  <c r="W128" i="1"/>
  <c r="O128" i="1" s="1"/>
  <c r="W127" i="1"/>
  <c r="O127" i="1" s="1"/>
  <c r="W126" i="1"/>
  <c r="O126" i="1" s="1"/>
  <c r="W125" i="1"/>
  <c r="O125" i="1" s="1"/>
  <c r="W124" i="1"/>
  <c r="W123" i="1"/>
  <c r="O123" i="1" s="1"/>
  <c r="W122" i="1"/>
  <c r="W121" i="1"/>
  <c r="W120" i="1"/>
  <c r="O120" i="1" s="1"/>
  <c r="W119" i="1"/>
  <c r="W118" i="1"/>
  <c r="W117" i="1"/>
  <c r="O117" i="1" s="1"/>
  <c r="W116" i="1"/>
  <c r="O116" i="1" s="1"/>
  <c r="W115" i="1"/>
  <c r="O115" i="1" s="1"/>
  <c r="W114" i="1"/>
  <c r="O114" i="1" s="1"/>
  <c r="W113" i="1"/>
  <c r="W112" i="1"/>
  <c r="O112" i="1"/>
  <c r="W111" i="1"/>
  <c r="W110" i="1"/>
  <c r="W109" i="1"/>
  <c r="O109" i="1"/>
  <c r="W108" i="1"/>
  <c r="W107" i="1"/>
  <c r="W106" i="1"/>
  <c r="O106" i="1" s="1"/>
  <c r="W105" i="1"/>
  <c r="O105" i="1" s="1"/>
  <c r="W104" i="1"/>
  <c r="O104" i="1" s="1"/>
  <c r="W103" i="1"/>
  <c r="O103" i="1" s="1"/>
  <c r="W102" i="1"/>
  <c r="W101" i="1"/>
  <c r="O101" i="1"/>
  <c r="W100" i="1"/>
  <c r="O100" i="1" s="1"/>
  <c r="W99" i="1"/>
  <c r="O99" i="1" s="1"/>
  <c r="W98" i="1"/>
  <c r="W97" i="1"/>
  <c r="W96" i="1"/>
  <c r="O96" i="1"/>
  <c r="W95" i="1"/>
  <c r="W94" i="1"/>
  <c r="W93" i="1"/>
  <c r="O93" i="1"/>
  <c r="W92" i="1"/>
  <c r="W91" i="1"/>
  <c r="O91" i="1" s="1"/>
  <c r="W90" i="1"/>
  <c r="W89" i="1"/>
  <c r="O89" i="1" s="1"/>
  <c r="W88" i="1"/>
  <c r="O88" i="1" s="1"/>
  <c r="W87" i="1"/>
  <c r="O87" i="1" s="1"/>
  <c r="W86" i="1"/>
  <c r="O86" i="1" s="1"/>
  <c r="W85" i="1"/>
  <c r="O85" i="1" s="1"/>
  <c r="W84" i="1"/>
  <c r="O84" i="1" s="1"/>
  <c r="W83" i="1"/>
  <c r="W82" i="1"/>
  <c r="W81" i="1"/>
  <c r="W80" i="1"/>
  <c r="O80" i="1" s="1"/>
  <c r="W79" i="1"/>
  <c r="W78" i="1"/>
  <c r="W77" i="1"/>
  <c r="O77" i="1" s="1"/>
  <c r="W76" i="1"/>
  <c r="O76" i="1" s="1"/>
  <c r="W75" i="1"/>
  <c r="O75" i="1" s="1"/>
  <c r="W74" i="1"/>
  <c r="O74" i="1" s="1"/>
  <c r="W73" i="1"/>
  <c r="O73" i="1" s="1"/>
  <c r="W72" i="1"/>
  <c r="O72" i="1" s="1"/>
  <c r="W71" i="1"/>
  <c r="O71" i="1" s="1"/>
  <c r="W70" i="1"/>
  <c r="W69" i="1"/>
  <c r="O69" i="1"/>
  <c r="W68" i="1"/>
  <c r="W67" i="1"/>
  <c r="W66" i="1"/>
  <c r="W65" i="1"/>
  <c r="W64" i="1"/>
  <c r="O64" i="1"/>
  <c r="W63" i="1"/>
  <c r="O63" i="1" s="1"/>
  <c r="W62" i="1"/>
  <c r="O62" i="1" s="1"/>
  <c r="W61" i="1"/>
  <c r="O61" i="1" s="1"/>
  <c r="W60" i="1"/>
  <c r="O60" i="1" s="1"/>
  <c r="W59" i="1"/>
  <c r="W58" i="1"/>
  <c r="W57" i="1"/>
  <c r="O57" i="1" s="1"/>
  <c r="W56" i="1"/>
  <c r="O56" i="1"/>
  <c r="W55" i="1"/>
  <c r="O55" i="1" s="1"/>
  <c r="W54" i="1"/>
  <c r="W53" i="1"/>
  <c r="O53" i="1" s="1"/>
  <c r="W52" i="1"/>
  <c r="O52" i="1" s="1"/>
  <c r="W51" i="1"/>
  <c r="W50" i="1"/>
  <c r="O50" i="1" s="1"/>
  <c r="W49" i="1"/>
  <c r="O49" i="1" s="1"/>
  <c r="W48" i="1"/>
  <c r="O48" i="1"/>
  <c r="W47" i="1"/>
  <c r="W46" i="1"/>
  <c r="O46" i="1" s="1"/>
  <c r="W45" i="1"/>
  <c r="O45" i="1" s="1"/>
  <c r="W44" i="1"/>
  <c r="W43" i="1"/>
  <c r="W42" i="1"/>
  <c r="W41" i="1"/>
  <c r="W40" i="1"/>
  <c r="O40" i="1"/>
  <c r="W39" i="1"/>
  <c r="W38" i="1"/>
  <c r="W37" i="1"/>
  <c r="O37" i="1"/>
  <c r="W36" i="1"/>
  <c r="O36" i="1" s="1"/>
  <c r="W35" i="1"/>
  <c r="O35" i="1" s="1"/>
  <c r="W34" i="1"/>
  <c r="W33" i="1"/>
  <c r="O33" i="1" s="1"/>
  <c r="W32" i="1"/>
  <c r="O32" i="1"/>
  <c r="W31" i="1"/>
  <c r="O31" i="1" s="1"/>
  <c r="W30" i="1"/>
  <c r="W29" i="1"/>
  <c r="O29" i="1" s="1"/>
  <c r="W28" i="1"/>
  <c r="W27" i="1"/>
  <c r="W26" i="1"/>
  <c r="W25" i="1"/>
  <c r="W24" i="1"/>
  <c r="O24" i="1" s="1"/>
  <c r="W23" i="1"/>
  <c r="W21" i="1"/>
  <c r="W20" i="1"/>
  <c r="W19" i="1"/>
  <c r="W18" i="1"/>
  <c r="O18" i="1" s="1"/>
  <c r="W17" i="1"/>
  <c r="W16" i="1"/>
  <c r="O16" i="1" s="1"/>
  <c r="W15" i="1"/>
  <c r="O15" i="1" s="1"/>
  <c r="W14" i="1"/>
  <c r="W13" i="1"/>
  <c r="W12" i="1"/>
  <c r="W11" i="1"/>
  <c r="O11" i="1" s="1"/>
  <c r="W10" i="1"/>
  <c r="O10" i="1" s="1"/>
  <c r="O298" i="1"/>
  <c r="O297" i="1"/>
  <c r="O295" i="1"/>
  <c r="O294" i="1"/>
  <c r="O293" i="1"/>
  <c r="O292" i="1"/>
  <c r="O291" i="1"/>
  <c r="O289" i="1"/>
  <c r="O288" i="1"/>
  <c r="O287" i="1"/>
  <c r="O286" i="1"/>
  <c r="O285" i="1"/>
  <c r="O283" i="1"/>
  <c r="O281" i="1"/>
  <c r="O280" i="1"/>
  <c r="O278" i="1"/>
  <c r="O277" i="1"/>
  <c r="O276" i="1"/>
  <c r="O273" i="1"/>
  <c r="O272" i="1"/>
  <c r="O271" i="1"/>
  <c r="O270" i="1"/>
  <c r="O269" i="1"/>
  <c r="O268" i="1"/>
  <c r="O267" i="1"/>
  <c r="O265" i="1"/>
  <c r="O264" i="1"/>
  <c r="O263" i="1"/>
  <c r="O260" i="1"/>
  <c r="O254" i="1"/>
  <c r="O253" i="1"/>
  <c r="O252" i="1"/>
  <c r="O251" i="1"/>
  <c r="O249" i="1"/>
  <c r="O248" i="1"/>
  <c r="O245" i="1"/>
  <c r="O244" i="1"/>
  <c r="O240" i="1"/>
  <c r="O237" i="1"/>
  <c r="O236" i="1"/>
  <c r="O230" i="1"/>
  <c r="O228" i="1"/>
  <c r="O225" i="1"/>
  <c r="O224" i="1"/>
  <c r="O223" i="1"/>
  <c r="O222" i="1"/>
  <c r="O221" i="1"/>
  <c r="O220" i="1"/>
  <c r="O219" i="1"/>
  <c r="O217" i="1"/>
  <c r="O216" i="1"/>
  <c r="O215" i="1"/>
  <c r="O214" i="1"/>
  <c r="O209" i="1"/>
  <c r="O208" i="1"/>
  <c r="O206" i="1"/>
  <c r="O204" i="1"/>
  <c r="O201" i="1"/>
  <c r="O197" i="1"/>
  <c r="O195" i="1"/>
  <c r="O192" i="1"/>
  <c r="O190" i="1"/>
  <c r="O189" i="1"/>
  <c r="O188" i="1"/>
  <c r="O187" i="1"/>
  <c r="O185" i="1"/>
  <c r="O184" i="1"/>
  <c r="O183" i="1"/>
  <c r="O182" i="1"/>
  <c r="O181" i="1"/>
  <c r="O180" i="1"/>
  <c r="O179" i="1"/>
  <c r="O174" i="1"/>
  <c r="O171" i="1"/>
  <c r="O169" i="1"/>
  <c r="O168" i="1"/>
  <c r="O167" i="1"/>
  <c r="O166" i="1"/>
  <c r="O165" i="1"/>
  <c r="O164" i="1"/>
  <c r="O163" i="1"/>
  <c r="O160" i="1"/>
  <c r="O153" i="1"/>
  <c r="O152" i="1"/>
  <c r="O150" i="1"/>
  <c r="O149" i="1"/>
  <c r="O148" i="1"/>
  <c r="O147" i="1"/>
  <c r="O145" i="1"/>
  <c r="O144" i="1"/>
  <c r="O139" i="1"/>
  <c r="O138" i="1"/>
  <c r="O137" i="1"/>
  <c r="O133" i="1"/>
  <c r="O130" i="1"/>
  <c r="O129" i="1"/>
  <c r="O124" i="1"/>
  <c r="O122" i="1"/>
  <c r="O121" i="1"/>
  <c r="O119" i="1"/>
  <c r="O118" i="1"/>
  <c r="O113" i="1"/>
  <c r="O111" i="1"/>
  <c r="O110" i="1"/>
  <c r="O108" i="1"/>
  <c r="O107" i="1"/>
  <c r="O102" i="1"/>
  <c r="O98" i="1"/>
  <c r="O97" i="1"/>
  <c r="O95" i="1"/>
  <c r="O94" i="1"/>
  <c r="O92" i="1"/>
  <c r="O90" i="1"/>
  <c r="O83" i="1"/>
  <c r="O82" i="1"/>
  <c r="O81" i="1"/>
  <c r="O79" i="1"/>
  <c r="O78" i="1"/>
  <c r="O70" i="1"/>
  <c r="O68" i="1"/>
  <c r="O67" i="1"/>
  <c r="O66" i="1"/>
  <c r="O65" i="1"/>
  <c r="O59" i="1"/>
  <c r="O58" i="1"/>
  <c r="O54" i="1"/>
  <c r="O51" i="1"/>
  <c r="O47" i="1"/>
  <c r="O44" i="1"/>
  <c r="O43" i="1"/>
  <c r="O42" i="1"/>
  <c r="O41" i="1"/>
  <c r="O39" i="1"/>
  <c r="O38" i="1"/>
  <c r="O34" i="1"/>
  <c r="O30" i="1"/>
  <c r="O28" i="1"/>
  <c r="O27" i="1"/>
  <c r="O26" i="1"/>
  <c r="W22" i="1"/>
  <c r="U298" i="1"/>
  <c r="T298" i="1"/>
  <c r="U297" i="1"/>
  <c r="T297" i="1"/>
  <c r="U295" i="1"/>
  <c r="T295" i="1"/>
  <c r="U294" i="1"/>
  <c r="T294" i="1"/>
  <c r="U293" i="1"/>
  <c r="T293" i="1"/>
  <c r="U292" i="1"/>
  <c r="T292" i="1"/>
  <c r="N292" i="1" s="1"/>
  <c r="U291" i="1"/>
  <c r="T291" i="1"/>
  <c r="N291" i="1" s="1"/>
  <c r="U290" i="1"/>
  <c r="T290" i="1"/>
  <c r="N290" i="1" s="1"/>
  <c r="U289" i="1"/>
  <c r="T289" i="1"/>
  <c r="N289" i="1" s="1"/>
  <c r="U288" i="1"/>
  <c r="T288" i="1"/>
  <c r="U287" i="1"/>
  <c r="T287" i="1"/>
  <c r="N287" i="1" s="1"/>
  <c r="U286" i="1"/>
  <c r="T286" i="1"/>
  <c r="U285" i="1"/>
  <c r="T285" i="1"/>
  <c r="N285" i="1" s="1"/>
  <c r="U284" i="1"/>
  <c r="T284" i="1"/>
  <c r="N284" i="1" s="1"/>
  <c r="U283" i="1"/>
  <c r="T283" i="1"/>
  <c r="N283" i="1" s="1"/>
  <c r="U282" i="1"/>
  <c r="T282" i="1"/>
  <c r="U281" i="1"/>
  <c r="T281" i="1"/>
  <c r="N281" i="1" s="1"/>
  <c r="U280" i="1"/>
  <c r="T280" i="1"/>
  <c r="U279" i="1"/>
  <c r="T279" i="1"/>
  <c r="U278" i="1"/>
  <c r="T278" i="1"/>
  <c r="U277" i="1"/>
  <c r="T277" i="1"/>
  <c r="N277" i="1" s="1"/>
  <c r="U276" i="1"/>
  <c r="T276" i="1"/>
  <c r="U275" i="1"/>
  <c r="T275" i="1"/>
  <c r="U274" i="1"/>
  <c r="T274" i="1"/>
  <c r="U273" i="1"/>
  <c r="T273" i="1"/>
  <c r="U272" i="1"/>
  <c r="T272" i="1"/>
  <c r="U271" i="1"/>
  <c r="T271" i="1"/>
  <c r="N271" i="1" s="1"/>
  <c r="U270" i="1"/>
  <c r="T270" i="1"/>
  <c r="U269" i="1"/>
  <c r="T269" i="1"/>
  <c r="U268" i="1"/>
  <c r="T268" i="1"/>
  <c r="N268" i="1" s="1"/>
  <c r="U267" i="1"/>
  <c r="T267" i="1"/>
  <c r="N267" i="1" s="1"/>
  <c r="U266" i="1"/>
  <c r="T266" i="1"/>
  <c r="N266" i="1" s="1"/>
  <c r="U265" i="1"/>
  <c r="T265" i="1"/>
  <c r="U264" i="1"/>
  <c r="T264" i="1"/>
  <c r="U263" i="1"/>
  <c r="T263" i="1"/>
  <c r="N263" i="1" s="1"/>
  <c r="U262" i="1"/>
  <c r="T262" i="1"/>
  <c r="U261" i="1"/>
  <c r="N261" i="1" s="1"/>
  <c r="T261" i="1"/>
  <c r="U260" i="1"/>
  <c r="T260" i="1"/>
  <c r="N260" i="1" s="1"/>
  <c r="U259" i="1"/>
  <c r="T259" i="1"/>
  <c r="N259" i="1" s="1"/>
  <c r="U258" i="1"/>
  <c r="T258" i="1"/>
  <c r="N258" i="1" s="1"/>
  <c r="U257" i="1"/>
  <c r="T257" i="1"/>
  <c r="N257" i="1" s="1"/>
  <c r="U256" i="1"/>
  <c r="T256" i="1"/>
  <c r="U255" i="1"/>
  <c r="T255" i="1"/>
  <c r="U254" i="1"/>
  <c r="N254" i="1" s="1"/>
  <c r="T254" i="1"/>
  <c r="U253" i="1"/>
  <c r="T253" i="1"/>
  <c r="N253" i="1" s="1"/>
  <c r="U252" i="1"/>
  <c r="T252" i="1"/>
  <c r="N252" i="1" s="1"/>
  <c r="U251" i="1"/>
  <c r="T251" i="1"/>
  <c r="N251" i="1" s="1"/>
  <c r="U250" i="1"/>
  <c r="T250" i="1"/>
  <c r="N250" i="1" s="1"/>
  <c r="U249" i="1"/>
  <c r="T249" i="1"/>
  <c r="U248" i="1"/>
  <c r="T248" i="1"/>
  <c r="U247" i="1"/>
  <c r="N247" i="1" s="1"/>
  <c r="T247" i="1"/>
  <c r="U246" i="1"/>
  <c r="T246" i="1"/>
  <c r="U245" i="1"/>
  <c r="T245" i="1"/>
  <c r="U244" i="1"/>
  <c r="T244" i="1"/>
  <c r="N244" i="1" s="1"/>
  <c r="U243" i="1"/>
  <c r="T243" i="1"/>
  <c r="N243" i="1" s="1"/>
  <c r="U242" i="1"/>
  <c r="T242" i="1"/>
  <c r="N242" i="1" s="1"/>
  <c r="U241" i="1"/>
  <c r="T241" i="1"/>
  <c r="U240" i="1"/>
  <c r="T240" i="1"/>
  <c r="U239" i="1"/>
  <c r="T239" i="1"/>
  <c r="U238" i="1"/>
  <c r="T238" i="1"/>
  <c r="U237" i="1"/>
  <c r="T237" i="1"/>
  <c r="N237" i="1" s="1"/>
  <c r="U236" i="1"/>
  <c r="T236" i="1"/>
  <c r="U235" i="1"/>
  <c r="T235" i="1"/>
  <c r="N235" i="1" s="1"/>
  <c r="U234" i="1"/>
  <c r="T234" i="1"/>
  <c r="U233" i="1"/>
  <c r="T233" i="1"/>
  <c r="U232" i="1"/>
  <c r="T232" i="1"/>
  <c r="U231" i="1"/>
  <c r="T231" i="1"/>
  <c r="U230" i="1"/>
  <c r="T230" i="1"/>
  <c r="U229" i="1"/>
  <c r="N229" i="1" s="1"/>
  <c r="T229" i="1"/>
  <c r="U228" i="1"/>
  <c r="T228" i="1"/>
  <c r="N228" i="1" s="1"/>
  <c r="U227" i="1"/>
  <c r="T227" i="1"/>
  <c r="U226" i="1"/>
  <c r="T226" i="1"/>
  <c r="U225" i="1"/>
  <c r="T225" i="1"/>
  <c r="N225" i="1" s="1"/>
  <c r="U224" i="1"/>
  <c r="T224" i="1"/>
  <c r="U223" i="1"/>
  <c r="T223" i="1"/>
  <c r="U222" i="1"/>
  <c r="T222" i="1"/>
  <c r="N222" i="1" s="1"/>
  <c r="U221" i="1"/>
  <c r="T221" i="1"/>
  <c r="N221" i="1" s="1"/>
  <c r="U220" i="1"/>
  <c r="T220" i="1"/>
  <c r="N220" i="1" s="1"/>
  <c r="U219" i="1"/>
  <c r="T219" i="1"/>
  <c r="N219" i="1" s="1"/>
  <c r="U218" i="1"/>
  <c r="T218" i="1"/>
  <c r="N218" i="1" s="1"/>
  <c r="U217" i="1"/>
  <c r="T217" i="1"/>
  <c r="U216" i="1"/>
  <c r="T216" i="1"/>
  <c r="U215" i="1"/>
  <c r="T215" i="1"/>
  <c r="U214" i="1"/>
  <c r="T214" i="1"/>
  <c r="U213" i="1"/>
  <c r="T213" i="1"/>
  <c r="U212" i="1"/>
  <c r="T212" i="1"/>
  <c r="N212" i="1" s="1"/>
  <c r="U211" i="1"/>
  <c r="T211" i="1"/>
  <c r="U210" i="1"/>
  <c r="T210" i="1"/>
  <c r="N210" i="1" s="1"/>
  <c r="U209" i="1"/>
  <c r="T209" i="1"/>
  <c r="N209" i="1" s="1"/>
  <c r="U208" i="1"/>
  <c r="T208" i="1"/>
  <c r="U207" i="1"/>
  <c r="T207" i="1"/>
  <c r="U206" i="1"/>
  <c r="T206" i="1"/>
  <c r="N206" i="1" s="1"/>
  <c r="U205" i="1"/>
  <c r="T205" i="1"/>
  <c r="N205" i="1" s="1"/>
  <c r="U204" i="1"/>
  <c r="T204" i="1"/>
  <c r="U203" i="1"/>
  <c r="T203" i="1"/>
  <c r="U202" i="1"/>
  <c r="T202" i="1"/>
  <c r="U201" i="1"/>
  <c r="T201" i="1"/>
  <c r="U200" i="1"/>
  <c r="T200" i="1"/>
  <c r="U199" i="1"/>
  <c r="T199" i="1"/>
  <c r="U198" i="1"/>
  <c r="T198" i="1"/>
  <c r="U197" i="1"/>
  <c r="T197" i="1"/>
  <c r="U196" i="1"/>
  <c r="T196" i="1"/>
  <c r="U195" i="1"/>
  <c r="T195" i="1"/>
  <c r="U194" i="1"/>
  <c r="T194" i="1"/>
  <c r="U193" i="1"/>
  <c r="T193" i="1"/>
  <c r="N193" i="1" s="1"/>
  <c r="U192" i="1"/>
  <c r="T192" i="1"/>
  <c r="U191" i="1"/>
  <c r="T191" i="1"/>
  <c r="U190" i="1"/>
  <c r="T190" i="1"/>
  <c r="U189" i="1"/>
  <c r="T189" i="1"/>
  <c r="N189" i="1" s="1"/>
  <c r="U188" i="1"/>
  <c r="T188" i="1"/>
  <c r="N188" i="1" s="1"/>
  <c r="U187" i="1"/>
  <c r="T187" i="1"/>
  <c r="N187" i="1" s="1"/>
  <c r="U186" i="1"/>
  <c r="T186" i="1"/>
  <c r="N186" i="1" s="1"/>
  <c r="U185" i="1"/>
  <c r="T185" i="1"/>
  <c r="U184" i="1"/>
  <c r="T184" i="1"/>
  <c r="U183" i="1"/>
  <c r="T183" i="1"/>
  <c r="U182" i="1"/>
  <c r="T182" i="1"/>
  <c r="U181" i="1"/>
  <c r="N181" i="1" s="1"/>
  <c r="T181" i="1"/>
  <c r="U180" i="1"/>
  <c r="T180" i="1"/>
  <c r="U179" i="1"/>
  <c r="T179" i="1"/>
  <c r="U178" i="1"/>
  <c r="T178" i="1"/>
  <c r="U177" i="1"/>
  <c r="N177" i="1" s="1"/>
  <c r="T177" i="1"/>
  <c r="U176" i="1"/>
  <c r="N176" i="1" s="1"/>
  <c r="T176" i="1"/>
  <c r="U175" i="1"/>
  <c r="T175" i="1"/>
  <c r="N175" i="1" s="1"/>
  <c r="U174" i="1"/>
  <c r="T174" i="1"/>
  <c r="U173" i="1"/>
  <c r="T173" i="1"/>
  <c r="N173" i="1" s="1"/>
  <c r="U172" i="1"/>
  <c r="T172" i="1"/>
  <c r="N172" i="1" s="1"/>
  <c r="U171" i="1"/>
  <c r="T171" i="1"/>
  <c r="N171" i="1" s="1"/>
  <c r="U170" i="1"/>
  <c r="T170" i="1"/>
  <c r="N170" i="1" s="1"/>
  <c r="U169" i="1"/>
  <c r="T169" i="1"/>
  <c r="U168" i="1"/>
  <c r="T168" i="1"/>
  <c r="U167" i="1"/>
  <c r="T167" i="1"/>
  <c r="U166" i="1"/>
  <c r="T166" i="1"/>
  <c r="U165" i="1"/>
  <c r="T165" i="1"/>
  <c r="U164" i="1"/>
  <c r="T164" i="1"/>
  <c r="N164" i="1" s="1"/>
  <c r="U163" i="1"/>
  <c r="T163" i="1"/>
  <c r="N163" i="1" s="1"/>
  <c r="U162" i="1"/>
  <c r="T162" i="1"/>
  <c r="N162" i="1" s="1"/>
  <c r="U161" i="1"/>
  <c r="N161" i="1" s="1"/>
  <c r="T161" i="1"/>
  <c r="U160" i="1"/>
  <c r="T160" i="1"/>
  <c r="U159" i="1"/>
  <c r="T159" i="1"/>
  <c r="U158" i="1"/>
  <c r="T158" i="1"/>
  <c r="U157" i="1"/>
  <c r="T157" i="1"/>
  <c r="U156" i="1"/>
  <c r="T156" i="1"/>
  <c r="U155" i="1"/>
  <c r="T155" i="1"/>
  <c r="U154" i="1"/>
  <c r="T154" i="1"/>
  <c r="U153" i="1"/>
  <c r="T153" i="1"/>
  <c r="U152" i="1"/>
  <c r="T152" i="1"/>
  <c r="U151" i="1"/>
  <c r="T151" i="1"/>
  <c r="U150" i="1"/>
  <c r="T150" i="1"/>
  <c r="U149" i="1"/>
  <c r="T149" i="1"/>
  <c r="U148" i="1"/>
  <c r="T148" i="1"/>
  <c r="N148" i="1" s="1"/>
  <c r="U147" i="1"/>
  <c r="T147" i="1"/>
  <c r="N147" i="1" s="1"/>
  <c r="U146" i="1"/>
  <c r="T146" i="1"/>
  <c r="N146" i="1" s="1"/>
  <c r="U145" i="1"/>
  <c r="T145" i="1"/>
  <c r="U144" i="1"/>
  <c r="T144" i="1"/>
  <c r="N144" i="1" s="1"/>
  <c r="U143" i="1"/>
  <c r="N143" i="1" s="1"/>
  <c r="T143" i="1"/>
  <c r="U140" i="1"/>
  <c r="T140" i="1"/>
  <c r="N140" i="1" s="1"/>
  <c r="U139" i="1"/>
  <c r="T139" i="1"/>
  <c r="U138" i="1"/>
  <c r="T138" i="1"/>
  <c r="U137" i="1"/>
  <c r="T137" i="1"/>
  <c r="N137" i="1" s="1"/>
  <c r="U136" i="1"/>
  <c r="T136" i="1"/>
  <c r="U135" i="1"/>
  <c r="T135" i="1"/>
  <c r="N135" i="1" s="1"/>
  <c r="U134" i="1"/>
  <c r="T134" i="1"/>
  <c r="N134" i="1" s="1"/>
  <c r="U133" i="1"/>
  <c r="T133" i="1"/>
  <c r="U132" i="1"/>
  <c r="T132" i="1"/>
  <c r="U131" i="1"/>
  <c r="T131" i="1"/>
  <c r="N131" i="1" s="1"/>
  <c r="U130" i="1"/>
  <c r="T130" i="1"/>
  <c r="N130" i="1" s="1"/>
  <c r="U129" i="1"/>
  <c r="T129" i="1"/>
  <c r="N129" i="1" s="1"/>
  <c r="U128" i="1"/>
  <c r="T128" i="1"/>
  <c r="U127" i="1"/>
  <c r="N127" i="1" s="1"/>
  <c r="T127" i="1"/>
  <c r="U126" i="1"/>
  <c r="T126" i="1"/>
  <c r="N126" i="1" s="1"/>
  <c r="U125" i="1"/>
  <c r="T125" i="1"/>
  <c r="U124" i="1"/>
  <c r="T124" i="1"/>
  <c r="N124" i="1" s="1"/>
  <c r="U123" i="1"/>
  <c r="T123" i="1"/>
  <c r="U122" i="1"/>
  <c r="T122" i="1"/>
  <c r="N122" i="1" s="1"/>
  <c r="U121" i="1"/>
  <c r="T121" i="1"/>
  <c r="N121" i="1" s="1"/>
  <c r="U120" i="1"/>
  <c r="T120" i="1"/>
  <c r="N120" i="1" s="1"/>
  <c r="U119" i="1"/>
  <c r="T119" i="1"/>
  <c r="N119" i="1" s="1"/>
  <c r="U118" i="1"/>
  <c r="T118" i="1"/>
  <c r="U117" i="1"/>
  <c r="T117" i="1"/>
  <c r="U116" i="1"/>
  <c r="T116" i="1"/>
  <c r="U115" i="1"/>
  <c r="T115" i="1"/>
  <c r="N115" i="1" s="1"/>
  <c r="U114" i="1"/>
  <c r="T114" i="1"/>
  <c r="U113" i="1"/>
  <c r="T113" i="1"/>
  <c r="N113" i="1" s="1"/>
  <c r="U112" i="1"/>
  <c r="T112" i="1"/>
  <c r="N112" i="1" s="1"/>
  <c r="U111" i="1"/>
  <c r="T111" i="1"/>
  <c r="N111" i="1" s="1"/>
  <c r="U110" i="1"/>
  <c r="T110" i="1"/>
  <c r="U109" i="1"/>
  <c r="T109" i="1"/>
  <c r="U108" i="1"/>
  <c r="T108" i="1"/>
  <c r="U107" i="1"/>
  <c r="T107" i="1"/>
  <c r="N107" i="1" s="1"/>
  <c r="U106" i="1"/>
  <c r="T106" i="1"/>
  <c r="U105" i="1"/>
  <c r="T105" i="1"/>
  <c r="N105" i="1" s="1"/>
  <c r="U104" i="1"/>
  <c r="T104" i="1"/>
  <c r="N104" i="1" s="1"/>
  <c r="U103" i="1"/>
  <c r="T103" i="1"/>
  <c r="U102" i="1"/>
  <c r="T102" i="1"/>
  <c r="N102" i="1" s="1"/>
  <c r="U101" i="1"/>
  <c r="T101" i="1"/>
  <c r="N101" i="1" s="1"/>
  <c r="U100" i="1"/>
  <c r="T100" i="1"/>
  <c r="U99" i="1"/>
  <c r="T99" i="1"/>
  <c r="N99" i="1" s="1"/>
  <c r="U98" i="1"/>
  <c r="T98" i="1"/>
  <c r="U97" i="1"/>
  <c r="T97" i="1"/>
  <c r="N97" i="1" s="1"/>
  <c r="U96" i="1"/>
  <c r="T96" i="1"/>
  <c r="N96" i="1" s="1"/>
  <c r="U95" i="1"/>
  <c r="T95" i="1"/>
  <c r="U94" i="1"/>
  <c r="T94" i="1"/>
  <c r="U93" i="1"/>
  <c r="T93" i="1"/>
  <c r="U92" i="1"/>
  <c r="T92" i="1"/>
  <c r="U91" i="1"/>
  <c r="T91" i="1"/>
  <c r="N91" i="1" s="1"/>
  <c r="U90" i="1"/>
  <c r="T90" i="1"/>
  <c r="N90" i="1" s="1"/>
  <c r="U89" i="1"/>
  <c r="T89" i="1"/>
  <c r="U88" i="1"/>
  <c r="T88" i="1"/>
  <c r="N88" i="1" s="1"/>
  <c r="U87" i="1"/>
  <c r="T87" i="1"/>
  <c r="U86" i="1"/>
  <c r="T86" i="1"/>
  <c r="U85" i="1"/>
  <c r="T85" i="1"/>
  <c r="U84" i="1"/>
  <c r="T84" i="1"/>
  <c r="U83" i="1"/>
  <c r="T83" i="1"/>
  <c r="N83" i="1" s="1"/>
  <c r="U82" i="1"/>
  <c r="T82" i="1"/>
  <c r="N82" i="1" s="1"/>
  <c r="U81" i="1"/>
  <c r="T81" i="1"/>
  <c r="U80" i="1"/>
  <c r="T80" i="1"/>
  <c r="U79" i="1"/>
  <c r="T79" i="1"/>
  <c r="N79" i="1" s="1"/>
  <c r="U78" i="1"/>
  <c r="T78" i="1"/>
  <c r="N78" i="1" s="1"/>
  <c r="U77" i="1"/>
  <c r="T77" i="1"/>
  <c r="U76" i="1"/>
  <c r="N76" i="1" s="1"/>
  <c r="T76" i="1"/>
  <c r="U75" i="1"/>
  <c r="T75" i="1"/>
  <c r="U74" i="1"/>
  <c r="T74" i="1"/>
  <c r="U73" i="1"/>
  <c r="T73" i="1"/>
  <c r="N73" i="1" s="1"/>
  <c r="U72" i="1"/>
  <c r="T72" i="1"/>
  <c r="U71" i="1"/>
  <c r="T71" i="1"/>
  <c r="N71" i="1" s="1"/>
  <c r="U70" i="1"/>
  <c r="T70" i="1"/>
  <c r="N70" i="1" s="1"/>
  <c r="U69" i="1"/>
  <c r="T69" i="1"/>
  <c r="U68" i="1"/>
  <c r="T68" i="1"/>
  <c r="U67" i="1"/>
  <c r="T67" i="1"/>
  <c r="U66" i="1"/>
  <c r="T66" i="1"/>
  <c r="N66" i="1" s="1"/>
  <c r="U65" i="1"/>
  <c r="T65" i="1"/>
  <c r="N65" i="1" s="1"/>
  <c r="U64" i="1"/>
  <c r="T64" i="1"/>
  <c r="N64" i="1" s="1"/>
  <c r="U63" i="1"/>
  <c r="T63" i="1"/>
  <c r="U62" i="1"/>
  <c r="T62" i="1"/>
  <c r="N62" i="1" s="1"/>
  <c r="U61" i="1"/>
  <c r="T61" i="1"/>
  <c r="N61" i="1" s="1"/>
  <c r="U60" i="1"/>
  <c r="T60" i="1"/>
  <c r="U59" i="1"/>
  <c r="T59" i="1"/>
  <c r="N59" i="1" s="1"/>
  <c r="U58" i="1"/>
  <c r="T58" i="1"/>
  <c r="U57" i="1"/>
  <c r="T57" i="1"/>
  <c r="U56" i="1"/>
  <c r="T56" i="1"/>
  <c r="U55" i="1"/>
  <c r="T55" i="1"/>
  <c r="U54" i="1"/>
  <c r="T54" i="1"/>
  <c r="U53" i="1"/>
  <c r="T53" i="1"/>
  <c r="U52" i="1"/>
  <c r="T52" i="1"/>
  <c r="N52" i="1" s="1"/>
  <c r="U51" i="1"/>
  <c r="T51" i="1"/>
  <c r="N51" i="1" s="1"/>
  <c r="U50" i="1"/>
  <c r="T50" i="1"/>
  <c r="U49" i="1"/>
  <c r="T49" i="1"/>
  <c r="N49" i="1" s="1"/>
  <c r="U48" i="1"/>
  <c r="T48" i="1"/>
  <c r="N48" i="1" s="1"/>
  <c r="U47" i="1"/>
  <c r="T47" i="1"/>
  <c r="U46" i="1"/>
  <c r="T46" i="1"/>
  <c r="U45" i="1"/>
  <c r="T45" i="1"/>
  <c r="U44" i="1"/>
  <c r="T44" i="1"/>
  <c r="U43" i="1"/>
  <c r="T43" i="1"/>
  <c r="N43" i="1" s="1"/>
  <c r="U42" i="1"/>
  <c r="T42" i="1"/>
  <c r="N42" i="1" s="1"/>
  <c r="U41" i="1"/>
  <c r="T41" i="1"/>
  <c r="N41" i="1" s="1"/>
  <c r="U40" i="1"/>
  <c r="T40" i="1"/>
  <c r="N40" i="1" s="1"/>
  <c r="U39" i="1"/>
  <c r="T39" i="1"/>
  <c r="U38" i="1"/>
  <c r="T38" i="1"/>
  <c r="N38" i="1" s="1"/>
  <c r="U37" i="1"/>
  <c r="T37" i="1"/>
  <c r="U36" i="1"/>
  <c r="T36" i="1"/>
  <c r="N36" i="1" s="1"/>
  <c r="U35" i="1"/>
  <c r="T35" i="1"/>
  <c r="N35" i="1" s="1"/>
  <c r="U34" i="1"/>
  <c r="T34" i="1"/>
  <c r="U33" i="1"/>
  <c r="T33" i="1"/>
  <c r="U32" i="1"/>
  <c r="T32" i="1"/>
  <c r="U31" i="1"/>
  <c r="T31" i="1"/>
  <c r="N31" i="1" s="1"/>
  <c r="U30" i="1"/>
  <c r="N30" i="1" s="1"/>
  <c r="T30" i="1"/>
  <c r="U29" i="1"/>
  <c r="T29" i="1"/>
  <c r="U28" i="1"/>
  <c r="T28" i="1"/>
  <c r="N28" i="1" s="1"/>
  <c r="U27" i="1"/>
  <c r="T27" i="1"/>
  <c r="N27" i="1" s="1"/>
  <c r="U26" i="1"/>
  <c r="T26" i="1"/>
  <c r="N26" i="1" s="1"/>
  <c r="U25" i="1"/>
  <c r="T25" i="1"/>
  <c r="N25" i="1" s="1"/>
  <c r="U24" i="1"/>
  <c r="T24" i="1"/>
  <c r="U22" i="1"/>
  <c r="T22" i="1"/>
  <c r="N22" i="1" s="1"/>
  <c r="U21" i="1"/>
  <c r="T21" i="1"/>
  <c r="U20" i="1"/>
  <c r="T20" i="1"/>
  <c r="U19" i="1"/>
  <c r="T19" i="1"/>
  <c r="U18" i="1"/>
  <c r="T18" i="1"/>
  <c r="N18" i="1" s="1"/>
  <c r="U17" i="1"/>
  <c r="T17" i="1"/>
  <c r="U16" i="1"/>
  <c r="T16" i="1"/>
  <c r="U15" i="1"/>
  <c r="T15" i="1"/>
  <c r="U14" i="1"/>
  <c r="T14" i="1"/>
  <c r="U13" i="1"/>
  <c r="T13" i="1"/>
  <c r="U12" i="1"/>
  <c r="T12" i="1"/>
  <c r="U11" i="1"/>
  <c r="T11" i="1"/>
  <c r="U10" i="1"/>
  <c r="T10" i="1"/>
  <c r="N10" i="1" s="1"/>
  <c r="N299" i="1"/>
  <c r="N298" i="1"/>
  <c r="N297" i="1"/>
  <c r="N295" i="1"/>
  <c r="N294" i="1"/>
  <c r="N293" i="1"/>
  <c r="N288" i="1"/>
  <c r="N278" i="1"/>
  <c r="N272" i="1"/>
  <c r="N264" i="1"/>
  <c r="N256" i="1"/>
  <c r="N249" i="1"/>
  <c r="N248" i="1"/>
  <c r="N246" i="1"/>
  <c r="N241" i="1"/>
  <c r="N240" i="1"/>
  <c r="N239" i="1"/>
  <c r="N238" i="1"/>
  <c r="N233" i="1"/>
  <c r="N232" i="1"/>
  <c r="N230" i="1"/>
  <c r="N217" i="1"/>
  <c r="N216" i="1"/>
  <c r="N215" i="1"/>
  <c r="N213" i="1"/>
  <c r="N208" i="1"/>
  <c r="N201" i="1"/>
  <c r="N200" i="1"/>
  <c r="N198" i="1"/>
  <c r="N190" i="1"/>
  <c r="N185" i="1"/>
  <c r="N184" i="1"/>
  <c r="N183" i="1"/>
  <c r="N182" i="1"/>
  <c r="N169" i="1"/>
  <c r="N168" i="1"/>
  <c r="N167" i="1"/>
  <c r="N166" i="1"/>
  <c r="N165" i="1"/>
  <c r="N158" i="1"/>
  <c r="N150" i="1"/>
  <c r="N149" i="1"/>
  <c r="N133" i="1"/>
  <c r="N125" i="1"/>
  <c r="N116" i="1"/>
  <c r="N110" i="1"/>
  <c r="N109" i="1"/>
  <c r="N108" i="1"/>
  <c r="N95" i="1"/>
  <c r="N94" i="1"/>
  <c r="N93" i="1"/>
  <c r="N92" i="1"/>
  <c r="N87" i="1"/>
  <c r="N85" i="1"/>
  <c r="N77" i="1"/>
  <c r="N69" i="1"/>
  <c r="N68" i="1"/>
  <c r="N67" i="1"/>
  <c r="N47" i="1"/>
  <c r="N45" i="1"/>
  <c r="N39" i="1"/>
  <c r="N29" i="1"/>
  <c r="N21" i="1"/>
  <c r="N19" i="1"/>
  <c r="U23" i="1"/>
  <c r="T23" i="1"/>
  <c r="H273" i="2"/>
  <c r="J273" i="2" s="1"/>
  <c r="W285" i="2"/>
  <c r="W284" i="2"/>
  <c r="W283" i="2"/>
  <c r="W282" i="2"/>
  <c r="W273" i="2"/>
  <c r="W272" i="2"/>
  <c r="W271" i="2"/>
  <c r="W270"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198" i="2"/>
  <c r="W197" i="2"/>
  <c r="W196" i="2"/>
  <c r="W195" i="2"/>
  <c r="W194" i="2"/>
  <c r="W193" i="2"/>
  <c r="W192" i="2"/>
  <c r="W191" i="2"/>
  <c r="W190" i="2"/>
  <c r="W189" i="2"/>
  <c r="W188" i="2"/>
  <c r="W187" i="2"/>
  <c r="W186" i="2"/>
  <c r="W185" i="2"/>
  <c r="W184" i="2"/>
  <c r="W183" i="2"/>
  <c r="W182" i="2"/>
  <c r="W181" i="2"/>
  <c r="W180" i="2"/>
  <c r="W179" i="2"/>
  <c r="W170" i="2"/>
  <c r="W169" i="2"/>
  <c r="W168" i="2"/>
  <c r="W167" i="2"/>
  <c r="W166" i="2"/>
  <c r="W165" i="2"/>
  <c r="W164" i="2"/>
  <c r="W163" i="2"/>
  <c r="W162" i="2"/>
  <c r="W161" i="2"/>
  <c r="W160" i="2"/>
  <c r="W159" i="2"/>
  <c r="W158" i="2"/>
  <c r="W154" i="2"/>
  <c r="W153" i="2"/>
  <c r="W152" i="2"/>
  <c r="W151" i="2"/>
  <c r="W150" i="2"/>
  <c r="W149" i="2"/>
  <c r="W148" i="2"/>
  <c r="W147" i="2"/>
  <c r="W146" i="2"/>
  <c r="W145" i="2"/>
  <c r="W144" i="2"/>
  <c r="W143" i="2"/>
  <c r="W142" i="2"/>
  <c r="W141" i="2"/>
  <c r="W140" i="2"/>
  <c r="W139" i="2"/>
  <c r="W136" i="2"/>
  <c r="W135" i="2"/>
  <c r="W134" i="2"/>
  <c r="W133" i="2"/>
  <c r="W132" i="2"/>
  <c r="W129" i="2"/>
  <c r="W128" i="2"/>
  <c r="W127" i="2"/>
  <c r="W126" i="2"/>
  <c r="W125" i="2"/>
  <c r="W124" i="2"/>
  <c r="W123" i="2"/>
  <c r="W122" i="2"/>
  <c r="W121" i="2"/>
  <c r="W120" i="2"/>
  <c r="W119" i="2"/>
  <c r="W118" i="2"/>
  <c r="W117" i="2"/>
  <c r="W116" i="2"/>
  <c r="W115" i="2"/>
  <c r="W114" i="2"/>
  <c r="W113" i="2"/>
  <c r="W112" i="2"/>
  <c r="W105" i="2"/>
  <c r="W104" i="2"/>
  <c r="W103" i="2"/>
  <c r="W102" i="2"/>
  <c r="W101" i="2"/>
  <c r="W100" i="2"/>
  <c r="W99" i="2"/>
  <c r="W98" i="2"/>
  <c r="W97" i="2"/>
  <c r="W96" i="2"/>
  <c r="W95" i="2"/>
  <c r="W94" i="2"/>
  <c r="W93" i="2"/>
  <c r="W89" i="2"/>
  <c r="W88" i="2"/>
  <c r="W87" i="2"/>
  <c r="W86" i="2"/>
  <c r="W85" i="2"/>
  <c r="W84" i="2"/>
  <c r="W83" i="2"/>
  <c r="W82" i="2"/>
  <c r="W81" i="2"/>
  <c r="W80" i="2"/>
  <c r="W79" i="2"/>
  <c r="W78" i="2"/>
  <c r="W77" i="2"/>
  <c r="W76" i="2"/>
  <c r="W75" i="2"/>
  <c r="W74" i="2"/>
  <c r="W73" i="2"/>
  <c r="W72" i="2"/>
  <c r="W71" i="2"/>
  <c r="W70" i="2"/>
  <c r="W64" i="2"/>
  <c r="W63" i="2"/>
  <c r="W62" i="2"/>
  <c r="W61" i="2"/>
  <c r="W60" i="2"/>
  <c r="W59" i="2"/>
  <c r="W58" i="2"/>
  <c r="W57" i="2"/>
  <c r="W56" i="2"/>
  <c r="W55" i="2"/>
  <c r="W54" i="2"/>
  <c r="W53" i="2"/>
  <c r="W41" i="2"/>
  <c r="W40" i="2"/>
  <c r="W39" i="2"/>
  <c r="W38" i="2"/>
  <c r="W37" i="2"/>
  <c r="W36" i="2"/>
  <c r="W35" i="2"/>
  <c r="W34" i="2"/>
  <c r="W33" i="2"/>
  <c r="W32" i="2"/>
  <c r="W31" i="2"/>
  <c r="W30" i="2"/>
  <c r="W29" i="2"/>
  <c r="W28" i="2"/>
  <c r="W27" i="2"/>
  <c r="W26" i="2"/>
  <c r="W25" i="2"/>
  <c r="W24" i="2"/>
  <c r="W23" i="2"/>
  <c r="W22" i="2"/>
  <c r="W21" i="2"/>
  <c r="N114" i="1" l="1"/>
  <c r="N286" i="1"/>
  <c r="N279" i="1"/>
  <c r="N280" i="1"/>
  <c r="N276" i="1"/>
  <c r="N275" i="1"/>
  <c r="N282" i="1"/>
  <c r="N274" i="1"/>
  <c r="N262" i="1"/>
  <c r="N270" i="1"/>
  <c r="N265" i="1"/>
  <c r="N273" i="1"/>
  <c r="N269" i="1"/>
  <c r="N255" i="1"/>
  <c r="N245" i="1"/>
  <c r="N236" i="1"/>
  <c r="N231" i="1"/>
  <c r="N234" i="1"/>
  <c r="N227" i="1"/>
  <c r="N226" i="1"/>
  <c r="N223" i="1"/>
  <c r="N224" i="1"/>
  <c r="N214" i="1"/>
  <c r="N211" i="1"/>
  <c r="N207" i="1"/>
  <c r="N204" i="1"/>
  <c r="N203" i="1"/>
  <c r="N202" i="1"/>
  <c r="N199" i="1"/>
  <c r="N197" i="1"/>
  <c r="N196" i="1"/>
  <c r="N195" i="1"/>
  <c r="N194" i="1"/>
  <c r="N192" i="1"/>
  <c r="N191" i="1"/>
  <c r="N178" i="1"/>
  <c r="N179" i="1"/>
  <c r="N180" i="1"/>
  <c r="N174" i="1"/>
  <c r="N160" i="1"/>
  <c r="N157" i="1"/>
  <c r="N159" i="1"/>
  <c r="N156" i="1"/>
  <c r="N155" i="1"/>
  <c r="N154" i="1"/>
  <c r="N153" i="1"/>
  <c r="N152" i="1"/>
  <c r="N151" i="1"/>
  <c r="N145" i="1"/>
  <c r="N139" i="1"/>
  <c r="N132" i="1"/>
  <c r="N138" i="1"/>
  <c r="N136" i="1"/>
  <c r="N128" i="1"/>
  <c r="N123" i="1"/>
  <c r="N118" i="1"/>
  <c r="N117" i="1"/>
  <c r="N106" i="1"/>
  <c r="N103" i="1"/>
  <c r="N100" i="1"/>
  <c r="N98" i="1"/>
  <c r="N89" i="1"/>
  <c r="N86" i="1"/>
  <c r="N84" i="1"/>
  <c r="N81" i="1"/>
  <c r="N80" i="1"/>
  <c r="N75" i="1"/>
  <c r="N74" i="1"/>
  <c r="N72" i="1"/>
  <c r="N63" i="1"/>
  <c r="N60" i="1"/>
  <c r="N58" i="1"/>
  <c r="N57" i="1"/>
  <c r="N56" i="1"/>
  <c r="N55" i="1"/>
  <c r="N54" i="1"/>
  <c r="N53" i="1"/>
  <c r="N50" i="1"/>
  <c r="N46" i="1"/>
  <c r="N44" i="1"/>
  <c r="N37" i="1"/>
  <c r="N34" i="1"/>
  <c r="N33" i="1"/>
  <c r="N32" i="1"/>
  <c r="N24" i="1"/>
  <c r="N20" i="1"/>
  <c r="N15" i="1"/>
  <c r="N11" i="1"/>
  <c r="O22" i="1"/>
  <c r="O25" i="1"/>
  <c r="O17" i="1"/>
  <c r="N17" i="1"/>
  <c r="O19" i="1"/>
  <c r="O23" i="1"/>
  <c r="N23" i="1"/>
  <c r="N12" i="1"/>
  <c r="N13" i="1"/>
  <c r="N14" i="1"/>
  <c r="O12" i="1"/>
  <c r="O20" i="1"/>
  <c r="O14" i="1"/>
  <c r="O13" i="1"/>
  <c r="N16" i="1"/>
  <c r="O21" i="1"/>
  <c r="M322" i="1"/>
  <c r="L322" i="1"/>
  <c r="M321" i="1"/>
  <c r="L321" i="1"/>
  <c r="M301" i="1"/>
  <c r="L301" i="1"/>
  <c r="M300" i="1"/>
  <c r="L300" i="1"/>
  <c r="M299" i="1"/>
  <c r="L299" i="1"/>
  <c r="M298" i="1"/>
  <c r="L298" i="1"/>
  <c r="M297" i="1"/>
  <c r="L297" i="1"/>
  <c r="M295" i="1"/>
  <c r="L295" i="1"/>
  <c r="M294" i="1"/>
  <c r="L294" i="1"/>
  <c r="M293" i="1"/>
  <c r="L293" i="1"/>
  <c r="M292" i="1"/>
  <c r="L292" i="1"/>
  <c r="M291" i="1"/>
  <c r="L291" i="1"/>
  <c r="M290" i="1"/>
  <c r="L290" i="1"/>
  <c r="M252" i="1"/>
  <c r="L252" i="1"/>
  <c r="M251" i="1"/>
  <c r="L251" i="1"/>
  <c r="M250" i="1"/>
  <c r="L250" i="1"/>
  <c r="M249" i="1"/>
  <c r="L249" i="1"/>
  <c r="M248" i="1"/>
  <c r="L248" i="1"/>
  <c r="M228" i="1"/>
  <c r="L228" i="1"/>
  <c r="M221" i="1"/>
  <c r="L221" i="1"/>
  <c r="M220" i="1"/>
  <c r="L220" i="1"/>
  <c r="M219" i="1"/>
  <c r="L219" i="1"/>
  <c r="M218" i="1"/>
  <c r="L218" i="1"/>
  <c r="M217" i="1"/>
  <c r="L217" i="1"/>
  <c r="M216" i="1"/>
  <c r="L216" i="1"/>
  <c r="M215" i="1"/>
  <c r="L215" i="1"/>
  <c r="M190" i="1"/>
  <c r="L190" i="1"/>
  <c r="M189" i="1"/>
  <c r="L189" i="1"/>
  <c r="M188" i="1"/>
  <c r="L188" i="1"/>
  <c r="M187" i="1"/>
  <c r="L187" i="1"/>
  <c r="M186" i="1"/>
  <c r="L186" i="1"/>
  <c r="M185" i="1"/>
  <c r="L185" i="1"/>
  <c r="M184" i="1"/>
  <c r="L184" i="1"/>
  <c r="M183" i="1"/>
  <c r="L183" i="1"/>
  <c r="M182" i="1"/>
  <c r="L182" i="1"/>
  <c r="M171" i="1"/>
  <c r="L171" i="1"/>
  <c r="M170" i="1"/>
  <c r="L170" i="1"/>
  <c r="M169" i="1"/>
  <c r="L169" i="1"/>
  <c r="M168" i="1"/>
  <c r="L168" i="1"/>
  <c r="M167" i="1"/>
  <c r="L167" i="1"/>
  <c r="M166" i="1"/>
  <c r="L166" i="1"/>
  <c r="M165" i="1"/>
  <c r="L165" i="1"/>
  <c r="M164" i="1"/>
  <c r="L164" i="1"/>
  <c r="M163" i="1"/>
  <c r="L163" i="1"/>
  <c r="M150" i="1"/>
  <c r="L150" i="1"/>
  <c r="M149" i="1"/>
  <c r="L149" i="1"/>
  <c r="M148" i="1"/>
  <c r="L148" i="1"/>
  <c r="M147" i="1"/>
  <c r="L147" i="1"/>
  <c r="M146" i="1"/>
  <c r="L146" i="1"/>
  <c r="M116" i="1"/>
  <c r="L116" i="1"/>
  <c r="M115" i="1"/>
  <c r="L115" i="1"/>
  <c r="M114" i="1"/>
  <c r="L114" i="1"/>
  <c r="M113" i="1"/>
  <c r="L113" i="1"/>
  <c r="M112" i="1"/>
  <c r="L112" i="1"/>
  <c r="M97" i="1"/>
  <c r="L97" i="1"/>
  <c r="M96" i="1"/>
  <c r="L96" i="1"/>
  <c r="M95" i="1"/>
  <c r="L95" i="1"/>
  <c r="M94" i="1"/>
  <c r="L94" i="1"/>
  <c r="M93" i="1"/>
  <c r="L93" i="1"/>
  <c r="M92" i="1"/>
  <c r="L92" i="1"/>
  <c r="M69" i="1"/>
  <c r="L69" i="1"/>
  <c r="M68" i="1"/>
  <c r="L68" i="1"/>
  <c r="M67" i="1"/>
  <c r="L67" i="1"/>
  <c r="L66" i="1"/>
  <c r="L65" i="1"/>
  <c r="L64" i="1"/>
  <c r="M43" i="1"/>
  <c r="L43" i="1"/>
  <c r="M42" i="1"/>
  <c r="L42" i="1"/>
  <c r="M41" i="1"/>
  <c r="L41" i="1"/>
  <c r="L40" i="1"/>
  <c r="L39" i="1"/>
  <c r="B2" i="1" l="1"/>
  <c r="J7" i="2" l="1"/>
  <c r="S40" i="1" l="1"/>
  <c r="M40" i="1" s="1"/>
  <c r="Q40" i="1"/>
  <c r="J244" i="2" l="1"/>
  <c r="I244" i="2"/>
  <c r="J243" i="2"/>
  <c r="I243" i="2"/>
  <c r="J242" i="2"/>
  <c r="I242" i="2"/>
  <c r="J241" i="2"/>
  <c r="I241" i="2"/>
  <c r="J240" i="2"/>
  <c r="I240" i="2"/>
  <c r="J239" i="2"/>
  <c r="J238" i="2"/>
  <c r="I238" i="2"/>
  <c r="J237" i="2"/>
  <c r="I237" i="2"/>
  <c r="J236" i="2"/>
  <c r="H236" i="2"/>
  <c r="I236" i="2" s="1"/>
  <c r="G236" i="2"/>
  <c r="J235" i="2"/>
  <c r="H235" i="2"/>
  <c r="I235" i="2" s="1"/>
  <c r="G235" i="2"/>
  <c r="J268" i="2"/>
  <c r="H268" i="2"/>
  <c r="I268" i="2" s="1"/>
  <c r="G268" i="2"/>
  <c r="J267" i="2"/>
  <c r="H267" i="2"/>
  <c r="I267" i="2" s="1"/>
  <c r="G267" i="2"/>
  <c r="J266" i="2"/>
  <c r="H266" i="2"/>
  <c r="I266" i="2" s="1"/>
  <c r="G266" i="2"/>
  <c r="J265" i="2"/>
  <c r="H265" i="2"/>
  <c r="I265" i="2" s="1"/>
  <c r="G265" i="2"/>
  <c r="J264" i="2"/>
  <c r="H264" i="2"/>
  <c r="I264" i="2" s="1"/>
  <c r="G264" i="2"/>
  <c r="J263" i="2"/>
  <c r="I263" i="2"/>
  <c r="J262" i="2"/>
  <c r="I262" i="2"/>
  <c r="J261" i="2"/>
  <c r="J260" i="2"/>
  <c r="I260" i="2"/>
  <c r="J259" i="2"/>
  <c r="I259" i="2"/>
  <c r="J258" i="2"/>
  <c r="I258" i="2"/>
  <c r="J257" i="2"/>
  <c r="I257" i="2"/>
  <c r="J256" i="2"/>
  <c r="J255" i="2"/>
  <c r="J254" i="2"/>
  <c r="J253" i="2"/>
  <c r="I253" i="2"/>
  <c r="J252" i="2"/>
  <c r="J251" i="2"/>
  <c r="I251" i="2"/>
  <c r="J250" i="2"/>
  <c r="J249" i="2"/>
  <c r="I249" i="2"/>
  <c r="J248" i="2"/>
  <c r="I248" i="2"/>
  <c r="J247" i="2"/>
  <c r="I247" i="2"/>
  <c r="J246" i="2"/>
  <c r="I246" i="2"/>
  <c r="R272" i="2"/>
  <c r="Q272" i="2"/>
  <c r="H282" i="2"/>
  <c r="G282" i="2"/>
  <c r="G290" i="2" s="1"/>
  <c r="V273" i="2"/>
  <c r="V285" i="2"/>
  <c r="V284" i="2"/>
  <c r="V283" i="2"/>
  <c r="V282" i="2"/>
  <c r="V272" i="2"/>
  <c r="U272" i="2"/>
  <c r="T272" i="2"/>
  <c r="S272" i="2"/>
  <c r="V271" i="2"/>
  <c r="V270" i="2"/>
  <c r="V268" i="2"/>
  <c r="V267" i="2"/>
  <c r="V266" i="2"/>
  <c r="V265" i="2"/>
  <c r="V264" i="2"/>
  <c r="V263" i="2"/>
  <c r="V262" i="2"/>
  <c r="V261" i="2"/>
  <c r="V260" i="2"/>
  <c r="V259" i="2"/>
  <c r="V258" i="2"/>
  <c r="V257" i="2"/>
  <c r="V256" i="2"/>
  <c r="V255" i="2"/>
  <c r="V254" i="2"/>
  <c r="V253" i="2"/>
  <c r="V252" i="2"/>
  <c r="V251" i="2"/>
  <c r="V250" i="2"/>
  <c r="V249" i="2"/>
  <c r="V248" i="2"/>
  <c r="V247" i="2"/>
  <c r="V246" i="2"/>
  <c r="V245" i="2"/>
  <c r="V244" i="2"/>
  <c r="V243" i="2"/>
  <c r="V242" i="2"/>
  <c r="V241" i="2"/>
  <c r="V240" i="2"/>
  <c r="V239" i="2"/>
  <c r="V238" i="2"/>
  <c r="V237" i="2"/>
  <c r="V236" i="2"/>
  <c r="V235" i="2"/>
  <c r="V226" i="2"/>
  <c r="U226" i="2"/>
  <c r="T226" i="2"/>
  <c r="S226" i="2"/>
  <c r="R226" i="2"/>
  <c r="Q226" i="2"/>
  <c r="V225" i="2"/>
  <c r="V224" i="2"/>
  <c r="V223" i="2"/>
  <c r="V222" i="2"/>
  <c r="V221" i="2"/>
  <c r="V220" i="2"/>
  <c r="V219" i="2"/>
  <c r="V218" i="2"/>
  <c r="V217" i="2"/>
  <c r="V216" i="2"/>
  <c r="V215" i="2"/>
  <c r="V214" i="2"/>
  <c r="V213" i="2"/>
  <c r="V212" i="2"/>
  <c r="V211" i="2"/>
  <c r="V210" i="2"/>
  <c r="V209" i="2"/>
  <c r="V208" i="2"/>
  <c r="V207" i="2"/>
  <c r="V206" i="2"/>
  <c r="V205" i="2"/>
  <c r="V204" i="2"/>
  <c r="V203" i="2"/>
  <c r="V202" i="2"/>
  <c r="V198" i="2"/>
  <c r="U198" i="2"/>
  <c r="T198" i="2"/>
  <c r="S198" i="2"/>
  <c r="R198" i="2"/>
  <c r="Q198" i="2"/>
  <c r="V197" i="2"/>
  <c r="V196" i="2"/>
  <c r="V195" i="2"/>
  <c r="V194" i="2"/>
  <c r="V193" i="2"/>
  <c r="V192" i="2"/>
  <c r="V191" i="2"/>
  <c r="V190" i="2"/>
  <c r="V189" i="2"/>
  <c r="V188" i="2"/>
  <c r="V187" i="2"/>
  <c r="V186" i="2"/>
  <c r="V185" i="2"/>
  <c r="V184" i="2"/>
  <c r="V183" i="2"/>
  <c r="V182" i="2"/>
  <c r="V181" i="2"/>
  <c r="V180" i="2"/>
  <c r="V179" i="2"/>
  <c r="V170" i="2"/>
  <c r="U170" i="2"/>
  <c r="T170" i="2"/>
  <c r="S170" i="2"/>
  <c r="R170" i="2"/>
  <c r="Q170" i="2"/>
  <c r="V169" i="2"/>
  <c r="V168" i="2"/>
  <c r="V167" i="2"/>
  <c r="V166" i="2"/>
  <c r="V165" i="2"/>
  <c r="V164" i="2"/>
  <c r="V163" i="2"/>
  <c r="V162" i="2"/>
  <c r="V161" i="2"/>
  <c r="V160" i="2"/>
  <c r="V159" i="2"/>
  <c r="V158" i="2"/>
  <c r="V154" i="2"/>
  <c r="U154" i="2"/>
  <c r="T154" i="2"/>
  <c r="S154" i="2"/>
  <c r="R154" i="2"/>
  <c r="Q154" i="2"/>
  <c r="V153" i="2"/>
  <c r="V152" i="2"/>
  <c r="V151" i="2"/>
  <c r="V150" i="2"/>
  <c r="V149" i="2"/>
  <c r="V148" i="2"/>
  <c r="V147" i="2"/>
  <c r="V146" i="2"/>
  <c r="V145" i="2"/>
  <c r="V144" i="2"/>
  <c r="V143" i="2"/>
  <c r="V142" i="2"/>
  <c r="V141" i="2"/>
  <c r="V140" i="2"/>
  <c r="V139" i="2"/>
  <c r="V136" i="2"/>
  <c r="U136" i="2"/>
  <c r="T136" i="2"/>
  <c r="S136" i="2"/>
  <c r="R136" i="2"/>
  <c r="Q136" i="2"/>
  <c r="V135" i="2"/>
  <c r="V134" i="2"/>
  <c r="V133" i="2"/>
  <c r="V132" i="2"/>
  <c r="V129" i="2"/>
  <c r="V128" i="2"/>
  <c r="V127" i="2"/>
  <c r="V126" i="2"/>
  <c r="V125" i="2"/>
  <c r="V124" i="2"/>
  <c r="V123" i="2"/>
  <c r="V122" i="2"/>
  <c r="V121" i="2"/>
  <c r="V120" i="2"/>
  <c r="V119" i="2"/>
  <c r="V118" i="2"/>
  <c r="V117" i="2"/>
  <c r="V116" i="2"/>
  <c r="V115" i="2"/>
  <c r="V114" i="2"/>
  <c r="V113" i="2"/>
  <c r="V112" i="2"/>
  <c r="V105" i="2"/>
  <c r="U105" i="2"/>
  <c r="T105" i="2"/>
  <c r="S105" i="2"/>
  <c r="R105" i="2"/>
  <c r="Q105" i="2"/>
  <c r="V104" i="2"/>
  <c r="V103" i="2"/>
  <c r="V102" i="2"/>
  <c r="V101" i="2"/>
  <c r="V100" i="2"/>
  <c r="V99" i="2"/>
  <c r="V98" i="2"/>
  <c r="V97" i="2"/>
  <c r="V96" i="2"/>
  <c r="V95" i="2"/>
  <c r="V94" i="2"/>
  <c r="V93" i="2"/>
  <c r="V89" i="2"/>
  <c r="U89" i="2"/>
  <c r="T89" i="2"/>
  <c r="S89" i="2"/>
  <c r="R89" i="2"/>
  <c r="Q89" i="2"/>
  <c r="V88" i="2"/>
  <c r="V87" i="2"/>
  <c r="V86" i="2"/>
  <c r="V85" i="2"/>
  <c r="V84" i="2"/>
  <c r="V83" i="2"/>
  <c r="V82" i="2"/>
  <c r="V81" i="2"/>
  <c r="V80" i="2"/>
  <c r="V79" i="2"/>
  <c r="V78" i="2"/>
  <c r="V77" i="2"/>
  <c r="V76" i="2"/>
  <c r="V75" i="2"/>
  <c r="V74" i="2"/>
  <c r="V73" i="2"/>
  <c r="V72" i="2"/>
  <c r="V71" i="2"/>
  <c r="V70" i="2"/>
  <c r="V64" i="2"/>
  <c r="U64" i="2"/>
  <c r="T64" i="2"/>
  <c r="S64" i="2"/>
  <c r="R64" i="2"/>
  <c r="Q64" i="2"/>
  <c r="V63" i="2"/>
  <c r="V62" i="2"/>
  <c r="V61" i="2"/>
  <c r="V60" i="2"/>
  <c r="V59" i="2"/>
  <c r="V58" i="2"/>
  <c r="V57" i="2"/>
  <c r="V56" i="2"/>
  <c r="V55" i="2"/>
  <c r="V54" i="2"/>
  <c r="V53" i="2"/>
  <c r="V41" i="2"/>
  <c r="U41" i="2"/>
  <c r="T41" i="2"/>
  <c r="S41" i="2"/>
  <c r="R41" i="2"/>
  <c r="Q41" i="2"/>
  <c r="V40" i="2"/>
  <c r="V39" i="2"/>
  <c r="V38" i="2"/>
  <c r="V37" i="2"/>
  <c r="V36" i="2"/>
  <c r="V35" i="2"/>
  <c r="V34" i="2"/>
  <c r="V33" i="2"/>
  <c r="V32" i="2"/>
  <c r="V31" i="2"/>
  <c r="V30" i="2"/>
  <c r="V29" i="2"/>
  <c r="V28" i="2"/>
  <c r="V27" i="2"/>
  <c r="V26" i="2"/>
  <c r="V25" i="2"/>
  <c r="V24" i="2"/>
  <c r="V23" i="2"/>
  <c r="V22" i="2"/>
  <c r="V21" i="2"/>
  <c r="S291" i="1"/>
  <c r="Q291" i="1"/>
  <c r="S290" i="1"/>
  <c r="Q290" i="1"/>
  <c r="S293" i="1"/>
  <c r="Q293" i="1"/>
  <c r="S292" i="1"/>
  <c r="Q292" i="1"/>
  <c r="S294" i="1"/>
  <c r="Q294" i="1"/>
  <c r="J209" i="2"/>
  <c r="H209" i="2"/>
  <c r="I209" i="2" s="1"/>
  <c r="G209" i="2"/>
  <c r="J208" i="2"/>
  <c r="H208" i="2"/>
  <c r="I208" i="2" s="1"/>
  <c r="G208" i="2"/>
  <c r="J207" i="2"/>
  <c r="H207" i="2"/>
  <c r="G207" i="2"/>
  <c r="J206" i="2"/>
  <c r="H206" i="2"/>
  <c r="G206" i="2"/>
  <c r="J205" i="2"/>
  <c r="H205" i="2"/>
  <c r="I205" i="2" s="1"/>
  <c r="G205" i="2"/>
  <c r="J204" i="2"/>
  <c r="H204" i="2"/>
  <c r="G204" i="2"/>
  <c r="J203" i="2"/>
  <c r="H203" i="2"/>
  <c r="G203" i="2"/>
  <c r="S227" i="1"/>
  <c r="M227" i="1" s="1"/>
  <c r="Q227" i="1"/>
  <c r="L227" i="1" s="1"/>
  <c r="J196" i="2"/>
  <c r="H196" i="2"/>
  <c r="G196" i="2"/>
  <c r="J195" i="2"/>
  <c r="H195" i="2"/>
  <c r="I195" i="2" s="1"/>
  <c r="G195" i="2"/>
  <c r="J194" i="2"/>
  <c r="H194" i="2"/>
  <c r="I194" i="2" s="1"/>
  <c r="G194" i="2"/>
  <c r="J193" i="2"/>
  <c r="H193" i="2"/>
  <c r="I193" i="2" s="1"/>
  <c r="G193" i="2"/>
  <c r="J192" i="2"/>
  <c r="H192" i="2"/>
  <c r="G192" i="2"/>
  <c r="J191" i="2"/>
  <c r="H191" i="2"/>
  <c r="G191" i="2"/>
  <c r="J190" i="2"/>
  <c r="H190" i="2"/>
  <c r="G190" i="2"/>
  <c r="J189" i="2"/>
  <c r="H189" i="2"/>
  <c r="G189" i="2"/>
  <c r="S215" i="1"/>
  <c r="Q215" i="1"/>
  <c r="S214" i="1"/>
  <c r="M214" i="1" s="1"/>
  <c r="Q214" i="1"/>
  <c r="L214" i="1" s="1"/>
  <c r="J168" i="2"/>
  <c r="H168" i="2"/>
  <c r="G168" i="2"/>
  <c r="J167" i="2"/>
  <c r="H167" i="2"/>
  <c r="G167" i="2"/>
  <c r="J166" i="2"/>
  <c r="H166" i="2"/>
  <c r="I166" i="2" s="1"/>
  <c r="G166" i="2"/>
  <c r="J165" i="2"/>
  <c r="H165" i="2"/>
  <c r="I165" i="2" s="1"/>
  <c r="G165" i="2"/>
  <c r="J164" i="2"/>
  <c r="H164" i="2"/>
  <c r="G164" i="2"/>
  <c r="J163" i="2"/>
  <c r="H163" i="2"/>
  <c r="G163" i="2"/>
  <c r="J162" i="2"/>
  <c r="H162" i="2"/>
  <c r="G162" i="2"/>
  <c r="J161" i="2"/>
  <c r="H161" i="2"/>
  <c r="I161" i="2" s="1"/>
  <c r="G161" i="2"/>
  <c r="S183" i="1"/>
  <c r="Q183" i="1"/>
  <c r="S182" i="1"/>
  <c r="Q182" i="1"/>
  <c r="J152" i="2"/>
  <c r="H152" i="2"/>
  <c r="G152" i="2"/>
  <c r="J151" i="2"/>
  <c r="H151" i="2"/>
  <c r="I151" i="2" s="1"/>
  <c r="G151" i="2"/>
  <c r="J150" i="2"/>
  <c r="H150" i="2"/>
  <c r="I150" i="2" s="1"/>
  <c r="G150" i="2"/>
  <c r="J149" i="2"/>
  <c r="H149" i="2"/>
  <c r="G149" i="2"/>
  <c r="J148" i="2"/>
  <c r="H148" i="2"/>
  <c r="G148" i="2"/>
  <c r="J147" i="2"/>
  <c r="H147" i="2"/>
  <c r="I147" i="2" s="1"/>
  <c r="G147" i="2"/>
  <c r="J146" i="2"/>
  <c r="H146" i="2"/>
  <c r="I146" i="2" s="1"/>
  <c r="G146" i="2"/>
  <c r="S165" i="1"/>
  <c r="Q165" i="1"/>
  <c r="S164" i="1"/>
  <c r="Q164" i="1"/>
  <c r="S163" i="1"/>
  <c r="Q163" i="1"/>
  <c r="S162" i="1"/>
  <c r="M162" i="1" s="1"/>
  <c r="Q162" i="1"/>
  <c r="L162" i="1" s="1"/>
  <c r="J145" i="2"/>
  <c r="H145" i="2"/>
  <c r="I145" i="2" s="1"/>
  <c r="G145" i="2"/>
  <c r="J62" i="2"/>
  <c r="H62" i="2"/>
  <c r="I62" i="2" s="1"/>
  <c r="G62" i="2"/>
  <c r="J61" i="2"/>
  <c r="H61" i="2"/>
  <c r="G61" i="2"/>
  <c r="H87" i="2"/>
  <c r="G87" i="2"/>
  <c r="H86" i="2"/>
  <c r="I86" i="2" s="1"/>
  <c r="G86" i="2"/>
  <c r="H85" i="2"/>
  <c r="I85" i="2" s="1"/>
  <c r="G85" i="2"/>
  <c r="H84" i="2"/>
  <c r="I84" i="2" s="1"/>
  <c r="G84" i="2"/>
  <c r="H83" i="2"/>
  <c r="I83" i="2" s="1"/>
  <c r="G83" i="2"/>
  <c r="H82" i="2"/>
  <c r="I82" i="2" s="1"/>
  <c r="G82" i="2"/>
  <c r="H81" i="2"/>
  <c r="I81" i="2" s="1"/>
  <c r="G81" i="2"/>
  <c r="J87" i="2"/>
  <c r="J86" i="2"/>
  <c r="J85" i="2"/>
  <c r="J84" i="2"/>
  <c r="J83" i="2"/>
  <c r="J82" i="2"/>
  <c r="J81" i="2"/>
  <c r="S92" i="1"/>
  <c r="Q92" i="1"/>
  <c r="I239" i="2" l="1"/>
  <c r="L239" i="2" s="1"/>
  <c r="I282" i="2"/>
  <c r="I261" i="2"/>
  <c r="L261" i="2" s="1"/>
  <c r="I255" i="2"/>
  <c r="L255" i="2" s="1"/>
  <c r="I256" i="2"/>
  <c r="L256" i="2" s="1"/>
  <c r="I254" i="2"/>
  <c r="L254" i="2" s="1"/>
  <c r="I250" i="2"/>
  <c r="K250" i="2" s="1"/>
  <c r="I252" i="2"/>
  <c r="K252" i="2" s="1"/>
  <c r="L243" i="2"/>
  <c r="K243" i="2"/>
  <c r="L240" i="2"/>
  <c r="K240" i="2"/>
  <c r="L244" i="2"/>
  <c r="K244" i="2"/>
  <c r="L235" i="2"/>
  <c r="K235" i="2"/>
  <c r="L238" i="2"/>
  <c r="K238" i="2"/>
  <c r="L241" i="2"/>
  <c r="K241" i="2"/>
  <c r="K236" i="2"/>
  <c r="L236" i="2"/>
  <c r="L242" i="2"/>
  <c r="K242" i="2"/>
  <c r="L237" i="2"/>
  <c r="K237" i="2"/>
  <c r="K248" i="2"/>
  <c r="L248" i="2"/>
  <c r="L253" i="2"/>
  <c r="K253" i="2"/>
  <c r="L259" i="2"/>
  <c r="K259" i="2"/>
  <c r="K249" i="2"/>
  <c r="L249" i="2"/>
  <c r="K265" i="2"/>
  <c r="L265" i="2"/>
  <c r="K264" i="2"/>
  <c r="L264" i="2"/>
  <c r="R264" i="2"/>
  <c r="L260" i="2"/>
  <c r="K260" i="2"/>
  <c r="K266" i="2"/>
  <c r="L266" i="2"/>
  <c r="L251" i="2"/>
  <c r="K251" i="2"/>
  <c r="L267" i="2"/>
  <c r="K267" i="2"/>
  <c r="L246" i="2"/>
  <c r="K246" i="2"/>
  <c r="L262" i="2"/>
  <c r="K262" i="2"/>
  <c r="K257" i="2"/>
  <c r="L257" i="2"/>
  <c r="L268" i="2"/>
  <c r="K268" i="2"/>
  <c r="L247" i="2"/>
  <c r="K247" i="2"/>
  <c r="L263" i="2"/>
  <c r="K263" i="2"/>
  <c r="K258" i="2"/>
  <c r="U258" i="2" s="1"/>
  <c r="L258" i="2"/>
  <c r="R208" i="2"/>
  <c r="T165" i="2"/>
  <c r="T205" i="2"/>
  <c r="T83" i="2"/>
  <c r="R62" i="2"/>
  <c r="U84" i="2"/>
  <c r="T84" i="2"/>
  <c r="S84" i="2"/>
  <c r="R84" i="2"/>
  <c r="Q84" i="2"/>
  <c r="T85" i="2"/>
  <c r="S85" i="2"/>
  <c r="R85" i="2"/>
  <c r="Q85" i="2"/>
  <c r="U85" i="2"/>
  <c r="U165" i="2"/>
  <c r="S165" i="2"/>
  <c r="R165" i="2"/>
  <c r="Q165" i="2"/>
  <c r="U193" i="2"/>
  <c r="T193" i="2"/>
  <c r="S193" i="2"/>
  <c r="R193" i="2"/>
  <c r="Q193" i="2"/>
  <c r="U267" i="2"/>
  <c r="T267" i="2"/>
  <c r="S267" i="2"/>
  <c r="R267" i="2"/>
  <c r="Q267" i="2"/>
  <c r="U262" i="2"/>
  <c r="T262" i="2"/>
  <c r="S262" i="2"/>
  <c r="R262" i="2"/>
  <c r="Q262" i="2"/>
  <c r="U86" i="2"/>
  <c r="T86" i="2"/>
  <c r="S86" i="2"/>
  <c r="Q86" i="2"/>
  <c r="U150" i="2"/>
  <c r="T150" i="2"/>
  <c r="S150" i="2"/>
  <c r="R150" i="2"/>
  <c r="Q150" i="2"/>
  <c r="U166" i="2"/>
  <c r="T166" i="2"/>
  <c r="S166" i="2"/>
  <c r="R166" i="2"/>
  <c r="Q166" i="2"/>
  <c r="R194" i="2"/>
  <c r="Q194" i="2"/>
  <c r="U194" i="2"/>
  <c r="T194" i="2"/>
  <c r="S194" i="2"/>
  <c r="I204" i="2"/>
  <c r="L204" i="2" s="1"/>
  <c r="U268" i="2"/>
  <c r="T268" i="2"/>
  <c r="S268" i="2"/>
  <c r="R268" i="2"/>
  <c r="Q268" i="2"/>
  <c r="U257" i="2"/>
  <c r="T257" i="2"/>
  <c r="S257" i="2"/>
  <c r="R257" i="2"/>
  <c r="Q257" i="2"/>
  <c r="U209" i="2"/>
  <c r="T209" i="2"/>
  <c r="S209" i="2"/>
  <c r="R209" i="2"/>
  <c r="Q209" i="2"/>
  <c r="U161" i="2"/>
  <c r="T161" i="2"/>
  <c r="S161" i="2"/>
  <c r="R161" i="2"/>
  <c r="Q161" i="2"/>
  <c r="T263" i="2"/>
  <c r="S263" i="2"/>
  <c r="R263" i="2"/>
  <c r="Q263" i="2"/>
  <c r="U263" i="2"/>
  <c r="R258" i="2"/>
  <c r="Q258" i="2"/>
  <c r="T258" i="2"/>
  <c r="S258" i="2"/>
  <c r="U208" i="2"/>
  <c r="T208" i="2"/>
  <c r="S208" i="2"/>
  <c r="Q208" i="2"/>
  <c r="T151" i="2"/>
  <c r="S151" i="2"/>
  <c r="R151" i="2"/>
  <c r="Q151" i="2"/>
  <c r="U151" i="2"/>
  <c r="U195" i="2"/>
  <c r="T195" i="2"/>
  <c r="S195" i="2"/>
  <c r="R195" i="2"/>
  <c r="Q195" i="2"/>
  <c r="U205" i="2"/>
  <c r="S205" i="2"/>
  <c r="R205" i="2"/>
  <c r="Q205" i="2"/>
  <c r="U81" i="2"/>
  <c r="T81" i="2"/>
  <c r="S81" i="2"/>
  <c r="R81" i="2"/>
  <c r="Q81" i="2"/>
  <c r="U259" i="2"/>
  <c r="T259" i="2"/>
  <c r="S259" i="2"/>
  <c r="R259" i="2"/>
  <c r="Q259" i="2"/>
  <c r="U82" i="2"/>
  <c r="T82" i="2"/>
  <c r="S82" i="2"/>
  <c r="R82" i="2"/>
  <c r="Q82" i="2"/>
  <c r="U147" i="2"/>
  <c r="T147" i="2"/>
  <c r="S147" i="2"/>
  <c r="R147" i="2"/>
  <c r="Q147" i="2"/>
  <c r="I191" i="2"/>
  <c r="L191" i="2" s="1"/>
  <c r="U265" i="2"/>
  <c r="T265" i="2"/>
  <c r="S265" i="2"/>
  <c r="R265" i="2"/>
  <c r="Q265" i="2"/>
  <c r="R146" i="2"/>
  <c r="Q146" i="2"/>
  <c r="U146" i="2"/>
  <c r="T146" i="2"/>
  <c r="S146" i="2"/>
  <c r="U264" i="2"/>
  <c r="T264" i="2"/>
  <c r="S264" i="2"/>
  <c r="Q264" i="2"/>
  <c r="U260" i="2"/>
  <c r="T260" i="2"/>
  <c r="S260" i="2"/>
  <c r="R260" i="2"/>
  <c r="Q260" i="2"/>
  <c r="U62" i="2"/>
  <c r="T62" i="2"/>
  <c r="S62" i="2"/>
  <c r="Q62" i="2"/>
  <c r="U83" i="2"/>
  <c r="S83" i="2"/>
  <c r="R83" i="2"/>
  <c r="Q83" i="2"/>
  <c r="R86" i="2"/>
  <c r="U145" i="2"/>
  <c r="T145" i="2"/>
  <c r="S145" i="2"/>
  <c r="R145" i="2"/>
  <c r="Q145" i="2"/>
  <c r="R266" i="2"/>
  <c r="Q266" i="2"/>
  <c r="U266" i="2"/>
  <c r="T266" i="2"/>
  <c r="S266" i="2"/>
  <c r="I203" i="2"/>
  <c r="I206" i="2"/>
  <c r="I162" i="2"/>
  <c r="L162" i="2" s="1"/>
  <c r="I192" i="2"/>
  <c r="K192" i="2" s="1"/>
  <c r="I207" i="2"/>
  <c r="L207" i="2" s="1"/>
  <c r="I167" i="2"/>
  <c r="K167" i="2" s="1"/>
  <c r="I190" i="2"/>
  <c r="K190" i="2" s="1"/>
  <c r="L205" i="2"/>
  <c r="K205" i="2"/>
  <c r="L208" i="2"/>
  <c r="K208" i="2"/>
  <c r="L209" i="2"/>
  <c r="K209" i="2"/>
  <c r="I189" i="2"/>
  <c r="I168" i="2"/>
  <c r="K168" i="2" s="1"/>
  <c r="I149" i="2"/>
  <c r="K149" i="2" s="1"/>
  <c r="I196" i="2"/>
  <c r="L195" i="2"/>
  <c r="K195" i="2"/>
  <c r="L193" i="2"/>
  <c r="K193" i="2"/>
  <c r="L194" i="2"/>
  <c r="K194" i="2"/>
  <c r="I148" i="2"/>
  <c r="K86" i="2"/>
  <c r="I152" i="2"/>
  <c r="I163" i="2"/>
  <c r="I164" i="2"/>
  <c r="K165" i="2"/>
  <c r="L165" i="2"/>
  <c r="L166" i="2"/>
  <c r="K166" i="2"/>
  <c r="L161" i="2"/>
  <c r="K161" i="2"/>
  <c r="L150" i="2"/>
  <c r="K150" i="2"/>
  <c r="L151" i="2"/>
  <c r="K151" i="2"/>
  <c r="L146" i="2"/>
  <c r="K146" i="2"/>
  <c r="L147" i="2"/>
  <c r="K147" i="2"/>
  <c r="K62" i="2"/>
  <c r="L84" i="2"/>
  <c r="L83" i="2"/>
  <c r="L85" i="2"/>
  <c r="L82" i="2"/>
  <c r="I61" i="2"/>
  <c r="K81" i="2"/>
  <c r="L86" i="2"/>
  <c r="I87" i="2"/>
  <c r="K82" i="2"/>
  <c r="L145" i="2"/>
  <c r="K145" i="2"/>
  <c r="L62" i="2"/>
  <c r="K84" i="2"/>
  <c r="K83" i="2"/>
  <c r="K85" i="2"/>
  <c r="L81" i="2"/>
  <c r="K239" i="2" l="1"/>
  <c r="K256" i="2"/>
  <c r="U256" i="2" s="1"/>
  <c r="T270" i="2"/>
  <c r="T261" i="2"/>
  <c r="R254" i="2"/>
  <c r="L252" i="2"/>
  <c r="K261" i="2"/>
  <c r="U261" i="2" s="1"/>
  <c r="K254" i="2"/>
  <c r="U254" i="2" s="1"/>
  <c r="U270" i="2"/>
  <c r="L250" i="2"/>
  <c r="Q270" i="2"/>
  <c r="K255" i="2"/>
  <c r="U255" i="2" s="1"/>
  <c r="R270" i="2"/>
  <c r="S270" i="2"/>
  <c r="Q255" i="2"/>
  <c r="R255" i="2"/>
  <c r="S255" i="2"/>
  <c r="T255" i="2"/>
  <c r="Q261" i="2"/>
  <c r="K162" i="2"/>
  <c r="U162" i="2" s="1"/>
  <c r="S254" i="2"/>
  <c r="T254" i="2"/>
  <c r="L167" i="2"/>
  <c r="K204" i="2"/>
  <c r="U204" i="2" s="1"/>
  <c r="Q254" i="2"/>
  <c r="L190" i="2"/>
  <c r="R261" i="2"/>
  <c r="S261" i="2"/>
  <c r="U190" i="2"/>
  <c r="T190" i="2"/>
  <c r="S190" i="2"/>
  <c r="R190" i="2"/>
  <c r="Q190" i="2"/>
  <c r="L164" i="2"/>
  <c r="R164" i="2" s="1"/>
  <c r="U164" i="2"/>
  <c r="T164" i="2"/>
  <c r="S164" i="2"/>
  <c r="Q164" i="2"/>
  <c r="T167" i="2"/>
  <c r="S167" i="2"/>
  <c r="R167" i="2"/>
  <c r="Q167" i="2"/>
  <c r="U167" i="2"/>
  <c r="T191" i="2"/>
  <c r="S191" i="2"/>
  <c r="R191" i="2"/>
  <c r="Q191" i="2"/>
  <c r="K191" i="2"/>
  <c r="U191" i="2" s="1"/>
  <c r="K207" i="2"/>
  <c r="U207" i="2" s="1"/>
  <c r="T207" i="2"/>
  <c r="S207" i="2"/>
  <c r="R207" i="2"/>
  <c r="Q207" i="2"/>
  <c r="L87" i="2"/>
  <c r="T87" i="2"/>
  <c r="S87" i="2"/>
  <c r="R87" i="2"/>
  <c r="Q87" i="2"/>
  <c r="K163" i="2"/>
  <c r="U163" i="2" s="1"/>
  <c r="T163" i="2"/>
  <c r="S163" i="2"/>
  <c r="R163" i="2"/>
  <c r="Q163" i="2"/>
  <c r="K196" i="2"/>
  <c r="U196" i="2"/>
  <c r="T196" i="2"/>
  <c r="S196" i="2"/>
  <c r="R196" i="2"/>
  <c r="Q196" i="2"/>
  <c r="L192" i="2"/>
  <c r="U192" i="2"/>
  <c r="T192" i="2"/>
  <c r="S192" i="2"/>
  <c r="Q192" i="2"/>
  <c r="R192" i="2"/>
  <c r="T256" i="2"/>
  <c r="S256" i="2"/>
  <c r="Q256" i="2"/>
  <c r="R256" i="2"/>
  <c r="L152" i="2"/>
  <c r="R152" i="2" s="1"/>
  <c r="U152" i="2"/>
  <c r="T152" i="2"/>
  <c r="S152" i="2"/>
  <c r="Q152" i="2"/>
  <c r="U149" i="2"/>
  <c r="S149" i="2"/>
  <c r="Q149" i="2"/>
  <c r="T149" i="2"/>
  <c r="R162" i="2"/>
  <c r="Q162" i="2"/>
  <c r="T162" i="2"/>
  <c r="S162" i="2"/>
  <c r="L61" i="2"/>
  <c r="R61" i="2" s="1"/>
  <c r="T61" i="2"/>
  <c r="S61" i="2"/>
  <c r="Q61" i="2"/>
  <c r="L149" i="2"/>
  <c r="R149" i="2" s="1"/>
  <c r="K189" i="2"/>
  <c r="U189" i="2" s="1"/>
  <c r="S189" i="2"/>
  <c r="R189" i="2"/>
  <c r="Q189" i="2"/>
  <c r="T189" i="2"/>
  <c r="K203" i="2"/>
  <c r="U203" i="2" s="1"/>
  <c r="T203" i="2"/>
  <c r="S203" i="2"/>
  <c r="R203" i="2"/>
  <c r="Q203" i="2"/>
  <c r="L206" i="2"/>
  <c r="T206" i="2"/>
  <c r="S206" i="2"/>
  <c r="R206" i="2"/>
  <c r="Q206" i="2"/>
  <c r="L148" i="2"/>
  <c r="R148" i="2" s="1"/>
  <c r="U148" i="2"/>
  <c r="T148" i="2"/>
  <c r="S148" i="2"/>
  <c r="Q148" i="2"/>
  <c r="L168" i="2"/>
  <c r="R168" i="2" s="1"/>
  <c r="U168" i="2"/>
  <c r="T168" i="2"/>
  <c r="S168" i="2"/>
  <c r="Q168" i="2"/>
  <c r="T204" i="2"/>
  <c r="S204" i="2"/>
  <c r="R204" i="2"/>
  <c r="Q204" i="2"/>
  <c r="L203" i="2"/>
  <c r="K206" i="2"/>
  <c r="U206" i="2" s="1"/>
  <c r="L189" i="2"/>
  <c r="L196" i="2"/>
  <c r="K148" i="2"/>
  <c r="K164" i="2"/>
  <c r="K152" i="2"/>
  <c r="L163" i="2"/>
  <c r="K61" i="2"/>
  <c r="U61" i="2" s="1"/>
  <c r="K87" i="2"/>
  <c r="U87" i="2" s="1"/>
  <c r="K273" i="2" l="1"/>
  <c r="L273" i="2"/>
  <c r="J2" i="2"/>
  <c r="Q10" i="1" l="1"/>
  <c r="L10" i="1" s="1"/>
  <c r="S10" i="1"/>
  <c r="M10" i="1" s="1"/>
  <c r="Q11" i="1"/>
  <c r="L11" i="1" s="1"/>
  <c r="S11" i="1"/>
  <c r="M11" i="1" s="1"/>
  <c r="Q12" i="1"/>
  <c r="L12" i="1" s="1"/>
  <c r="S12" i="1"/>
  <c r="M12" i="1" s="1"/>
  <c r="Q13" i="1"/>
  <c r="S13" i="1"/>
  <c r="M13" i="1" s="1"/>
  <c r="Q14" i="1"/>
  <c r="S14" i="1"/>
  <c r="M14" i="1" s="1"/>
  <c r="Q15" i="1"/>
  <c r="S15" i="1"/>
  <c r="M15" i="1" s="1"/>
  <c r="Q16" i="1"/>
  <c r="L16" i="1" s="1"/>
  <c r="S16" i="1"/>
  <c r="M16" i="1" s="1"/>
  <c r="Q17" i="1"/>
  <c r="L17" i="1" s="1"/>
  <c r="S17" i="1"/>
  <c r="M17" i="1" s="1"/>
  <c r="Q18" i="1"/>
  <c r="S18" i="1"/>
  <c r="M18" i="1" s="1"/>
  <c r="Q19" i="1"/>
  <c r="L19" i="1" s="1"/>
  <c r="S19" i="1"/>
  <c r="M19" i="1" s="1"/>
  <c r="Q20" i="1"/>
  <c r="S20" i="1"/>
  <c r="M20" i="1" s="1"/>
  <c r="Q21" i="1"/>
  <c r="S21" i="1"/>
  <c r="M21" i="1" s="1"/>
  <c r="Q22" i="1"/>
  <c r="S22" i="1"/>
  <c r="M22" i="1" s="1"/>
  <c r="Q23" i="1"/>
  <c r="S23" i="1"/>
  <c r="M23" i="1" s="1"/>
  <c r="Q24" i="1"/>
  <c r="S24" i="1"/>
  <c r="M24" i="1" s="1"/>
  <c r="Q25" i="1"/>
  <c r="L25" i="1" s="1"/>
  <c r="S25" i="1"/>
  <c r="M25" i="1" s="1"/>
  <c r="Q26" i="1"/>
  <c r="L26" i="1" s="1"/>
  <c r="S26" i="1"/>
  <c r="M26" i="1" s="1"/>
  <c r="Q27" i="1"/>
  <c r="L27" i="1" s="1"/>
  <c r="S27" i="1"/>
  <c r="M27" i="1" s="1"/>
  <c r="Q28" i="1"/>
  <c r="L28" i="1" s="1"/>
  <c r="S28" i="1"/>
  <c r="M28" i="1" s="1"/>
  <c r="Q29" i="1"/>
  <c r="L29" i="1" s="1"/>
  <c r="S29" i="1"/>
  <c r="M29" i="1" s="1"/>
  <c r="Q30" i="1"/>
  <c r="L30" i="1" s="1"/>
  <c r="S30" i="1"/>
  <c r="M30" i="1" s="1"/>
  <c r="Q31" i="1"/>
  <c r="L31" i="1" s="1"/>
  <c r="S31" i="1"/>
  <c r="M31" i="1" s="1"/>
  <c r="Q32" i="1"/>
  <c r="L32" i="1" s="1"/>
  <c r="S32" i="1"/>
  <c r="M32" i="1" s="1"/>
  <c r="Q33" i="1"/>
  <c r="L33" i="1" s="1"/>
  <c r="S33" i="1"/>
  <c r="M33" i="1" s="1"/>
  <c r="Q34" i="1"/>
  <c r="L34" i="1" s="1"/>
  <c r="S34" i="1"/>
  <c r="M34" i="1" s="1"/>
  <c r="Q35" i="1"/>
  <c r="L35" i="1" s="1"/>
  <c r="S35" i="1"/>
  <c r="M35" i="1" s="1"/>
  <c r="Q36" i="1"/>
  <c r="L36" i="1" s="1"/>
  <c r="S36" i="1"/>
  <c r="M36" i="1" s="1"/>
  <c r="Q37" i="1"/>
  <c r="L37" i="1" s="1"/>
  <c r="S37" i="1"/>
  <c r="M37" i="1" s="1"/>
  <c r="Q38" i="1"/>
  <c r="L38" i="1" s="1"/>
  <c r="S38" i="1"/>
  <c r="M38" i="1" s="1"/>
  <c r="Q39" i="1"/>
  <c r="S39" i="1"/>
  <c r="M39" i="1" s="1"/>
  <c r="Q44" i="1"/>
  <c r="L44" i="1" s="1"/>
  <c r="S44" i="1"/>
  <c r="M44" i="1" s="1"/>
  <c r="Q45" i="1"/>
  <c r="L45" i="1" s="1"/>
  <c r="S45" i="1"/>
  <c r="M45" i="1" s="1"/>
  <c r="Q46" i="1"/>
  <c r="L46" i="1" s="1"/>
  <c r="S46" i="1"/>
  <c r="M46" i="1" s="1"/>
  <c r="Q47" i="1"/>
  <c r="L47" i="1" s="1"/>
  <c r="S47" i="1"/>
  <c r="M47" i="1" s="1"/>
  <c r="Q48" i="1"/>
  <c r="L48" i="1" s="1"/>
  <c r="S48" i="1"/>
  <c r="M48" i="1" s="1"/>
  <c r="Q49" i="1"/>
  <c r="L49" i="1" s="1"/>
  <c r="S49" i="1"/>
  <c r="M49" i="1" s="1"/>
  <c r="Q50" i="1"/>
  <c r="L50" i="1" s="1"/>
  <c r="S50" i="1"/>
  <c r="M50" i="1" s="1"/>
  <c r="Q51" i="1"/>
  <c r="L51" i="1" s="1"/>
  <c r="S51" i="1"/>
  <c r="M51" i="1" s="1"/>
  <c r="Q52" i="1"/>
  <c r="L52" i="1" s="1"/>
  <c r="S52" i="1"/>
  <c r="M52" i="1" s="1"/>
  <c r="Q53" i="1"/>
  <c r="L53" i="1" s="1"/>
  <c r="S53" i="1"/>
  <c r="M53" i="1" s="1"/>
  <c r="Q54" i="1"/>
  <c r="L54" i="1" s="1"/>
  <c r="S54" i="1"/>
  <c r="M54" i="1" s="1"/>
  <c r="Q55" i="1"/>
  <c r="L55" i="1" s="1"/>
  <c r="S55" i="1"/>
  <c r="M55" i="1" s="1"/>
  <c r="Q56" i="1"/>
  <c r="L56" i="1" s="1"/>
  <c r="S56" i="1"/>
  <c r="M56" i="1" s="1"/>
  <c r="Q57" i="1"/>
  <c r="L57" i="1" s="1"/>
  <c r="S57" i="1"/>
  <c r="M57" i="1" s="1"/>
  <c r="Q58" i="1"/>
  <c r="L58" i="1" s="1"/>
  <c r="S58" i="1"/>
  <c r="M58" i="1" s="1"/>
  <c r="Q59" i="1"/>
  <c r="L59" i="1" s="1"/>
  <c r="S59" i="1"/>
  <c r="M59" i="1" s="1"/>
  <c r="Q60" i="1"/>
  <c r="L60" i="1" s="1"/>
  <c r="S60" i="1"/>
  <c r="M60" i="1" s="1"/>
  <c r="Q61" i="1"/>
  <c r="L61" i="1" s="1"/>
  <c r="S61" i="1"/>
  <c r="M61" i="1" s="1"/>
  <c r="Q62" i="1"/>
  <c r="L62" i="1" s="1"/>
  <c r="S62" i="1"/>
  <c r="M62" i="1" s="1"/>
  <c r="Q63" i="1"/>
  <c r="L63" i="1" s="1"/>
  <c r="S63" i="1"/>
  <c r="M63" i="1" s="1"/>
  <c r="Q64" i="1"/>
  <c r="S64" i="1"/>
  <c r="M64" i="1" s="1"/>
  <c r="Q65" i="1"/>
  <c r="S65" i="1"/>
  <c r="M65" i="1" s="1"/>
  <c r="Q66" i="1"/>
  <c r="S66" i="1"/>
  <c r="M66" i="1" s="1"/>
  <c r="Q70" i="1"/>
  <c r="L70" i="1" s="1"/>
  <c r="S70" i="1"/>
  <c r="M70" i="1" s="1"/>
  <c r="Q71" i="1"/>
  <c r="L71" i="1" s="1"/>
  <c r="S71" i="1"/>
  <c r="M71" i="1" s="1"/>
  <c r="Q72" i="1"/>
  <c r="L72" i="1" s="1"/>
  <c r="S72" i="1"/>
  <c r="M72" i="1" s="1"/>
  <c r="Q73" i="1"/>
  <c r="L73" i="1" s="1"/>
  <c r="S73" i="1"/>
  <c r="M73" i="1" s="1"/>
  <c r="Q74" i="1"/>
  <c r="L74" i="1" s="1"/>
  <c r="S74" i="1"/>
  <c r="M74" i="1" s="1"/>
  <c r="Q75" i="1"/>
  <c r="L75" i="1" s="1"/>
  <c r="S75" i="1"/>
  <c r="M75" i="1" s="1"/>
  <c r="Q76" i="1"/>
  <c r="L76" i="1" s="1"/>
  <c r="S76" i="1"/>
  <c r="M76" i="1" s="1"/>
  <c r="Q77" i="1"/>
  <c r="L77" i="1" s="1"/>
  <c r="S77" i="1"/>
  <c r="M77" i="1" s="1"/>
  <c r="Q78" i="1"/>
  <c r="L78" i="1" s="1"/>
  <c r="S78" i="1"/>
  <c r="M78" i="1" s="1"/>
  <c r="Q79" i="1"/>
  <c r="L79" i="1" s="1"/>
  <c r="S79" i="1"/>
  <c r="M79" i="1" s="1"/>
  <c r="Q80" i="1"/>
  <c r="L80" i="1" s="1"/>
  <c r="S80" i="1"/>
  <c r="M80" i="1" s="1"/>
  <c r="Q81" i="1"/>
  <c r="L81" i="1" s="1"/>
  <c r="S81" i="1"/>
  <c r="M81" i="1" s="1"/>
  <c r="Q82" i="1"/>
  <c r="L82" i="1" s="1"/>
  <c r="S82" i="1"/>
  <c r="M82" i="1" s="1"/>
  <c r="Q83" i="1"/>
  <c r="L83" i="1" s="1"/>
  <c r="S83" i="1"/>
  <c r="M83" i="1" s="1"/>
  <c r="Q84" i="1"/>
  <c r="L84" i="1" s="1"/>
  <c r="S84" i="1"/>
  <c r="M84" i="1" s="1"/>
  <c r="Q85" i="1"/>
  <c r="L85" i="1" s="1"/>
  <c r="S85" i="1"/>
  <c r="M85" i="1" s="1"/>
  <c r="Q86" i="1"/>
  <c r="L86" i="1" s="1"/>
  <c r="S86" i="1"/>
  <c r="M86" i="1" s="1"/>
  <c r="Q87" i="1"/>
  <c r="L87" i="1" s="1"/>
  <c r="S87" i="1"/>
  <c r="M87" i="1" s="1"/>
  <c r="Q88" i="1"/>
  <c r="L88" i="1" s="1"/>
  <c r="S88" i="1"/>
  <c r="M88" i="1" s="1"/>
  <c r="Q89" i="1"/>
  <c r="L89" i="1" s="1"/>
  <c r="S89" i="1"/>
  <c r="M89" i="1" s="1"/>
  <c r="Q90" i="1"/>
  <c r="L90" i="1" s="1"/>
  <c r="S90" i="1"/>
  <c r="M90" i="1" s="1"/>
  <c r="Q91" i="1"/>
  <c r="L91" i="1" s="1"/>
  <c r="S91" i="1"/>
  <c r="M91" i="1" s="1"/>
  <c r="Q93" i="1"/>
  <c r="S93" i="1"/>
  <c r="Q94" i="1"/>
  <c r="S94" i="1"/>
  <c r="Q98" i="1"/>
  <c r="L98" i="1" s="1"/>
  <c r="S98" i="1"/>
  <c r="M98" i="1" s="1"/>
  <c r="Q99" i="1"/>
  <c r="L99" i="1" s="1"/>
  <c r="S99" i="1"/>
  <c r="M99" i="1" s="1"/>
  <c r="Q100" i="1"/>
  <c r="L100" i="1" s="1"/>
  <c r="S100" i="1"/>
  <c r="M100" i="1" s="1"/>
  <c r="Q101" i="1"/>
  <c r="L101" i="1" s="1"/>
  <c r="S101" i="1"/>
  <c r="M101" i="1" s="1"/>
  <c r="Q102" i="1"/>
  <c r="L102" i="1" s="1"/>
  <c r="S102" i="1"/>
  <c r="M102" i="1" s="1"/>
  <c r="Q103" i="1"/>
  <c r="L103" i="1" s="1"/>
  <c r="S103" i="1"/>
  <c r="M103" i="1" s="1"/>
  <c r="Q104" i="1"/>
  <c r="L104" i="1" s="1"/>
  <c r="S104" i="1"/>
  <c r="M104" i="1" s="1"/>
  <c r="Q105" i="1"/>
  <c r="L105" i="1" s="1"/>
  <c r="S105" i="1"/>
  <c r="M105" i="1" s="1"/>
  <c r="Q106" i="1"/>
  <c r="L106" i="1" s="1"/>
  <c r="S106" i="1"/>
  <c r="M106" i="1" s="1"/>
  <c r="Q107" i="1"/>
  <c r="L107" i="1" s="1"/>
  <c r="S107" i="1"/>
  <c r="M107" i="1" s="1"/>
  <c r="Q108" i="1"/>
  <c r="L108" i="1" s="1"/>
  <c r="S108" i="1"/>
  <c r="M108" i="1" s="1"/>
  <c r="Q109" i="1"/>
  <c r="L109" i="1" s="1"/>
  <c r="S109" i="1"/>
  <c r="M109" i="1" s="1"/>
  <c r="Q110" i="1"/>
  <c r="L110" i="1" s="1"/>
  <c r="S110" i="1"/>
  <c r="M110" i="1" s="1"/>
  <c r="Q111" i="1"/>
  <c r="L111" i="1" s="1"/>
  <c r="S111" i="1"/>
  <c r="M111" i="1" s="1"/>
  <c r="Q112" i="1"/>
  <c r="S112" i="1"/>
  <c r="Q113" i="1"/>
  <c r="S113" i="1"/>
  <c r="Q117" i="1"/>
  <c r="L117" i="1" s="1"/>
  <c r="S117" i="1"/>
  <c r="M117" i="1" s="1"/>
  <c r="Q118" i="1"/>
  <c r="L118" i="1" s="1"/>
  <c r="S118" i="1"/>
  <c r="M118" i="1" s="1"/>
  <c r="Q119" i="1"/>
  <c r="L119" i="1" s="1"/>
  <c r="S119" i="1"/>
  <c r="M119" i="1" s="1"/>
  <c r="Q120" i="1"/>
  <c r="L120" i="1" s="1"/>
  <c r="S120" i="1"/>
  <c r="M120" i="1" s="1"/>
  <c r="Q121" i="1"/>
  <c r="L121" i="1" s="1"/>
  <c r="S121" i="1"/>
  <c r="M121" i="1" s="1"/>
  <c r="Q122" i="1"/>
  <c r="L122" i="1" s="1"/>
  <c r="S122" i="1"/>
  <c r="M122" i="1" s="1"/>
  <c r="Q123" i="1"/>
  <c r="L123" i="1" s="1"/>
  <c r="S123" i="1"/>
  <c r="M123" i="1" s="1"/>
  <c r="Q124" i="1"/>
  <c r="L124" i="1" s="1"/>
  <c r="S124" i="1"/>
  <c r="M124" i="1" s="1"/>
  <c r="Q125" i="1"/>
  <c r="L125" i="1" s="1"/>
  <c r="S125" i="1"/>
  <c r="M125" i="1" s="1"/>
  <c r="Q126" i="1"/>
  <c r="L126" i="1" s="1"/>
  <c r="S126" i="1"/>
  <c r="M126" i="1" s="1"/>
  <c r="Q127" i="1"/>
  <c r="L127" i="1" s="1"/>
  <c r="S127" i="1"/>
  <c r="M127" i="1" s="1"/>
  <c r="Q128" i="1"/>
  <c r="L128" i="1" s="1"/>
  <c r="S128" i="1"/>
  <c r="M128" i="1" s="1"/>
  <c r="Q129" i="1"/>
  <c r="L129" i="1" s="1"/>
  <c r="S129" i="1"/>
  <c r="M129" i="1" s="1"/>
  <c r="Q130" i="1"/>
  <c r="L130" i="1" s="1"/>
  <c r="S130" i="1"/>
  <c r="M130" i="1" s="1"/>
  <c r="Q131" i="1"/>
  <c r="L131" i="1" s="1"/>
  <c r="S131" i="1"/>
  <c r="M131" i="1" s="1"/>
  <c r="Q132" i="1"/>
  <c r="L132" i="1" s="1"/>
  <c r="S132" i="1"/>
  <c r="M132" i="1" s="1"/>
  <c r="Q133" i="1"/>
  <c r="L133" i="1" s="1"/>
  <c r="S133" i="1"/>
  <c r="M133" i="1" s="1"/>
  <c r="Q134" i="1"/>
  <c r="L134" i="1" s="1"/>
  <c r="S134" i="1"/>
  <c r="M134" i="1" s="1"/>
  <c r="Q135" i="1"/>
  <c r="L135" i="1" s="1"/>
  <c r="S135" i="1"/>
  <c r="M135" i="1" s="1"/>
  <c r="Q136" i="1"/>
  <c r="L136" i="1" s="1"/>
  <c r="S136" i="1"/>
  <c r="M136" i="1" s="1"/>
  <c r="Q137" i="1"/>
  <c r="L137" i="1" s="1"/>
  <c r="S137" i="1"/>
  <c r="M137" i="1" s="1"/>
  <c r="Q138" i="1"/>
  <c r="L138" i="1" s="1"/>
  <c r="S138" i="1"/>
  <c r="M138" i="1" s="1"/>
  <c r="Q139" i="1"/>
  <c r="L139" i="1" s="1"/>
  <c r="S139" i="1"/>
  <c r="M139" i="1" s="1"/>
  <c r="Q140" i="1"/>
  <c r="L140" i="1" s="1"/>
  <c r="S140" i="1"/>
  <c r="M140" i="1" s="1"/>
  <c r="Q143" i="1"/>
  <c r="L143" i="1" s="1"/>
  <c r="S143" i="1"/>
  <c r="M143" i="1" s="1"/>
  <c r="Q144" i="1"/>
  <c r="L144" i="1" s="1"/>
  <c r="S144" i="1"/>
  <c r="M144" i="1" s="1"/>
  <c r="Q145" i="1"/>
  <c r="L145" i="1" s="1"/>
  <c r="S145" i="1"/>
  <c r="M145" i="1" s="1"/>
  <c r="Q146" i="1"/>
  <c r="S146" i="1"/>
  <c r="Q147" i="1"/>
  <c r="S147" i="1"/>
  <c r="Q151" i="1"/>
  <c r="S151" i="1"/>
  <c r="M151" i="1" s="1"/>
  <c r="Q152" i="1"/>
  <c r="L152" i="1" s="1"/>
  <c r="S152" i="1"/>
  <c r="M152" i="1" s="1"/>
  <c r="Q153" i="1"/>
  <c r="L153" i="1" s="1"/>
  <c r="S153" i="1"/>
  <c r="M153" i="1" s="1"/>
  <c r="Q154" i="1"/>
  <c r="L154" i="1" s="1"/>
  <c r="S154" i="1"/>
  <c r="M154" i="1" s="1"/>
  <c r="Q155" i="1"/>
  <c r="L155" i="1" s="1"/>
  <c r="S155" i="1"/>
  <c r="M155" i="1" s="1"/>
  <c r="Q156" i="1"/>
  <c r="L156" i="1" s="1"/>
  <c r="S156" i="1"/>
  <c r="M156" i="1" s="1"/>
  <c r="Q157" i="1"/>
  <c r="L157" i="1" s="1"/>
  <c r="S157" i="1"/>
  <c r="M157" i="1" s="1"/>
  <c r="Q158" i="1"/>
  <c r="L158" i="1" s="1"/>
  <c r="S158" i="1"/>
  <c r="M158" i="1" s="1"/>
  <c r="Q159" i="1"/>
  <c r="L159" i="1" s="1"/>
  <c r="S159" i="1"/>
  <c r="M159" i="1" s="1"/>
  <c r="Q160" i="1"/>
  <c r="L160" i="1" s="1"/>
  <c r="S160" i="1"/>
  <c r="M160" i="1" s="1"/>
  <c r="Q161" i="1"/>
  <c r="L161" i="1" s="1"/>
  <c r="S161" i="1"/>
  <c r="M161" i="1" s="1"/>
  <c r="Q166" i="1"/>
  <c r="S166" i="1"/>
  <c r="Q167" i="1"/>
  <c r="S167" i="1"/>
  <c r="Q168" i="1"/>
  <c r="S168" i="1"/>
  <c r="Q172" i="1"/>
  <c r="L172" i="1" s="1"/>
  <c r="S172" i="1"/>
  <c r="M172" i="1" s="1"/>
  <c r="Q173" i="1"/>
  <c r="L173" i="1" s="1"/>
  <c r="S173" i="1"/>
  <c r="M173" i="1" s="1"/>
  <c r="Q174" i="1"/>
  <c r="L174" i="1" s="1"/>
  <c r="S174" i="1"/>
  <c r="M174" i="1" s="1"/>
  <c r="Q175" i="1"/>
  <c r="L175" i="1" s="1"/>
  <c r="S175" i="1"/>
  <c r="M175" i="1" s="1"/>
  <c r="Q176" i="1"/>
  <c r="L176" i="1" s="1"/>
  <c r="S176" i="1"/>
  <c r="M176" i="1" s="1"/>
  <c r="Q177" i="1"/>
  <c r="L177" i="1" s="1"/>
  <c r="S177" i="1"/>
  <c r="M177" i="1" s="1"/>
  <c r="Q178" i="1"/>
  <c r="L178" i="1" s="1"/>
  <c r="S178" i="1"/>
  <c r="M178" i="1" s="1"/>
  <c r="Q179" i="1"/>
  <c r="L179" i="1" s="1"/>
  <c r="S179" i="1"/>
  <c r="M179" i="1" s="1"/>
  <c r="Q180" i="1"/>
  <c r="L180" i="1" s="1"/>
  <c r="S180" i="1"/>
  <c r="M180" i="1" s="1"/>
  <c r="Q181" i="1"/>
  <c r="L181" i="1" s="1"/>
  <c r="S181" i="1"/>
  <c r="M181" i="1" s="1"/>
  <c r="Q184" i="1"/>
  <c r="S184" i="1"/>
  <c r="Q185" i="1"/>
  <c r="S185" i="1"/>
  <c r="Q186" i="1"/>
  <c r="S186" i="1"/>
  <c r="Q187" i="1"/>
  <c r="S187" i="1"/>
  <c r="Q191" i="1"/>
  <c r="S191" i="1"/>
  <c r="M191" i="1" s="1"/>
  <c r="Q192" i="1"/>
  <c r="L192" i="1" s="1"/>
  <c r="S192" i="1"/>
  <c r="M192" i="1" s="1"/>
  <c r="Q193" i="1"/>
  <c r="L193" i="1" s="1"/>
  <c r="S193" i="1"/>
  <c r="M193" i="1" s="1"/>
  <c r="Q194" i="1"/>
  <c r="L194" i="1" s="1"/>
  <c r="S194" i="1"/>
  <c r="M194" i="1" s="1"/>
  <c r="Q195" i="1"/>
  <c r="L195" i="1" s="1"/>
  <c r="S195" i="1"/>
  <c r="M195" i="1" s="1"/>
  <c r="Q196" i="1"/>
  <c r="L196" i="1" s="1"/>
  <c r="S196" i="1"/>
  <c r="M196" i="1" s="1"/>
  <c r="Q197" i="1"/>
  <c r="L197" i="1" s="1"/>
  <c r="S197" i="1"/>
  <c r="M197" i="1" s="1"/>
  <c r="Q198" i="1"/>
  <c r="L198" i="1" s="1"/>
  <c r="S198" i="1"/>
  <c r="M198" i="1" s="1"/>
  <c r="Q199" i="1"/>
  <c r="L199" i="1" s="1"/>
  <c r="S199" i="1"/>
  <c r="M199" i="1" s="1"/>
  <c r="Q200" i="1"/>
  <c r="L200" i="1" s="1"/>
  <c r="S200" i="1"/>
  <c r="M200" i="1" s="1"/>
  <c r="Q201" i="1"/>
  <c r="L201" i="1" s="1"/>
  <c r="S201" i="1"/>
  <c r="M201" i="1" s="1"/>
  <c r="Q202" i="1"/>
  <c r="L202" i="1" s="1"/>
  <c r="S202" i="1"/>
  <c r="M202" i="1" s="1"/>
  <c r="Q203" i="1"/>
  <c r="L203" i="1" s="1"/>
  <c r="S203" i="1"/>
  <c r="M203" i="1" s="1"/>
  <c r="Q204" i="1"/>
  <c r="L204" i="1" s="1"/>
  <c r="S204" i="1"/>
  <c r="M204" i="1" s="1"/>
  <c r="Q205" i="1"/>
  <c r="L205" i="1" s="1"/>
  <c r="S205" i="1"/>
  <c r="M205" i="1" s="1"/>
  <c r="Q206" i="1"/>
  <c r="L206" i="1" s="1"/>
  <c r="S206" i="1"/>
  <c r="M206" i="1" s="1"/>
  <c r="Q207" i="1"/>
  <c r="L207" i="1" s="1"/>
  <c r="S207" i="1"/>
  <c r="M207" i="1" s="1"/>
  <c r="Q208" i="1"/>
  <c r="L208" i="1" s="1"/>
  <c r="S208" i="1"/>
  <c r="M208" i="1" s="1"/>
  <c r="Q209" i="1"/>
  <c r="L209" i="1" s="1"/>
  <c r="S209" i="1"/>
  <c r="M209" i="1" s="1"/>
  <c r="Q210" i="1"/>
  <c r="L210" i="1" s="1"/>
  <c r="S210" i="1"/>
  <c r="M210" i="1" s="1"/>
  <c r="Q211" i="1"/>
  <c r="L211" i="1" s="1"/>
  <c r="S211" i="1"/>
  <c r="M211" i="1" s="1"/>
  <c r="Q212" i="1"/>
  <c r="L212" i="1" s="1"/>
  <c r="S212" i="1"/>
  <c r="M212" i="1" s="1"/>
  <c r="Q213" i="1"/>
  <c r="L213" i="1" s="1"/>
  <c r="S213" i="1"/>
  <c r="M213" i="1" s="1"/>
  <c r="Q216" i="1"/>
  <c r="S216" i="1"/>
  <c r="Q217" i="1"/>
  <c r="S217" i="1"/>
  <c r="Q218" i="1"/>
  <c r="S218" i="1"/>
  <c r="Q222" i="1"/>
  <c r="L222" i="1" s="1"/>
  <c r="S222" i="1"/>
  <c r="M222" i="1" s="1"/>
  <c r="Q223" i="1"/>
  <c r="L223" i="1" s="1"/>
  <c r="S223" i="1"/>
  <c r="M223" i="1" s="1"/>
  <c r="Q224" i="1"/>
  <c r="L224" i="1" s="1"/>
  <c r="S224" i="1"/>
  <c r="M224" i="1" s="1"/>
  <c r="Q225" i="1"/>
  <c r="L225" i="1" s="1"/>
  <c r="S225" i="1"/>
  <c r="M225" i="1" s="1"/>
  <c r="Q226" i="1"/>
  <c r="L226" i="1" s="1"/>
  <c r="S226" i="1"/>
  <c r="M226" i="1" s="1"/>
  <c r="Q228" i="1"/>
  <c r="S228" i="1"/>
  <c r="Q229" i="1"/>
  <c r="L229" i="1" s="1"/>
  <c r="S229" i="1"/>
  <c r="M229" i="1" s="1"/>
  <c r="Q230" i="1"/>
  <c r="L230" i="1" s="1"/>
  <c r="S230" i="1"/>
  <c r="M230" i="1" s="1"/>
  <c r="Q231" i="1"/>
  <c r="L231" i="1" s="1"/>
  <c r="S231" i="1"/>
  <c r="M231" i="1" s="1"/>
  <c r="Q232" i="1"/>
  <c r="L232" i="1" s="1"/>
  <c r="S232" i="1"/>
  <c r="M232" i="1" s="1"/>
  <c r="Q233" i="1"/>
  <c r="L233" i="1" s="1"/>
  <c r="S233" i="1"/>
  <c r="M233" i="1" s="1"/>
  <c r="Q234" i="1"/>
  <c r="L234" i="1" s="1"/>
  <c r="S234" i="1"/>
  <c r="M234" i="1" s="1"/>
  <c r="Q235" i="1"/>
  <c r="L235" i="1" s="1"/>
  <c r="S235" i="1"/>
  <c r="M235" i="1" s="1"/>
  <c r="Q236" i="1"/>
  <c r="L236" i="1" s="1"/>
  <c r="S236" i="1"/>
  <c r="M236" i="1" s="1"/>
  <c r="Q237" i="1"/>
  <c r="L237" i="1" s="1"/>
  <c r="S237" i="1"/>
  <c r="M237" i="1" s="1"/>
  <c r="Q238" i="1"/>
  <c r="L238" i="1" s="1"/>
  <c r="S238" i="1"/>
  <c r="M238" i="1" s="1"/>
  <c r="Q239" i="1"/>
  <c r="L239" i="1" s="1"/>
  <c r="S239" i="1"/>
  <c r="M239" i="1" s="1"/>
  <c r="Q240" i="1"/>
  <c r="L240" i="1" s="1"/>
  <c r="S240" i="1"/>
  <c r="M240" i="1" s="1"/>
  <c r="Q241" i="1"/>
  <c r="L241" i="1" s="1"/>
  <c r="S241" i="1"/>
  <c r="M241" i="1" s="1"/>
  <c r="Q242" i="1"/>
  <c r="L242" i="1" s="1"/>
  <c r="S242" i="1"/>
  <c r="M242" i="1" s="1"/>
  <c r="Q243" i="1"/>
  <c r="L243" i="1" s="1"/>
  <c r="S243" i="1"/>
  <c r="M243" i="1" s="1"/>
  <c r="Q244" i="1"/>
  <c r="L244" i="1" s="1"/>
  <c r="S244" i="1"/>
  <c r="M244" i="1" s="1"/>
  <c r="Q245" i="1"/>
  <c r="L245" i="1" s="1"/>
  <c r="S245" i="1"/>
  <c r="M245" i="1" s="1"/>
  <c r="Q246" i="1"/>
  <c r="L246" i="1" s="1"/>
  <c r="S246" i="1"/>
  <c r="M246" i="1" s="1"/>
  <c r="Q247" i="1"/>
  <c r="L247" i="1" s="1"/>
  <c r="S247" i="1"/>
  <c r="M247" i="1" s="1"/>
  <c r="Q248" i="1"/>
  <c r="S248" i="1"/>
  <c r="Q249" i="1"/>
  <c r="S249" i="1"/>
  <c r="Q253" i="1"/>
  <c r="L253" i="1" s="1"/>
  <c r="S253" i="1"/>
  <c r="M253" i="1" s="1"/>
  <c r="Q254" i="1"/>
  <c r="L254" i="1" s="1"/>
  <c r="S254" i="1"/>
  <c r="M254" i="1" s="1"/>
  <c r="Q255" i="1"/>
  <c r="L255" i="1" s="1"/>
  <c r="S255" i="1"/>
  <c r="M255" i="1" s="1"/>
  <c r="Q256" i="1"/>
  <c r="L256" i="1" s="1"/>
  <c r="S256" i="1"/>
  <c r="M256" i="1" s="1"/>
  <c r="Q257" i="1"/>
  <c r="L257" i="1" s="1"/>
  <c r="S257" i="1"/>
  <c r="M257" i="1" s="1"/>
  <c r="Q258" i="1"/>
  <c r="L258" i="1" s="1"/>
  <c r="S258" i="1"/>
  <c r="M258" i="1" s="1"/>
  <c r="Q259" i="1"/>
  <c r="L259" i="1" s="1"/>
  <c r="S259" i="1"/>
  <c r="M259" i="1" s="1"/>
  <c r="Q260" i="1"/>
  <c r="L260" i="1" s="1"/>
  <c r="S260" i="1"/>
  <c r="M260" i="1" s="1"/>
  <c r="Q261" i="1"/>
  <c r="L261" i="1" s="1"/>
  <c r="S261" i="1"/>
  <c r="M261" i="1" s="1"/>
  <c r="Q262" i="1"/>
  <c r="L262" i="1" s="1"/>
  <c r="S262" i="1"/>
  <c r="M262" i="1" s="1"/>
  <c r="Q263" i="1"/>
  <c r="L263" i="1" s="1"/>
  <c r="S263" i="1"/>
  <c r="M263" i="1" s="1"/>
  <c r="Q264" i="1"/>
  <c r="L264" i="1" s="1"/>
  <c r="S264" i="1"/>
  <c r="M264" i="1" s="1"/>
  <c r="Q265" i="1"/>
  <c r="L265" i="1" s="1"/>
  <c r="S265" i="1"/>
  <c r="M265" i="1" s="1"/>
  <c r="Q266" i="1"/>
  <c r="L266" i="1" s="1"/>
  <c r="S266" i="1"/>
  <c r="M266" i="1" s="1"/>
  <c r="Q267" i="1"/>
  <c r="L267" i="1" s="1"/>
  <c r="S267" i="1"/>
  <c r="M267" i="1" s="1"/>
  <c r="Q268" i="1"/>
  <c r="L268" i="1" s="1"/>
  <c r="S268" i="1"/>
  <c r="M268" i="1" s="1"/>
  <c r="Q269" i="1"/>
  <c r="L269" i="1" s="1"/>
  <c r="S269" i="1"/>
  <c r="M269" i="1" s="1"/>
  <c r="Q270" i="1"/>
  <c r="L270" i="1" s="1"/>
  <c r="S270" i="1"/>
  <c r="M270" i="1" s="1"/>
  <c r="Q271" i="1"/>
  <c r="L271" i="1" s="1"/>
  <c r="S271" i="1"/>
  <c r="M271" i="1" s="1"/>
  <c r="Q272" i="1"/>
  <c r="L272" i="1" s="1"/>
  <c r="S272" i="1"/>
  <c r="M272" i="1" s="1"/>
  <c r="Q273" i="1"/>
  <c r="L273" i="1" s="1"/>
  <c r="S273" i="1"/>
  <c r="M273" i="1" s="1"/>
  <c r="Q274" i="1"/>
  <c r="L274" i="1" s="1"/>
  <c r="S274" i="1"/>
  <c r="M274" i="1" s="1"/>
  <c r="Q275" i="1"/>
  <c r="L275" i="1" s="1"/>
  <c r="S275" i="1"/>
  <c r="M275" i="1" s="1"/>
  <c r="Q276" i="1"/>
  <c r="L276" i="1" s="1"/>
  <c r="S276" i="1"/>
  <c r="M276" i="1" s="1"/>
  <c r="Q277" i="1"/>
  <c r="L277" i="1" s="1"/>
  <c r="S277" i="1"/>
  <c r="M277" i="1" s="1"/>
  <c r="Q278" i="1"/>
  <c r="L278" i="1" s="1"/>
  <c r="S278" i="1"/>
  <c r="M278" i="1" s="1"/>
  <c r="Q279" i="1"/>
  <c r="L279" i="1" s="1"/>
  <c r="S279" i="1"/>
  <c r="M279" i="1" s="1"/>
  <c r="Q280" i="1"/>
  <c r="L280" i="1" s="1"/>
  <c r="S280" i="1"/>
  <c r="M280" i="1" s="1"/>
  <c r="Q281" i="1"/>
  <c r="L281" i="1" s="1"/>
  <c r="S281" i="1"/>
  <c r="M281" i="1" s="1"/>
  <c r="Q282" i="1"/>
  <c r="L282" i="1" s="1"/>
  <c r="S282" i="1"/>
  <c r="M282" i="1" s="1"/>
  <c r="Q283" i="1"/>
  <c r="L283" i="1" s="1"/>
  <c r="S283" i="1"/>
  <c r="M283" i="1" s="1"/>
  <c r="Q284" i="1"/>
  <c r="L284" i="1" s="1"/>
  <c r="S284" i="1"/>
  <c r="M284" i="1" s="1"/>
  <c r="Q285" i="1"/>
  <c r="L285" i="1" s="1"/>
  <c r="S285" i="1"/>
  <c r="M285" i="1" s="1"/>
  <c r="Q286" i="1"/>
  <c r="L286" i="1" s="1"/>
  <c r="S286" i="1"/>
  <c r="M286" i="1" s="1"/>
  <c r="Q287" i="1"/>
  <c r="L287" i="1" s="1"/>
  <c r="S287" i="1"/>
  <c r="M287" i="1" s="1"/>
  <c r="Q288" i="1"/>
  <c r="L288" i="1" s="1"/>
  <c r="S288" i="1"/>
  <c r="M288" i="1" s="1"/>
  <c r="Q289" i="1"/>
  <c r="L289" i="1" s="1"/>
  <c r="S289" i="1"/>
  <c r="M289" i="1" s="1"/>
  <c r="Q295" i="1"/>
  <c r="S295" i="1"/>
  <c r="Q297" i="1"/>
  <c r="S297" i="1"/>
  <c r="Q298" i="1"/>
  <c r="S298" i="1"/>
  <c r="Q302" i="1"/>
  <c r="S302" i="1"/>
  <c r="Q303" i="1"/>
  <c r="S303" i="1"/>
  <c r="Q304" i="1"/>
  <c r="S304" i="1"/>
  <c r="Q305" i="1"/>
  <c r="S305" i="1"/>
  <c r="Q306" i="1"/>
  <c r="S306" i="1"/>
  <c r="Q307" i="1"/>
  <c r="S307" i="1"/>
  <c r="Q308" i="1"/>
  <c r="S308" i="1"/>
  <c r="Q309" i="1"/>
  <c r="S309" i="1"/>
  <c r="Q310" i="1"/>
  <c r="S310" i="1"/>
  <c r="Q311" i="1"/>
  <c r="S311" i="1"/>
  <c r="Q312" i="1"/>
  <c r="S312" i="1"/>
  <c r="Q313" i="1"/>
  <c r="L313" i="1" s="1"/>
  <c r="S313" i="1"/>
  <c r="M313" i="1" s="1"/>
  <c r="Q314" i="1"/>
  <c r="L314" i="1" s="1"/>
  <c r="S314" i="1"/>
  <c r="M314" i="1" s="1"/>
  <c r="Q315" i="1"/>
  <c r="L315" i="1" s="1"/>
  <c r="S315" i="1"/>
  <c r="M315" i="1" s="1"/>
  <c r="Q316" i="1"/>
  <c r="L316" i="1" s="1"/>
  <c r="S316" i="1"/>
  <c r="M316" i="1" s="1"/>
  <c r="Q321" i="1"/>
  <c r="S321" i="1"/>
  <c r="L14" i="1" l="1"/>
  <c r="L18" i="1"/>
  <c r="L15" i="1"/>
  <c r="L13" i="1"/>
  <c r="L191" i="1"/>
  <c r="L151" i="1"/>
  <c r="L20" i="1"/>
  <c r="L24" i="1"/>
  <c r="L23" i="1"/>
  <c r="L22" i="1"/>
  <c r="L21" i="1"/>
  <c r="L10" i="2"/>
  <c r="O2" i="3" l="1"/>
  <c r="D3" i="2"/>
  <c r="O90" i="3" l="1"/>
  <c r="O89" i="3"/>
  <c r="O88" i="3"/>
  <c r="O87" i="3"/>
  <c r="O86" i="3"/>
  <c r="O85" i="3"/>
  <c r="O84" i="3"/>
  <c r="O83" i="3"/>
  <c r="O82" i="3"/>
  <c r="O81" i="3"/>
  <c r="O80" i="3"/>
  <c r="O79" i="3"/>
  <c r="O78" i="3"/>
  <c r="O77" i="3"/>
  <c r="O76" i="3"/>
  <c r="O75" i="3"/>
  <c r="O74" i="3"/>
  <c r="O73" i="3"/>
  <c r="O72" i="3"/>
  <c r="O71" i="3"/>
  <c r="O70" i="3"/>
  <c r="O69" i="3"/>
  <c r="O68" i="3"/>
  <c r="O67" i="3"/>
  <c r="O66" i="3"/>
  <c r="O65" i="3"/>
  <c r="O64" i="3"/>
  <c r="O63" i="3"/>
  <c r="O62" i="3"/>
  <c r="O61" i="3"/>
  <c r="O60" i="3"/>
  <c r="O59" i="3"/>
  <c r="O58" i="3"/>
  <c r="O57" i="3"/>
  <c r="O56" i="3"/>
  <c r="O55" i="3"/>
  <c r="O54" i="3"/>
  <c r="O53" i="3"/>
  <c r="O52" i="3"/>
  <c r="O51" i="3"/>
  <c r="O50" i="3"/>
  <c r="O49" i="3"/>
  <c r="O48" i="3"/>
  <c r="O47" i="3"/>
  <c r="O46" i="3"/>
  <c r="O45" i="3"/>
  <c r="O44" i="3"/>
  <c r="O43" i="3"/>
  <c r="O42" i="3"/>
  <c r="O41" i="3"/>
  <c r="O40" i="3"/>
  <c r="O39" i="3"/>
  <c r="O38" i="3"/>
  <c r="O37" i="3"/>
  <c r="O36" i="3"/>
  <c r="O35" i="3"/>
  <c r="O34" i="3"/>
  <c r="O33" i="3"/>
  <c r="O32" i="3"/>
  <c r="O31" i="3"/>
  <c r="O30" i="3"/>
  <c r="O29" i="3"/>
  <c r="O28" i="3"/>
  <c r="O27" i="3"/>
  <c r="O26" i="3"/>
  <c r="O25" i="3"/>
  <c r="O24" i="3"/>
  <c r="O23" i="3"/>
  <c r="O22" i="3"/>
  <c r="O21" i="3"/>
  <c r="O20" i="3"/>
  <c r="O19" i="3"/>
  <c r="O18" i="3"/>
  <c r="O17" i="3"/>
  <c r="O16" i="3"/>
  <c r="O15" i="3"/>
  <c r="O14" i="3"/>
  <c r="O13" i="3"/>
  <c r="O12" i="3"/>
  <c r="O11" i="3"/>
  <c r="O10" i="3"/>
  <c r="O9" i="3"/>
  <c r="O8" i="3"/>
  <c r="O7" i="3"/>
  <c r="O6" i="3"/>
  <c r="O5" i="3"/>
  <c r="O4" i="3"/>
  <c r="O3" i="3"/>
  <c r="P2" i="3" l="1" a="1"/>
  <c r="P2" i="3" s="1"/>
  <c r="P59" i="3" a="1"/>
  <c r="P59" i="3" s="1"/>
  <c r="P27" i="3" a="1"/>
  <c r="P27" i="3" s="1"/>
  <c r="P43" i="3" a="1"/>
  <c r="P43" i="3" s="1"/>
  <c r="P11" i="3" a="1"/>
  <c r="P11" i="3" s="1"/>
  <c r="P13" i="3" a="1"/>
  <c r="P13" i="3" s="1"/>
  <c r="P61" i="3" a="1"/>
  <c r="P61" i="3" s="1"/>
  <c r="P14" i="3" a="1"/>
  <c r="P14" i="3" s="1"/>
  <c r="P29" i="3" a="1"/>
  <c r="P29" i="3" s="1"/>
  <c r="P45" i="3" a="1"/>
  <c r="P45" i="3" s="1"/>
  <c r="P76" i="3" a="1"/>
  <c r="P76" i="3" s="1"/>
  <c r="P80" i="3" a="1"/>
  <c r="P80" i="3" s="1"/>
  <c r="P52" i="3" a="1"/>
  <c r="P52" i="3" s="1"/>
  <c r="P7" i="3" a="1"/>
  <c r="P7" i="3" s="1"/>
  <c r="P57" i="3" a="1"/>
  <c r="P57" i="3" s="1"/>
  <c r="P77" i="3" a="1"/>
  <c r="P77" i="3" s="1"/>
  <c r="P68" i="3" a="1"/>
  <c r="P68" i="3" s="1"/>
  <c r="P23" i="3" a="1"/>
  <c r="P23" i="3" s="1"/>
  <c r="P73" i="3" a="1"/>
  <c r="P73" i="3" s="1"/>
  <c r="P15" i="3" a="1"/>
  <c r="P15" i="3" s="1"/>
  <c r="P18" i="3" a="1"/>
  <c r="P18" i="3" s="1"/>
  <c r="P83" i="3" a="1"/>
  <c r="P83" i="3" s="1"/>
  <c r="P39" i="3" a="1"/>
  <c r="P39" i="3" s="1"/>
  <c r="P88" i="3" a="1"/>
  <c r="P88" i="3" s="1"/>
  <c r="P31" i="3" a="1"/>
  <c r="P31" i="3" s="1"/>
  <c r="P34" i="3" a="1"/>
  <c r="P34" i="3" s="1"/>
  <c r="P5" i="3" a="1"/>
  <c r="P5" i="3" s="1"/>
  <c r="P55" i="3" a="1"/>
  <c r="P55" i="3" s="1"/>
  <c r="P46" i="3" a="1"/>
  <c r="P46" i="3" s="1"/>
  <c r="P47" i="3" a="1"/>
  <c r="P47" i="3" s="1"/>
  <c r="P50" i="3" a="1"/>
  <c r="P50" i="3" s="1"/>
  <c r="P21" i="3" a="1"/>
  <c r="P21" i="3" s="1"/>
  <c r="P71" i="3" a="1"/>
  <c r="P71" i="3" s="1"/>
  <c r="P10" i="3" a="1"/>
  <c r="P10" i="3" s="1"/>
  <c r="P90" i="3" a="1"/>
  <c r="P90" i="3" s="1"/>
  <c r="P6" i="3" a="1"/>
  <c r="P6" i="3" s="1"/>
  <c r="P63" i="3" a="1"/>
  <c r="P63" i="3" s="1"/>
  <c r="P66" i="3" a="1"/>
  <c r="P66" i="3" s="1"/>
  <c r="P37" i="3" a="1"/>
  <c r="P37" i="3" s="1"/>
  <c r="P86" i="3" a="1"/>
  <c r="P86" i="3" s="1"/>
  <c r="P26" i="3" a="1"/>
  <c r="P26" i="3" s="1"/>
  <c r="P89" i="3" a="1"/>
  <c r="P89" i="3" s="1"/>
  <c r="P36" i="3" a="1"/>
  <c r="P36" i="3" s="1"/>
  <c r="P78" i="3" a="1"/>
  <c r="P78" i="3" s="1"/>
  <c r="P81" i="3" a="1"/>
  <c r="P81" i="3" s="1"/>
  <c r="P53" i="3" a="1"/>
  <c r="P53" i="3" s="1"/>
  <c r="P33" i="3" a="1"/>
  <c r="P33" i="3" s="1"/>
  <c r="P42" i="3" a="1"/>
  <c r="P42" i="3" s="1"/>
  <c r="P75" i="3" a="1"/>
  <c r="P75" i="3" s="1"/>
  <c r="P41" i="3" a="1"/>
  <c r="P41" i="3" s="1"/>
  <c r="P62" i="3" a="1"/>
  <c r="P62" i="3" s="1"/>
  <c r="P3" i="3" a="1"/>
  <c r="P3" i="3" s="1"/>
  <c r="P69" i="3" a="1"/>
  <c r="P69" i="3" s="1"/>
  <c r="P24" i="3" a="1"/>
  <c r="P24" i="3" s="1"/>
  <c r="P58" i="3" a="1"/>
  <c r="P58" i="3" s="1"/>
  <c r="P49" i="3" a="1"/>
  <c r="P49" i="3" s="1"/>
  <c r="P60" i="3" a="1"/>
  <c r="P60" i="3" s="1"/>
  <c r="P16" i="3" a="1"/>
  <c r="P16" i="3" s="1"/>
  <c r="P19" i="3" a="1"/>
  <c r="P19" i="3" s="1"/>
  <c r="P84" i="3" a="1"/>
  <c r="P84" i="3" s="1"/>
  <c r="P40" i="3" a="1"/>
  <c r="P40" i="3" s="1"/>
  <c r="P74" i="3" a="1"/>
  <c r="P74" i="3" s="1"/>
  <c r="P65" i="3" a="1"/>
  <c r="P65" i="3" s="1"/>
  <c r="P32" i="3" a="1"/>
  <c r="P32" i="3" s="1"/>
  <c r="P35" i="3" a="1"/>
  <c r="P35" i="3" s="1"/>
  <c r="P4" i="3" a="1"/>
  <c r="P4" i="3" s="1"/>
  <c r="P56" i="3" a="1"/>
  <c r="P56" i="3" s="1"/>
  <c r="P25" i="3" a="1"/>
  <c r="P25" i="3" s="1"/>
  <c r="P48" i="3" a="1"/>
  <c r="P48" i="3" s="1"/>
  <c r="P51" i="3" a="1"/>
  <c r="P51" i="3" s="1"/>
  <c r="P22" i="3" a="1"/>
  <c r="P22" i="3" s="1"/>
  <c r="P72" i="3" a="1"/>
  <c r="P72" i="3" s="1"/>
  <c r="P44" i="3" a="1"/>
  <c r="P44" i="3" s="1"/>
  <c r="P64" i="3" a="1"/>
  <c r="P64" i="3" s="1"/>
  <c r="P67" i="3" a="1"/>
  <c r="P67" i="3" s="1"/>
  <c r="P38" i="3" a="1"/>
  <c r="P38" i="3" s="1"/>
  <c r="P87" i="3" a="1"/>
  <c r="P87" i="3" s="1"/>
  <c r="P20" i="3" a="1"/>
  <c r="P20" i="3" s="1"/>
  <c r="P79" i="3" a="1"/>
  <c r="P79" i="3" s="1"/>
  <c r="P82" i="3" a="1"/>
  <c r="P82" i="3" s="1"/>
  <c r="P54" i="3" a="1"/>
  <c r="P54" i="3" s="1"/>
  <c r="P8" i="3" a="1"/>
  <c r="P8" i="3" s="1"/>
  <c r="P12" i="3" a="1"/>
  <c r="P12" i="3" s="1"/>
  <c r="P28" i="3" a="1"/>
  <c r="P28" i="3" s="1"/>
  <c r="P85" i="3" a="1"/>
  <c r="P85" i="3" s="1"/>
  <c r="P17" i="3" a="1"/>
  <c r="P17" i="3" s="1"/>
  <c r="P30" i="3" a="1"/>
  <c r="P30" i="3" s="1"/>
  <c r="P70" i="3" a="1"/>
  <c r="P70" i="3" s="1"/>
  <c r="P9" i="3" a="1"/>
  <c r="P9" i="3" s="1"/>
  <c r="A97" i="3"/>
  <c r="A96" i="3"/>
  <c r="A95" i="3"/>
  <c r="A94" i="3"/>
  <c r="A93" i="3"/>
  <c r="A92" i="3"/>
  <c r="A91" i="3"/>
  <c r="A90" i="3"/>
  <c r="A89" i="3"/>
  <c r="A88" i="3"/>
  <c r="A87" i="3"/>
  <c r="A86" i="3"/>
  <c r="A85" i="3"/>
  <c r="A84" i="3"/>
  <c r="A83" i="3"/>
  <c r="A82" i="3"/>
  <c r="A81" i="3"/>
  <c r="A80" i="3"/>
  <c r="A79" i="3"/>
  <c r="A78" i="3"/>
  <c r="E82" i="3"/>
  <c r="E81" i="3"/>
  <c r="E80" i="3"/>
  <c r="E79" i="3"/>
  <c r="E78" i="3"/>
  <c r="E77" i="3"/>
  <c r="E76" i="3"/>
  <c r="E75" i="3"/>
  <c r="E74" i="3"/>
  <c r="E73" i="3"/>
  <c r="E72" i="3"/>
  <c r="E71" i="3"/>
  <c r="E70" i="3"/>
  <c r="G171" i="2" l="1"/>
  <c r="J15" i="2" l="1"/>
  <c r="W15" i="2" s="1"/>
  <c r="J16" i="2"/>
  <c r="J17" i="2"/>
  <c r="J18" i="2"/>
  <c r="J19" i="2"/>
  <c r="J20" i="2"/>
  <c r="J21" i="2"/>
  <c r="J22" i="2"/>
  <c r="J23" i="2"/>
  <c r="J24" i="2"/>
  <c r="J25" i="2"/>
  <c r="J26" i="2"/>
  <c r="J27" i="2"/>
  <c r="J28" i="2"/>
  <c r="J29" i="2"/>
  <c r="J30" i="2"/>
  <c r="J31" i="2"/>
  <c r="J32" i="2"/>
  <c r="J33" i="2"/>
  <c r="J34" i="2"/>
  <c r="J35" i="2"/>
  <c r="J36" i="2"/>
  <c r="J37" i="2"/>
  <c r="J38" i="2"/>
  <c r="J39" i="2"/>
  <c r="V16" i="2" l="1"/>
  <c r="W16" i="2"/>
  <c r="V15" i="2"/>
  <c r="V20" i="2"/>
  <c r="W20" i="2"/>
  <c r="V19" i="2"/>
  <c r="W19" i="2"/>
  <c r="V18" i="2"/>
  <c r="W18" i="2"/>
  <c r="V17" i="2"/>
  <c r="W17" i="2"/>
  <c r="G20" i="2"/>
  <c r="H20" i="2"/>
  <c r="I20" i="2" s="1"/>
  <c r="G21" i="2"/>
  <c r="H21" i="2"/>
  <c r="G22" i="2"/>
  <c r="H22" i="2"/>
  <c r="G23" i="2"/>
  <c r="H23" i="2"/>
  <c r="G24" i="2"/>
  <c r="H24" i="2"/>
  <c r="G25" i="2"/>
  <c r="H25" i="2"/>
  <c r="G26" i="2"/>
  <c r="H26" i="2"/>
  <c r="I26" i="2" s="1"/>
  <c r="G27" i="2"/>
  <c r="H27" i="2"/>
  <c r="G28" i="2"/>
  <c r="H28" i="2"/>
  <c r="G29" i="2"/>
  <c r="H29" i="2"/>
  <c r="G30" i="2"/>
  <c r="H30" i="2"/>
  <c r="G31" i="2"/>
  <c r="H31" i="2"/>
  <c r="G32" i="2"/>
  <c r="H32" i="2"/>
  <c r="I32" i="2" s="1"/>
  <c r="G33" i="2"/>
  <c r="H33" i="2"/>
  <c r="I33" i="2" s="1"/>
  <c r="G34" i="2"/>
  <c r="H34" i="2"/>
  <c r="I34" i="2" s="1"/>
  <c r="G35" i="2"/>
  <c r="H35" i="2"/>
  <c r="G36" i="2"/>
  <c r="H36" i="2"/>
  <c r="G37" i="2"/>
  <c r="H37" i="2"/>
  <c r="I37" i="2" s="1"/>
  <c r="G38" i="2"/>
  <c r="H38" i="2"/>
  <c r="I38" i="2" s="1"/>
  <c r="G39" i="2"/>
  <c r="H39" i="2"/>
  <c r="G19" i="2"/>
  <c r="H19" i="2"/>
  <c r="I19" i="2" s="1"/>
  <c r="J282" i="2"/>
  <c r="K282" i="2" s="1"/>
  <c r="K290" i="2" s="1"/>
  <c r="J228" i="2"/>
  <c r="J229" i="2"/>
  <c r="W229" i="2" s="1"/>
  <c r="J230" i="2"/>
  <c r="W230" i="2" s="1"/>
  <c r="J231" i="2"/>
  <c r="J232" i="2"/>
  <c r="J233" i="2"/>
  <c r="J234" i="2"/>
  <c r="J245" i="2"/>
  <c r="J227" i="2"/>
  <c r="J200" i="2"/>
  <c r="J201" i="2"/>
  <c r="J202" i="2"/>
  <c r="J210" i="2"/>
  <c r="J211" i="2"/>
  <c r="J212" i="2"/>
  <c r="J213" i="2"/>
  <c r="J214" i="2"/>
  <c r="J215" i="2"/>
  <c r="J216" i="2"/>
  <c r="J217" i="2"/>
  <c r="J218" i="2"/>
  <c r="J219" i="2"/>
  <c r="J220" i="2"/>
  <c r="J221" i="2"/>
  <c r="J222" i="2"/>
  <c r="J223" i="2"/>
  <c r="J224" i="2"/>
  <c r="J199" i="2"/>
  <c r="J172" i="2"/>
  <c r="J173" i="2"/>
  <c r="J174" i="2"/>
  <c r="J175" i="2"/>
  <c r="J176" i="2"/>
  <c r="J177" i="2"/>
  <c r="J178" i="2"/>
  <c r="J179" i="2"/>
  <c r="J180" i="2"/>
  <c r="J181" i="2"/>
  <c r="J182" i="2"/>
  <c r="J183" i="2"/>
  <c r="J184" i="2"/>
  <c r="J185" i="2"/>
  <c r="J186" i="2"/>
  <c r="J187" i="2"/>
  <c r="J188" i="2"/>
  <c r="J171" i="2"/>
  <c r="J156" i="2"/>
  <c r="J157" i="2"/>
  <c r="J158" i="2"/>
  <c r="J159" i="2"/>
  <c r="J160" i="2"/>
  <c r="J155" i="2"/>
  <c r="J138" i="2"/>
  <c r="J139" i="2"/>
  <c r="J140" i="2"/>
  <c r="J141" i="2"/>
  <c r="J142" i="2"/>
  <c r="J143" i="2"/>
  <c r="J144" i="2"/>
  <c r="J137" i="2"/>
  <c r="J107" i="2"/>
  <c r="J108" i="2"/>
  <c r="J109" i="2"/>
  <c r="J110" i="2"/>
  <c r="J111" i="2"/>
  <c r="W111" i="2" s="1"/>
  <c r="J112" i="2"/>
  <c r="J113" i="2"/>
  <c r="J114" i="2"/>
  <c r="J115" i="2"/>
  <c r="J116" i="2"/>
  <c r="J117" i="2"/>
  <c r="J118" i="2"/>
  <c r="J119" i="2"/>
  <c r="J120" i="2"/>
  <c r="J121" i="2"/>
  <c r="J122" i="2"/>
  <c r="J123" i="2"/>
  <c r="J124" i="2"/>
  <c r="J125" i="2"/>
  <c r="J126" i="2"/>
  <c r="J127" i="2"/>
  <c r="J128" i="2"/>
  <c r="J129" i="2"/>
  <c r="J134" i="2"/>
  <c r="J106" i="2"/>
  <c r="J91" i="2"/>
  <c r="J92" i="2"/>
  <c r="J93" i="2"/>
  <c r="J94" i="2"/>
  <c r="J95" i="2"/>
  <c r="J96" i="2"/>
  <c r="J97" i="2"/>
  <c r="J98" i="2"/>
  <c r="J99" i="2"/>
  <c r="J100" i="2"/>
  <c r="J101" i="2"/>
  <c r="J102" i="2"/>
  <c r="J103" i="2"/>
  <c r="J90" i="2"/>
  <c r="J66" i="2"/>
  <c r="J67" i="2"/>
  <c r="J68" i="2"/>
  <c r="J69" i="2"/>
  <c r="J70" i="2"/>
  <c r="J71" i="2"/>
  <c r="J72" i="2"/>
  <c r="J73" i="2"/>
  <c r="J74" i="2"/>
  <c r="J75" i="2"/>
  <c r="J76" i="2"/>
  <c r="J77" i="2"/>
  <c r="J78" i="2"/>
  <c r="J79" i="2"/>
  <c r="J80" i="2"/>
  <c r="J65" i="2"/>
  <c r="J43" i="2"/>
  <c r="J44" i="2"/>
  <c r="J45" i="2"/>
  <c r="J46" i="2"/>
  <c r="J47" i="2"/>
  <c r="J48" i="2"/>
  <c r="J49" i="2"/>
  <c r="J50" i="2"/>
  <c r="J51" i="2"/>
  <c r="J52" i="2"/>
  <c r="J53" i="2"/>
  <c r="J54" i="2"/>
  <c r="J55" i="2"/>
  <c r="J56" i="2"/>
  <c r="J57" i="2"/>
  <c r="J58" i="2"/>
  <c r="J59" i="2"/>
  <c r="J60" i="2"/>
  <c r="J42" i="2"/>
  <c r="J12" i="2"/>
  <c r="J13" i="2"/>
  <c r="J14" i="2"/>
  <c r="G228" i="2"/>
  <c r="H228" i="2"/>
  <c r="G229" i="2"/>
  <c r="H229" i="2"/>
  <c r="G230" i="2"/>
  <c r="H230" i="2"/>
  <c r="G231" i="2"/>
  <c r="H231" i="2"/>
  <c r="G232" i="2"/>
  <c r="H232" i="2"/>
  <c r="G233" i="2"/>
  <c r="H233" i="2"/>
  <c r="G234" i="2"/>
  <c r="H234" i="2"/>
  <c r="H227" i="2"/>
  <c r="G227" i="2"/>
  <c r="G200" i="2"/>
  <c r="H200" i="2"/>
  <c r="G201" i="2"/>
  <c r="H201" i="2"/>
  <c r="G202" i="2"/>
  <c r="H202" i="2"/>
  <c r="G210" i="2"/>
  <c r="H210" i="2"/>
  <c r="G211" i="2"/>
  <c r="H211" i="2"/>
  <c r="G212" i="2"/>
  <c r="H212" i="2"/>
  <c r="G213" i="2"/>
  <c r="H213" i="2"/>
  <c r="G214" i="2"/>
  <c r="H214" i="2"/>
  <c r="G215" i="2"/>
  <c r="H215" i="2"/>
  <c r="G216" i="2"/>
  <c r="H216" i="2"/>
  <c r="G217" i="2"/>
  <c r="H217" i="2"/>
  <c r="G218" i="2"/>
  <c r="H218" i="2"/>
  <c r="G219" i="2"/>
  <c r="H219" i="2"/>
  <c r="G220" i="2"/>
  <c r="H220" i="2"/>
  <c r="G221" i="2"/>
  <c r="H221" i="2"/>
  <c r="G222" i="2"/>
  <c r="H222" i="2"/>
  <c r="G223" i="2"/>
  <c r="H223" i="2"/>
  <c r="G224" i="2"/>
  <c r="H224" i="2"/>
  <c r="H199" i="2"/>
  <c r="G199" i="2"/>
  <c r="G172" i="2"/>
  <c r="H172" i="2"/>
  <c r="G173" i="2"/>
  <c r="H173" i="2"/>
  <c r="G174" i="2"/>
  <c r="H174" i="2"/>
  <c r="G175" i="2"/>
  <c r="H175" i="2"/>
  <c r="G176" i="2"/>
  <c r="H176" i="2"/>
  <c r="G177" i="2"/>
  <c r="H177" i="2"/>
  <c r="G178" i="2"/>
  <c r="H178" i="2"/>
  <c r="G179" i="2"/>
  <c r="H179" i="2"/>
  <c r="G180" i="2"/>
  <c r="H180" i="2"/>
  <c r="G181" i="2"/>
  <c r="H181" i="2"/>
  <c r="G182" i="2"/>
  <c r="H182" i="2"/>
  <c r="G183" i="2"/>
  <c r="H183" i="2"/>
  <c r="G184" i="2"/>
  <c r="H184" i="2"/>
  <c r="G185" i="2"/>
  <c r="H185" i="2"/>
  <c r="G186" i="2"/>
  <c r="H186" i="2"/>
  <c r="G187" i="2"/>
  <c r="H187" i="2"/>
  <c r="G188" i="2"/>
  <c r="H188" i="2"/>
  <c r="H171" i="2"/>
  <c r="G156" i="2"/>
  <c r="H156" i="2"/>
  <c r="G157" i="2"/>
  <c r="H157" i="2"/>
  <c r="G158" i="2"/>
  <c r="H158" i="2"/>
  <c r="G159" i="2"/>
  <c r="H159" i="2"/>
  <c r="G160" i="2"/>
  <c r="H160" i="2"/>
  <c r="H155" i="2"/>
  <c r="I155" i="2" s="1"/>
  <c r="G155" i="2"/>
  <c r="G139" i="2"/>
  <c r="H139" i="2"/>
  <c r="G140" i="2"/>
  <c r="H140" i="2"/>
  <c r="G141" i="2"/>
  <c r="H141" i="2"/>
  <c r="G142" i="2"/>
  <c r="H142" i="2"/>
  <c r="G143" i="2"/>
  <c r="H143" i="2"/>
  <c r="G144" i="2"/>
  <c r="H144" i="2"/>
  <c r="G138" i="2"/>
  <c r="H138" i="2"/>
  <c r="H137" i="2"/>
  <c r="G137" i="2"/>
  <c r="G107" i="2"/>
  <c r="H107" i="2"/>
  <c r="G108" i="2"/>
  <c r="H108" i="2"/>
  <c r="G109" i="2"/>
  <c r="H109" i="2"/>
  <c r="G110" i="2"/>
  <c r="H110" i="2"/>
  <c r="G111" i="2"/>
  <c r="H111" i="2"/>
  <c r="G112" i="2"/>
  <c r="H112" i="2"/>
  <c r="G113" i="2"/>
  <c r="H113" i="2"/>
  <c r="G114" i="2"/>
  <c r="H114" i="2"/>
  <c r="G115" i="2"/>
  <c r="H115" i="2"/>
  <c r="G116" i="2"/>
  <c r="H116" i="2"/>
  <c r="G117" i="2"/>
  <c r="H117" i="2"/>
  <c r="G118" i="2"/>
  <c r="H118" i="2"/>
  <c r="G119" i="2"/>
  <c r="H119" i="2"/>
  <c r="G120" i="2"/>
  <c r="H120" i="2"/>
  <c r="G121" i="2"/>
  <c r="H121" i="2"/>
  <c r="G122" i="2"/>
  <c r="H122" i="2"/>
  <c r="G123" i="2"/>
  <c r="H123" i="2"/>
  <c r="G124" i="2"/>
  <c r="H124" i="2"/>
  <c r="G125" i="2"/>
  <c r="H125" i="2"/>
  <c r="G126" i="2"/>
  <c r="H126" i="2"/>
  <c r="G127" i="2"/>
  <c r="H127" i="2"/>
  <c r="G128" i="2"/>
  <c r="H128" i="2"/>
  <c r="G129" i="2"/>
  <c r="H129" i="2"/>
  <c r="G134" i="2"/>
  <c r="H134" i="2"/>
  <c r="H106" i="2"/>
  <c r="G106" i="2"/>
  <c r="G91" i="2"/>
  <c r="H91" i="2"/>
  <c r="G92" i="2"/>
  <c r="H92" i="2"/>
  <c r="G93" i="2"/>
  <c r="H93" i="2"/>
  <c r="G94" i="2"/>
  <c r="H94" i="2"/>
  <c r="G95" i="2"/>
  <c r="H95" i="2"/>
  <c r="G96" i="2"/>
  <c r="H96" i="2"/>
  <c r="G97" i="2"/>
  <c r="H97" i="2"/>
  <c r="G98" i="2"/>
  <c r="H98" i="2"/>
  <c r="G99" i="2"/>
  <c r="H99" i="2"/>
  <c r="G100" i="2"/>
  <c r="H100" i="2"/>
  <c r="G101" i="2"/>
  <c r="H101" i="2"/>
  <c r="G102" i="2"/>
  <c r="H102" i="2"/>
  <c r="G103" i="2"/>
  <c r="H103" i="2"/>
  <c r="H90" i="2"/>
  <c r="G90" i="2"/>
  <c r="G66" i="2"/>
  <c r="H66" i="2"/>
  <c r="G67" i="2"/>
  <c r="H67" i="2"/>
  <c r="G68" i="2"/>
  <c r="H68" i="2"/>
  <c r="G69" i="2"/>
  <c r="H69" i="2"/>
  <c r="G70" i="2"/>
  <c r="H70" i="2"/>
  <c r="G71" i="2"/>
  <c r="H71" i="2"/>
  <c r="G72" i="2"/>
  <c r="H72" i="2"/>
  <c r="G73" i="2"/>
  <c r="H73" i="2"/>
  <c r="G74" i="2"/>
  <c r="H74" i="2"/>
  <c r="G75" i="2"/>
  <c r="H75" i="2"/>
  <c r="G76" i="2"/>
  <c r="H76" i="2"/>
  <c r="G77" i="2"/>
  <c r="H77" i="2"/>
  <c r="G78" i="2"/>
  <c r="H78" i="2"/>
  <c r="G79" i="2"/>
  <c r="H79" i="2"/>
  <c r="G80" i="2"/>
  <c r="H80" i="2"/>
  <c r="H65" i="2"/>
  <c r="G65" i="2"/>
  <c r="G43" i="2"/>
  <c r="H43" i="2"/>
  <c r="I43" i="2" s="1"/>
  <c r="G44" i="2"/>
  <c r="H44" i="2"/>
  <c r="I44" i="2" s="1"/>
  <c r="G45" i="2"/>
  <c r="H45" i="2"/>
  <c r="I45" i="2" s="1"/>
  <c r="G46" i="2"/>
  <c r="H46" i="2"/>
  <c r="I46" i="2" s="1"/>
  <c r="G47" i="2"/>
  <c r="H47" i="2"/>
  <c r="I47" i="2" s="1"/>
  <c r="G48" i="2"/>
  <c r="H48" i="2"/>
  <c r="I48" i="2" s="1"/>
  <c r="G49" i="2"/>
  <c r="H49" i="2"/>
  <c r="I49" i="2" s="1"/>
  <c r="G50" i="2"/>
  <c r="H50" i="2"/>
  <c r="I50" i="2" s="1"/>
  <c r="G51" i="2"/>
  <c r="H51" i="2"/>
  <c r="I51" i="2" s="1"/>
  <c r="G52" i="2"/>
  <c r="H52" i="2"/>
  <c r="I52" i="2" s="1"/>
  <c r="G53" i="2"/>
  <c r="H53" i="2"/>
  <c r="G54" i="2"/>
  <c r="H54" i="2"/>
  <c r="G55" i="2"/>
  <c r="H55" i="2"/>
  <c r="G56" i="2"/>
  <c r="H56" i="2"/>
  <c r="G57" i="2"/>
  <c r="H57" i="2"/>
  <c r="G58" i="2"/>
  <c r="H58" i="2"/>
  <c r="G59" i="2"/>
  <c r="H59" i="2"/>
  <c r="I59" i="2" s="1"/>
  <c r="G60" i="2"/>
  <c r="H60" i="2"/>
  <c r="H42" i="2"/>
  <c r="G42" i="2"/>
  <c r="G271" i="2" l="1"/>
  <c r="V233" i="2"/>
  <c r="W233" i="2"/>
  <c r="V138" i="2"/>
  <c r="W138" i="2"/>
  <c r="V232" i="2"/>
  <c r="W232" i="2"/>
  <c r="V177" i="2"/>
  <c r="W177" i="2"/>
  <c r="V66" i="2"/>
  <c r="W66" i="2"/>
  <c r="V176" i="2"/>
  <c r="W176" i="2"/>
  <c r="V228" i="2"/>
  <c r="W228" i="2"/>
  <c r="V110" i="2"/>
  <c r="W110" i="2"/>
  <c r="V157" i="2"/>
  <c r="W157" i="2"/>
  <c r="V175" i="2"/>
  <c r="W175" i="2"/>
  <c r="V231" i="2"/>
  <c r="W231" i="2"/>
  <c r="V52" i="2"/>
  <c r="W52" i="2"/>
  <c r="V109" i="2"/>
  <c r="W109" i="2"/>
  <c r="V156" i="2"/>
  <c r="W156" i="2"/>
  <c r="V174" i="2"/>
  <c r="W174" i="2"/>
  <c r="V67" i="2"/>
  <c r="W67" i="2"/>
  <c r="V51" i="2"/>
  <c r="W51" i="2"/>
  <c r="V108" i="2"/>
  <c r="W108" i="2"/>
  <c r="V173" i="2"/>
  <c r="W173" i="2"/>
  <c r="V50" i="2"/>
  <c r="W50" i="2"/>
  <c r="V107" i="2"/>
  <c r="W107" i="2"/>
  <c r="V172" i="2"/>
  <c r="W172" i="2"/>
  <c r="V234" i="2"/>
  <c r="W234" i="2"/>
  <c r="V49" i="2"/>
  <c r="W49" i="2"/>
  <c r="V43" i="2"/>
  <c r="W43" i="2"/>
  <c r="V14" i="2"/>
  <c r="W14" i="2"/>
  <c r="V48" i="2"/>
  <c r="W48" i="2"/>
  <c r="V13" i="2"/>
  <c r="V47" i="2"/>
  <c r="W47" i="2"/>
  <c r="V46" i="2"/>
  <c r="W46" i="2"/>
  <c r="V69" i="2"/>
  <c r="W69" i="2"/>
  <c r="V92" i="2"/>
  <c r="W92" i="2"/>
  <c r="V44" i="2"/>
  <c r="W44" i="2"/>
  <c r="V178" i="2"/>
  <c r="W178" i="2"/>
  <c r="V45" i="2"/>
  <c r="W45" i="2"/>
  <c r="V68" i="2"/>
  <c r="W68" i="2"/>
  <c r="V91" i="2"/>
  <c r="W91" i="2"/>
  <c r="V227" i="2"/>
  <c r="W227" i="2"/>
  <c r="V171" i="2"/>
  <c r="W171" i="2"/>
  <c r="V155" i="2"/>
  <c r="W155" i="2"/>
  <c r="V137" i="2"/>
  <c r="W137" i="2"/>
  <c r="V106" i="2"/>
  <c r="W106" i="2"/>
  <c r="V90" i="2"/>
  <c r="W90" i="2"/>
  <c r="V65" i="2"/>
  <c r="W65" i="2"/>
  <c r="V42" i="2"/>
  <c r="W42" i="2"/>
  <c r="V199" i="2"/>
  <c r="W199" i="2"/>
  <c r="V201" i="2"/>
  <c r="W201" i="2"/>
  <c r="V200" i="2"/>
  <c r="W200" i="2"/>
  <c r="I273" i="2"/>
  <c r="I290" i="2" s="1"/>
  <c r="Q283" i="2"/>
  <c r="R283" i="2"/>
  <c r="S283" i="2"/>
  <c r="T283" i="2"/>
  <c r="U283" i="2"/>
  <c r="T282" i="2"/>
  <c r="Q282" i="2"/>
  <c r="R282" i="2"/>
  <c r="U50" i="2"/>
  <c r="T50" i="2"/>
  <c r="S50" i="2"/>
  <c r="R50" i="2"/>
  <c r="Q50" i="2"/>
  <c r="Q26" i="2"/>
  <c r="R26" i="2"/>
  <c r="S26" i="2"/>
  <c r="U26" i="2"/>
  <c r="T26" i="2"/>
  <c r="U49" i="2"/>
  <c r="T49" i="2"/>
  <c r="S49" i="2"/>
  <c r="R49" i="2"/>
  <c r="Q49" i="2"/>
  <c r="U155" i="2"/>
  <c r="T155" i="2"/>
  <c r="S155" i="2"/>
  <c r="R155" i="2"/>
  <c r="Q155" i="2"/>
  <c r="R48" i="2"/>
  <c r="Q48" i="2"/>
  <c r="U48" i="2"/>
  <c r="T48" i="2"/>
  <c r="S48" i="2"/>
  <c r="U19" i="2"/>
  <c r="T19" i="2"/>
  <c r="S19" i="2"/>
  <c r="R19" i="2"/>
  <c r="Q19" i="2"/>
  <c r="U32" i="2"/>
  <c r="T32" i="2"/>
  <c r="R32" i="2"/>
  <c r="Q32" i="2"/>
  <c r="T47" i="2"/>
  <c r="S47" i="2"/>
  <c r="R47" i="2"/>
  <c r="Q47" i="2"/>
  <c r="U47" i="2"/>
  <c r="U43" i="2"/>
  <c r="T43" i="2"/>
  <c r="S43" i="2"/>
  <c r="R43" i="2"/>
  <c r="Q43" i="2"/>
  <c r="U46" i="2"/>
  <c r="T46" i="2"/>
  <c r="S46" i="2"/>
  <c r="Q46" i="2"/>
  <c r="R46" i="2"/>
  <c r="T38" i="2"/>
  <c r="S38" i="2"/>
  <c r="R38" i="2"/>
  <c r="Q38" i="2"/>
  <c r="U51" i="2"/>
  <c r="S51" i="2"/>
  <c r="R51" i="2"/>
  <c r="Q51" i="2"/>
  <c r="T51" i="2"/>
  <c r="T45" i="2"/>
  <c r="S45" i="2"/>
  <c r="U45" i="2"/>
  <c r="Q45" i="2"/>
  <c r="R45" i="2"/>
  <c r="Q37" i="2"/>
  <c r="T37" i="2"/>
  <c r="S37" i="2"/>
  <c r="R37" i="2"/>
  <c r="U52" i="2"/>
  <c r="T52" i="2"/>
  <c r="S52" i="2"/>
  <c r="R52" i="2"/>
  <c r="Q52" i="2"/>
  <c r="U20" i="2"/>
  <c r="Q20" i="2"/>
  <c r="T20" i="2"/>
  <c r="S20" i="2"/>
  <c r="R20" i="2"/>
  <c r="T44" i="2"/>
  <c r="S44" i="2"/>
  <c r="R44" i="2"/>
  <c r="Q44" i="2"/>
  <c r="U44" i="2"/>
  <c r="G63" i="2"/>
  <c r="I31" i="2"/>
  <c r="L43" i="2"/>
  <c r="K43" i="2"/>
  <c r="L51" i="2"/>
  <c r="K51" i="2"/>
  <c r="L50" i="2"/>
  <c r="K50" i="2"/>
  <c r="K49" i="2"/>
  <c r="L49" i="2"/>
  <c r="L48" i="2"/>
  <c r="K48" i="2"/>
  <c r="L47" i="2"/>
  <c r="K47" i="2"/>
  <c r="L155" i="2"/>
  <c r="K155" i="2"/>
  <c r="L46" i="2"/>
  <c r="K46" i="2"/>
  <c r="K45" i="2"/>
  <c r="L45" i="2"/>
  <c r="L52" i="2"/>
  <c r="K52" i="2"/>
  <c r="L44" i="2"/>
  <c r="K44" i="2"/>
  <c r="I25" i="2"/>
  <c r="I27" i="2"/>
  <c r="K19" i="2"/>
  <c r="L19" i="2"/>
  <c r="K38" i="2"/>
  <c r="U38" i="2" s="1"/>
  <c r="L38" i="2"/>
  <c r="L37" i="2"/>
  <c r="K37" i="2"/>
  <c r="U37" i="2" s="1"/>
  <c r="K20" i="2"/>
  <c r="L20" i="2"/>
  <c r="I29" i="2"/>
  <c r="I28" i="2"/>
  <c r="L26" i="2"/>
  <c r="K26" i="2"/>
  <c r="L32" i="2"/>
  <c r="S32" i="2" s="1"/>
  <c r="K32" i="2"/>
  <c r="I53" i="2"/>
  <c r="G169" i="2"/>
  <c r="I30" i="2"/>
  <c r="I55" i="2"/>
  <c r="I139" i="2"/>
  <c r="I21" i="2"/>
  <c r="I23" i="2"/>
  <c r="I22" i="2"/>
  <c r="I39" i="2"/>
  <c r="I35" i="2"/>
  <c r="I36" i="2"/>
  <c r="I24" i="2"/>
  <c r="I60" i="2"/>
  <c r="I56" i="2"/>
  <c r="I58" i="2"/>
  <c r="I57" i="2"/>
  <c r="I54" i="2"/>
  <c r="I137" i="2"/>
  <c r="R21" i="2" l="1"/>
  <c r="L21" i="2"/>
  <c r="T60" i="2"/>
  <c r="S60" i="2"/>
  <c r="R60" i="2"/>
  <c r="Q60" i="2"/>
  <c r="T36" i="2"/>
  <c r="Q36" i="2"/>
  <c r="S36" i="2"/>
  <c r="R36" i="2"/>
  <c r="Q34" i="2"/>
  <c r="T34" i="2"/>
  <c r="U28" i="2"/>
  <c r="T28" i="2"/>
  <c r="S28" i="2"/>
  <c r="Q28" i="2"/>
  <c r="R28" i="2"/>
  <c r="S39" i="2"/>
  <c r="R39" i="2"/>
  <c r="Q39" i="2"/>
  <c r="S31" i="2"/>
  <c r="Q31" i="2"/>
  <c r="T31" i="2"/>
  <c r="U35" i="2"/>
  <c r="T35" i="2"/>
  <c r="S35" i="2"/>
  <c r="R35" i="2"/>
  <c r="Q35" i="2"/>
  <c r="S59" i="2"/>
  <c r="R59" i="2"/>
  <c r="Q59" i="2"/>
  <c r="T59" i="2"/>
  <c r="U137" i="2"/>
  <c r="T137" i="2"/>
  <c r="S137" i="2"/>
  <c r="R137" i="2"/>
  <c r="Q137" i="2"/>
  <c r="U29" i="2"/>
  <c r="T29" i="2"/>
  <c r="S29" i="2"/>
  <c r="Q29" i="2"/>
  <c r="R29" i="2"/>
  <c r="U55" i="2"/>
  <c r="T55" i="2"/>
  <c r="S55" i="2"/>
  <c r="Q55" i="2"/>
  <c r="T24" i="2"/>
  <c r="S24" i="2"/>
  <c r="R24" i="2"/>
  <c r="Q24" i="2"/>
  <c r="S22" i="2"/>
  <c r="Q22" i="2"/>
  <c r="S23" i="2"/>
  <c r="Q23" i="2"/>
  <c r="T23" i="2"/>
  <c r="U23" i="2"/>
  <c r="Q21" i="2"/>
  <c r="T21" i="2"/>
  <c r="U54" i="2"/>
  <c r="T54" i="2"/>
  <c r="S54" i="2"/>
  <c r="Q54" i="2"/>
  <c r="U30" i="2"/>
  <c r="T30" i="2"/>
  <c r="S30" i="2"/>
  <c r="R30" i="2"/>
  <c r="Q30" i="2"/>
  <c r="S33" i="2"/>
  <c r="T33" i="2"/>
  <c r="R33" i="2"/>
  <c r="Q33" i="2"/>
  <c r="T139" i="2"/>
  <c r="S139" i="2"/>
  <c r="Q139" i="2"/>
  <c r="U57" i="2"/>
  <c r="T57" i="2"/>
  <c r="R57" i="2"/>
  <c r="Q57" i="2"/>
  <c r="U58" i="2"/>
  <c r="T58" i="2"/>
  <c r="S58" i="2"/>
  <c r="R58" i="2"/>
  <c r="Q58" i="2"/>
  <c r="U27" i="2"/>
  <c r="T27" i="2"/>
  <c r="S27" i="2"/>
  <c r="R27" i="2"/>
  <c r="Q27" i="2"/>
  <c r="T53" i="2"/>
  <c r="S53" i="2"/>
  <c r="Q53" i="2"/>
  <c r="T25" i="2"/>
  <c r="Q25" i="2"/>
  <c r="R56" i="2"/>
  <c r="Q56" i="2"/>
  <c r="T56" i="2"/>
  <c r="S56" i="2"/>
  <c r="L31" i="2"/>
  <c r="R31" i="2" s="1"/>
  <c r="K31" i="2"/>
  <c r="U31" i="2" s="1"/>
  <c r="L55" i="2"/>
  <c r="R55" i="2" s="1"/>
  <c r="L54" i="2"/>
  <c r="R54" i="2" s="1"/>
  <c r="K58" i="2"/>
  <c r="L60" i="2"/>
  <c r="L57" i="2"/>
  <c r="S57" i="2" s="1"/>
  <c r="K59" i="2"/>
  <c r="U59" i="2" s="1"/>
  <c r="L56" i="2"/>
  <c r="L53" i="2"/>
  <c r="R53" i="2" s="1"/>
  <c r="L139" i="2"/>
  <c r="R139" i="2" s="1"/>
  <c r="L27" i="2"/>
  <c r="L137" i="2"/>
  <c r="K137" i="2"/>
  <c r="K27" i="2"/>
  <c r="L59" i="2"/>
  <c r="K57" i="2"/>
  <c r="K60" i="2"/>
  <c r="U60" i="2" s="1"/>
  <c r="L58" i="2"/>
  <c r="K53" i="2"/>
  <c r="U53" i="2" s="1"/>
  <c r="K54" i="2"/>
  <c r="K55" i="2"/>
  <c r="K56" i="2"/>
  <c r="U56" i="2" s="1"/>
  <c r="K139" i="2"/>
  <c r="U139" i="2" s="1"/>
  <c r="K25" i="2"/>
  <c r="U25" i="2" s="1"/>
  <c r="L25" i="2"/>
  <c r="R25" i="2" s="1"/>
  <c r="L39" i="2"/>
  <c r="T39" i="2" s="1"/>
  <c r="K39" i="2"/>
  <c r="U39" i="2" s="1"/>
  <c r="K35" i="2"/>
  <c r="L35" i="2"/>
  <c r="L36" i="2"/>
  <c r="K36" i="2"/>
  <c r="U36" i="2" s="1"/>
  <c r="K28" i="2"/>
  <c r="L29" i="2"/>
  <c r="K21" i="2"/>
  <c r="U21" i="2" s="1"/>
  <c r="K29" i="2"/>
  <c r="L28" i="2"/>
  <c r="L22" i="2"/>
  <c r="R22" i="2" s="1"/>
  <c r="K22" i="2"/>
  <c r="U22" i="2" s="1"/>
  <c r="L23" i="2"/>
  <c r="R23" i="2" s="1"/>
  <c r="K23" i="2"/>
  <c r="L30" i="2"/>
  <c r="K30" i="2"/>
  <c r="K24" i="2"/>
  <c r="U24" i="2" s="1"/>
  <c r="L24" i="2"/>
  <c r="K34" i="2"/>
  <c r="U34" i="2" s="1"/>
  <c r="L34" i="2"/>
  <c r="R34" i="2" s="1"/>
  <c r="L33" i="2"/>
  <c r="K33" i="2"/>
  <c r="U33" i="2" s="1"/>
  <c r="S34" i="2" l="1"/>
  <c r="S25" i="2"/>
  <c r="T22" i="2"/>
  <c r="S21" i="2"/>
  <c r="H8" i="2"/>
  <c r="I228" i="2"/>
  <c r="I229" i="2"/>
  <c r="I230" i="2"/>
  <c r="I231" i="2"/>
  <c r="I232" i="2"/>
  <c r="I233" i="2"/>
  <c r="I234" i="2"/>
  <c r="I227" i="2"/>
  <c r="I200" i="2"/>
  <c r="I201" i="2"/>
  <c r="I212" i="2"/>
  <c r="I216" i="2"/>
  <c r="I218" i="2"/>
  <c r="I219" i="2"/>
  <c r="I222" i="2"/>
  <c r="I223" i="2"/>
  <c r="I224" i="2"/>
  <c r="I199" i="2"/>
  <c r="I172" i="2"/>
  <c r="I173" i="2"/>
  <c r="I174" i="2"/>
  <c r="I175" i="2"/>
  <c r="I176" i="2"/>
  <c r="I177" i="2"/>
  <c r="I178" i="2"/>
  <c r="I181" i="2"/>
  <c r="I183" i="2"/>
  <c r="I186" i="2"/>
  <c r="I187" i="2"/>
  <c r="I188" i="2"/>
  <c r="I171" i="2"/>
  <c r="I156" i="2"/>
  <c r="I157" i="2"/>
  <c r="I141" i="2"/>
  <c r="I142" i="2"/>
  <c r="I138" i="2"/>
  <c r="I107" i="2"/>
  <c r="I108" i="2"/>
  <c r="I109" i="2"/>
  <c r="I110" i="2"/>
  <c r="I111" i="2"/>
  <c r="I112" i="2"/>
  <c r="I113" i="2"/>
  <c r="I114" i="2"/>
  <c r="I119" i="2"/>
  <c r="I120" i="2"/>
  <c r="I121" i="2"/>
  <c r="I122" i="2"/>
  <c r="I123" i="2"/>
  <c r="I125" i="2"/>
  <c r="I127" i="2"/>
  <c r="I106" i="2"/>
  <c r="I91" i="2"/>
  <c r="I92" i="2"/>
  <c r="I95" i="2"/>
  <c r="I97" i="2"/>
  <c r="I99" i="2"/>
  <c r="I102" i="2"/>
  <c r="I90" i="2"/>
  <c r="I66" i="2"/>
  <c r="I67" i="2"/>
  <c r="I68" i="2"/>
  <c r="I69" i="2"/>
  <c r="I74" i="2"/>
  <c r="I76" i="2"/>
  <c r="I78" i="2"/>
  <c r="I80" i="2"/>
  <c r="I65" i="2"/>
  <c r="I42" i="2"/>
  <c r="I63" i="2" s="1"/>
  <c r="H12" i="2"/>
  <c r="I12" i="2" s="1"/>
  <c r="H13" i="2"/>
  <c r="I13" i="2" s="1"/>
  <c r="W13" i="2" s="1"/>
  <c r="H14" i="2"/>
  <c r="I14" i="2" s="1"/>
  <c r="H15" i="2"/>
  <c r="I15" i="2" s="1"/>
  <c r="H16" i="2"/>
  <c r="I16" i="2" s="1"/>
  <c r="H17" i="2"/>
  <c r="I17" i="2" s="1"/>
  <c r="H18" i="2"/>
  <c r="I18" i="2" s="1"/>
  <c r="H11" i="2"/>
  <c r="I11" i="2" s="1"/>
  <c r="G12" i="2"/>
  <c r="G13" i="2"/>
  <c r="G14" i="2"/>
  <c r="G15" i="2"/>
  <c r="G16" i="2"/>
  <c r="G17" i="2"/>
  <c r="G18" i="2"/>
  <c r="G11" i="2"/>
  <c r="J11" i="2"/>
  <c r="I40" i="2" l="1"/>
  <c r="W12" i="2"/>
  <c r="V12" i="2"/>
  <c r="W11" i="2"/>
  <c r="V11" i="2"/>
  <c r="T285" i="2"/>
  <c r="S285" i="2"/>
  <c r="R285" i="2"/>
  <c r="Q285" i="2"/>
  <c r="Q284" i="2"/>
  <c r="U284" i="2"/>
  <c r="T284" i="2"/>
  <c r="S284" i="2"/>
  <c r="R284" i="2"/>
  <c r="U224" i="2"/>
  <c r="T224" i="2"/>
  <c r="S224" i="2"/>
  <c r="Q224" i="2"/>
  <c r="R224" i="2"/>
  <c r="U68" i="2"/>
  <c r="T68" i="2"/>
  <c r="S68" i="2"/>
  <c r="R68" i="2"/>
  <c r="Q68" i="2"/>
  <c r="T121" i="2"/>
  <c r="S121" i="2"/>
  <c r="R121" i="2"/>
  <c r="Q121" i="2"/>
  <c r="U171" i="2"/>
  <c r="T171" i="2"/>
  <c r="S171" i="2"/>
  <c r="R171" i="2"/>
  <c r="Q171" i="2"/>
  <c r="T222" i="2"/>
  <c r="S222" i="2"/>
  <c r="R222" i="2"/>
  <c r="Q222" i="2"/>
  <c r="R242" i="2"/>
  <c r="Q242" i="2"/>
  <c r="U242" i="2"/>
  <c r="T242" i="2"/>
  <c r="S242" i="2"/>
  <c r="U141" i="2"/>
  <c r="S141" i="2"/>
  <c r="R141" i="2"/>
  <c r="Q141" i="2"/>
  <c r="T141" i="2"/>
  <c r="U74" i="2"/>
  <c r="T74" i="2"/>
  <c r="S74" i="2"/>
  <c r="R74" i="2"/>
  <c r="Q74" i="2"/>
  <c r="T69" i="2"/>
  <c r="S69" i="2"/>
  <c r="R69" i="2"/>
  <c r="Q69" i="2"/>
  <c r="U69" i="2"/>
  <c r="U67" i="2"/>
  <c r="S67" i="2"/>
  <c r="R67" i="2"/>
  <c r="Q67" i="2"/>
  <c r="T67" i="2"/>
  <c r="R120" i="2"/>
  <c r="Q120" i="2"/>
  <c r="U120" i="2"/>
  <c r="T120" i="2"/>
  <c r="S120" i="2"/>
  <c r="U188" i="2"/>
  <c r="T188" i="2"/>
  <c r="S188" i="2"/>
  <c r="R188" i="2"/>
  <c r="Q188" i="2"/>
  <c r="U219" i="2"/>
  <c r="T219" i="2"/>
  <c r="S219" i="2"/>
  <c r="R219" i="2"/>
  <c r="Q219" i="2"/>
  <c r="U240" i="2"/>
  <c r="T240" i="2"/>
  <c r="S240" i="2"/>
  <c r="Q240" i="2"/>
  <c r="R240" i="2"/>
  <c r="Q18" i="2"/>
  <c r="R18" i="2"/>
  <c r="U18" i="2"/>
  <c r="S18" i="2"/>
  <c r="T18" i="2"/>
  <c r="U66" i="2"/>
  <c r="T66" i="2"/>
  <c r="S66" i="2"/>
  <c r="R66" i="2"/>
  <c r="Q66" i="2"/>
  <c r="U119" i="2"/>
  <c r="T119" i="2"/>
  <c r="S119" i="2"/>
  <c r="R119" i="2"/>
  <c r="Q119" i="2"/>
  <c r="U187" i="2"/>
  <c r="T187" i="2"/>
  <c r="S187" i="2"/>
  <c r="R187" i="2"/>
  <c r="Q187" i="2"/>
  <c r="R218" i="2"/>
  <c r="Q218" i="2"/>
  <c r="U218" i="2"/>
  <c r="T218" i="2"/>
  <c r="S218" i="2"/>
  <c r="U238" i="2"/>
  <c r="T238" i="2"/>
  <c r="S238" i="2"/>
  <c r="R238" i="2"/>
  <c r="Q238" i="2"/>
  <c r="U157" i="2"/>
  <c r="S157" i="2"/>
  <c r="R157" i="2"/>
  <c r="Q157" i="2"/>
  <c r="T157" i="2"/>
  <c r="U114" i="2"/>
  <c r="T114" i="2"/>
  <c r="S114" i="2"/>
  <c r="R114" i="2"/>
  <c r="Q114" i="2"/>
  <c r="R186" i="2"/>
  <c r="Q186" i="2"/>
  <c r="T186" i="2"/>
  <c r="S186" i="2"/>
  <c r="U216" i="2"/>
  <c r="T216" i="2"/>
  <c r="S216" i="2"/>
  <c r="Q216" i="2"/>
  <c r="R216" i="2"/>
  <c r="R234" i="2"/>
  <c r="Q234" i="2"/>
  <c r="U234" i="2"/>
  <c r="T234" i="2"/>
  <c r="S234" i="2"/>
  <c r="U156" i="2"/>
  <c r="T156" i="2"/>
  <c r="S156" i="2"/>
  <c r="R156" i="2"/>
  <c r="Q156" i="2"/>
  <c r="U16" i="2"/>
  <c r="R16" i="2"/>
  <c r="T16" i="2"/>
  <c r="S16" i="2"/>
  <c r="Q16" i="2"/>
  <c r="U102" i="2"/>
  <c r="T102" i="2"/>
  <c r="S102" i="2"/>
  <c r="Q102" i="2"/>
  <c r="R102" i="2"/>
  <c r="T113" i="2"/>
  <c r="S113" i="2"/>
  <c r="R113" i="2"/>
  <c r="Q113" i="2"/>
  <c r="T183" i="2"/>
  <c r="S183" i="2"/>
  <c r="R183" i="2"/>
  <c r="Q183" i="2"/>
  <c r="U212" i="2"/>
  <c r="T212" i="2"/>
  <c r="S212" i="2"/>
  <c r="R212" i="2"/>
  <c r="Q212" i="2"/>
  <c r="U233" i="2"/>
  <c r="T233" i="2"/>
  <c r="S233" i="2"/>
  <c r="R233" i="2"/>
  <c r="Q233" i="2"/>
  <c r="U99" i="2"/>
  <c r="S99" i="2"/>
  <c r="R99" i="2"/>
  <c r="Q99" i="2"/>
  <c r="T99" i="2"/>
  <c r="R112" i="2"/>
  <c r="Q112" i="2"/>
  <c r="T112" i="2"/>
  <c r="S112" i="2"/>
  <c r="U181" i="2"/>
  <c r="S181" i="2"/>
  <c r="R181" i="2"/>
  <c r="Q181" i="2"/>
  <c r="T181" i="2"/>
  <c r="U201" i="2"/>
  <c r="T201" i="2"/>
  <c r="S201" i="2"/>
  <c r="R201" i="2"/>
  <c r="Q201" i="2"/>
  <c r="U232" i="2"/>
  <c r="T232" i="2"/>
  <c r="S232" i="2"/>
  <c r="Q232" i="2"/>
  <c r="R232" i="2"/>
  <c r="T199" i="2"/>
  <c r="S199" i="2"/>
  <c r="R199" i="2"/>
  <c r="Q199" i="2"/>
  <c r="U199" i="2"/>
  <c r="U14" i="2"/>
  <c r="T14" i="2"/>
  <c r="S14" i="2"/>
  <c r="R14" i="2"/>
  <c r="Q14" i="2"/>
  <c r="T97" i="2"/>
  <c r="S97" i="2"/>
  <c r="R97" i="2"/>
  <c r="Q97" i="2"/>
  <c r="U111" i="2"/>
  <c r="T111" i="2"/>
  <c r="S111" i="2"/>
  <c r="R111" i="2"/>
  <c r="Q111" i="2"/>
  <c r="V111" i="2"/>
  <c r="R178" i="2"/>
  <c r="Q178" i="2"/>
  <c r="U178" i="2"/>
  <c r="T178" i="2"/>
  <c r="S178" i="2"/>
  <c r="U200" i="2"/>
  <c r="T200" i="2"/>
  <c r="S200" i="2"/>
  <c r="Q200" i="2"/>
  <c r="R200" i="2"/>
  <c r="T231" i="2"/>
  <c r="S231" i="2"/>
  <c r="R231" i="2"/>
  <c r="Q231" i="2"/>
  <c r="U231" i="2"/>
  <c r="U246" i="2"/>
  <c r="T246" i="2"/>
  <c r="S246" i="2"/>
  <c r="R246" i="2"/>
  <c r="Q246" i="2"/>
  <c r="U122" i="2"/>
  <c r="T122" i="2"/>
  <c r="S122" i="2"/>
  <c r="R122" i="2"/>
  <c r="Q122" i="2"/>
  <c r="S15" i="2"/>
  <c r="R15" i="2"/>
  <c r="T15" i="2"/>
  <c r="Q15" i="2"/>
  <c r="U15" i="2"/>
  <c r="U13" i="2"/>
  <c r="T13" i="2"/>
  <c r="S13" i="2"/>
  <c r="Q13" i="2"/>
  <c r="R13" i="2"/>
  <c r="U95" i="2"/>
  <c r="T95" i="2"/>
  <c r="S95" i="2"/>
  <c r="R95" i="2"/>
  <c r="Q95" i="2"/>
  <c r="U110" i="2"/>
  <c r="T110" i="2"/>
  <c r="S110" i="2"/>
  <c r="Q110" i="2"/>
  <c r="R110" i="2"/>
  <c r="U177" i="2"/>
  <c r="T177" i="2"/>
  <c r="S177" i="2"/>
  <c r="R177" i="2"/>
  <c r="Q177" i="2"/>
  <c r="U227" i="2"/>
  <c r="T227" i="2"/>
  <c r="S227" i="2"/>
  <c r="R227" i="2"/>
  <c r="Q227" i="2"/>
  <c r="U230" i="2"/>
  <c r="T230" i="2"/>
  <c r="S230" i="2"/>
  <c r="R230" i="2"/>
  <c r="Q230" i="2"/>
  <c r="V230" i="2"/>
  <c r="T223" i="2"/>
  <c r="R223" i="2"/>
  <c r="Q223" i="2"/>
  <c r="U223" i="2"/>
  <c r="U12" i="2"/>
  <c r="T12" i="2"/>
  <c r="S12" i="2"/>
  <c r="R12" i="2"/>
  <c r="Q12" i="2"/>
  <c r="U92" i="2"/>
  <c r="T92" i="2"/>
  <c r="S92" i="2"/>
  <c r="R92" i="2"/>
  <c r="Q92" i="2"/>
  <c r="T109" i="2"/>
  <c r="S109" i="2"/>
  <c r="R109" i="2"/>
  <c r="Q109" i="2"/>
  <c r="U109" i="2"/>
  <c r="U176" i="2"/>
  <c r="T176" i="2"/>
  <c r="S176" i="2"/>
  <c r="Q176" i="2"/>
  <c r="R176" i="2"/>
  <c r="U253" i="2"/>
  <c r="S253" i="2"/>
  <c r="R253" i="2"/>
  <c r="Q253" i="2"/>
  <c r="T253" i="2"/>
  <c r="U229" i="2"/>
  <c r="S229" i="2"/>
  <c r="R229" i="2"/>
  <c r="Q229" i="2"/>
  <c r="T229" i="2"/>
  <c r="V229" i="2"/>
  <c r="S123" i="2"/>
  <c r="R123" i="2"/>
  <c r="Q123" i="2"/>
  <c r="T123" i="2"/>
  <c r="Q42" i="2"/>
  <c r="R42" i="2"/>
  <c r="U42" i="2"/>
  <c r="S42" i="2"/>
  <c r="T42" i="2"/>
  <c r="U91" i="2"/>
  <c r="S91" i="2"/>
  <c r="R91" i="2"/>
  <c r="Q91" i="2"/>
  <c r="T91" i="2"/>
  <c r="U108" i="2"/>
  <c r="T108" i="2"/>
  <c r="S108" i="2"/>
  <c r="R108" i="2"/>
  <c r="Q108" i="2"/>
  <c r="T175" i="2"/>
  <c r="S175" i="2"/>
  <c r="R175" i="2"/>
  <c r="Q175" i="2"/>
  <c r="U175" i="2"/>
  <c r="U251" i="2"/>
  <c r="T251" i="2"/>
  <c r="S251" i="2"/>
  <c r="R251" i="2"/>
  <c r="Q251" i="2"/>
  <c r="U228" i="2"/>
  <c r="T228" i="2"/>
  <c r="S228" i="2"/>
  <c r="R228" i="2"/>
  <c r="Q228" i="2"/>
  <c r="U76" i="2"/>
  <c r="T76" i="2"/>
  <c r="S76" i="2"/>
  <c r="R76" i="2"/>
  <c r="Q76" i="2"/>
  <c r="U243" i="2"/>
  <c r="T243" i="2"/>
  <c r="S243" i="2"/>
  <c r="R243" i="2"/>
  <c r="Q243" i="2"/>
  <c r="U65" i="2"/>
  <c r="T65" i="2"/>
  <c r="S65" i="2"/>
  <c r="R65" i="2"/>
  <c r="Q65" i="2"/>
  <c r="U106" i="2"/>
  <c r="T106" i="2"/>
  <c r="S106" i="2"/>
  <c r="R106" i="2"/>
  <c r="Q106" i="2"/>
  <c r="U107" i="2"/>
  <c r="S107" i="2"/>
  <c r="R107" i="2"/>
  <c r="Q107" i="2"/>
  <c r="T107" i="2"/>
  <c r="U174" i="2"/>
  <c r="T174" i="2"/>
  <c r="S174" i="2"/>
  <c r="R174" i="2"/>
  <c r="Q174" i="2"/>
  <c r="U249" i="2"/>
  <c r="T249" i="2"/>
  <c r="S249" i="2"/>
  <c r="R249" i="2"/>
  <c r="Q249" i="2"/>
  <c r="U244" i="2"/>
  <c r="T244" i="2"/>
  <c r="S244" i="2"/>
  <c r="R244" i="2"/>
  <c r="Q244" i="2"/>
  <c r="U90" i="2"/>
  <c r="T90" i="2"/>
  <c r="S90" i="2"/>
  <c r="R90" i="2"/>
  <c r="Q90" i="2"/>
  <c r="R80" i="2"/>
  <c r="Q80" i="2"/>
  <c r="U80" i="2"/>
  <c r="T80" i="2"/>
  <c r="S80" i="2"/>
  <c r="U133" i="2"/>
  <c r="S133" i="2"/>
  <c r="R133" i="2"/>
  <c r="Q133" i="2"/>
  <c r="T133" i="2"/>
  <c r="R138" i="2"/>
  <c r="Q138" i="2"/>
  <c r="U138" i="2"/>
  <c r="T138" i="2"/>
  <c r="S138" i="2"/>
  <c r="U173" i="2"/>
  <c r="S173" i="2"/>
  <c r="R173" i="2"/>
  <c r="Q173" i="2"/>
  <c r="T173" i="2"/>
  <c r="U248" i="2"/>
  <c r="T248" i="2"/>
  <c r="S248" i="2"/>
  <c r="Q248" i="2"/>
  <c r="R248" i="2"/>
  <c r="T125" i="2"/>
  <c r="S125" i="2"/>
  <c r="R125" i="2"/>
  <c r="Q125" i="2"/>
  <c r="U125" i="2"/>
  <c r="U17" i="2"/>
  <c r="S17" i="2"/>
  <c r="T17" i="2"/>
  <c r="R17" i="2"/>
  <c r="Q17" i="2"/>
  <c r="T78" i="2"/>
  <c r="S78" i="2"/>
  <c r="Q78" i="2"/>
  <c r="R78" i="2"/>
  <c r="U127" i="2"/>
  <c r="T127" i="2"/>
  <c r="S127" i="2"/>
  <c r="R127" i="2"/>
  <c r="Q127" i="2"/>
  <c r="U142" i="2"/>
  <c r="T142" i="2"/>
  <c r="S142" i="2"/>
  <c r="R142" i="2"/>
  <c r="Q142" i="2"/>
  <c r="U172" i="2"/>
  <c r="T172" i="2"/>
  <c r="S172" i="2"/>
  <c r="R172" i="2"/>
  <c r="Q172" i="2"/>
  <c r="T247" i="2"/>
  <c r="S247" i="2"/>
  <c r="R247" i="2"/>
  <c r="Q247" i="2"/>
  <c r="U247" i="2"/>
  <c r="U11" i="2"/>
  <c r="T11" i="2"/>
  <c r="R11" i="2"/>
  <c r="Q11" i="2"/>
  <c r="L107" i="2"/>
  <c r="K107" i="2"/>
  <c r="L178" i="2"/>
  <c r="K178" i="2"/>
  <c r="L201" i="2"/>
  <c r="K201" i="2"/>
  <c r="L91" i="2"/>
  <c r="K91" i="2"/>
  <c r="L138" i="2"/>
  <c r="K138" i="2"/>
  <c r="L177" i="2"/>
  <c r="K177" i="2"/>
  <c r="K200" i="2"/>
  <c r="L200" i="2"/>
  <c r="L176" i="2"/>
  <c r="K176" i="2"/>
  <c r="L227" i="2"/>
  <c r="K227" i="2"/>
  <c r="L108" i="2"/>
  <c r="K108" i="2"/>
  <c r="L175" i="2"/>
  <c r="K175" i="2"/>
  <c r="K106" i="2"/>
  <c r="L106" i="2"/>
  <c r="L174" i="2"/>
  <c r="K174" i="2"/>
  <c r="L173" i="2"/>
  <c r="K173" i="2"/>
  <c r="L234" i="2"/>
  <c r="K234" i="2"/>
  <c r="L68" i="2"/>
  <c r="K68" i="2"/>
  <c r="L157" i="2"/>
  <c r="K157" i="2"/>
  <c r="L172" i="2"/>
  <c r="K172" i="2"/>
  <c r="L233" i="2"/>
  <c r="K233" i="2"/>
  <c r="L67" i="2"/>
  <c r="K67" i="2"/>
  <c r="L156" i="2"/>
  <c r="K156" i="2"/>
  <c r="L199" i="2"/>
  <c r="K199" i="2"/>
  <c r="L232" i="2"/>
  <c r="K232" i="2"/>
  <c r="L66" i="2"/>
  <c r="K66" i="2"/>
  <c r="L171" i="2"/>
  <c r="K171" i="2"/>
  <c r="L231" i="2"/>
  <c r="K231" i="2"/>
  <c r="L90" i="2"/>
  <c r="K90" i="2"/>
  <c r="L230" i="2"/>
  <c r="K230" i="2"/>
  <c r="K229" i="2"/>
  <c r="L229" i="2"/>
  <c r="L228" i="2"/>
  <c r="K228" i="2"/>
  <c r="L111" i="2"/>
  <c r="K111" i="2"/>
  <c r="L69" i="2"/>
  <c r="K69" i="2"/>
  <c r="L42" i="2"/>
  <c r="L63" i="2" s="1"/>
  <c r="K42" i="2"/>
  <c r="K63" i="2" s="1"/>
  <c r="K110" i="2"/>
  <c r="L110" i="2"/>
  <c r="L65" i="2"/>
  <c r="K65" i="2"/>
  <c r="L92" i="2"/>
  <c r="K92" i="2"/>
  <c r="L109" i="2"/>
  <c r="K109" i="2"/>
  <c r="L74" i="2"/>
  <c r="K74" i="2"/>
  <c r="K80" i="2"/>
  <c r="L80" i="2"/>
  <c r="L78" i="2"/>
  <c r="K78" i="2"/>
  <c r="U78" i="2" s="1"/>
  <c r="L76" i="2"/>
  <c r="K76" i="2"/>
  <c r="L102" i="2"/>
  <c r="K102" i="2"/>
  <c r="L97" i="2"/>
  <c r="K97" i="2"/>
  <c r="U97" i="2" s="1"/>
  <c r="L99" i="2"/>
  <c r="K99" i="2"/>
  <c r="L95" i="2"/>
  <c r="K95" i="2"/>
  <c r="L123" i="2"/>
  <c r="K123" i="2"/>
  <c r="U123" i="2" s="1"/>
  <c r="L125" i="2"/>
  <c r="K125" i="2"/>
  <c r="L122" i="2"/>
  <c r="K122" i="2"/>
  <c r="L121" i="2"/>
  <c r="K121" i="2"/>
  <c r="U121" i="2" s="1"/>
  <c r="K120" i="2"/>
  <c r="L120" i="2"/>
  <c r="K119" i="2"/>
  <c r="L119" i="2"/>
  <c r="L113" i="2"/>
  <c r="K113" i="2"/>
  <c r="U113" i="2" s="1"/>
  <c r="L127" i="2"/>
  <c r="K127" i="2"/>
  <c r="L114" i="2"/>
  <c r="K114" i="2"/>
  <c r="L112" i="2"/>
  <c r="K112" i="2"/>
  <c r="U112" i="2" s="1"/>
  <c r="K142" i="2"/>
  <c r="L142" i="2"/>
  <c r="L141" i="2"/>
  <c r="K141" i="2"/>
  <c r="L224" i="2"/>
  <c r="K224" i="2"/>
  <c r="L223" i="2"/>
  <c r="S223" i="2" s="1"/>
  <c r="K223" i="2"/>
  <c r="L222" i="2"/>
  <c r="K222" i="2"/>
  <c r="U222" i="2" s="1"/>
  <c r="L188" i="2"/>
  <c r="K188" i="2"/>
  <c r="L187" i="2"/>
  <c r="K187" i="2"/>
  <c r="L181" i="2"/>
  <c r="K181" i="2"/>
  <c r="L186" i="2"/>
  <c r="K186" i="2"/>
  <c r="U186" i="2" s="1"/>
  <c r="K183" i="2"/>
  <c r="U183" i="2" s="1"/>
  <c r="L183" i="2"/>
  <c r="L212" i="2"/>
  <c r="K212" i="2"/>
  <c r="L219" i="2"/>
  <c r="K219" i="2"/>
  <c r="K218" i="2"/>
  <c r="L218" i="2"/>
  <c r="L216" i="2"/>
  <c r="K216" i="2"/>
  <c r="U285" i="2"/>
  <c r="K16" i="2"/>
  <c r="L16" i="2"/>
  <c r="K11" i="2"/>
  <c r="L11" i="2"/>
  <c r="K15" i="2"/>
  <c r="L15" i="2"/>
  <c r="K12" i="2"/>
  <c r="L12" i="2"/>
  <c r="L14" i="2"/>
  <c r="K14" i="2"/>
  <c r="L18" i="2"/>
  <c r="K18" i="2"/>
  <c r="K13" i="2"/>
  <c r="L13" i="2"/>
  <c r="K17" i="2"/>
  <c r="L17" i="2"/>
  <c r="I217" i="2"/>
  <c r="I211" i="2"/>
  <c r="I75" i="2"/>
  <c r="I94" i="2"/>
  <c r="I128" i="2"/>
  <c r="I124" i="2"/>
  <c r="I118" i="2"/>
  <c r="I116" i="2"/>
  <c r="I77" i="2"/>
  <c r="I185" i="2"/>
  <c r="I220" i="2"/>
  <c r="I79" i="2"/>
  <c r="I73" i="2"/>
  <c r="I71" i="2"/>
  <c r="I100" i="2"/>
  <c r="I98" i="2"/>
  <c r="I96" i="2"/>
  <c r="I126" i="2"/>
  <c r="I134" i="2"/>
  <c r="I140" i="2"/>
  <c r="I144" i="2"/>
  <c r="I159" i="2"/>
  <c r="I179" i="2"/>
  <c r="I221" i="2"/>
  <c r="I215" i="2"/>
  <c r="I213" i="2"/>
  <c r="I202" i="2"/>
  <c r="I245" i="2"/>
  <c r="I271" i="2" s="1"/>
  <c r="G88" i="2"/>
  <c r="I72" i="2"/>
  <c r="I70" i="2"/>
  <c r="I103" i="2"/>
  <c r="I101" i="2"/>
  <c r="I93" i="2"/>
  <c r="I129" i="2"/>
  <c r="I117" i="2"/>
  <c r="I115" i="2"/>
  <c r="I143" i="2"/>
  <c r="I160" i="2"/>
  <c r="I158" i="2"/>
  <c r="I184" i="2"/>
  <c r="I182" i="2"/>
  <c r="I180" i="2"/>
  <c r="I214" i="2"/>
  <c r="I210" i="2"/>
  <c r="G135" i="2"/>
  <c r="G225" i="2"/>
  <c r="G197" i="2"/>
  <c r="G153" i="2"/>
  <c r="G104" i="2"/>
  <c r="G40" i="2"/>
  <c r="I169" i="2" l="1"/>
  <c r="I197" i="2"/>
  <c r="I135" i="2"/>
  <c r="I104" i="2"/>
  <c r="I88" i="2"/>
  <c r="I153" i="2"/>
  <c r="I225" i="2"/>
  <c r="K40" i="2"/>
  <c r="S11" i="2"/>
  <c r="L40" i="2"/>
  <c r="F8" i="2"/>
  <c r="F7" i="2"/>
  <c r="S115" i="2"/>
  <c r="Q115" i="2"/>
  <c r="T115" i="2"/>
  <c r="T129" i="2"/>
  <c r="S129" i="2"/>
  <c r="R129" i="2"/>
  <c r="Q129" i="2"/>
  <c r="U144" i="2"/>
  <c r="T144" i="2"/>
  <c r="S144" i="2"/>
  <c r="Q144" i="2"/>
  <c r="R144" i="2"/>
  <c r="U116" i="2"/>
  <c r="T116" i="2"/>
  <c r="S116" i="2"/>
  <c r="R116" i="2"/>
  <c r="Q116" i="2"/>
  <c r="U179" i="2"/>
  <c r="T179" i="2"/>
  <c r="S179" i="2"/>
  <c r="Q179" i="2"/>
  <c r="T117" i="2"/>
  <c r="R117" i="2"/>
  <c r="Q117" i="2"/>
  <c r="T93" i="2"/>
  <c r="S93" i="2"/>
  <c r="Q93" i="2"/>
  <c r="U93" i="2"/>
  <c r="T140" i="2"/>
  <c r="R140" i="2"/>
  <c r="Q140" i="2"/>
  <c r="T118" i="2"/>
  <c r="S118" i="2"/>
  <c r="Q118" i="2"/>
  <c r="R118" i="2"/>
  <c r="T77" i="2"/>
  <c r="S77" i="2"/>
  <c r="R77" i="2"/>
  <c r="Q77" i="2"/>
  <c r="T159" i="2"/>
  <c r="S159" i="2"/>
  <c r="R159" i="2"/>
  <c r="Q159" i="2"/>
  <c r="U159" i="2"/>
  <c r="T101" i="2"/>
  <c r="S101" i="2"/>
  <c r="R101" i="2"/>
  <c r="Q101" i="2"/>
  <c r="T134" i="2"/>
  <c r="S134" i="2"/>
  <c r="R134" i="2"/>
  <c r="Q134" i="2"/>
  <c r="U124" i="2"/>
  <c r="T124" i="2"/>
  <c r="R124" i="2"/>
  <c r="Q124" i="2"/>
  <c r="R128" i="2"/>
  <c r="Q128" i="2"/>
  <c r="T128" i="2"/>
  <c r="S128" i="2"/>
  <c r="U236" i="2"/>
  <c r="T236" i="2"/>
  <c r="S236" i="2"/>
  <c r="R236" i="2"/>
  <c r="Q236" i="2"/>
  <c r="U63" i="2"/>
  <c r="T63" i="2"/>
  <c r="S63" i="2"/>
  <c r="R63" i="2"/>
  <c r="Q63" i="2"/>
  <c r="R250" i="2"/>
  <c r="Q250" i="2"/>
  <c r="T250" i="2"/>
  <c r="S250" i="2"/>
  <c r="T70" i="2"/>
  <c r="S70" i="2"/>
  <c r="Q70" i="2"/>
  <c r="R70" i="2"/>
  <c r="T132" i="2"/>
  <c r="S132" i="2"/>
  <c r="R132" i="2"/>
  <c r="Q132" i="2"/>
  <c r="U94" i="2"/>
  <c r="S94" i="2"/>
  <c r="Q94" i="2"/>
  <c r="R94" i="2"/>
  <c r="T103" i="2"/>
  <c r="S103" i="2"/>
  <c r="Q103" i="2"/>
  <c r="T252" i="2"/>
  <c r="S252" i="2"/>
  <c r="R252" i="2"/>
  <c r="Q252" i="2"/>
  <c r="R72" i="2"/>
  <c r="Q72" i="2"/>
  <c r="T72" i="2"/>
  <c r="S72" i="2"/>
  <c r="R96" i="2"/>
  <c r="Q96" i="2"/>
  <c r="T96" i="2"/>
  <c r="S96" i="2"/>
  <c r="U75" i="2"/>
  <c r="S75" i="2"/>
  <c r="R75" i="2"/>
  <c r="Q75" i="2"/>
  <c r="T75" i="2"/>
  <c r="T126" i="2"/>
  <c r="Q126" i="2"/>
  <c r="R126" i="2"/>
  <c r="R210" i="2"/>
  <c r="Q210" i="2"/>
  <c r="U210" i="2"/>
  <c r="T210" i="2"/>
  <c r="S210" i="2"/>
  <c r="U98" i="2"/>
  <c r="T98" i="2"/>
  <c r="R98" i="2"/>
  <c r="Q98" i="2"/>
  <c r="U237" i="2"/>
  <c r="S237" i="2"/>
  <c r="R237" i="2"/>
  <c r="Q237" i="2"/>
  <c r="T237" i="2"/>
  <c r="T100" i="2"/>
  <c r="S100" i="2"/>
  <c r="R100" i="2"/>
  <c r="Q100" i="2"/>
  <c r="U235" i="2"/>
  <c r="T235" i="2"/>
  <c r="S235" i="2"/>
  <c r="R235" i="2"/>
  <c r="Q235" i="2"/>
  <c r="U180" i="2"/>
  <c r="T180" i="2"/>
  <c r="R180" i="2"/>
  <c r="Q180" i="2"/>
  <c r="T239" i="2"/>
  <c r="S239" i="2"/>
  <c r="R239" i="2"/>
  <c r="Q239" i="2"/>
  <c r="T71" i="2"/>
  <c r="S71" i="2"/>
  <c r="R71" i="2"/>
  <c r="Q71" i="2"/>
  <c r="U211" i="2"/>
  <c r="T211" i="2"/>
  <c r="S211" i="2"/>
  <c r="R211" i="2"/>
  <c r="Q211" i="2"/>
  <c r="T143" i="2"/>
  <c r="S143" i="2"/>
  <c r="R143" i="2"/>
  <c r="Q143" i="2"/>
  <c r="T182" i="2"/>
  <c r="S182" i="2"/>
  <c r="R182" i="2"/>
  <c r="Q182" i="2"/>
  <c r="S245" i="2"/>
  <c r="R245" i="2"/>
  <c r="Q245" i="2"/>
  <c r="T245" i="2"/>
  <c r="T73" i="2"/>
  <c r="S73" i="2"/>
  <c r="Q73" i="2"/>
  <c r="U217" i="2"/>
  <c r="T217" i="2"/>
  <c r="S217" i="2"/>
  <c r="R217" i="2"/>
  <c r="Q217" i="2"/>
  <c r="T214" i="2"/>
  <c r="S214" i="2"/>
  <c r="R214" i="2"/>
  <c r="Q214" i="2"/>
  <c r="U241" i="2"/>
  <c r="T241" i="2"/>
  <c r="S241" i="2"/>
  <c r="R241" i="2"/>
  <c r="Q241" i="2"/>
  <c r="U184" i="2"/>
  <c r="T184" i="2"/>
  <c r="Q184" i="2"/>
  <c r="R184" i="2"/>
  <c r="T79" i="2"/>
  <c r="R79" i="2"/>
  <c r="Q79" i="2"/>
  <c r="U40" i="2"/>
  <c r="T40" i="2"/>
  <c r="S40" i="2"/>
  <c r="R40" i="2"/>
  <c r="Q40" i="2"/>
  <c r="U213" i="2"/>
  <c r="R213" i="2"/>
  <c r="Q213" i="2"/>
  <c r="T213" i="2"/>
  <c r="S221" i="2"/>
  <c r="R221" i="2"/>
  <c r="Q221" i="2"/>
  <c r="T221" i="2"/>
  <c r="R202" i="2"/>
  <c r="Q202" i="2"/>
  <c r="T202" i="2"/>
  <c r="S202" i="2"/>
  <c r="T158" i="2"/>
  <c r="S158" i="2"/>
  <c r="Q158" i="2"/>
  <c r="T220" i="2"/>
  <c r="S220" i="2"/>
  <c r="R220" i="2"/>
  <c r="Q220" i="2"/>
  <c r="T160" i="2"/>
  <c r="S160" i="2"/>
  <c r="Q160" i="2"/>
  <c r="R160" i="2"/>
  <c r="T215" i="2"/>
  <c r="S215" i="2"/>
  <c r="R215" i="2"/>
  <c r="Q215" i="2"/>
  <c r="U215" i="2"/>
  <c r="T185" i="2"/>
  <c r="R185" i="2"/>
  <c r="Q185" i="2"/>
  <c r="L103" i="2"/>
  <c r="R103" i="2" s="1"/>
  <c r="K103" i="2"/>
  <c r="U103" i="2" s="1"/>
  <c r="L282" i="2"/>
  <c r="L134" i="2"/>
  <c r="K134" i="2"/>
  <c r="U134" i="2" s="1"/>
  <c r="K73" i="2"/>
  <c r="U73" i="2" s="1"/>
  <c r="L73" i="2"/>
  <c r="R73" i="2" s="1"/>
  <c r="K79" i="2"/>
  <c r="U79" i="2" s="1"/>
  <c r="L79" i="2"/>
  <c r="S79" i="2" s="1"/>
  <c r="L70" i="2"/>
  <c r="K70" i="2"/>
  <c r="U70" i="2" s="1"/>
  <c r="L75" i="2"/>
  <c r="K75" i="2"/>
  <c r="L77" i="2"/>
  <c r="K77" i="2"/>
  <c r="U77" i="2" s="1"/>
  <c r="K71" i="2"/>
  <c r="U71" i="2" s="1"/>
  <c r="L71" i="2"/>
  <c r="K72" i="2"/>
  <c r="U72" i="2" s="1"/>
  <c r="L72" i="2"/>
  <c r="L94" i="2"/>
  <c r="T94" i="2" s="1"/>
  <c r="K94" i="2"/>
  <c r="L98" i="2"/>
  <c r="S98" i="2" s="1"/>
  <c r="K98" i="2"/>
  <c r="L96" i="2"/>
  <c r="K96" i="2"/>
  <c r="U96" i="2" s="1"/>
  <c r="L100" i="2"/>
  <c r="K100" i="2"/>
  <c r="U100" i="2" s="1"/>
  <c r="K93" i="2"/>
  <c r="L93" i="2"/>
  <c r="R93" i="2" s="1"/>
  <c r="K101" i="2"/>
  <c r="U101" i="2" s="1"/>
  <c r="L101" i="2"/>
  <c r="L128" i="2"/>
  <c r="K128" i="2"/>
  <c r="U128" i="2" s="1"/>
  <c r="L129" i="2"/>
  <c r="K129" i="2"/>
  <c r="U129" i="2" s="1"/>
  <c r="U132" i="2"/>
  <c r="L124" i="2"/>
  <c r="S124" i="2" s="1"/>
  <c r="K124" i="2"/>
  <c r="K117" i="2"/>
  <c r="U117" i="2" s="1"/>
  <c r="L117" i="2"/>
  <c r="S117" i="2" s="1"/>
  <c r="L126" i="2"/>
  <c r="S126" i="2" s="1"/>
  <c r="K126" i="2"/>
  <c r="U126" i="2" s="1"/>
  <c r="K115" i="2"/>
  <c r="U115" i="2" s="1"/>
  <c r="L115" i="2"/>
  <c r="R115" i="2" s="1"/>
  <c r="L116" i="2"/>
  <c r="K116" i="2"/>
  <c r="K118" i="2"/>
  <c r="U118" i="2" s="1"/>
  <c r="L118" i="2"/>
  <c r="L143" i="2"/>
  <c r="K143" i="2"/>
  <c r="U143" i="2" s="1"/>
  <c r="L140" i="2"/>
  <c r="S140" i="2" s="1"/>
  <c r="K140" i="2"/>
  <c r="U140" i="2" s="1"/>
  <c r="L144" i="2"/>
  <c r="K144" i="2"/>
  <c r="L159" i="2"/>
  <c r="K159" i="2"/>
  <c r="L160" i="2"/>
  <c r="K160" i="2"/>
  <c r="U160" i="2" s="1"/>
  <c r="L158" i="2"/>
  <c r="R158" i="2" s="1"/>
  <c r="K158" i="2"/>
  <c r="U158" i="2" s="1"/>
  <c r="U239" i="2"/>
  <c r="K245" i="2"/>
  <c r="U245" i="2" s="1"/>
  <c r="L245" i="2"/>
  <c r="L271" i="2" s="1"/>
  <c r="U250" i="2"/>
  <c r="U252" i="2"/>
  <c r="L202" i="2"/>
  <c r="K202" i="2"/>
  <c r="U202" i="2" s="1"/>
  <c r="L221" i="2"/>
  <c r="K221" i="2"/>
  <c r="U221" i="2" s="1"/>
  <c r="L179" i="2"/>
  <c r="R179" i="2" s="1"/>
  <c r="K179" i="2"/>
  <c r="K182" i="2"/>
  <c r="U182" i="2" s="1"/>
  <c r="L182" i="2"/>
  <c r="L185" i="2"/>
  <c r="S185" i="2" s="1"/>
  <c r="K185" i="2"/>
  <c r="U185" i="2" s="1"/>
  <c r="L180" i="2"/>
  <c r="S180" i="2" s="1"/>
  <c r="K180" i="2"/>
  <c r="K184" i="2"/>
  <c r="L184" i="2"/>
  <c r="S184" i="2" s="1"/>
  <c r="L211" i="2"/>
  <c r="K211" i="2"/>
  <c r="K217" i="2"/>
  <c r="L217" i="2"/>
  <c r="L220" i="2"/>
  <c r="K220" i="2"/>
  <c r="U220" i="2" s="1"/>
  <c r="L210" i="2"/>
  <c r="K210" i="2"/>
  <c r="L213" i="2"/>
  <c r="S213" i="2" s="1"/>
  <c r="K213" i="2"/>
  <c r="K214" i="2"/>
  <c r="U214" i="2" s="1"/>
  <c r="L214" i="2"/>
  <c r="L215" i="2"/>
  <c r="K215" i="2"/>
  <c r="G8" i="2"/>
  <c r="L290" i="2" l="1"/>
  <c r="S282" i="2"/>
  <c r="K169" i="2"/>
  <c r="K135" i="2"/>
  <c r="L88" i="2"/>
  <c r="K104" i="2"/>
  <c r="K197" i="2"/>
  <c r="K153" i="2"/>
  <c r="L225" i="2"/>
  <c r="L153" i="2"/>
  <c r="L197" i="2"/>
  <c r="K271" i="2"/>
  <c r="L169" i="2"/>
  <c r="L104" i="2"/>
  <c r="K225" i="2"/>
  <c r="L135" i="2"/>
  <c r="K88" i="2"/>
  <c r="U282" i="2"/>
  <c r="I8" i="2"/>
  <c r="Q271" i="2"/>
  <c r="R271" i="2"/>
  <c r="U153" i="2"/>
  <c r="T153" i="2"/>
  <c r="S153" i="2"/>
  <c r="R153" i="2"/>
  <c r="Q153" i="2"/>
  <c r="U271" i="2"/>
  <c r="T271" i="2"/>
  <c r="S271" i="2"/>
  <c r="U169" i="2"/>
  <c r="T169" i="2"/>
  <c r="S169" i="2"/>
  <c r="R169" i="2"/>
  <c r="Q169" i="2"/>
  <c r="U225" i="2"/>
  <c r="T225" i="2"/>
  <c r="S225" i="2"/>
  <c r="R225" i="2"/>
  <c r="Q225" i="2"/>
  <c r="R104" i="2"/>
  <c r="Q104" i="2"/>
  <c r="U104" i="2"/>
  <c r="T104" i="2"/>
  <c r="S104" i="2"/>
  <c r="U197" i="2"/>
  <c r="S197" i="2"/>
  <c r="R197" i="2"/>
  <c r="Q197" i="2"/>
  <c r="T197" i="2"/>
  <c r="T135" i="2"/>
  <c r="S135" i="2"/>
  <c r="R135" i="2"/>
  <c r="Q135" i="2"/>
  <c r="U135" i="2"/>
  <c r="R88" i="2"/>
  <c r="Q88" i="2"/>
  <c r="U88" i="2"/>
  <c r="T88" i="2"/>
  <c r="S88" i="2"/>
  <c r="I4" i="2" l="1"/>
  <c r="I6" i="2"/>
  <c r="I5" i="2"/>
  <c r="I7" i="2"/>
  <c r="I2" i="2"/>
  <c r="AL46" i="5"/>
  <c r="O46" i="5" s="1"/>
  <c r="AM46" i="5"/>
  <c r="P46" i="5" s="1"/>
  <c r="AL60" i="5"/>
  <c r="O60" i="5" s="1"/>
  <c r="AM60" i="5"/>
  <c r="P60" i="5" s="1"/>
  <c r="AL59" i="5"/>
  <c r="O59" i="5" s="1"/>
  <c r="AM59" i="5"/>
  <c r="P59" i="5" s="1"/>
  <c r="AL53" i="5"/>
  <c r="O53" i="5" s="1"/>
  <c r="AM53" i="5"/>
  <c r="P53" i="5" s="1"/>
  <c r="AL54" i="5"/>
  <c r="O54" i="5" s="1"/>
  <c r="AM54" i="5"/>
  <c r="P54" i="5" s="1"/>
  <c r="AL56" i="5"/>
  <c r="O56" i="5" s="1"/>
  <c r="AM56" i="5"/>
  <c r="P56" i="5" s="1"/>
  <c r="AL57" i="5"/>
  <c r="O57" i="5" s="1"/>
  <c r="AM57" i="5"/>
  <c r="P57" i="5" s="1"/>
  <c r="AL55" i="5"/>
  <c r="O55" i="5" s="1"/>
  <c r="AM55" i="5"/>
  <c r="P55" i="5" s="1"/>
  <c r="AL58" i="5"/>
  <c r="O58" i="5" s="1"/>
  <c r="AM58" i="5"/>
  <c r="P58" i="5" s="1"/>
  <c r="AL48" i="5"/>
  <c r="O48" i="5" s="1"/>
  <c r="AM48" i="5"/>
  <c r="P48" i="5" s="1"/>
  <c r="AL47" i="5"/>
  <c r="O47" i="5" s="1"/>
  <c r="AM47" i="5"/>
  <c r="P47" i="5" s="1"/>
  <c r="AL49" i="5"/>
  <c r="O49" i="5" s="1"/>
  <c r="AM49" i="5"/>
  <c r="P49" i="5" s="1"/>
  <c r="AL50" i="5"/>
  <c r="O50" i="5" s="1"/>
  <c r="AM50" i="5"/>
  <c r="P50" i="5" s="1"/>
  <c r="AL51" i="5"/>
  <c r="O51" i="5" s="1"/>
  <c r="AM51" i="5"/>
  <c r="P51" i="5" s="1"/>
  <c r="AL52" i="5"/>
  <c r="O52" i="5" s="1"/>
  <c r="AM52" i="5"/>
  <c r="P52" i="5" s="1"/>
  <c r="G125" i="7"/>
  <c r="G128" i="7"/>
  <c r="J125"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<sst xmlns="http://schemas.openxmlformats.org/spreadsheetml/2006/main" count="3475" uniqueCount="1161">
  <si>
    <t>Concept</t>
  </si>
  <si>
    <t>Type</t>
  </si>
  <si>
    <t>Feature</t>
  </si>
  <si>
    <t>Part</t>
  </si>
  <si>
    <t>Scorecard Points</t>
  </si>
  <si>
    <t>Pursuing</t>
  </si>
  <si>
    <t>Status</t>
  </si>
  <si>
    <t>AIR</t>
  </si>
  <si>
    <t>P</t>
  </si>
  <si>
    <t>A01. Fundamental Air Quality</t>
  </si>
  <si>
    <t>A01.1 Meet Thresholds for Particulate Matter</t>
  </si>
  <si>
    <t>A01.2 Meet Thresholds for Organic Gases</t>
  </si>
  <si>
    <t>A01.3 Meet Thresholds for Inorganic Gases</t>
  </si>
  <si>
    <t>A01.4 Meet Radon Threshold</t>
  </si>
  <si>
    <t>A01.5 Monitor Fundamental Air Parameters</t>
  </si>
  <si>
    <t>A02. Smoke-Free Environment</t>
  </si>
  <si>
    <t>A02.1 Prohibit Indoor Smoking</t>
  </si>
  <si>
    <t>A02.2 Prohibit Outdoor Smoking</t>
  </si>
  <si>
    <t>A03. Ventilation Effectiveness</t>
  </si>
  <si>
    <t>A03.1 Ensure Adequate Ventilation</t>
  </si>
  <si>
    <t>A03.2 Conduct System Balancing</t>
  </si>
  <si>
    <t>A04. Construction Pollution Management</t>
  </si>
  <si>
    <t>A04.1 Mitigate Construction Pollution</t>
  </si>
  <si>
    <t>O</t>
  </si>
  <si>
    <t>A05. Enhanced Air Quality</t>
  </si>
  <si>
    <t>A05.1 / 2 Points Meet Enhanced Thresholds for Particulate Matter</t>
  </si>
  <si>
    <t>A06. Enhanced Ventilation</t>
  </si>
  <si>
    <t>A06.1 / 3 Points Increase Outdoor Air Supply</t>
  </si>
  <si>
    <t>A06.2 / 3 Points Implement Demand-Controlled Ventilation</t>
  </si>
  <si>
    <t>A06.4 / 3 Points Implement Advanced Air Distribution</t>
  </si>
  <si>
    <t>A07. Operable Windows</t>
  </si>
  <si>
    <t>A08. Air Quality Monitoring and Awareness</t>
  </si>
  <si>
    <t>A09. Pollution Infiltration Management</t>
  </si>
  <si>
    <t>A10. Combustion Minimization</t>
  </si>
  <si>
    <t>A11. Source Separation</t>
  </si>
  <si>
    <t>A12. Air Filtration</t>
  </si>
  <si>
    <t>A13. Active VOC Control</t>
  </si>
  <si>
    <t>A14. Microbe and Mold Control</t>
  </si>
  <si>
    <t>WATER</t>
  </si>
  <si>
    <t>W01. Fundamental Water Quality</t>
  </si>
  <si>
    <t>W01.1 Meet Sediment Thresholds</t>
  </si>
  <si>
    <t>W01.2 Meet Microorganisms Thresholds</t>
  </si>
  <si>
    <t>W01.3 Monitor Fundamental Water Parameters</t>
  </si>
  <si>
    <t>W02. Water Contaminants</t>
  </si>
  <si>
    <t>W02.1 Meet Dissolved Metal Thresholds</t>
  </si>
  <si>
    <t>W02.2 Meet Organic Pollutant Thresholds</t>
  </si>
  <si>
    <t>W02.3 Meet Disinfectant Byproducts Thresholds</t>
  </si>
  <si>
    <t>W02.4 Meet Herbicide and Pesticide Thresholds</t>
  </si>
  <si>
    <t>W02.5 Meet Fertilizer Thresholds</t>
  </si>
  <si>
    <t>W02.6 Meet Public Water Additive Thresholds</t>
  </si>
  <si>
    <t>W02.7 Monitor Water Contaminant Parameters</t>
  </si>
  <si>
    <t>W03. Legionella Control</t>
  </si>
  <si>
    <t>W03.1 Implement Legionella Management Plan</t>
  </si>
  <si>
    <t>W04. Enhanced Water Quality</t>
  </si>
  <si>
    <t>W05. Water Quality Consistency</t>
  </si>
  <si>
    <t>W06. Drinking Water Promotion</t>
  </si>
  <si>
    <t>W07. Moisture Management</t>
  </si>
  <si>
    <t>W08. Handwashing</t>
  </si>
  <si>
    <t>NOURISHMENT</t>
  </si>
  <si>
    <t>N01. Fruits and Vegetables</t>
  </si>
  <si>
    <t>N01.1 Ensure Fruit and Vegetable Availability</t>
  </si>
  <si>
    <t>N01.2 Promote Fruit and Vegetable Visibility</t>
  </si>
  <si>
    <t>N02. Nutritional Transparency</t>
  </si>
  <si>
    <t>N02.1 Provide Nutritional Information</t>
  </si>
  <si>
    <t>N02.2 Implement Ingredient Labeling</t>
  </si>
  <si>
    <t>N02.3 Implement Refined Ingredient Labeling</t>
  </si>
  <si>
    <t>N03. Refined Ingredients</t>
  </si>
  <si>
    <t>N04. Food Advertising</t>
  </si>
  <si>
    <t>N05. Artificial Ingredients</t>
  </si>
  <si>
    <t>N06. Portion Sizes</t>
  </si>
  <si>
    <t>N07. Nutrition Education</t>
  </si>
  <si>
    <t>N08. Mindful Eating</t>
  </si>
  <si>
    <t>N09. Special Diets</t>
  </si>
  <si>
    <t>N10. Food Preparation</t>
  </si>
  <si>
    <t>N11. Responsible Food Sourcing</t>
  </si>
  <si>
    <t>N12. Food Production</t>
  </si>
  <si>
    <t>N13. Local Food Environment</t>
  </si>
  <si>
    <t>LIGHT</t>
  </si>
  <si>
    <t>L01. Light Exposure and Education</t>
  </si>
  <si>
    <t>L01.1 Ensure Indoor Light Exposure</t>
  </si>
  <si>
    <t>L01.2 Promote Lighting Education</t>
  </si>
  <si>
    <t>L02. Visual Lighting Design</t>
  </si>
  <si>
    <t>L02.1 Light Levels for Visual Acuity</t>
  </si>
  <si>
    <t>L03. Circadian Lighting Design</t>
  </si>
  <si>
    <t>L03.1 / 3 Points Lighting for the Circadian System</t>
  </si>
  <si>
    <t>L04. Glare Control</t>
  </si>
  <si>
    <t>L04.1 / 2 Points Control Solar Glare</t>
  </si>
  <si>
    <t>L04.2 / 2 Points Manage Glare from Electric Lighting</t>
  </si>
  <si>
    <t>L05. Enhanced Daylight Access</t>
  </si>
  <si>
    <t>L05.2 / 2 Points Implement Enhanced Daylight Simulation</t>
  </si>
  <si>
    <t>L06. Visual Balance</t>
  </si>
  <si>
    <t>L07. Electric Light Quality</t>
  </si>
  <si>
    <t>L08. Occupant Control of Lighting Environments</t>
  </si>
  <si>
    <t>MOVEMENT</t>
  </si>
  <si>
    <t>V01. Active Buildings and Communities</t>
  </si>
  <si>
    <t>V01.1 Design Active Buildings and Communities</t>
  </si>
  <si>
    <t>V02. Visual and Physical Ergonomics</t>
  </si>
  <si>
    <t>V02.1 Support Visual Ergonomics</t>
  </si>
  <si>
    <t>V02.2 Ensure Desk Height Flexibility</t>
  </si>
  <si>
    <t>V02.3 Ensure Seat Flexibility</t>
  </si>
  <si>
    <t>V02.4 Provide Standing Support</t>
  </si>
  <si>
    <t>V02.5 Provide Ergonomics Education</t>
  </si>
  <si>
    <t>V03. Movement Network and Circulation</t>
  </si>
  <si>
    <t>V04. Active Commuter and Occupant Support</t>
  </si>
  <si>
    <t>V04.1 / 2 Points Provide Bicycle Storage</t>
  </si>
  <si>
    <t>V04.2 / 2 Points Provide Facilities for Active Occupants</t>
  </si>
  <si>
    <t>V05. Site Planning and Selection</t>
  </si>
  <si>
    <t>V05.1 / 2 Points Select Sites with Diverse Uses</t>
  </si>
  <si>
    <t>V05.2 / 2 Points Select Sites with Access to Mass Transit</t>
  </si>
  <si>
    <t>V05.3 / 2 Points Select Sites with Pedestrian Friendly Streets</t>
  </si>
  <si>
    <t>V05.4 / 2 Points Select Sites with Bike Friendly Streets</t>
  </si>
  <si>
    <t>V06. Physical Activity Opportunities</t>
  </si>
  <si>
    <t>V07. Active Furnishings</t>
  </si>
  <si>
    <t>V08. Physical Activity Spaces and Equipment</t>
  </si>
  <si>
    <t>V09. Exterior Active Design</t>
  </si>
  <si>
    <t>V10. Enhanced Ergonomics</t>
  </si>
  <si>
    <t>V11. Physical Activity Promotion</t>
  </si>
  <si>
    <t>V12. Self-Monitoring</t>
  </si>
  <si>
    <t>THERMAL COMFORT</t>
  </si>
  <si>
    <t>T01. Thermal Performance</t>
  </si>
  <si>
    <t>T01.1 Support Thermal Environment</t>
  </si>
  <si>
    <t>T01.2 Monitor Thermal Parameters</t>
  </si>
  <si>
    <t>T02. Enhanced Thermal Performance</t>
  </si>
  <si>
    <t>T02.2 / 3 Points Achieve Thermal Comfort</t>
  </si>
  <si>
    <t>T03. Thermal Zoning</t>
  </si>
  <si>
    <t>T03.1 / 2 Points Ensure Thermostat Control</t>
  </si>
  <si>
    <t>T04. Individual Thermal Control</t>
  </si>
  <si>
    <t>T04.1 / 3 Points Ensure Personal Thermal Comfort</t>
  </si>
  <si>
    <t>T05. Radiant Thermal Comfort</t>
  </si>
  <si>
    <t>T06. Thermal Comfort Monitoring</t>
  </si>
  <si>
    <t>T07. Humidity Control</t>
  </si>
  <si>
    <t>SOUND</t>
  </si>
  <si>
    <t>S01. Sound Mapping</t>
  </si>
  <si>
    <t>S01.1 Manage Background Noise Level</t>
  </si>
  <si>
    <t>S01.2 Manage Acoustical Privacy</t>
  </si>
  <si>
    <t>S01.3 Label Acoustic Zones</t>
  </si>
  <si>
    <t>S02. Maximum Noise Levels</t>
  </si>
  <si>
    <t>S02.1 / 3 Points Limit Background Noise Levels</t>
  </si>
  <si>
    <t>S03. Sound Barriers</t>
  </si>
  <si>
    <t>S03.1 / 2 Points Ensure Adequate Wall Construction</t>
  </si>
  <si>
    <t>S04. Sound Absorption</t>
  </si>
  <si>
    <t>S05. Sound Masking</t>
  </si>
  <si>
    <t>S05.1 / 2 Points Implement Sound Masking</t>
  </si>
  <si>
    <t>MATERIALS</t>
  </si>
  <si>
    <t>X01. Fundamental Material Precautions</t>
  </si>
  <si>
    <t>X01.1 Restrict Asbestos</t>
  </si>
  <si>
    <t>X01.2 Limit Mercury</t>
  </si>
  <si>
    <t>X01.3 Restrict Lead</t>
  </si>
  <si>
    <t>X02. Hazardous Material Abatement</t>
  </si>
  <si>
    <t>X02.1 Manage Asbestos Hazards</t>
  </si>
  <si>
    <t>X02.2 Manage Lead Hazards</t>
  </si>
  <si>
    <t>X02.3 Manage Polychlorinated Biphenyl (PCB) Hazards</t>
  </si>
  <si>
    <t>X03. Outdoor Structures</t>
  </si>
  <si>
    <t>X03.1 Ensure Acceptable Structures</t>
  </si>
  <si>
    <t>X03.2 Manage Exterior Paint and Soil</t>
  </si>
  <si>
    <t>X04. Waste Management</t>
  </si>
  <si>
    <t>X05. In-Place Management</t>
  </si>
  <si>
    <t>X06. Site Remediation</t>
  </si>
  <si>
    <t>X07. Pesticide Use</t>
  </si>
  <si>
    <t>X08. Hazardous Material Reduction</t>
  </si>
  <si>
    <t>X09. Cleaning Products and Protocol</t>
  </si>
  <si>
    <t>X10. Volatile Compound Reduction</t>
  </si>
  <si>
    <t>X11. Long-Term Emission Control</t>
  </si>
  <si>
    <t>X12. Short-Term Emission Control</t>
  </si>
  <si>
    <t>X13. Enhanced Material Precaution</t>
  </si>
  <si>
    <t>X14. Material Transparency</t>
  </si>
  <si>
    <t>MIND</t>
  </si>
  <si>
    <t>M01. Mental Health Promotion</t>
  </si>
  <si>
    <t>M01.1 Commit to Mental Health Promotion</t>
  </si>
  <si>
    <t>M01.2 Promote Mental Health Literacy</t>
  </si>
  <si>
    <t>M02. Access to Nature</t>
  </si>
  <si>
    <t>M03. Mental Health Support</t>
  </si>
  <si>
    <t>M04. Mental Health Education</t>
  </si>
  <si>
    <t>M05. Stress Support</t>
  </si>
  <si>
    <t>M06. Restorative Opportunities</t>
  </si>
  <si>
    <t>M07. Restorative Spaces</t>
  </si>
  <si>
    <t>M08. Restorative Programming</t>
  </si>
  <si>
    <t>M09. Enhanced Access to Nature</t>
  </si>
  <si>
    <t>M10. Focus Support</t>
  </si>
  <si>
    <t>M11. Sleep Support</t>
  </si>
  <si>
    <t>M12. Business Travel</t>
  </si>
  <si>
    <t>M13. Tobacco Prevention and Cessation</t>
  </si>
  <si>
    <t>M14. Substance Use Education and Services</t>
  </si>
  <si>
    <t>M15. Opioid Emergency Response Plan</t>
  </si>
  <si>
    <t>COMMUNITY</t>
  </si>
  <si>
    <t>C01. Health and Wellness Awareness</t>
  </si>
  <si>
    <t>C01.1 Provide WELL Feature Guide</t>
  </si>
  <si>
    <t>C01.2 Promote Health and Wellness Education</t>
  </si>
  <si>
    <t>C02. Integrative Design</t>
  </si>
  <si>
    <t>C02.1 Facilitate Stakeholder Charrette</t>
  </si>
  <si>
    <t>C02.2 Integrate Beauty and Design</t>
  </si>
  <si>
    <t>C02.3 Promote Health-Oriented Mission</t>
  </si>
  <si>
    <t>C02.4 Facilitate Stakeholder Orientation</t>
  </si>
  <si>
    <t>C03. Occupant Survey</t>
  </si>
  <si>
    <t>C03.1 Select Project Survey</t>
  </si>
  <si>
    <t>C03.2 Administer Survey and Report Results</t>
  </si>
  <si>
    <t>C04. Enhanced Occupant Survey</t>
  </si>
  <si>
    <t>C05. Health Services and Benefits</t>
  </si>
  <si>
    <t>C06. Health Promotion</t>
  </si>
  <si>
    <t>C07. Community Immunity</t>
  </si>
  <si>
    <t>C08. New Parent Support</t>
  </si>
  <si>
    <t>C09. New Mother Support</t>
  </si>
  <si>
    <t>C10. Family Support</t>
  </si>
  <si>
    <t>C11. Civic Engagement</t>
  </si>
  <si>
    <t>C12. Organizational Transparency</t>
  </si>
  <si>
    <t>C13. Accessibility and Universal Design</t>
  </si>
  <si>
    <t>C14. Bathroom Accommodations</t>
  </si>
  <si>
    <t>C15. Emergency Preparedness</t>
  </si>
  <si>
    <t>C16. Community Access and Engagement</t>
  </si>
  <si>
    <t>INNOVATIONS</t>
  </si>
  <si>
    <t>I01. Innovate WELL</t>
  </si>
  <si>
    <t>I02. WELL Accredited Professional (WELL AP)</t>
  </si>
  <si>
    <t>I03. Educate WELL</t>
  </si>
  <si>
    <t>I04. Gateways to Wellness</t>
  </si>
  <si>
    <t>I05. Green Building Rating Systems</t>
  </si>
  <si>
    <t>Hide these columns before printing to PDF</t>
  </si>
  <si>
    <t xml:space="preserve"> Points Attempted</t>
  </si>
  <si>
    <t>Review Comment</t>
  </si>
  <si>
    <t>A01.1
Meet Thresholds for Particulate Matter</t>
  </si>
  <si>
    <t>Required</t>
  </si>
  <si>
    <t>Pending Documentation, Pending On-site Assessment</t>
  </si>
  <si>
    <t>A01.2
Meet Thresholds for Organic Gases</t>
  </si>
  <si>
    <t>A01.3
Meet Thresholds for Inorganic Gases</t>
  </si>
  <si>
    <t>A01.4
Meet Radon Threshold</t>
  </si>
  <si>
    <t>A01.5
Monitor Fundamental Air Parameters</t>
  </si>
  <si>
    <t>A02.1
Prohibit Indoor Smoking</t>
  </si>
  <si>
    <t>A02.2
Prohibit Outdoor Smoking</t>
  </si>
  <si>
    <t>A03.1
Ensure Adequate Ventilation</t>
  </si>
  <si>
    <t>A03.2
Conduct System Balancing for All Spaces</t>
  </si>
  <si>
    <t>A04.1
Mitigate Construction Pollution</t>
  </si>
  <si>
    <t>A05.1 / 2 Points 
Meet Enhanced Thresholds for Particulate Matter</t>
  </si>
  <si>
    <t>A06.1 / 3 Points 
Increase Outdoor Air Supply</t>
  </si>
  <si>
    <t>A06.2 / 3 Points 
Implement Demand-Controlled Ventilation</t>
  </si>
  <si>
    <t>A06.4 / 3 Points 
Implement Advanced Air Distribution</t>
  </si>
  <si>
    <t>W01.1
Meet Sediment Thresholds</t>
  </si>
  <si>
    <t>W01.2
Meet Microorganisms Thresholds</t>
  </si>
  <si>
    <t>W01.3
Monitor Fundamental Water Parameters</t>
  </si>
  <si>
    <t>W02.1
Meet Dissolved Metal Thresholds</t>
  </si>
  <si>
    <t>W02.2
Meet Organic Pollutant Thresholds</t>
  </si>
  <si>
    <t>W02.3
Meet Disinfectant Byproducts Thresholds</t>
  </si>
  <si>
    <t>W02.4
Meet Herbicide and Pesticide Thresholds</t>
  </si>
  <si>
    <t>W02.5
Meet Fertilizer Thresholds</t>
  </si>
  <si>
    <t>W02.6
Meet Public Water Additive Thresholds</t>
  </si>
  <si>
    <t>W02.7
Monitor Water Contaminant Parameters</t>
  </si>
  <si>
    <t>W03.1
Implement Legionella Management Plan</t>
  </si>
  <si>
    <t>N01.1
Ensure Fruit and Vegetable Availability</t>
  </si>
  <si>
    <t>N01.2
Promote Fruit and Vegetable Visibility</t>
  </si>
  <si>
    <t>N02.1
Provide Nutritional Information</t>
  </si>
  <si>
    <t>N02.2
Implement Ingredient Labeling</t>
  </si>
  <si>
    <t>N02.3
Implement Refined Ingredient Labeling</t>
  </si>
  <si>
    <t>L01.1
Ensure Indoor Light Exposure</t>
  </si>
  <si>
    <t>L01.2
Promote Lighting Education</t>
  </si>
  <si>
    <t>L02.1
Light Levels for Visual Acuity</t>
  </si>
  <si>
    <t>L03.1 / 3 Points 
Lighting for the Circadian System</t>
  </si>
  <si>
    <t>L04.1 / 2 Points 
Control Solar Glare</t>
  </si>
  <si>
    <t>L04.2 / 2 Points 
Manage Glare from Electric Lighting</t>
  </si>
  <si>
    <t>L05.2 / 2 Points 
Implement Enhanced Daylight Simulation</t>
  </si>
  <si>
    <t>V01.1
Design Active Buildings and Communities</t>
  </si>
  <si>
    <t>V02.1
Support Visual Ergonomics</t>
  </si>
  <si>
    <t>V02.2
Ensure Desk Height Flexibility</t>
  </si>
  <si>
    <t>V02.3
Ensure Seat Flexibility</t>
  </si>
  <si>
    <t>V02.4
Provide Standing Support</t>
  </si>
  <si>
    <t>V02.5
Provide Ergonomics Education</t>
  </si>
  <si>
    <t>V04.1 / 2 Points 
Provide Bicycle Storage</t>
  </si>
  <si>
    <t>V04.2 / 2 Points 
Provide Facilities for Active Occupants</t>
  </si>
  <si>
    <t>V05.1 / 2 Points 
Select Sites with Diverse Uses</t>
  </si>
  <si>
    <t>V05.2 / 2 Points 
Select Sites with Access to Mass Transit</t>
  </si>
  <si>
    <t>V05.3 / 2 Points 
Select Sites with Pedestrian Friendly Streets</t>
  </si>
  <si>
    <t>V05.4 / 2 Points 
Select Sites with Bike Friendly Streets</t>
  </si>
  <si>
    <t>V06.1 / 2 Points 
Implement Activity Programs for Employees</t>
  </si>
  <si>
    <t>V06.2 / 2 Points 
Implement Activity Programs for Students</t>
  </si>
  <si>
    <t>V07.1 / 2 Points 
Provide Active Workstations</t>
  </si>
  <si>
    <t>T01.2
Monitor Thermal Parameters</t>
  </si>
  <si>
    <t>T02.2 / 3 Points 
Achieve Thermal Comfort</t>
  </si>
  <si>
    <t>T03.1 / 2 Points 
Ensure Thermostat Control</t>
  </si>
  <si>
    <t>T04.1 / 3 Points 
Ensure Personal Thermal Comfort</t>
  </si>
  <si>
    <t>S01.1
Manage Background Noise Level</t>
  </si>
  <si>
    <t>S01.2
Manage Acoustical Privacy</t>
  </si>
  <si>
    <t>S01.3
Label Acoustic Zones</t>
  </si>
  <si>
    <t>S02.1 / 3 Points 
Limit Background Noise Levels</t>
  </si>
  <si>
    <t>S03.1 / 2 Points 
Ensure Adequate Wall Construction</t>
  </si>
  <si>
    <t>S05.1 / 2 Points 
Implement Sound Masking</t>
  </si>
  <si>
    <t>X01.1
Restrict Asbestos</t>
  </si>
  <si>
    <t>X01.2
Limit Mercury</t>
  </si>
  <si>
    <t>X01.3
Restrict Lead</t>
  </si>
  <si>
    <t>X02.1
Manage Asbestos Hazards</t>
  </si>
  <si>
    <t>X02.2
Manage Lead Hazards</t>
  </si>
  <si>
    <t>X02.3
Manage Polychlorinated Biphenyl (PCB) Hazards</t>
  </si>
  <si>
    <t>X03.1
Ensure Acceptable Structures</t>
  </si>
  <si>
    <t>X03.2
Manage Exterior Paint and Soil</t>
  </si>
  <si>
    <t>X05.1 / 2 Points 
Manage Hazardous Materials</t>
  </si>
  <si>
    <t>X06.1 / 2 Points 
Implement Site Assessment and Cleanup</t>
  </si>
  <si>
    <t>X10.1 / 2 Points 
Manage Volatile Organic Compounds</t>
  </si>
  <si>
    <t>X11.1 / 2 Points 
Manage Furniture and Furnishings Emissions</t>
  </si>
  <si>
    <t>X12.1 / 3 Points 
Manage Product Emissions: Adhesives, Sealants, Paints and Coatings</t>
  </si>
  <si>
    <t>X12.2 / 2 Points 
Manage Product Content: Adhesives, Sealants, Paints and Coatings</t>
  </si>
  <si>
    <t>X13.1 / 2 Points 
Select Optimized Materials</t>
  </si>
  <si>
    <t>X14.1 / 2 Points 
Promote Ingredient Disclosure</t>
  </si>
  <si>
    <t>M01.1
Commit to Mental Health Promotion</t>
  </si>
  <si>
    <t>M01.2
Promote Mental Health Literacy</t>
  </si>
  <si>
    <t>M13.2 / 2 Points 
Support Tobacco Cessation</t>
  </si>
  <si>
    <t>M14.2 / 2 Points 
Provide Access to Substance Use Services</t>
  </si>
  <si>
    <t>M15.1 / 3 Points 
Provide Opioid Emergency Response Kits and Training</t>
  </si>
  <si>
    <t>C01.1
Provide WELL Feature Guide</t>
  </si>
  <si>
    <t>C01.2
Promote Health and Wellness Education</t>
  </si>
  <si>
    <t>C02.1
Facilitate Stakeholder Charrette</t>
  </si>
  <si>
    <t>C02.2
Integrate Beauty and Design</t>
  </si>
  <si>
    <t>C02.3
Promote Health-Oriented Mission</t>
  </si>
  <si>
    <t>C02.4
Facilitate Stakeholder Orientation</t>
  </si>
  <si>
    <t>C03.1
Select Project Survey</t>
  </si>
  <si>
    <t>C03.2
Administer Survey and Report Results</t>
  </si>
  <si>
    <t>C05.1 / 2 Points 
Promote Health Benefits</t>
  </si>
  <si>
    <t>C06.1 / 2 Points 
Promote Culture of Health</t>
  </si>
  <si>
    <t>C08.1 / 3 Points 
Offer New Parent Leave</t>
  </si>
  <si>
    <t>C09.2 / 2 Points 
Design Lactation Room</t>
  </si>
  <si>
    <t>C12.1 / 2 Points 
Promote Equity Program Participation</t>
  </si>
  <si>
    <t>C13.2 / 2 Points 
Integrate Universal Design</t>
  </si>
  <si>
    <t>C15.2 / 2 Points 
Promote Emergency Resources</t>
  </si>
  <si>
    <t>I01.1 / 10 Points 
Propose Innovations</t>
  </si>
  <si>
    <t>I05.1 / 5 Points 
Achieve Sustainable Building Certification</t>
  </si>
  <si>
    <t>Achieved</t>
  </si>
  <si>
    <t>Anticipated, Pending On-site Assessment</t>
  </si>
  <si>
    <t>Not Achieved</t>
  </si>
  <si>
    <t>Not Anticipated</t>
  </si>
  <si>
    <t>Not Attempted</t>
  </si>
  <si>
    <t>Pending</t>
  </si>
  <si>
    <t>Pending Documentation</t>
  </si>
  <si>
    <t>Pending On-site Assessment</t>
  </si>
  <si>
    <t>Withdrawn</t>
  </si>
  <si>
    <t>Projects must achieve all preconditions as well as a certain number of points to earn different levels of certification:</t>
  </si>
  <si>
    <t>no more than 100 points total across the ten concepts. Projects can also pursue an additional ten points for Innovation.</t>
  </si>
  <si>
    <t>At the point of submitting for Documentation Review, projects must submit a scorecard that contains a selection of</t>
  </si>
  <si>
    <t>Points earned under W05 do not contribute to two point minimum</t>
  </si>
  <si>
    <t>One point earned under V03, 04, 05, 07, or 09 doesn't count toward the 2-point min</t>
  </si>
  <si>
    <t>Scoring and Certification Levels (Note that this is subject to change and may vary - always check the version of the rating system you're using</t>
  </si>
  <si>
    <t xml:space="preserve">WELL Core projects must achieve all preconditions as well as a certain number of points to earn different levels of certification:
</t>
  </si>
  <si>
    <t>Template functionality</t>
  </si>
  <si>
    <t>Manually adjust points in column G, as needed to account for Feature level point caps
If a change is made, highlight the cell red for visibility during QC</t>
  </si>
  <si>
    <t>If a change is made, highlight the cell red for visibility during QC</t>
  </si>
  <si>
    <t>Manually adjust points in column G of the Review comments tab, as needed to account for Feature level point caps</t>
  </si>
  <si>
    <t>Total Points Attempted</t>
  </si>
  <si>
    <t>Partially Achieved</t>
  </si>
  <si>
    <t>Preliminary Precertification Review</t>
  </si>
  <si>
    <t>Review Phase</t>
  </si>
  <si>
    <t>Preliminary Documentation Review</t>
  </si>
  <si>
    <t>Final Documentation Review</t>
  </si>
  <si>
    <t>Final Precertification Review</t>
  </si>
  <si>
    <t>Preliminary Performance Review</t>
  </si>
  <si>
    <t>Final Performance Review</t>
  </si>
  <si>
    <t>Curative Action Plan Review</t>
  </si>
  <si>
    <t>Appeal Review</t>
  </si>
  <si>
    <t>Final WELL Report</t>
  </si>
  <si>
    <t>Not Applicable</t>
  </si>
  <si>
    <t>S06. β - Impact Noise Management</t>
  </si>
  <si>
    <t>S06.1 / 1 Point Specify Impact Noise Reducing Flooring</t>
  </si>
  <si>
    <t xml:space="preserve">S06.2 / 2 Points Meet Thresholds for Impact Noise Rating </t>
  </si>
  <si>
    <t xml:space="preserve">S06.2 / 2 Points 
Meet Thresholds for Impact Noise Rating </t>
  </si>
  <si>
    <t>S06.1 / 1 Point 
Specify Impact Noise Reducing Flooring</t>
  </si>
  <si>
    <t>Added 12/10/2019</t>
  </si>
  <si>
    <t>W09. β -  Onsite Non-Potable Water Reuse</t>
  </si>
  <si>
    <t>C17.  β  - Housing Equity</t>
  </si>
  <si>
    <t>W09. β - Onsite Non-Potable Water Reuse</t>
  </si>
  <si>
    <t>C17. β - Housing Equity</t>
  </si>
  <si>
    <t>C17.1 / 2 Points
Unit Allocation</t>
  </si>
  <si>
    <t>Added 6/1/2020</t>
  </si>
  <si>
    <t>Partially Anticipated</t>
  </si>
  <si>
    <t>Anticipated Status</t>
  </si>
  <si>
    <t>Not Anticipated Status</t>
  </si>
  <si>
    <t>Pending Status</t>
  </si>
  <si>
    <t>Anticipated</t>
  </si>
  <si>
    <t>Attempted</t>
  </si>
  <si>
    <t>REVIEW PHASE</t>
  </si>
  <si>
    <t>VALID STATUS</t>
  </si>
  <si>
    <t>List of valid status options</t>
  </si>
  <si>
    <t>Data Validation List</t>
  </si>
  <si>
    <t>The values above drive the counts in the overview tab for review phases for the anticipated/achieved sums</t>
  </si>
  <si>
    <t>The values above drive the counts for not anticipated/achieved sums on the overview</t>
  </si>
  <si>
    <t>The list to the left drives the review phase drop down on the Overview tab. The order here determines drop down order</t>
  </si>
  <si>
    <t>The values to the left drive the headers for the Overview tab. No need to sort, if sorted, include all columns in the sort</t>
  </si>
  <si>
    <t>Sort Order</t>
  </si>
  <si>
    <t>To Resort the status's by phase, update the numbering within each Phase, and then resort by Review Phase, then Sort Order.  This will automatically resort in the drop down in the Comments Tab.</t>
  </si>
  <si>
    <t>Innovation I01.1 Special Data validation</t>
  </si>
  <si>
    <t>PV Status</t>
  </si>
  <si>
    <t>PV Match</t>
  </si>
  <si>
    <t>TA Match</t>
  </si>
  <si>
    <t>TA Status</t>
  </si>
  <si>
    <t>PV and Status MISMATCH</t>
  </si>
  <si>
    <t>Not Anticipated/Not Achieved Status</t>
  </si>
  <si>
    <t>Anticipated, Pending On-Site</t>
  </si>
  <si>
    <t>Pending Status Column</t>
  </si>
  <si>
    <t>Pending Status Counts</t>
  </si>
  <si>
    <t>Pending On-Site Counts</t>
  </si>
  <si>
    <t>Pending Doc/On-site Counts</t>
  </si>
  <si>
    <t>On-Site</t>
  </si>
  <si>
    <t>Pending Doc</t>
  </si>
  <si>
    <t>Pending doc/On-site</t>
  </si>
  <si>
    <t>Anticipated/achieved</t>
  </si>
  <si>
    <t>Precondition pending</t>
  </si>
  <si>
    <t>A05.2 / 1 Point Meet Enhanced Thresholds for Organic Gases</t>
  </si>
  <si>
    <t>A05.3 / 1 Point Meet Enhanced Thresholds for Inorganic Gases</t>
  </si>
  <si>
    <t>A06.3 / 1 Point Implement Displacement Ventilation</t>
  </si>
  <si>
    <t>A07.1 / 1 Point Provide Operable Windows</t>
  </si>
  <si>
    <t>A07.2 / 1 Point Manage Window Use</t>
  </si>
  <si>
    <t>A07.3 / 1 Point Apply Universal Design to Windows</t>
  </si>
  <si>
    <t>A08.1 / 1 Point Implement Indoor Air Monitors</t>
  </si>
  <si>
    <t>A08.2 / 1 Point Promote Air Quality Awareness</t>
  </si>
  <si>
    <t>A09.1 / 1 Point Design Healthy Envelope and Entryways</t>
  </si>
  <si>
    <t>A10.1 / 1 Point Manage Combustion</t>
  </si>
  <si>
    <t>A11.1 / 1 Point Manage Pollution and Exhaust</t>
  </si>
  <si>
    <t>A12.1 / 1 Point Implement Particle Filtration</t>
  </si>
  <si>
    <t>A13.1 / 1 Point Implement Carbon Filtration</t>
  </si>
  <si>
    <t>A14.1 / 1 Point Implement Ultraviolet Air Treatment</t>
  </si>
  <si>
    <t>A14.2 / 1 Point Manage Condensation and Mold</t>
  </si>
  <si>
    <t>W04.1 / 1 Point Meet Drinking Water Taste Properties</t>
  </si>
  <si>
    <t>W05.1 / 1 Point Test and Display Water Quality</t>
  </si>
  <si>
    <t>W05.2 / 1 Point Filter Drinking Water</t>
  </si>
  <si>
    <t>W06.1 / 1 Point Ensure Drinking Water Access</t>
  </si>
  <si>
    <t>W07.1 / 1 Point Manage Exterior Liquid Water</t>
  </si>
  <si>
    <t>W07.2 / 1 Point Isolate Moisture-sensitive Materials</t>
  </si>
  <si>
    <t>W07.3 / 1 Point Manage Interior Liquid Water</t>
  </si>
  <si>
    <t>W08.1 / 1 Point Provide Adequate Sink</t>
  </si>
  <si>
    <t>W08.2 / 1 Point Provide Handwashing Support</t>
  </si>
  <si>
    <t>W09.1 / 1 Point Implement Safety Plan for Non-Potable Water Capture and Reuse</t>
  </si>
  <si>
    <t>N03.1 / 1 Point Limit Total Sugars</t>
  </si>
  <si>
    <t>N03.2 / 1 Point Promote Whole Grains</t>
  </si>
  <si>
    <t>N03.3 / 1 Point Manage Oils</t>
  </si>
  <si>
    <t>N04.1 / 1 Point Promote Healthy Nutritional Messaging</t>
  </si>
  <si>
    <t>N04.2 / 1 Point Implement Healthy Menu Design</t>
  </si>
  <si>
    <t>N05.1 / 1 Point Restrict Artificial Ingredients</t>
  </si>
  <si>
    <t>N06.1 / 1 Point Promote Healthy Portions</t>
  </si>
  <si>
    <t>N07.1 / 1 Point Provide Nutrition Education</t>
  </si>
  <si>
    <t>N08.1 / 1 Point Include Designated Eating Space</t>
  </si>
  <si>
    <t>N08.2 / 1 Point Provide Daily Meal Breaks</t>
  </si>
  <si>
    <t>N09.1 / 1 Point Manage Allergies and Alternatives</t>
  </si>
  <si>
    <t>N09.2 / 1 Point Implement Enhanced Ingredient Labeling</t>
  </si>
  <si>
    <t>N10.1 / 1 Point Provide Meal Support</t>
  </si>
  <si>
    <t>N11.1 / 1 Point Implement Responsible Sourcing</t>
  </si>
  <si>
    <t>N12.1 / 1 Point Provide Gardening Space</t>
  </si>
  <si>
    <t>N12.2 / 1 Point Provide Planting Support</t>
  </si>
  <si>
    <t>N13.1 / 1 Point Ensure Food Access</t>
  </si>
  <si>
    <t>L05.1 / 1 Point Implement Enhanced Daylight Plan</t>
  </si>
  <si>
    <t>L05.3 / 1 Point Ensure Views</t>
  </si>
  <si>
    <t>L06.1 / 1 Point Manage Brightness</t>
  </si>
  <si>
    <t>L07.1 / 1 Point Ensure Color Rendering Quality</t>
  </si>
  <si>
    <t>L07.2 / 1 Point Manage Flicker</t>
  </si>
  <si>
    <t>L08.1 / 1 Point Enhance Occupant Controllability</t>
  </si>
  <si>
    <t>L08.2 / 1 Point Provide Supplemental Lighting</t>
  </si>
  <si>
    <t>V03.1 / 1 Point Design Aesthetic Circulation Networks</t>
  </si>
  <si>
    <t>V03.2 / 1 Point Integrate Point-of-Decision Signage</t>
  </si>
  <si>
    <t>V03.3 / 1 Point Promote Visible Stairs</t>
  </si>
  <si>
    <t>T02.1 / 1 Point Enhance Thermal Environment</t>
  </si>
  <si>
    <t>T03.2 / 1 Point Promote Free Address</t>
  </si>
  <si>
    <t>T04.2 / 1 Point Facilitate Thermal Adaptation</t>
  </si>
  <si>
    <t>T05.1 / 1 Point Implement Radiant Systems</t>
  </si>
  <si>
    <t>T05.2 / 1 Point Implement Dedicated Outdoor Air Systems</t>
  </si>
  <si>
    <t>T06.1 / 1 Point Monitor Thermal Environment</t>
  </si>
  <si>
    <t>T07.1 / 1 Point Manage Relative Humidity</t>
  </si>
  <si>
    <t>S03.2 / 1 Point Ensure Proper Door Specifications</t>
  </si>
  <si>
    <t>S04.1 / 1 Point Meet Thresholds for Reverberation Time</t>
  </si>
  <si>
    <t>S04.2 / 1 Point Implement Sound Reducing Ceilings</t>
  </si>
  <si>
    <t>S04.3 / 1 Point Implement Sound Reducing Vertical Surfaces</t>
  </si>
  <si>
    <t>N14.1 / 1 Point Limit Red and Processed Meats</t>
  </si>
  <si>
    <t>T08. β - Enhanced Operable Windows</t>
  </si>
  <si>
    <t>T08.1 / 1 Point Enhanced Operable Windows</t>
  </si>
  <si>
    <t>T09. β - Outdoor Thermal Comfort</t>
  </si>
  <si>
    <t>T09.1 / 1 Point Manage Outdoor Heat</t>
  </si>
  <si>
    <t>T09.3 / 1 Point Support Outdoor Nature Access</t>
  </si>
  <si>
    <t>T09.2 / 1 Point Avoid Excessive Wind</t>
  </si>
  <si>
    <t>S07. β - Enhanced Audio Devices</t>
  </si>
  <si>
    <t>S07.2 / 1 Point Prioritize Audio Devices and Policies</t>
  </si>
  <si>
    <t>S07.1 / 1 Point Provide Enhanced Speech Intelligibility</t>
  </si>
  <si>
    <t>X15. β - Contact Reduction</t>
  </si>
  <si>
    <t>X15.1 / 1 Point Reduce Respiratory Particle Exposure</t>
  </si>
  <si>
    <t>V06.1 / 2 Points Implement Activity Programs for Employees</t>
  </si>
  <si>
    <t>V06.2 / 2 Points Implement Activity Programs for Students</t>
  </si>
  <si>
    <t>V07.1 / 2 Points Provide Active Workstations</t>
  </si>
  <si>
    <t>V08.1 / 1 Point Provide Dedicated Activity Spaces</t>
  </si>
  <si>
    <t>V08.2 / 1 Point Provide Physical Activity Equipment</t>
  </si>
  <si>
    <t>V08.3 / 1 Point Provide Off-Site Activity Spaces</t>
  </si>
  <si>
    <t>V09.1 / 1 Point Integrate Active Façades</t>
  </si>
  <si>
    <t>V09.2 / 1 Point Provide On-Site Pedestrian Destinations</t>
  </si>
  <si>
    <t>V10.1 / 1 Point Utilize Ergonomic Consultation</t>
  </si>
  <si>
    <t>V11.1 / 1 Point Promote Physical Activity</t>
  </si>
  <si>
    <t>V11.2 / 1 Point Promote Participation Awareness</t>
  </si>
  <si>
    <t>V12.1 / 1 Point Provide Self-Monitoring Tools</t>
  </si>
  <si>
    <t>X04.1 / 1 Point Manage Hazardous Waste</t>
  </si>
  <si>
    <t>X05.1 / 2 Points Manage Hazardous Materials</t>
  </si>
  <si>
    <t>X06.1 / 2 Points Implement Site Assessment and Cleanup</t>
  </si>
  <si>
    <t>X07.1 / 1 Point Manage Pesticides</t>
  </si>
  <si>
    <t>X08.1 / 1 Point Limit Hazardous Materials</t>
  </si>
  <si>
    <t>X09.1 / 1 Point Ensure Acceptable Cleaning Ingredients</t>
  </si>
  <si>
    <t>X09.2 / 1 Point Implement Acceptable Cleaning Practices</t>
  </si>
  <si>
    <t>X10.1 / 2 Points Manage Volatile Organic Compounds</t>
  </si>
  <si>
    <t>X10.2 / 1 Point Manage Semi-Volatile Organic Compounds (SVOCs)</t>
  </si>
  <si>
    <t>X10.3 / 1 Point Purchase Compliant Products</t>
  </si>
  <si>
    <t>X11.1 / 2 Points Manage Furniture and Furnishings Emissions</t>
  </si>
  <si>
    <t>X11.2 / 1 Point Manage Flooring and Insulation Emissions</t>
  </si>
  <si>
    <t>X12.1 / 3 Points Manage Product Emissions: Adhesives, Sealants, Paints and Coatings</t>
  </si>
  <si>
    <t>X12.2 / 2 Points Manage Product Content: Adhesives, Sealants, Paints and Coatings</t>
  </si>
  <si>
    <t>X13.1 / 2 Points Select Optimized Materials</t>
  </si>
  <si>
    <t>X14.1 / 2 Points Promote Ingredient Disclosure</t>
  </si>
  <si>
    <t>C17.1 / 2 Points Unit Allocation</t>
  </si>
  <si>
    <t>C18.1 / 1 Point Promote Business Continuity</t>
  </si>
  <si>
    <t>C16.1 / 1 Point Provide Community Space</t>
  </si>
  <si>
    <t>C18.  β  - Emergency Resilience and Recovery</t>
  </si>
  <si>
    <t>C18.2 / 1 Point Support Emergency Resilience</t>
  </si>
  <si>
    <t>C18.3 / 1 Point Facilitate Healthy Re-Entry</t>
  </si>
  <si>
    <t>C19.  β  - Responsible Labor Practices</t>
  </si>
  <si>
    <t>C19.1 / 1 Point Disclose Labor Practices</t>
  </si>
  <si>
    <t>N14. β - Red and Processed Meats</t>
  </si>
  <si>
    <t>N14.1 / 1 Point
Limit Red and Processed Meats</t>
  </si>
  <si>
    <t>T08.1 / 1 Point
Enhanced Operable Windows</t>
  </si>
  <si>
    <t>T09.1 / 1 Point
 Manage Outdoor Heat</t>
  </si>
  <si>
    <t>T09.2 / 1 Point
Avoid Excessive Wind</t>
  </si>
  <si>
    <t>T09.3 / 1 Point
Support Outdoor Nature Access</t>
  </si>
  <si>
    <t>A05.2 / 1 Point 
Meet Enhanced Thresholds for Organic Gases</t>
  </si>
  <si>
    <t>A05.3 / 1 Point 
Meet Enhanced Thresholds for Inorganic Gases</t>
  </si>
  <si>
    <t>A06.3 / 1 Point 
Implement Displacement Ventilation</t>
  </si>
  <si>
    <t>A07.1 / 1 Point 
Provide Operable Windows</t>
  </si>
  <si>
    <t>A07.2 / 1 Point 
Manage Window Use</t>
  </si>
  <si>
    <t>A07.3 / 1 Point 
Apply Universal Design to Windows</t>
  </si>
  <si>
    <t>A08.1 / 1 Point 
Implement Indoor Air Monitors</t>
  </si>
  <si>
    <t>A08.2 / 1 Point 
Promote Air Quality Awareness</t>
  </si>
  <si>
    <t>A09.1 / 1 Point 
Design Healthy Envelope and Entryways</t>
  </si>
  <si>
    <t>A10.1 / 1 Point 
Manage Combustion</t>
  </si>
  <si>
    <t>A11.1 / 1 Point 
Manage Pollution and Exhaust</t>
  </si>
  <si>
    <t>A12.1 / 1 Point 
Implement Particle Filtration</t>
  </si>
  <si>
    <t>A13.1 / 1 Point 
Implement Carbon Filtration</t>
  </si>
  <si>
    <t>A14.1 / 1 Point 
Implement Ultraviolet Air Treatment</t>
  </si>
  <si>
    <t>A14.2 / 1 Point 
Manage Condensation and Mold</t>
  </si>
  <si>
    <t>W04.1 / 1 Point 
Meet Drinking Water Taste Properties</t>
  </si>
  <si>
    <t>W05.1 / 1 Point 
Test and Display Water Quality</t>
  </si>
  <si>
    <t>W05.2 / 1 Point 
Filter Drinking Water</t>
  </si>
  <si>
    <t>W06.1 / 1 Point 
Ensure Drinking Water Access</t>
  </si>
  <si>
    <t>W07.1 / 1 Point 
Manage Exterior Liquid Water</t>
  </si>
  <si>
    <t>W07.2 / 1 Point 
Isolate Moisture-sensitive Materials</t>
  </si>
  <si>
    <t>W07.3 / 1 Point 
Manage Interior Liquid Water</t>
  </si>
  <si>
    <t>W08.1 / 1 Point 
Provide Adequate Sink</t>
  </si>
  <si>
    <t>W08.2 / 1 Point 
Provide Handwashing Support</t>
  </si>
  <si>
    <t>N03.1 / 1 Point 
Limit Total Sugars</t>
  </si>
  <si>
    <t>N03.2 / 1 Point 
Promote Whole Grains</t>
  </si>
  <si>
    <t>N03.3 / 1 Point 
Manage Oils</t>
  </si>
  <si>
    <t>N04.1 / 1 Point 
Promote Healthy Nutritional Messaging</t>
  </si>
  <si>
    <t>N04.2 / 1 Point 
Implement Healthy Menu Design</t>
  </si>
  <si>
    <t>N05.1 / 1 Point 
Restrict Artificial Ingredients</t>
  </si>
  <si>
    <t>N06.1 / 1 Point 
Promote Healthy Portions</t>
  </si>
  <si>
    <t>N07.1 / 1 Point 
Provide Nutrition Education</t>
  </si>
  <si>
    <t>N08.1 / 1 Point 
Include Designated Eating Space</t>
  </si>
  <si>
    <t>N08.2 / 1 Point 
Provide Daily Meal Breaks</t>
  </si>
  <si>
    <t>N09.1 / 1 Point 
Manage Allergies and Alternatives</t>
  </si>
  <si>
    <t>N09.2 / 1 Point 
Implement Enhanced Ingredient Labeling</t>
  </si>
  <si>
    <t>N10.1 / 1 Point 
Provide Meal Support</t>
  </si>
  <si>
    <t>N11.1 / 1 Point 
Implement Responsible Sourcing</t>
  </si>
  <si>
    <t>N12.1 / 1 Point 
Provide Gardening Space</t>
  </si>
  <si>
    <t>N12.2 / 1 Point 
Provide Planting Support</t>
  </si>
  <si>
    <t>N13.1 / 1 Point 
Ensure Food Access</t>
  </si>
  <si>
    <t>L05.1 / 1 Point 
Implement Enhanced Daylight Plan</t>
  </si>
  <si>
    <t>L05.3 / 1 Point 
Ensure Views</t>
  </si>
  <si>
    <t>L06.1 / 1 Point 
Manage Brightness</t>
  </si>
  <si>
    <t>L07.1 / 1 Point 
Ensure Color Rendering Quality</t>
  </si>
  <si>
    <t>L07.2 / 1 Point 
Manage Flicker</t>
  </si>
  <si>
    <t>L08.1 / 1 Point 
Enhance Occupant Controllability</t>
  </si>
  <si>
    <t>L08.2 / 1 Point 
Provide Supplemental Lighting</t>
  </si>
  <si>
    <t>V03.1 / 1 Point 
Design Aesthetic Circulation Networks</t>
  </si>
  <si>
    <t>V03.2 / 1 Point 
Integrate Point-of-Decision Signage</t>
  </si>
  <si>
    <t>V03.3 / 1 Point 
Promote Visible Stairs</t>
  </si>
  <si>
    <t>V08.1 / 1 Point 
Provide Dedicated Activity Spaces</t>
  </si>
  <si>
    <t>V08.2 / 1 Point 
Provide Physical Activity Equipment</t>
  </si>
  <si>
    <t>V08.3 / 1 Point 
Provide Off-Site Activity Spaces</t>
  </si>
  <si>
    <t>V09.1 / 1 Point 
Integrate Active Façades</t>
  </si>
  <si>
    <t>V09.2 / 1 Point 
Provide On-Site Pedestrian Destinations</t>
  </si>
  <si>
    <t>V10.1 / 1 Point 
Utilize Ergonomic Consultation</t>
  </si>
  <si>
    <t>V11.1 / 1 Point 
Promote Physical Activity</t>
  </si>
  <si>
    <t>V11.2 / 1 Point 
Promote Participation Awareness</t>
  </si>
  <si>
    <t>V12.1 / 1 Point 
Provide Self-Monitoring Tools</t>
  </si>
  <si>
    <t>T02.1 / 1 Point 
Enhance Thermal Environment</t>
  </si>
  <si>
    <t>T03.2 / 1 Point 
Promote Free Address</t>
  </si>
  <si>
    <t>T04.2 / 1 Point 
Facilitate Thermal Adaptation</t>
  </si>
  <si>
    <t>T05.1 / 1 Point 
Implement Radiant Systems</t>
  </si>
  <si>
    <t>T05.2 / 1 Point 
Implement Dedicated Outdoor Air Systems</t>
  </si>
  <si>
    <t>T06.1 / 1 Point 
Monitor Thermal Environment</t>
  </si>
  <si>
    <t>T07.1 / 1 Point 
Manage Relative Humidity</t>
  </si>
  <si>
    <t>S03.2 / 1 Point 
Ensure Proper Door Specifications</t>
  </si>
  <si>
    <t>S04.1 / 1 Point 
Meet Thresholds for Reverberation Time</t>
  </si>
  <si>
    <t>S04.2 / 1 Point 
Implement Sound Reducing Ceilings</t>
  </si>
  <si>
    <t>S04.3 / 1 Point 
Implement Sound Reducing Vertical Surfaces</t>
  </si>
  <si>
    <t>X04.1 / 1 Point 
Manage Hazardous Waste</t>
  </si>
  <si>
    <t>X07.1 / 1 Point 
Manage Pesticides</t>
  </si>
  <si>
    <t>X08.1 / 1 Point 
Limit Hazardous Materials</t>
  </si>
  <si>
    <t>X09.1 / 1 Point 
Ensure Acceptable Cleaning Ingredients</t>
  </si>
  <si>
    <t>X09.2 / 1 Point 
Implement Acceptable Cleaning Practices</t>
  </si>
  <si>
    <t>X10.2 / 1 Point 
Manage Semi-Volatile Organic Compounds (SVOCs)</t>
  </si>
  <si>
    <t>X10.3 / 1 Point 
Purchase Compliant Products</t>
  </si>
  <si>
    <t>X11.2 / 1 Point 
Manage Flooring and Insulation Emissions</t>
  </si>
  <si>
    <t>M02.1 / 1 Point 
Provide Access to Nature</t>
  </si>
  <si>
    <t>M03.1 / 1 Point 
Provide Mental Health Screening</t>
  </si>
  <si>
    <t>M03.2 / 1 Point 
Provide Mental Health Coverage</t>
  </si>
  <si>
    <t>M03.3 / 1 Point 
Provide Workplace Support</t>
  </si>
  <si>
    <t>M04.1 / 1 Point 
Offer Mental Health Education</t>
  </si>
  <si>
    <t>M04.2 / 1 Point 
Offer Mental Health Education for Managers</t>
  </si>
  <si>
    <t>M05.1 / 1 Point 
Develop Stress Management Plan</t>
  </si>
  <si>
    <t>M05.2 / 1 Point 
Support Stress Management Programs</t>
  </si>
  <si>
    <t>M06.1 / 1 Point 
Provide Micro- and Macro-Breaks</t>
  </si>
  <si>
    <t>M07.1 / 1 Point 
Provide Restorative Indoor Spaces</t>
  </si>
  <si>
    <t>M07.2 / 1 Point 
Provide Restorative Outdoor Spaces</t>
  </si>
  <si>
    <t>M08.1 / 1 Point 
Provide Restorative Programming</t>
  </si>
  <si>
    <t>M09.1 / 1 Point 
Provide Enhanced Access to Nature</t>
  </si>
  <si>
    <t>M10.1 / 1 Point 
Assess Work Environment</t>
  </si>
  <si>
    <t>M10.2 / 1 Point 
Integrate Space Management</t>
  </si>
  <si>
    <t>M11.1 / 1 Point 
Provide Workplace Sleep Support</t>
  </si>
  <si>
    <t>M11.2 / 1 Point 
Provide Non-Workplace Sleep Support</t>
  </si>
  <si>
    <t>M12.1 / 1 Point 
Provide Business Travel Support</t>
  </si>
  <si>
    <t>M13.1 / 1 Point 
Promote Tobacco Prevention</t>
  </si>
  <si>
    <t>M14.1 / 1 Point 
Promote Substance Abuse Prevention and Education</t>
  </si>
  <si>
    <t>C04.1 / 1 Point 
Select Enhanced Survey</t>
  </si>
  <si>
    <t>C04.2 / 1 Point 
Administer Pre-Occupancy Survey and Report Results</t>
  </si>
  <si>
    <t>C04.3 / 1 Point 
Monitor Survey Responses</t>
  </si>
  <si>
    <t>C04.4 / 1 Point 
Facilitate Interviews and Focus Groups</t>
  </si>
  <si>
    <t>C05.2 / 1 Point 
Offer On-Demand Health Services</t>
  </si>
  <si>
    <t>C06.2 / 1 Point 
Offer Health Risk Assessments</t>
  </si>
  <si>
    <t>C07.1 / 1 Point 
Promote Seasonal Flu Prevention</t>
  </si>
  <si>
    <t>C07.2 / 1 Point 
Implement Immunization Schedule</t>
  </si>
  <si>
    <t>C08.2 / 1 Point 
Promote Workplace Support</t>
  </si>
  <si>
    <t>C09.1 / 1 Point 
Offer Workplace Breastfeeding Support</t>
  </si>
  <si>
    <t>C09.3 / 1 Point 
Promote Breastfeeding Education and Support</t>
  </si>
  <si>
    <t>C10.1 / 1 Point 
Offer Childcare Support</t>
  </si>
  <si>
    <t>C10.2 / 1 Point 
Offer Eldercare Support</t>
  </si>
  <si>
    <t>C10.3 / 1 Point 
Offer Family Leave</t>
  </si>
  <si>
    <t>C10.4 / 1 Point 
Offer Bereavement Support</t>
  </si>
  <si>
    <t>C11.1 / 1 Point 
Promote Civic Engagement</t>
  </si>
  <si>
    <t>C13.1 / 1 Point 
Ensure Essential Accessibility</t>
  </si>
  <si>
    <t>C14.1 / 1 Point 
Provide Essential Accommodations</t>
  </si>
  <si>
    <t>C14.2 / 1 Point 
Provide Single-User Bathrooms</t>
  </si>
  <si>
    <t>C14.3 / 1 Point 
Provide Family Bathrooms</t>
  </si>
  <si>
    <t>C15.1 / 1 Point 
Develop Emergency Preparedness Plan</t>
  </si>
  <si>
    <t>C16.1 / 1 Point 
Provide Community Space</t>
  </si>
  <si>
    <t>I02.1 / 1 Point 
WELL AP</t>
  </si>
  <si>
    <t>I03.1 / 1 Point 
Offer WELL Educational Tours</t>
  </si>
  <si>
    <t>I04.1 / 1 Point 
Complete Health and Wellness Program</t>
  </si>
  <si>
    <t>S07.1 / 1 Point
Provide Enhanced Speech Intelligibility</t>
  </si>
  <si>
    <t>S07.2 / 1
Point Prioritize Audio Devices and Policies</t>
  </si>
  <si>
    <t>M03.4 β / 1 Point
Support Mental Health Recovery</t>
  </si>
  <si>
    <t>X15.1 / 1 Point
Reduce Respiratory Particle Exposure</t>
  </si>
  <si>
    <t>C18.1 / 1 Point
Promote Business Continuity</t>
  </si>
  <si>
    <t>C18.2 / 1 Point
Support Emergency Resilience</t>
  </si>
  <si>
    <t>C18.3 / 1 Point
Facilitate Healthy Re-Entry</t>
  </si>
  <si>
    <t>C19.1 / 1 Point
Disclose Labor Practices</t>
  </si>
  <si>
    <t>C19.2 / 2 Points
Implement Responsible Labor Practices</t>
  </si>
  <si>
    <t>C04.1 / 1 Point Select Enhanced Survey</t>
  </si>
  <si>
    <t>C04.2 / 1 Point Administer Pre-Occupancy Survey and Report Results</t>
  </si>
  <si>
    <t>C04.3 / 1 Point Monitor Survey Responses</t>
  </si>
  <si>
    <t>C04.4 / 1 Point Facilitate Interviews and Focus Groups</t>
  </si>
  <si>
    <t>C05.1 / 2 Points Promote Health Benefits</t>
  </si>
  <si>
    <t>C05.2 / 1 Point Offer On-Demand Health Services</t>
  </si>
  <si>
    <t>C06.1 / 2 Points Promote Culture of Health</t>
  </si>
  <si>
    <t>C06.2 / 1 Point Offer Health Risk Assessments</t>
  </si>
  <si>
    <t>C07.1 / 1 Point Promote Seasonal Flu Prevention</t>
  </si>
  <si>
    <t>C07.2 / 1 Point Implement Immunization Schedule</t>
  </si>
  <si>
    <t>C08.1 / 3 Points Offer New Parent Leave</t>
  </si>
  <si>
    <t>C08.2 / 1 Point Promote Workplace Support</t>
  </si>
  <si>
    <t>C09.1 / 1 Point Offer Workplace Breastfeeding Support</t>
  </si>
  <si>
    <t>C09.2 / 2 Points Design Lactation Room</t>
  </si>
  <si>
    <t>C09.3 / 1 Point Promote Breastfeeding Education and Support</t>
  </si>
  <si>
    <t>C10.1 / 1 Point Offer Childcare Support</t>
  </si>
  <si>
    <t>C10.2 / 1 Point Offer Eldercare Support</t>
  </si>
  <si>
    <t>C10.3 / 1 Point Offer Family Leave</t>
  </si>
  <si>
    <t>C10.4 / 1 Point Offer Bereavement Support</t>
  </si>
  <si>
    <t>C11.1 / 1 Point Promote Civic Engagement</t>
  </si>
  <si>
    <t>C12.1 / 2 Points Promote Equity Program Participation</t>
  </si>
  <si>
    <t>C13.1 / 1 Point Ensure Essential Accessibility</t>
  </si>
  <si>
    <t>C13.2 / 2 Points Integrate Universal Design</t>
  </si>
  <si>
    <t>C14.1 / 1 Point Provide Essential Accommodations</t>
  </si>
  <si>
    <t>C14.2 / 1 Point Provide Single-User Bathrooms</t>
  </si>
  <si>
    <t>C14.3 / 1 Point Provide Family Bathrooms</t>
  </si>
  <si>
    <t>C15.1 / 1 Point Develop Emergency Preparedness Plan</t>
  </si>
  <si>
    <t>C15.2 / 2 Points Promote Emergency Resources</t>
  </si>
  <si>
    <t>I01.1 / 10 Points Propose Innovations</t>
  </si>
  <si>
    <t>I02.1 / 1 Point WELL AP</t>
  </si>
  <si>
    <t>I03.1 / 1 Point Offer WELL Educational Tours</t>
  </si>
  <si>
    <t>I04.1 / 1 Point Complete Health and Wellness Program</t>
  </si>
  <si>
    <t>I05.1 / 5 Points Achieve Sustainable Building Certification</t>
  </si>
  <si>
    <t>M02.1 / 1 Point Provide Access to Nature</t>
  </si>
  <si>
    <t>M03.1 / 1 Point Provide Mental Health Screening</t>
  </si>
  <si>
    <t>M03.2 / 1 Point Provide Mental Health Coverage</t>
  </si>
  <si>
    <t>M03.3 / 1 Point Provide Workplace Support</t>
  </si>
  <si>
    <t>M03.4 β / 1 Point Support Mental Health Recovery</t>
  </si>
  <si>
    <t>M04.1 / 1 Point Offer Mental Health Education</t>
  </si>
  <si>
    <t>M04.2 / 1 Point Offer Mental Health Education for Managers</t>
  </si>
  <si>
    <t>M05.1 / 1 Point Develop Stress Management Plan</t>
  </si>
  <si>
    <t>M05.2 / 1 Point Support Stress Management Programs</t>
  </si>
  <si>
    <t>M06.1 / 1 Point Provide Micro- and Macro-Breaks</t>
  </si>
  <si>
    <t>M07.1 / 1 Point Provide Restorative Indoor Spaces</t>
  </si>
  <si>
    <t>M07.2 / 1 Point Provide Restorative Outdoor Spaces</t>
  </si>
  <si>
    <t>M08.1 / 1 Point Provide Restorative Programming</t>
  </si>
  <si>
    <t>M09.1 / 1 Point Provide Enhanced Access to Nature</t>
  </si>
  <si>
    <t>M10.1 / 1 Point Assess Work Environment</t>
  </si>
  <si>
    <t>M10.2 / 1 Point Integrate Space Management</t>
  </si>
  <si>
    <t>M11.1 / 1 Point Provide Workplace Sleep Support</t>
  </si>
  <si>
    <t>M11.2 / 1 Point Provide Non-Workplace Sleep Support</t>
  </si>
  <si>
    <t>M12.1 / 1 Point Provide Business Travel Support</t>
  </si>
  <si>
    <t>M13.1 / 1 Point Promote Tobacco Prevention</t>
  </si>
  <si>
    <t>M13.2 / 2 Points Support Tobacco Cessation</t>
  </si>
  <si>
    <t>M14.1 / 1 Point Promote Substance Abuse Prevention and Education</t>
  </si>
  <si>
    <t>M14.2 / 2 Points Provide Access to Substance Use Services</t>
  </si>
  <si>
    <t>M15.1 / 3 Points Provide Opioid Emergency Response Kits and Training</t>
  </si>
  <si>
    <t xml:space="preserve">W09.1 / 1 Point
Implement Safety Plan for Non-Potable Water Capture and Reuse
</t>
  </si>
  <si>
    <t>Not Ant/Not Ach</t>
  </si>
  <si>
    <t xml:space="preserve">Air General Observations: </t>
  </si>
  <si>
    <t xml:space="preserve">Water General Observations: </t>
  </si>
  <si>
    <t xml:space="preserve">Nourishment General Observations: </t>
  </si>
  <si>
    <t xml:space="preserve">Light General Observations: </t>
  </si>
  <si>
    <t xml:space="preserve">Thermal Comfort General Observations: </t>
  </si>
  <si>
    <t xml:space="preserve">Sound General Observations: </t>
  </si>
  <si>
    <t xml:space="preserve">Materials General Observations: </t>
  </si>
  <si>
    <t xml:space="preserve">Mind General Observations: </t>
  </si>
  <si>
    <t xml:space="preserve">Community General Observations: </t>
  </si>
  <si>
    <t xml:space="preserve">Innovations General Observations: </t>
  </si>
  <si>
    <t>The values above drive the counts for pending sums on the overview tab</t>
  </si>
  <si>
    <t>The list above is no longer referenced, but is left here to indicate all possible status's that can be used in a report</t>
  </si>
  <si>
    <t>I01.1 has special rules and thus status list</t>
  </si>
  <si>
    <t>REVIEW COMMENT TAB UPDATES</t>
  </si>
  <si>
    <t xml:space="preserve">General Project Observations: 
</t>
  </si>
  <si>
    <t>Status and TA
MISMATCH</t>
  </si>
  <si>
    <t>Special Rule Flags</t>
  </si>
  <si>
    <t>T01.1
Support Thermal Environment</t>
  </si>
  <si>
    <t>C18. β - Emergency Resilience and Recovery</t>
  </si>
  <si>
    <t>C19. β - Responsible Labor Practices</t>
  </si>
  <si>
    <t>Pending Documentation &amp; On-Site</t>
  </si>
  <si>
    <t>[[Review Phase]]</t>
  </si>
  <si>
    <t>W09 Hidden</t>
  </si>
  <si>
    <t>N14 Hidden</t>
  </si>
  <si>
    <t>T08/T09 Hidden</t>
  </si>
  <si>
    <t>S06/S07 Hidden</t>
  </si>
  <si>
    <t>X15 Hidden</t>
  </si>
  <si>
    <t>M03.4 Hidden</t>
  </si>
  <si>
    <t>NA</t>
  </si>
  <si>
    <t>Preconditions Pend On-Site Only</t>
  </si>
  <si>
    <t>T09/T09 Hidden</t>
  </si>
  <si>
    <t>Anticipated/PV MISMATCH</t>
  </si>
  <si>
    <t>Not Attempted and Comment MISMATCH</t>
  </si>
  <si>
    <t>When not attempted - use a Not Attempted status and put 'No' in column G with the standard not attempted review comment. There is no need to sum up the total I01 points in column F for cell F299. If any I01 Parts are attempted at any phase, the review comment in I299 state "Refer to review comments for each proposed Innovation below."</t>
  </si>
  <si>
    <t>Use a separate row for each Innovation proposed under I01 and ensure to fill in the points and status for each. Hide rows that are not used.</t>
  </si>
  <si>
    <t>Ensure Innovation points are manually entered correctly. DO NOT 'copy/paste' from the downloaded scorecard as they will not align correctly in I01.</t>
  </si>
  <si>
    <r>
      <rPr>
        <b/>
        <sz val="10"/>
        <color rgb="FF000000"/>
        <rFont val="Arial"/>
        <family val="2"/>
      </rPr>
      <t xml:space="preserve">Explanation of Column P Formula:
</t>
    </r>
    <r>
      <rPr>
        <sz val="10"/>
        <color rgb="FF000000"/>
        <rFont val="Arial"/>
        <family val="2"/>
      </rPr>
      <t xml:space="preserve">
For each row in Column P, the formula uses the ROW() function to keep track of where it is at against the INDEX() that returns the value based on that location.
Example:
The data set O1:O99 is what is passed to the INDEX(), and only non blanks are returned to it.
ROW(2:2) tells the INDEX to return row 2 from it’s data set (the 2nd row that is passed to the INDEX() without blanks).
Note: Row 1 in the O1:O99 array is “List of valid status options”, Row 2 would be “Anticipated” for a prelim doc since all the blanks are now gone.</t>
    </r>
  </si>
  <si>
    <t>There are no typologies for WELL v2, except for WELL Core/WELL Campus/WELL Core Campus</t>
  </si>
  <si>
    <t>Project Version (updated 10/28/2020):</t>
  </si>
  <si>
    <t>Added 10/28/2020</t>
  </si>
  <si>
    <t>OVERVIEW TAB UPDATES</t>
  </si>
  <si>
    <t>WELL Silver Certification: 50 points</t>
  </si>
  <si>
    <t>WELL Gold Certification: 60 points</t>
  </si>
  <si>
    <t>WELL Platinum Certification: 80 points</t>
  </si>
  <si>
    <t>Projects must earn a minimum of two points per concept Projects may pursue no more than 12 points per concept and</t>
  </si>
  <si>
    <t>https://v2wellcertifiedcom/v/en/overview</t>
  </si>
  <si>
    <t>WELL Core Bronze Certification: 40 points</t>
  </si>
  <si>
    <t>WELL Core Silver Certification: 50 points</t>
  </si>
  <si>
    <t>WELL Core Gold Certification: 60 points</t>
  </si>
  <si>
    <t>WELL Core Platinum Certification: 80 points</t>
  </si>
  <si>
    <t>For WELL Core Certification, projects must earn a minimum of one point per concept Projects may earn no more than 12 points per concept</t>
  </si>
  <si>
    <t>Use the addenda version shown in WELL Online for the project If a version isn't listed, contact Ops to obtain the addenda version</t>
  </si>
  <si>
    <t>Unhide the rows for S06, if attempted, in the Overview and Review Comments tabs</t>
  </si>
  <si>
    <t>Unhide the rows for Beta Features if attempted, in the Overview and Review Comments tabs</t>
  </si>
  <si>
    <t>points and Features in accordance with these rules.</t>
  </si>
  <si>
    <t>There is a General Observation cell for each Concept. Unhide two rows for only those GOs for which a general comment for that Concept is required. For example, points related to AAP 00010.</t>
  </si>
  <si>
    <r>
      <rPr>
        <b/>
        <sz val="9"/>
        <color rgb="FF000000"/>
        <rFont val="Arial"/>
        <family val="2"/>
      </rPr>
      <t xml:space="preserve">The values in Data Validation list are pulled from the List of Valid Status Options, that are driven off the combinations in REVIEW PHASE and VALID STATUS.
To change the sort, it has to be changed ONLY in the VALID STATUS columns. 
To add a VALID STATUS to a REVIEW PHASE, or remove. Delete the text, or add the new combination at the bottom then reset column L and M.  </t>
    </r>
    <r>
      <rPr>
        <b/>
        <sz val="10"/>
        <color rgb="FF000000"/>
        <rFont val="Arial"/>
        <family val="2"/>
      </rPr>
      <t xml:space="preserve">
</t>
    </r>
    <r>
      <rPr>
        <b/>
        <sz val="18"/>
        <color rgb="FF000000"/>
        <rFont val="Arial"/>
        <family val="2"/>
      </rPr>
      <t>Do not Insert or Delete cells/rows in the Lists Tab</t>
    </r>
  </si>
  <si>
    <t>If additional space is needed in a Review Comment cell, insert a row underneath the current row the cell is in, then merge each cell in that row with the new cell directly underneath it</t>
  </si>
  <si>
    <t>Red text will automatically become black once text has been entered in the applicable cell</t>
  </si>
  <si>
    <t>Review phase drives additional options. Ensure to fill this out correctly.</t>
  </si>
  <si>
    <t>Point Headers are dynamic based on the Review phase selected.</t>
  </si>
  <si>
    <t>Overview tab page breaks should be correct at a zoom level of 100% at 1080 P (1920 x 1080) resolution. The page layout might need to be revised to Page Size A4 when printing to pdf if several Betas are pursued and those added Features force the page breaks to three pages.</t>
  </si>
  <si>
    <t>A4 should keep the overview part of the report to 2 pages and adjusts the text minimally. This will also be automatically adjusted by the user if they want to print the pdf to paper.</t>
  </si>
  <si>
    <t>Comment tab drop down for status is driven by the review phase from the overview tab. If an additional status is needed for a special reason, it can be added to the Lists tab in columns L, M, and N - add at the bottom and read instructions to the right.</t>
  </si>
  <si>
    <t>If the project is another type, such as purely MFR, and Features are missing, this typically means they're not applicable and WELL Online has removed them. They can be listed as Not Applicable with typical stock text.</t>
  </si>
  <si>
    <t>Overview tab reformatted - each significant point category is broken out into it's own sum</t>
  </si>
  <si>
    <t>Precondition pending cells at the top with the point count will go away when no preconditions are pending</t>
  </si>
  <si>
    <t>Preliminary Recertification Documentation Review</t>
  </si>
  <si>
    <t>Final Recertification Documentation Review</t>
  </si>
  <si>
    <t>Preliminary Recertification Performance Review</t>
  </si>
  <si>
    <t>Final Recertification Performance Review</t>
  </si>
  <si>
    <t>Appendix A</t>
  </si>
  <si>
    <t>[date] On-site Performance Verification Summary of Results</t>
  </si>
  <si>
    <r>
      <rPr>
        <b/>
        <sz val="11"/>
        <color theme="1"/>
        <rFont val="Arial"/>
        <family val="2"/>
      </rPr>
      <t xml:space="preserve">GENERAL OBSERVATIONS: </t>
    </r>
    <r>
      <rPr>
        <b/>
        <i/>
        <sz val="11"/>
        <color theme="1"/>
        <rFont val="Arial"/>
        <family val="2"/>
      </rPr>
      <t xml:space="preserve">
</t>
    </r>
    <r>
      <rPr>
        <i/>
        <sz val="11"/>
        <color theme="1"/>
        <rFont val="Arial"/>
        <family val="2"/>
      </rPr>
      <t>Example (replace with actual observations):</t>
    </r>
    <r>
      <rPr>
        <b/>
        <i/>
        <sz val="11"/>
        <color theme="1"/>
        <rFont val="Arial"/>
        <family val="2"/>
      </rPr>
      <t xml:space="preserve"> 
</t>
    </r>
    <r>
      <rPr>
        <i/>
        <sz val="11"/>
        <color theme="1"/>
        <rFont val="Arial"/>
        <family val="2"/>
      </rPr>
      <t xml:space="preserve">There were no unusual conditions observed during the indoor air quality testing. See below for results of each sample location and the baseline data. (Note if any tolerances were used)
(Report all laboratory results, if not detected then report the laboratory reporting limit instead of ND).
</t>
    </r>
  </si>
  <si>
    <t>A01 Fundamental Air Quality - Part 1</t>
  </si>
  <si>
    <t>Location</t>
  </si>
  <si>
    <t>PM2.5 
(ug/m3)</t>
  </si>
  <si>
    <t>PM10 
(ug/m3)</t>
  </si>
  <si>
    <t>Tolerance Applied</t>
  </si>
  <si>
    <t>Outcome</t>
  </si>
  <si>
    <t>Tolerances</t>
  </si>
  <si>
    <t>WELL Building Standard threshold limit</t>
  </si>
  <si>
    <t>(MET/NOT MET)</t>
  </si>
  <si>
    <t xml:space="preserve">A01 Fundamental Air Quality - Part 2 </t>
  </si>
  <si>
    <t>Formaldehyde
(ppb)</t>
  </si>
  <si>
    <t>Benzene
(ug/m3)
71-43-2</t>
  </si>
  <si>
    <t>Carbon disulfide 
(ug/m3)
75-15-0</t>
  </si>
  <si>
    <t>Carbon tetrachloride
 (ug/m3)
56-23-5</t>
  </si>
  <si>
    <t>Chlorobenzene
(ug/m3)
108-90-7</t>
  </si>
  <si>
    <t>Chloroform 
(ug/m3)
67-66-3</t>
  </si>
  <si>
    <t>Dichlorobenzene (1,4-)
(ug/m3)
106-46-7</t>
  </si>
  <si>
    <t>Dichloroethylene (1,1)
(ug/m3)
75-35-4</t>
  </si>
  <si>
    <t>Ethylbenzene 
(ug/m3)
100-41-4</t>
  </si>
  <si>
    <t>Hexane (n-)
(ug/m3)
110-54-3</t>
  </si>
  <si>
    <t>Isopropyl Alcohol 
(ug/m3)
67-63-0</t>
  </si>
  <si>
    <t>Tolerance
Applied</t>
  </si>
  <si>
    <t>VOC Tolerance applied?</t>
  </si>
  <si>
    <t>High Flow</t>
  </si>
  <si>
    <t>For the US EPA TO-17 method only</t>
  </si>
  <si>
    <t>Low Flow</t>
  </si>
  <si>
    <t>Results from the high flow tube are reported unless there is suspicion of a breakthrough event, then the low flow tube is used. If a breakthrough event is suspected, documentation describing the reasoning for using the low flow must be included with the submittal.</t>
  </si>
  <si>
    <t>Low flow results (if above detection limit) must be within 25% of the high flow results (if above detection limit)</t>
  </si>
  <si>
    <t>If either are below detection limit, just report the lab detection limit for either (or both) tubes.</t>
  </si>
  <si>
    <t>FOR ALL OTHER METHODOLOGIES, report the values in the high flow rows and leave the low flow rows blank</t>
  </si>
  <si>
    <t>For all methodologies, ensure that the lab detection threshold is reported instead of ND</t>
  </si>
  <si>
    <t>For all methodologies, ensure the field blank values are also recorded.</t>
  </si>
  <si>
    <t>Field Blank</t>
  </si>
  <si>
    <t>Add additional rows if needed</t>
  </si>
  <si>
    <t>Methyl chloroform
(ug/m3)
71-55-6</t>
  </si>
  <si>
    <t>Methylene chloride
(ug/m3)
75-09-2</t>
  </si>
  <si>
    <t>Methyl tert-butyl ether
(ug/m3)
1634-04-4</t>
  </si>
  <si>
    <t>Styrene
(ug/m3)
100-42-5</t>
  </si>
  <si>
    <t>Tetrachloroethene
(ug/m3)
127-18-4</t>
  </si>
  <si>
    <t>Toluene
 (ug/m3)
108-88-3</t>
  </si>
  <si>
    <t>Trichloroethylene
(ug/m3)
79-01-6</t>
  </si>
  <si>
    <t>Vinyl acetate 
(ug/m3)
108-05-4</t>
  </si>
  <si>
    <t>VOC Tolerance
Applied</t>
  </si>
  <si>
    <t>1 or more VOC's</t>
  </si>
  <si>
    <t>A01 Fundamental Air Quality - Part 3</t>
  </si>
  <si>
    <t>Carbon Monoxide
(ppm)</t>
  </si>
  <si>
    <t>Ozone 
(ppb)</t>
  </si>
  <si>
    <t>O3</t>
  </si>
  <si>
    <t>A05 Enhanced Air Quality - Part 1</t>
  </si>
  <si>
    <t>PM2.5 
(ug/m3)
One/Two Points</t>
  </si>
  <si>
    <t>PM10 
(ug/m3)
One/Two Points</t>
  </si>
  <si>
    <t>PM Threshold met</t>
  </si>
  <si>
    <t>PM2.5
1 point</t>
  </si>
  <si>
    <t>PM2.5
2 points</t>
  </si>
  <si>
    <t>PM10
1 point</t>
  </si>
  <si>
    <t>PM10
2 Points</t>
  </si>
  <si>
    <t>12/10</t>
  </si>
  <si>
    <t>30/20</t>
  </si>
  <si>
    <t>PM2.5 (1 pt/2 pt)</t>
  </si>
  <si>
    <t>PM10 (1 pt/2 pt)</t>
  </si>
  <si>
    <t>(one or two points)</t>
  </si>
  <si>
    <t>Points</t>
  </si>
  <si>
    <t>A05 Enhanced Air Quality - Part 2</t>
  </si>
  <si>
    <t>Benzene
(ug/m3)</t>
  </si>
  <si>
    <t>A05 Enhanced Air Quality - Part 3</t>
  </si>
  <si>
    <t>W01 Fundamental Water Quality -  Part 1, Part 2</t>
  </si>
  <si>
    <t>Turbidity
(NTU)</t>
  </si>
  <si>
    <t>Must Not Be Detected</t>
  </si>
  <si>
    <t>(MET / NOT MET)</t>
  </si>
  <si>
    <t>Configuration 1 Sample 1</t>
  </si>
  <si>
    <t>Configuration 1 Sample 2</t>
  </si>
  <si>
    <t>Configuration 1 Sample 3</t>
  </si>
  <si>
    <t>Configuration 2 Sample 1</t>
  </si>
  <si>
    <t>Configuration 2 Sample 2</t>
  </si>
  <si>
    <t>Configuration 2 Sample 3</t>
  </si>
  <si>
    <t xml:space="preserve">W02 Water Contaminants - Part 1 </t>
  </si>
  <si>
    <t>Lead
(mg/L)</t>
  </si>
  <si>
    <t>Arsenic 
(mg/L)</t>
  </si>
  <si>
    <t>Antimony 
(mg/L)</t>
  </si>
  <si>
    <t>Mercury 
(mg/L)</t>
  </si>
  <si>
    <t>Nickel 
(mg/L)</t>
  </si>
  <si>
    <t>Copper 
(mg/L)</t>
  </si>
  <si>
    <t>Cadmium
(mg/L)</t>
  </si>
  <si>
    <t>Chromium
(mg/L)</t>
  </si>
  <si>
    <t xml:space="preserve">W02 Water Contaminants - Part 2 </t>
  </si>
  <si>
    <t>Styrene 
(mg/L)</t>
  </si>
  <si>
    <t>Benzene 
(mg/L)</t>
  </si>
  <si>
    <t>Ethylbenzene 
(mg/L)</t>
  </si>
  <si>
    <t>Vinyl Chloride 
(mg/L)</t>
  </si>
  <si>
    <t>Toluene 
(mg/L)</t>
  </si>
  <si>
    <t>Tetrachloroethylene 
(mg/L)</t>
  </si>
  <si>
    <t xml:space="preserve">W02  Water Contaminants -  Part 3 </t>
  </si>
  <si>
    <t>Total Trihalomethanes
(mg/L)</t>
  </si>
  <si>
    <t>Total Haloacetic Acid
(mg/L)</t>
  </si>
  <si>
    <t>W02 Water Contaminants -  Part 4</t>
  </si>
  <si>
    <t>Atrazine 
(mg/L)</t>
  </si>
  <si>
    <t>Simazine 
(mg/L)</t>
  </si>
  <si>
    <t>2,4-dichlorophenoxyacetic Acid (mg/L)</t>
  </si>
  <si>
    <t xml:space="preserve">W02 Water Contaminants -  Part 5 </t>
  </si>
  <si>
    <t>Nitrate as N 
(mg/L)</t>
  </si>
  <si>
    <t>W02 Water Contaminants - Part 6</t>
  </si>
  <si>
    <t>Fluoride
(mg/L)</t>
  </si>
  <si>
    <t>Total Chlorine
(mg/L)</t>
  </si>
  <si>
    <t>Chloramine
(mg/L)</t>
  </si>
  <si>
    <t>W04 Enhanced Water Quality - Part 1</t>
  </si>
  <si>
    <t>Aluminum
(mg/L)</t>
  </si>
  <si>
    <t>Chloride
(mg/L)</t>
  </si>
  <si>
    <t>Manganese
(mg/L)</t>
  </si>
  <si>
    <t>Sodium
(mg/L)</t>
  </si>
  <si>
    <t>Sulfates 
(mg/L)</t>
  </si>
  <si>
    <t>Iron 
(mg/L)</t>
  </si>
  <si>
    <t>Zinc
(mg/L)</t>
  </si>
  <si>
    <t>Total Dissolved Solids
(mg/L)</t>
  </si>
  <si>
    <t>Submittal Notes</t>
  </si>
  <si>
    <t>L02 Visual Lighting Design -  Part 1</t>
  </si>
  <si>
    <t>Only update cells in GREEN</t>
  </si>
  <si>
    <t>Requirement</t>
  </si>
  <si>
    <t>Task/Space Use Type</t>
  </si>
  <si>
    <t>Target Illuminance
(lux)</t>
  </si>
  <si>
    <t>Average Illuminance per Task/Space Use
(lux)</t>
  </si>
  <si>
    <t>Minimum Illuminance per Task/Space Use
(lux)</t>
  </si>
  <si>
    <t>At least 3 samples per Task/Space Use</t>
  </si>
  <si>
    <t>Outcome
 (MET/NOT MET)</t>
  </si>
  <si>
    <t>Notes</t>
  </si>
  <si>
    <t>Space types are determined by the Project Team and should match the lighting standard space types</t>
  </si>
  <si>
    <t>Part 1a</t>
  </si>
  <si>
    <t xml:space="preserve">Ambient lighting maintains average target level for each task type (List ambient lighting level for each task type)
AND
The lowest light level of each target type is at least half of the target level </t>
  </si>
  <si>
    <t>Conference Room</t>
  </si>
  <si>
    <t>Do not insert above this row, or delete this row, formulas will become offset.</t>
  </si>
  <si>
    <t>Insert rows for more task/space types</t>
  </si>
  <si>
    <t>Detailed Measurement Data</t>
  </si>
  <si>
    <t>Measurement Point</t>
  </si>
  <si>
    <t>Work Plane / Location / Description</t>
  </si>
  <si>
    <t>Task/Space Type
(use drop down only)</t>
  </si>
  <si>
    <t>Illuminance Result
(lux)</t>
  </si>
  <si>
    <t>Half target
(lux)</t>
  </si>
  <si>
    <t>Illuminance is at least half the target level 
(MET/NOT MET)</t>
  </si>
  <si>
    <t>Average Illuminance per Space Use
(lux)</t>
  </si>
  <si>
    <t>Location Outcome
(MET/NOT MET)</t>
  </si>
  <si>
    <t>Target Illuminance Values are established by the project team. See documentation under L02</t>
  </si>
  <si>
    <t>Task and space types are determined by the Project Team and will be pulled from the task/space types entered in E8-E19*</t>
  </si>
  <si>
    <t>Note that a Location Outcome can be NOT MET but project still pass as long as the value is &gt; 1/2 the value and the average of the task/space type &gt; target</t>
  </si>
  <si>
    <t>Unhide additional cells for rows 51-100</t>
  </si>
  <si>
    <t>L03 Circadian Lighting Design - Part 1</t>
  </si>
  <si>
    <t>Half Target Outcome
(MET/NOT MET)</t>
  </si>
  <si>
    <t>Overall Outcome
(MET/NOT MET)</t>
  </si>
  <si>
    <t>150 EML (1 point)</t>
  </si>
  <si>
    <t>240 EML (3 points)</t>
  </si>
  <si>
    <t>120 EML with electric lighting and at least 2 points in Feature L05: Enhanced Daylight Access</t>
  </si>
  <si>
    <t>180 EML with electric lighting and at least 2 points in Feature L05: Enhanced Daylight Access</t>
  </si>
  <si>
    <t>Note that all testing for v2 is performed after dark. The options for daylighting require achievement of L05 and no daytime testing is required.</t>
  </si>
  <si>
    <t>Measurement</t>
  </si>
  <si>
    <t>Location / Description</t>
  </si>
  <si>
    <t>Nighttime Testing Results (EML)</t>
  </si>
  <si>
    <t>XXX</t>
  </si>
  <si>
    <t>Space with no working plane - 0 degrees</t>
  </si>
  <si>
    <t>Ambient Light</t>
  </si>
  <si>
    <t>For projects with spaces without working planes that require measurement, use the formatting to the left. Note that the calculations above will need to be manually adjusted. See the PV Guidebook for further instructions on the measurement methodology.</t>
  </si>
  <si>
    <t>Space with no working plane - 90 degrees</t>
  </si>
  <si>
    <t>Space with no working plane - 180 degrees</t>
  </si>
  <si>
    <t>Space with no working plane - 270 degrees</t>
  </si>
  <si>
    <t>Median</t>
  </si>
  <si>
    <r>
      <t xml:space="preserve">GENERAL OBSERVATIONS: 
</t>
    </r>
    <r>
      <rPr>
        <i/>
        <sz val="11"/>
        <color theme="1"/>
        <rFont val="Arial"/>
        <family val="2"/>
      </rPr>
      <t>Example (replace with actual observations): 
Not any unusual conditions and if HVAC was on or not. Report the metabolic rate used from the documentation provided by the project team.</t>
    </r>
  </si>
  <si>
    <t>Dry Bulb
Temperature 1
 (low/4")</t>
  </si>
  <si>
    <t>Dry Bulb
Temperature 2
(mid/ 24" or 43")</t>
  </si>
  <si>
    <t>Dry Bulb
Temperature 3
(high/ 43" or 67")</t>
  </si>
  <si>
    <t>Dry Bulb Outcome (Median of 
Dry Bulb 1, 2, 3)</t>
  </si>
  <si>
    <t xml:space="preserve">Mean Radiant Temperature (calculated) </t>
  </si>
  <si>
    <t>PMV</t>
  </si>
  <si>
    <t>PPD</t>
  </si>
  <si>
    <t>Replace with real data.</t>
  </si>
  <si>
    <t>Ensure units of temp are consistent across all values, either Celsius or Fahrenheit</t>
  </si>
  <si>
    <t>Mean Radiant Temperature(MRT) should be the calculated MRT</t>
  </si>
  <si>
    <r>
      <t xml:space="preserve">GENERAL OBSERVATIONS: 
</t>
    </r>
    <r>
      <rPr>
        <i/>
        <sz val="11"/>
        <color theme="1"/>
        <rFont val="Arial"/>
        <family val="2"/>
      </rPr>
      <t>Example (replace with actual observations): 
Note any unusual sound sources or situations and if HVAC was on or not.</t>
    </r>
  </si>
  <si>
    <t>S02 Background Noise</t>
  </si>
  <si>
    <t>For S02 Open offices, the reported value should be the average across each floor.</t>
  </si>
  <si>
    <t>Max Points possible</t>
  </si>
  <si>
    <t>Max eq Points</t>
  </si>
  <si>
    <t>Measurement Number</t>
  </si>
  <si>
    <t>Location Name</t>
  </si>
  <si>
    <t>Space Type</t>
  </si>
  <si>
    <t>Measurement Type</t>
  </si>
  <si>
    <t>WELL Building Standard  Maximum Threshold (dB)
Points Achieved</t>
  </si>
  <si>
    <t>Test Result</t>
  </si>
  <si>
    <t>Space types need to be selected from the drop down list as these are the only valid space types, see WELL the  Addenda for more details</t>
  </si>
  <si>
    <t>No Tolerance</t>
  </si>
  <si>
    <t>Tolerance</t>
  </si>
  <si>
    <t>Max
Points</t>
  </si>
  <si>
    <t>Max Points
W/tolerance</t>
  </si>
  <si>
    <t>1 Point N/A record if not met</t>
  </si>
  <si>
    <t>Real Max with 1 point rule</t>
  </si>
  <si>
    <t>Open Offices</t>
  </si>
  <si>
    <t>Leq dBA</t>
    <phoneticPr fontId="0" type="noConversion"/>
  </si>
  <si>
    <t>Leq dBC</t>
    <phoneticPr fontId="0" type="noConversion"/>
  </si>
  <si>
    <t>Lmax dBA</t>
    <phoneticPr fontId="0" type="noConversion"/>
  </si>
  <si>
    <t>Lmax dBC</t>
    <phoneticPr fontId="0" type="noConversion"/>
  </si>
  <si>
    <t>Enclosed Offices</t>
  </si>
  <si>
    <t>Classroom</t>
  </si>
  <si>
    <t>S03 Sound Barriers - Part 1</t>
  </si>
  <si>
    <t>Receiving Room</t>
  </si>
  <si>
    <t>Source Room</t>
  </si>
  <si>
    <t>WELL Building Standard  Minimum Threshold (SPP)</t>
  </si>
  <si>
    <t>Test Result 
(SPP)</t>
  </si>
  <si>
    <t>Outcome
(MET/NOT MET)</t>
  </si>
  <si>
    <t>Sound Pressure Level</t>
  </si>
  <si>
    <t>S04 Sound Absorption - Part 1</t>
  </si>
  <si>
    <t>WELL Building Standard  Maximum Threshold (seconds)</t>
  </si>
  <si>
    <t>Test Result (seconds)</t>
  </si>
  <si>
    <t>Reverberation</t>
  </si>
  <si>
    <t>S05 Sound Masking</t>
  </si>
  <si>
    <t>WELL Building Standard  Minimum Threshold (dB)</t>
  </si>
  <si>
    <t>WELL Building Standard  Maximum Threshold (dB)</t>
  </si>
  <si>
    <t>Test Result (dB)</t>
  </si>
  <si>
    <t>Sound Pressure (LAeq)</t>
  </si>
  <si>
    <t>Data Calculations below, do not modify!</t>
  </si>
  <si>
    <t>Sound Pressure Level (SPL) </t>
  </si>
  <si>
    <t>Open Workspaces,</t>
  </si>
  <si>
    <t>Conference Rooms,</t>
  </si>
  <si>
    <t>Dining Areas</t>
  </si>
  <si>
    <t>Classrooms,</t>
  </si>
  <si>
    <t>Residential Sleeping (Nighttime)</t>
  </si>
  <si>
    <t>Leq dBA</t>
  </si>
  <si>
    <t>Leq dBC</t>
  </si>
  <si>
    <t>Lmax dBA</t>
  </si>
  <si>
    <t>Lmax dBC</t>
  </si>
  <si>
    <t>Points Threshold</t>
  </si>
  <si>
    <t>A</t>
  </si>
  <si>
    <t>Valid Space Types</t>
  </si>
  <si>
    <t>Residential Sleeping Nighttime</t>
  </si>
  <si>
    <t>Threshold by type</t>
  </si>
  <si>
    <t>Do not delete rows to the left, just hide them before PDF'ing</t>
  </si>
  <si>
    <t>To add locations copy all 4 rows and insert above or below another set</t>
  </si>
  <si>
    <t>Put 1's in all rows for Parts that are not attempted. Do the formatting  of the cell border before filtering  on 0's.</t>
  </si>
  <si>
    <t>Outcome
T01.1
(MET/NOT MET)</t>
  </si>
  <si>
    <t>Outcome
T02.1
(MET/NOT MET)</t>
  </si>
  <si>
    <r>
      <t xml:space="preserve">GENERAL OBSERVATIONS: 
</t>
    </r>
    <r>
      <rPr>
        <i/>
        <sz val="11"/>
        <color theme="1"/>
        <rFont val="Arial"/>
        <family val="2"/>
      </rPr>
      <t>Example(replace with actual observations):</t>
    </r>
    <r>
      <rPr>
        <b/>
        <i/>
        <sz val="11"/>
        <color theme="1"/>
        <rFont val="Arial"/>
        <family val="2"/>
      </rPr>
      <t xml:space="preserve">
</t>
    </r>
    <r>
      <rPr>
        <i/>
        <sz val="11"/>
        <color theme="1"/>
        <rFont val="Arial"/>
        <family val="2"/>
      </rPr>
      <t xml:space="preserve">No unusual conditions were observed on-site during the water sampling. 
(Only report "ND" for total coliforms and E.coli, all other lab values should have the actual test result or the laboratory reporting limit.)
</t>
    </r>
  </si>
  <si>
    <r>
      <t>Average SPL (L</t>
    </r>
    <r>
      <rPr>
        <vertAlign val="subscript"/>
        <sz val="11"/>
        <color theme="1"/>
        <rFont val="Arial"/>
        <family val="2"/>
      </rPr>
      <t>eq</t>
    </r>
    <r>
      <rPr>
        <sz val="10"/>
        <color rgb="FF000000"/>
        <rFont val="Arial"/>
        <family val="2"/>
      </rPr>
      <t>)</t>
    </r>
  </si>
  <si>
    <r>
      <t>Max SPL (L</t>
    </r>
    <r>
      <rPr>
        <vertAlign val="subscript"/>
        <sz val="11"/>
        <color theme="1"/>
        <rFont val="Arial"/>
        <family val="2"/>
      </rPr>
      <t>Max</t>
    </r>
    <r>
      <rPr>
        <sz val="10"/>
        <color rgb="FF000000"/>
        <rFont val="Arial"/>
        <family val="2"/>
      </rPr>
      <t>)</t>
    </r>
  </si>
  <si>
    <r>
      <t>Average SPL (L</t>
    </r>
    <r>
      <rPr>
        <vertAlign val="subscript"/>
        <sz val="11"/>
        <color theme="1"/>
        <rFont val="Arial"/>
        <family val="2"/>
      </rPr>
      <t>eq</t>
    </r>
    <r>
      <rPr>
        <sz val="10"/>
        <color rgb="FF000000"/>
        <rFont val="Arial"/>
        <family val="2"/>
      </rPr>
      <t>)</t>
    </r>
    <r>
      <rPr>
        <vertAlign val="superscript"/>
        <sz val="11"/>
        <color theme="1"/>
        <rFont val="Arial"/>
        <family val="2"/>
      </rPr>
      <t> </t>
    </r>
  </si>
  <si>
    <t>Xylene (m, o, p combined)
(ug/m3)
108-38-3 + 95-47-6 + 106-42-3, 179601-23-1 + 95-47-6, or 1330-20-7</t>
  </si>
  <si>
    <t>Performance Verification Results (EML)</t>
  </si>
  <si>
    <t>Points Achieved in L05</t>
  </si>
  <si>
    <t>Points Achieved</t>
  </si>
  <si>
    <t>Met</t>
  </si>
  <si>
    <t>L05 Points</t>
  </si>
  <si>
    <t>Half Threshold</t>
  </si>
  <si>
    <t>Half Threshold (EML)</t>
  </si>
  <si>
    <t>EL 1 point</t>
  </si>
  <si>
    <t>Electric light only
150 EML</t>
  </si>
  <si>
    <t>EL 3 Points</t>
  </si>
  <si>
    <t xml:space="preserve">Electric light only
240 EML </t>
  </si>
  <si>
    <t>EL + L05 1 Point</t>
  </si>
  <si>
    <t>Electric light and daylighting
120 EML with electric lighting and at least 2 points in Feature L05: Enhanced Daylight Access</t>
  </si>
  <si>
    <t>EL + L05 3 Points</t>
  </si>
  <si>
    <t>Sum</t>
  </si>
  <si>
    <t>Electric light and daylighting
180 EML with electric lighting and at least 2 points in Feature L05: Enhanced Daylight Access</t>
  </si>
  <si>
    <t>Do not insert below this row, or delete this row, formulas will become offset. Use this row as your last space use type and hide the blank rows above</t>
  </si>
  <si>
    <t>E. Coli</t>
  </si>
  <si>
    <t>Total coliforms</t>
  </si>
  <si>
    <r>
      <t xml:space="preserve">GENERAL OBSERVATIONS: 
</t>
    </r>
    <r>
      <rPr>
        <i/>
        <sz val="11"/>
        <color theme="1"/>
        <rFont val="Arial"/>
        <family val="2"/>
      </rPr>
      <t>Example (replace with actual observations): 
Describe any unusual conditions, indicate if task lighting was used or not. Include notes on the time of sunset.</t>
    </r>
    <r>
      <rPr>
        <b/>
        <sz val="11"/>
        <color theme="1"/>
        <rFont val="Arial"/>
        <family val="2"/>
      </rPr>
      <t xml:space="preserve">
</t>
    </r>
  </si>
  <si>
    <t>Threshold</t>
  </si>
  <si>
    <t>EML with Tolerance Applied</t>
  </si>
  <si>
    <t>Outcome
T07.1
(MET/NOT MET)</t>
  </si>
  <si>
    <t>T01: Thermal Performance - Part 1, T02: Enhanced Thermal Performance - Part 1, T07: Humidity Control - Part 1</t>
  </si>
  <si>
    <t>V10.3 ß / 1 Point Support Remote Work Ergonomics</t>
  </si>
  <si>
    <t>V10.3 ß / 1 Point
Support Remote Work Ergonomics</t>
  </si>
  <si>
    <t>V10.2 ß / 1 Point 
Commit to Ergonomic Improvement</t>
  </si>
  <si>
    <t>V10.2 ß / 1 Point Commit to Ergonomic Improvement</t>
  </si>
  <si>
    <t>V10.2/3 Hidden</t>
  </si>
  <si>
    <t>C17/C18/C19/C20 Hidden</t>
  </si>
  <si>
    <t>C20. β - Support for Victims of Domestic Violence</t>
  </si>
  <si>
    <t>C20.1 / 2 Points
Support Victims of Domestic Violence</t>
  </si>
  <si>
    <t>C20.1 / 2 Points Support Victims of Domestic Violence</t>
  </si>
  <si>
    <t>Xylenes
(Total: m, p, and o)
(mg/L)</t>
  </si>
  <si>
    <t>Metabolic
Rate</t>
  </si>
  <si>
    <t>Clothing
Value</t>
  </si>
  <si>
    <t>Seated
or
Standing</t>
  </si>
  <si>
    <t>Over Tolerance</t>
  </si>
  <si>
    <t>W/tolerance</t>
  </si>
  <si>
    <t>Hide Rows</t>
  </si>
  <si>
    <t>No</t>
  </si>
  <si>
    <t>P/O</t>
  </si>
  <si>
    <t>Residential Daytime</t>
  </si>
  <si>
    <t>%</t>
  </si>
  <si>
    <t>Relative Humidity</t>
  </si>
  <si>
    <t>T7 Tolerance Calcs</t>
  </si>
  <si>
    <t>MinLow</t>
  </si>
  <si>
    <t>MaxHigh</t>
  </si>
  <si>
    <t>Target L</t>
  </si>
  <si>
    <t>Target H</t>
  </si>
  <si>
    <t>Yes</t>
  </si>
  <si>
    <t>The following are some general notes and reminders last updated 03/05/2021</t>
  </si>
  <si>
    <t>Overview tab is now protected to prevent unintentional changes: no password is needed</t>
  </si>
  <si>
    <t>Comment tab is now protected to prevent unintentional changes: no password is needed</t>
  </si>
  <si>
    <t>Updated 2021/03/05</t>
  </si>
  <si>
    <t>Will have to unprotect Overview/Review Comments tab (no password) to unhide the Concept Commet box and the Beta parts</t>
  </si>
  <si>
    <t>Basically the protect is to prevent accidental change of the format, not to prevent intentional changes</t>
  </si>
  <si>
    <t>Appendix tabs now have a Hide column to the right, when tab is completely filled out, then select No only in the filter, and all unused Rows and Optimizations should hide.</t>
  </si>
  <si>
    <t>If you see that formatting has to change after the filter has been applied, be SURE to unfilter prior to the formatting as it will do some funky formatting things. Then reaply the filter after your changes.</t>
  </si>
  <si>
    <t>Tabs are protected, but again no password to facility changes when needed</t>
  </si>
  <si>
    <t>All tolerances SHOULD default to No if no tolerences are applied.</t>
  </si>
  <si>
    <t>For PM 2.5 update the limit value in cell E9 for Option 2 etc., projects</t>
  </si>
  <si>
    <t>When it seemed logical the NOT MET/MET column has a formula, some are left blank due to less attempted or other logic issues that might make things complicated.</t>
  </si>
  <si>
    <t>In the end the reviewer always makes the call, and overrides any logic there if it is incorrect.</t>
  </si>
  <si>
    <t>Last updated 2021/03/05</t>
  </si>
  <si>
    <t xml:space="preserve">Review phase drives additional options. </t>
  </si>
  <si>
    <t>Ensure to fill this out first.</t>
  </si>
  <si>
    <t>EML + Tolerance</t>
  </si>
  <si>
    <t>Nitrogen dioxide
(ppb)</t>
  </si>
  <si>
    <t>X15.2 / 1 Point
Address Surface Hand Touch</t>
  </si>
  <si>
    <t>X15.2 / 1 Point Address Surface Hand Touch</t>
  </si>
  <si>
    <t>I06. β - Carbon Disclosure and Reduction</t>
  </si>
  <si>
    <t>I06.1 / 2 Points
Carbon Inventory</t>
  </si>
  <si>
    <t>I06.1 / 2 Points Carbon Inventory</t>
  </si>
  <si>
    <t>I06.2 / 3 Points
Carbon Reduction Goal</t>
  </si>
  <si>
    <t>I06.3 / 3 Points
Carbon Reduction</t>
  </si>
  <si>
    <t>I06.4 / 2 Points
Carbon Neutral</t>
  </si>
  <si>
    <t>I06.2 / 3 Points Carbon Reduction Goal</t>
  </si>
  <si>
    <t>I06.3 / 3 Points Carbon Reduction</t>
  </si>
  <si>
    <t>I06.4 / 2 Points Carbon Neutral</t>
  </si>
  <si>
    <t>Formaldehyde
(ug/m3)
50-00-0</t>
  </si>
  <si>
    <t>MET/NOT MET</t>
  </si>
  <si>
    <t>W01 Water Quality Indicators</t>
  </si>
  <si>
    <t>Configuration 3 Sample 1</t>
  </si>
  <si>
    <t>W02 Drinking Water Quality Part 1</t>
  </si>
  <si>
    <t>W02 Drinking Water Quality Part 1 (cont)</t>
  </si>
  <si>
    <t>Nitrite as N
(mg/L)</t>
  </si>
  <si>
    <t>Free Chlorine
(mg/L)</t>
  </si>
  <si>
    <t>&lt; 4</t>
  </si>
  <si>
    <t>W02 Drinking Water Quality - Part 2</t>
  </si>
  <si>
    <t>Silver
(mg/L)</t>
  </si>
  <si>
    <t>W04 Enhanced Water Quality - Part 1 (cont)</t>
  </si>
  <si>
    <t>Sulfide
(mg/L)</t>
  </si>
  <si>
    <r>
      <t xml:space="preserve">GENERAL OBSERVATIONS: 
</t>
    </r>
    <r>
      <rPr>
        <i/>
        <sz val="11"/>
        <color theme="1"/>
        <rFont val="Arial"/>
        <family val="2"/>
      </rPr>
      <t>Example(replace with actual observations):
No unusual conditions were observed on-site during the water sampling. 
(Only report "ND" for total coliforms and E.coli, all other lab values should have the actual test result or the laboratory reporting limit.)</t>
    </r>
  </si>
  <si>
    <t>Space Category</t>
  </si>
  <si>
    <t>(3 Points) 35 dBA</t>
  </si>
  <si>
    <t>(3 Points) 55 dBC</t>
  </si>
  <si>
    <t>(3 Points) 45 dBA</t>
  </si>
  <si>
    <t>(3 Points) 65 dBC</t>
  </si>
  <si>
    <t>(3 Points) 40 dBA</t>
  </si>
  <si>
    <t>(3 Points) 60 dBC</t>
  </si>
  <si>
    <t>(3 Points) 50 dBA</t>
  </si>
  <si>
    <t>(3 Points) 70 dBC</t>
  </si>
  <si>
    <t>(3 Points) 55 dBA</t>
  </si>
  <si>
    <t>(3 Points) 75 dBC</t>
  </si>
  <si>
    <t>Acetaldehyde
(ug/m3)
75-07-0</t>
  </si>
  <si>
    <t>Acrylonitrile
(ug/m3)
107-13-1</t>
  </si>
  <si>
    <t>Caprolactam
(ug/m3)
105-60-2</t>
  </si>
  <si>
    <t>Naphthalene
(ug/m3)
91-20-3</t>
  </si>
  <si>
    <t>140 (147)</t>
  </si>
  <si>
    <t>5 (5.25)</t>
  </si>
  <si>
    <t>2.2 (2.31)</t>
  </si>
  <si>
    <t>9 (9.45)</t>
  </si>
  <si>
    <t>300 (315)</t>
  </si>
  <si>
    <t>Carbon Monoxide
(7 mg/m3 or 6 ppm)</t>
  </si>
  <si>
    <t>Nitrogen dioxide
(40 ug/m3 or 21 ppb)</t>
  </si>
  <si>
    <t>3 (3.15)</t>
  </si>
  <si>
    <t>9 (10.8)</t>
  </si>
  <si>
    <t xml:space="preserve"> 	2202025367 - Shenzhen Prince Bay Mixed-use Development DY04-02</t>
  </si>
  <si>
    <t>The WELL Building Standard v2.0 pilot (Q2 2021) WELL Core</t>
  </si>
  <si>
    <r>
      <rPr>
        <b/>
        <sz val="12"/>
        <color rgb="FF000000"/>
        <rFont val="Arial"/>
        <family val="2"/>
      </rPr>
      <t>PRELIMINARY PRECERTIFICATION REVIEW:</t>
    </r>
    <r>
      <rPr>
        <sz val="12"/>
        <color rgb="FF000000"/>
        <rFont val="Arial"/>
        <family val="2"/>
      </rPr>
      <t xml:space="preserve">
Implementation-stage has no required documentation.
</t>
    </r>
  </si>
  <si>
    <r>
      <t xml:space="preserve">PRELIMINARY PRECERTIFICATION REVIEW:
</t>
    </r>
    <r>
      <rPr>
        <sz val="12"/>
        <color rgb="FF000000"/>
        <rFont val="Arial"/>
        <family val="2"/>
      </rPr>
      <t>Intent-stage documentation has been provided indicating that the part requirements will be met.</t>
    </r>
    <r>
      <rPr>
        <b/>
        <sz val="12"/>
        <color rgb="FF000000"/>
        <rFont val="Arial"/>
        <family val="2"/>
      </rPr>
      <t xml:space="preserve">
</t>
    </r>
  </si>
  <si>
    <r>
      <t xml:space="preserve">PRELIMINARY PRECERTIFICATION REVIEW:
</t>
    </r>
    <r>
      <rPr>
        <sz val="12"/>
        <color rgb="FF000000"/>
        <rFont val="Arial"/>
        <family val="2"/>
      </rPr>
      <t>Intent-stage documentation has been provided indicating that the part requirements will be met.</t>
    </r>
    <r>
      <rPr>
        <b/>
        <sz val="12"/>
        <color rgb="FF000000"/>
        <rFont val="Arial"/>
        <family val="2"/>
      </rPr>
      <t xml:space="preserve">
</t>
    </r>
    <r>
      <rPr>
        <sz val="12"/>
        <color rgb="FF000000"/>
        <rFont val="Arial"/>
        <family val="2"/>
      </rPr>
      <t xml:space="preserve">
Note the following.
I. This part is dependent on achieving the 'Mechanically ventilated spaces' option of Part 1: Ensure Adequate Ventilation in Feature A03: Ventilation Effectiveness.
</t>
    </r>
  </si>
  <si>
    <r>
      <t xml:space="preserve">PRELIMINARY PRECERTIFICATION REVIEW:
</t>
    </r>
    <r>
      <rPr>
        <sz val="12"/>
        <color rgb="FF000000"/>
        <rFont val="Arial"/>
        <family val="2"/>
      </rPr>
      <t xml:space="preserve">Implementation-stage documentation has been provided.
</t>
    </r>
  </si>
  <si>
    <r>
      <rPr>
        <b/>
        <sz val="12"/>
        <color rgb="FF000000"/>
        <rFont val="Arial"/>
        <family val="2"/>
      </rPr>
      <t>PRELIMINARY PRECERTIFICATION REVIEW:</t>
    </r>
    <r>
      <rPr>
        <sz val="12"/>
        <color rgb="FF000000"/>
        <rFont val="Arial"/>
        <family val="2"/>
      </rPr>
      <t xml:space="preserve">
This part has not been attempted.
</t>
    </r>
  </si>
  <si>
    <r>
      <rPr>
        <b/>
        <sz val="12"/>
        <rFont val="Arial"/>
        <family val="2"/>
      </rPr>
      <t>PRELIMINARY PRECERTIFICATION REVIEW:</t>
    </r>
    <r>
      <rPr>
        <sz val="12"/>
        <rFont val="Arial"/>
        <family val="2"/>
      </rPr>
      <t xml:space="preserve">
Implementation-stage has no required documentation.
Note the following.
I. This feature is dependent on achieving at least one point under Feature V03: Movement Network and Circulation, Feature V04: Active Commuter and Occupant Support, Feature V05: Site Planning and Selection, Feature V08: Physical Activity Spaces and Equipment, or Feature V09: Exterior Active Design.
</t>
    </r>
  </si>
  <si>
    <r>
      <t xml:space="preserve">PRELIMINARY PRECERTIFICATION REVIEW:
</t>
    </r>
    <r>
      <rPr>
        <sz val="12"/>
        <color rgb="FF000000"/>
        <rFont val="Arial"/>
        <family val="2"/>
      </rPr>
      <t>Intent-stage documentation has been provided indicating that the part requirements will be met.</t>
    </r>
    <r>
      <rPr>
        <b/>
        <sz val="12"/>
        <color rgb="FF000000"/>
        <rFont val="Arial"/>
        <family val="2"/>
      </rPr>
      <t xml:space="preserve">
</t>
    </r>
    <r>
      <rPr>
        <sz val="12"/>
        <color rgb="FF000000"/>
        <rFont val="Arial"/>
        <family val="2"/>
      </rPr>
      <t xml:space="preserve">
Note the following.
I. Ensure that the metabolic rate assumptions for the design calculations are provided at the Preliminary Documentation Review phase to comply with the requirements of this part.
</t>
    </r>
  </si>
  <si>
    <r>
      <t xml:space="preserve">PRELIMINARY PRECERTIFICATION REVIEW:
</t>
    </r>
    <r>
      <rPr>
        <sz val="12"/>
        <color rgb="FF000000"/>
        <rFont val="Arial"/>
        <family val="2"/>
      </rPr>
      <t xml:space="preserve">Implementation-stage documentation indicates that this project is new construction; therefore, the part requirements have been met.
</t>
    </r>
  </si>
  <si>
    <r>
      <t xml:space="preserve">PRELIMINARY PRECERTIFICATION REVIEW:
</t>
    </r>
    <r>
      <rPr>
        <sz val="12"/>
        <color rgb="FF000000"/>
        <rFont val="Arial"/>
        <family val="2"/>
      </rPr>
      <t xml:space="preserve">Implementation-stage documentation indicates that the project does not have wood structures or artificial turf within the WELL Project Boundary; therefore, the part requirements have been met.
</t>
    </r>
  </si>
  <si>
    <t xml:space="preserve">Refer to review comments for each proposed Innovation below.
</t>
  </si>
  <si>
    <r>
      <t xml:space="preserve">Movement General Observations: 
</t>
    </r>
    <r>
      <rPr>
        <sz val="12"/>
        <rFont val="Arial"/>
        <family val="2"/>
      </rPr>
      <t>The Movement Concept category is limited to twelve points. The project team has the option to unattempt any part within the Movement Concept category. A published Alternative Adherence Path (AAP-00010) has been applied to I01: Innovate WELL.</t>
    </r>
  </si>
  <si>
    <t>Additional clarifications provided were concise and addressed the issues noted in the Preliminary Precertification Review report. All parts have been reviewed and no additional clarifications are required at this time.
Congratulations on achieving WELL Precertification!
It has been noted that the retail, commercial kitchen, and commercial dining spaces are not under the control of the WELL Project Owner and the requirements for these space types are not applicable to this WELL project. Please remove these space types from the Overview tab prior to submitting for Preliminary Documentation Review.</t>
  </si>
  <si>
    <r>
      <rPr>
        <b/>
        <sz val="12"/>
        <rFont val="Arial"/>
        <family val="2"/>
      </rPr>
      <t xml:space="preserve">FINAL PRECERTIFICATION REVIEW:
</t>
    </r>
    <r>
      <rPr>
        <sz val="12"/>
        <rFont val="Arial"/>
        <family val="2"/>
      </rPr>
      <t xml:space="preserve">Intent-stage documentation has been provided indicating that the part requirements will be met.
</t>
    </r>
    <r>
      <rPr>
        <b/>
        <sz val="12"/>
        <rFont val="Arial"/>
        <family val="2"/>
      </rPr>
      <t xml:space="preserve">
PRELIMINARY PRECERTIFICATION REVIEW:</t>
    </r>
    <r>
      <rPr>
        <sz val="12"/>
        <rFont val="Arial"/>
        <family val="2"/>
      </rPr>
      <t xml:space="preserve">
Intent-stage documentation has been provided. However, to demonstrate compliance, the following must be addressed.
COMMENTS TO BE ADDRESSED
1. While the MEP Letter of Assurance has been provided, it has not been fully completed. Provide a revised MEP Letter of Assurance with the box checked for Part 2b to demonstrate an intent to comply with the requirements for this part.
</t>
    </r>
  </si>
  <si>
    <r>
      <rPr>
        <b/>
        <sz val="12"/>
        <color rgb="FF000000"/>
        <rFont val="Arial"/>
        <family val="2"/>
      </rPr>
      <t xml:space="preserve">FINAL PRECERTIFICATION REVIEW:
</t>
    </r>
    <r>
      <rPr>
        <sz val="12"/>
        <color rgb="FF000000"/>
        <rFont val="Arial"/>
        <family val="2"/>
      </rPr>
      <t xml:space="preserve">Intent-stage documentation has been provided indicating that the part requirements will be met.
</t>
    </r>
    <r>
      <rPr>
        <b/>
        <sz val="12"/>
        <color rgb="FF000000"/>
        <rFont val="Arial"/>
        <family val="2"/>
      </rPr>
      <t xml:space="preserve">
PRELIMINARY PRECERTIFICATION REVIEW:</t>
    </r>
    <r>
      <rPr>
        <sz val="12"/>
        <color rgb="FF000000"/>
        <rFont val="Arial"/>
        <family val="2"/>
      </rPr>
      <t xml:space="preserve">
Documentation has not been provided indicating that the part requirements will be met. To demonstrate compliance, the following must be addressed.
COMMENTS TO BE ADDRESSED
1. The WELL Online Scorecard indicates that this part has been attempted, but documentation has not been provided. Confirm whether the project team intends to pursue this part. Additionally, provide a narrative to describe how the project intends to meet the part requirements or provide the required documentation to demonstrate compliance with the requirements for this part.
</t>
    </r>
  </si>
  <si>
    <r>
      <rPr>
        <b/>
        <sz val="12"/>
        <rFont val="Arial"/>
        <family val="2"/>
      </rPr>
      <t xml:space="preserve">FINAL PRECERTIFICATION REVIEW:
</t>
    </r>
    <r>
      <rPr>
        <sz val="12"/>
        <rFont val="Arial"/>
        <family val="2"/>
      </rPr>
      <t xml:space="preserve">Intent-stage documentation has been provided indicating that the part requirements will be met.
</t>
    </r>
    <r>
      <rPr>
        <b/>
        <sz val="12"/>
        <rFont val="Arial"/>
        <family val="2"/>
      </rPr>
      <t xml:space="preserve">
PRELIMINARY PRECERTIFICATION REVIEW:</t>
    </r>
    <r>
      <rPr>
        <sz val="12"/>
        <rFont val="Arial"/>
        <family val="2"/>
      </rPr>
      <t xml:space="preserve">
Intent-stage documentation has been provided. However, to demonstrate compliance, the following must be addressed.
COMMENTS TO BE ADDRESSED
1. While the MEP Letter of Assurance has been provided, it has not been fully completed. Provide a revised MEP Letter of Assurance with the applicable boxes checked for Low-Emission Combustion Sources to demonstrate an intent to comply with the requirements for this part.
</t>
    </r>
  </si>
  <si>
    <r>
      <rPr>
        <b/>
        <sz val="12"/>
        <rFont val="Arial"/>
        <family val="2"/>
      </rPr>
      <t xml:space="preserve">FINAL PRECERTIFICATION REVIEW:
</t>
    </r>
    <r>
      <rPr>
        <sz val="12"/>
        <rFont val="Arial"/>
        <family val="2"/>
      </rPr>
      <t xml:space="preserve">Intent-stage documentation has been provided indicating that the part requirements will be met.
</t>
    </r>
    <r>
      <rPr>
        <b/>
        <sz val="12"/>
        <rFont val="Arial"/>
        <family val="2"/>
      </rPr>
      <t xml:space="preserve">
PRELIMINARY PRECERTIFICATION REVIEW:</t>
    </r>
    <r>
      <rPr>
        <sz val="12"/>
        <rFont val="Arial"/>
        <family val="2"/>
      </rPr>
      <t xml:space="preserve">
Intent-stage documentation has been provided. However, to demonstrate compliance, the following must be addressed.
COMMENTS TO BE ADDRESSED
1. While the Architect Letter of Assurance has been provided, it has not been fully completed. Provide a revised Architect Letter of Assurance with the applicable boxes checked for All Spaces to demonstrate an intent to comply with the requirements for this part.
</t>
    </r>
  </si>
  <si>
    <r>
      <rPr>
        <b/>
        <sz val="12"/>
        <color rgb="FF000000"/>
        <rFont val="Arial"/>
        <family val="2"/>
      </rPr>
      <t xml:space="preserve">FINAL PRECERTIFICATION REVIEW:
</t>
    </r>
    <r>
      <rPr>
        <sz val="12"/>
        <color rgb="FF000000"/>
        <rFont val="Arial"/>
        <family val="2"/>
      </rPr>
      <t xml:space="preserve">Intent-stage documentation has been provided indicating that the part requirements will be met.
</t>
    </r>
    <r>
      <rPr>
        <b/>
        <sz val="12"/>
        <color rgb="FF000000"/>
        <rFont val="Arial"/>
        <family val="2"/>
      </rPr>
      <t xml:space="preserve">
PRELIMINARY PRECERTIFICATION REVIEW:</t>
    </r>
    <r>
      <rPr>
        <sz val="12"/>
        <color rgb="FF000000"/>
        <rFont val="Arial"/>
        <family val="2"/>
      </rPr>
      <t xml:space="preserve">
Documentation has not been provided indicating that the part requirements will be met. To demonstrate compliance, the following must be addressed.
COMMENTS TO BE ADDRESSED
1. The WELL Online Scorecard indicates that this part has been attempted, but documentation has not been provided. Confirm whether the project team intends to pursue this part. Additionally, provide a narrative to describe how the project intends to meet the part requirements or provide the required documentation to demonstrate compliance with the requirements for this part.
Note the following.
I. Due to point limits for this feature, only one point may be earned for this part. If all parts are achieved, only one point will be reflected at the Performance Review phase for this part. 
</t>
    </r>
  </si>
  <si>
    <r>
      <rPr>
        <b/>
        <sz val="12"/>
        <color rgb="FF000000"/>
        <rFont val="Arial"/>
        <family val="2"/>
      </rPr>
      <t xml:space="preserve">FINAL PRECERTIFICATION REVIEW:
</t>
    </r>
    <r>
      <rPr>
        <sz val="12"/>
        <color rgb="FF000000"/>
        <rFont val="Arial"/>
        <family val="2"/>
      </rPr>
      <t xml:space="preserve">This part has been withdrawn.
</t>
    </r>
    <r>
      <rPr>
        <b/>
        <sz val="12"/>
        <color rgb="FF000000"/>
        <rFont val="Arial"/>
        <family val="2"/>
      </rPr>
      <t xml:space="preserve">
PRELIMINARY PRECERTIFICATION REVIEW:</t>
    </r>
    <r>
      <rPr>
        <sz val="12"/>
        <color rgb="FF000000"/>
        <rFont val="Arial"/>
        <family val="2"/>
      </rPr>
      <t xml:space="preserve">
Documentation has not been provided indicating that the part requirements will be met. To demonstrate compliance, the following must be addressed.
COMMENTS TO BE ADDRESSED
1. The WELL Online Scorecard indicates that this part has been attempted, but documentation has not been provided. Confirm whether the project team intends to pursue this part. Additionally, provide a narrative to describe how the project intends to meet the part requirements or provide the required documentation to demonstrate compliance with the requirements for this part.
</t>
    </r>
  </si>
  <si>
    <r>
      <t xml:space="preserve">FINAL PRECERTIFICATION REVIEW:
</t>
    </r>
    <r>
      <rPr>
        <sz val="12"/>
        <color rgb="FF000000"/>
        <rFont val="Arial"/>
        <family val="2"/>
      </rPr>
      <t xml:space="preserve">This part has been withdrawn.
</t>
    </r>
    <r>
      <rPr>
        <b/>
        <sz val="12"/>
        <color rgb="FF000000"/>
        <rFont val="Arial"/>
        <family val="2"/>
      </rPr>
      <t xml:space="preserve">
PRELIMINARY PRECERTIFICATION REVIEW:
</t>
    </r>
    <r>
      <rPr>
        <sz val="12"/>
        <color rgb="FF000000"/>
        <rFont val="Arial"/>
        <family val="2"/>
      </rPr>
      <t xml:space="preserve">Intent-stage documentation has been provided indicating that more than twelve points are anticipated for the Movement Concept category. A published Alternative Adherence Path (AAP-00010) has been applied. However, to demonstrate compliance, the following must be addressed.
COMMENTS TO BE ADDRESSED
1. This part is dependent on achieving more than twelve points in the Movement Concept category. Refer to the comments within the Movement Concept category and resubmit this part. 
</t>
    </r>
  </si>
  <si>
    <r>
      <rPr>
        <b/>
        <sz val="12"/>
        <color rgb="FF000000"/>
        <rFont val="Arial"/>
        <family val="2"/>
      </rPr>
      <t xml:space="preserve">FINAL PRECERTIFICATION REVIEW:
</t>
    </r>
    <r>
      <rPr>
        <sz val="12"/>
        <color rgb="FF000000"/>
        <rFont val="Arial"/>
        <family val="2"/>
      </rPr>
      <t xml:space="preserve">Intent-stage documentation has been provided indicating that the part requirements will be met.
</t>
    </r>
    <r>
      <rPr>
        <b/>
        <sz val="12"/>
        <color rgb="FF000000"/>
        <rFont val="Arial"/>
        <family val="2"/>
      </rPr>
      <t xml:space="preserve">
PRELIMINARY PRECERTIFICATION REVIEW:</t>
    </r>
    <r>
      <rPr>
        <sz val="12"/>
        <color rgb="FF000000"/>
        <rFont val="Arial"/>
        <family val="2"/>
      </rPr>
      <t xml:space="preserve">
Documentation has not been provided indicating that the part requirements will be met. To demonstrate compliance, the following must be addressed.
COMMENTS TO BE ADDRESSED
1. This part is a precondition that is required for compliance under the WELL Building Standard. The project team must provide documentation that demonstrates an intent to comply with this part in order to achieve precertification under the WELL Building Standard. Provide a </t>
    </r>
    <r>
      <rPr>
        <sz val="12"/>
        <rFont val="Arial"/>
        <family val="2"/>
      </rPr>
      <t>narrative</t>
    </r>
    <r>
      <rPr>
        <sz val="12"/>
        <color rgb="FF000000"/>
        <rFont val="Arial"/>
        <family val="2"/>
      </rPr>
      <t xml:space="preserve"> to describe how the project intends to meet the part requirements or provide the required documentation to demonstrate compliance with the requirements for this part.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</si>
</sst>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mmmm\ d\,\ yyyy;@"/>
    <numFmt numFmtId="165" formatCode="0.0"/>
    <numFmt numFmtId="166" formatCode="0.00000"/>
    <numFmt numFmtId="167" formatCode="0.000"/>
    <numFmt numFmtId="168" formatCode="0.0_ "/>
    <numFmt numFmtId="169" formatCode="0.000000"/>
    <numFmt numFmtId="170" formatCode="0.0000"/>
  </numFmts>
  <fonts count="82">
    <font>
      <sz val="10"/>
      <color rgb="FF000000"/>
      <name val="Arial"/>
    </font>
    <font>
      <sz val="10"/>
      <color rgb="FF000000"/>
      <name val="Arial"/>
      <family val="2"/>
    </font>
    <font>
      <sz val="12"/>
      <color rgb="FF000000"/>
      <name val="Arial"/>
      <family val="2"/>
    </font>
    <font>
      <sz val="9"/>
      <color rgb="FF000000"/>
      <name val="Arial"/>
      <family val="2"/>
    </font>
    <font>
      <b/>
      <sz val="10"/>
      <color rgb="FF000000"/>
      <name val="Arial"/>
      <family val="2"/>
    </font>
    <font>
      <b/>
      <sz val="14"/>
      <color rgb="FF000000"/>
      <name val="Arial"/>
      <family val="2"/>
    </font>
    <font>
      <b/>
      <sz val="12"/>
      <color rgb="FF000000"/>
      <name val="Arial"/>
      <family val="2"/>
    </font>
    <font>
      <sz val="12"/>
      <name val="Arial"/>
      <family val="2"/>
    </font>
    <font>
      <b/>
      <sz val="12"/>
      <color rgb="FFFFFFFF"/>
      <name val="Arial"/>
      <family val="2"/>
    </font>
    <font>
      <sz val="12"/>
      <color rgb="FFFFFFFF"/>
      <name val="Arial"/>
      <family val="2"/>
    </font>
    <font>
      <b/>
      <sz val="20"/>
      <color rgb="FF000000"/>
      <name val="Arial"/>
      <family val="2"/>
    </font>
    <font>
      <sz val="12"/>
      <color rgb="FFFF0000"/>
      <name val="Arial"/>
      <family val="2"/>
    </font>
    <font>
      <b/>
      <sz val="12"/>
      <name val="Arial"/>
      <family val="2"/>
    </font>
    <font>
      <b/>
      <sz val="12"/>
      <color rgb="FFFF0000"/>
      <name val="Arial"/>
      <family val="2"/>
    </font>
    <font>
      <sz val="22"/>
      <color rgb="FFFF0000"/>
      <name val="Arial"/>
      <family val="2"/>
    </font>
    <font>
      <b/>
      <sz val="20"/>
      <color rgb="FFFFFFFF"/>
      <name val="Arial"/>
      <family val="2"/>
    </font>
    <font>
      <u/>
      <sz val="20"/>
      <color rgb="FFFFFFFF"/>
      <name val="Arial"/>
      <family val="2"/>
    </font>
    <font>
      <sz val="20"/>
      <color rgb="FFFFFFFF"/>
      <name val="Arial"/>
      <family val="2"/>
    </font>
    <font>
      <u/>
      <sz val="10"/>
      <color theme="10"/>
      <name val="Arial"/>
      <family val="2"/>
    </font>
    <font>
      <b/>
      <sz val="10"/>
      <color rgb="FFFF0000"/>
      <name val="Arial"/>
      <family val="2"/>
    </font>
    <font>
      <b/>
      <sz val="12"/>
      <color theme="4"/>
      <name val="Arial"/>
      <family val="2"/>
    </font>
    <font>
      <b/>
      <sz val="12"/>
      <color rgb="FFC00000"/>
      <name val="Arial"/>
      <family val="2"/>
    </font>
    <font>
      <b/>
      <sz val="26"/>
      <color rgb="FFFF0000"/>
      <name val="Arial"/>
      <family val="2"/>
    </font>
    <font>
      <sz val="16"/>
      <color rgb="FFFF0000"/>
      <name val="Arial"/>
      <family val="2"/>
    </font>
    <font>
      <sz val="10"/>
      <color theme="8"/>
      <name val="Arial"/>
      <family val="2"/>
    </font>
    <font>
      <b/>
      <sz val="10"/>
      <name val="Arial"/>
      <family val="2"/>
    </font>
    <font>
      <sz val="10"/>
      <name val="Arial"/>
      <family val="2"/>
    </font>
    <font>
      <sz val="10"/>
      <color rgb="FF000000"/>
      <name val="Calibri"/>
      <family val="2"/>
      <scheme val="minor"/>
    </font>
    <font>
      <sz val="10"/>
      <color rgb="FF000000"/>
      <name val="Arial Unicode MS"/>
    </font>
    <font>
      <sz val="10"/>
      <name val="Arial Unicode MS"/>
    </font>
    <font>
      <b/>
      <sz val="10"/>
      <color rgb="FF000000"/>
      <name val="Calibri"/>
      <family val="2"/>
      <scheme val="minor"/>
    </font>
    <font>
      <b/>
      <sz val="14"/>
      <name val="Arial"/>
      <family val="2"/>
    </font>
    <font>
      <sz val="10"/>
      <color rgb="FF00B050"/>
      <name val="Arial"/>
      <family val="2"/>
    </font>
    <font>
      <b/>
      <sz val="10"/>
      <color rgb="FF00B050"/>
      <name val="Arial"/>
      <family val="2"/>
    </font>
    <font>
      <b/>
      <sz val="18"/>
      <color rgb="FF000000"/>
      <name val="Arial"/>
      <family val="2"/>
    </font>
    <font>
      <b/>
      <sz val="18"/>
      <color rgb="FFFF0000"/>
      <name val="Arial"/>
      <family val="2"/>
    </font>
    <font>
      <b/>
      <sz val="9"/>
      <color rgb="FF000000"/>
      <name val="Arial"/>
      <family val="2"/>
    </font>
    <font>
      <b/>
      <sz val="20"/>
      <color rgb="FFFF0000"/>
      <name val="Arial"/>
      <family val="2"/>
    </font>
    <font>
      <b/>
      <sz val="22"/>
      <color rgb="FFFF0000"/>
      <name val="Arial"/>
      <family val="2"/>
    </font>
    <font>
      <b/>
      <sz val="12"/>
      <color theme="1"/>
      <name val="Arial"/>
      <family val="2"/>
    </font>
    <font>
      <sz val="11"/>
      <color theme="1"/>
      <name val="Calibri"/>
      <family val="2"/>
      <scheme val="minor"/>
    </font>
    <font>
      <b/>
      <sz val="16"/>
      <color theme="1"/>
      <name val="Arial"/>
      <family val="2"/>
    </font>
    <font>
      <b/>
      <i/>
      <sz val="11"/>
      <color theme="1"/>
      <name val="Arial"/>
      <family val="2"/>
    </font>
    <font>
      <b/>
      <sz val="11"/>
      <color theme="1"/>
      <name val="Arial"/>
      <family val="2"/>
    </font>
    <font>
      <i/>
      <sz val="11"/>
      <color theme="1"/>
      <name val="Arial"/>
      <family val="2"/>
    </font>
    <font>
      <b/>
      <sz val="16"/>
      <color theme="0"/>
      <name val="Arial"/>
      <family val="2"/>
    </font>
    <font>
      <sz val="10"/>
      <color rgb="FFFFFFFF"/>
      <name val="Arial"/>
      <family val="2"/>
    </font>
    <font>
      <sz val="11"/>
      <color theme="1"/>
      <name val="Arial"/>
      <family val="2"/>
    </font>
    <font>
      <b/>
      <sz val="14"/>
      <color rgb="FFFF0000"/>
      <name val="Arial"/>
      <family val="2"/>
    </font>
    <font>
      <sz val="11"/>
      <color rgb="FFFF0000"/>
      <name val="Arial"/>
      <family val="2"/>
    </font>
    <font>
      <i/>
      <sz val="11"/>
      <color rgb="FFFF0000"/>
      <name val="Arial"/>
      <family val="2"/>
    </font>
    <font>
      <b/>
      <sz val="36"/>
      <color rgb="FF000000"/>
      <name val="Arial"/>
      <family val="2"/>
    </font>
    <font>
      <b/>
      <sz val="22"/>
      <color rgb="FF000000"/>
      <name val="Arial"/>
      <family val="2"/>
    </font>
    <font>
      <b/>
      <sz val="48"/>
      <color rgb="FF000000"/>
      <name val="Arial"/>
      <family val="2"/>
    </font>
    <font>
      <b/>
      <sz val="28"/>
      <color rgb="FFFFFFFF"/>
      <name val="Arial"/>
      <family val="2"/>
    </font>
    <font>
      <b/>
      <sz val="24"/>
      <color rgb="FF000000"/>
      <name val="Arial"/>
      <family val="2"/>
    </font>
    <font>
      <sz val="16"/>
      <color rgb="FF000000"/>
      <name val="Arial"/>
      <family val="2"/>
    </font>
    <font>
      <b/>
      <sz val="16"/>
      <color rgb="FF000000"/>
      <name val="Arial"/>
      <family val="2"/>
    </font>
    <font>
      <sz val="14"/>
      <color rgb="FF000000"/>
      <name val="Arial"/>
      <family val="2"/>
    </font>
    <font>
      <u/>
      <sz val="26"/>
      <color rgb="FFFFFFFF"/>
      <name val="Arial"/>
      <family val="2"/>
    </font>
    <font>
      <u/>
      <sz val="24"/>
      <color rgb="FFFFFFFF"/>
      <name val="Arial"/>
      <family val="2"/>
    </font>
    <font>
      <u/>
      <sz val="16"/>
      <color rgb="FFFFFFFF"/>
      <name val="Arial"/>
      <family val="2"/>
    </font>
    <font>
      <b/>
      <sz val="9"/>
      <color rgb="FFFFFFFF"/>
      <name val="Arial"/>
      <family val="2"/>
    </font>
    <font>
      <b/>
      <sz val="36"/>
      <color rgb="FFFF0000"/>
      <name val="Arial"/>
      <family val="2"/>
    </font>
    <font>
      <sz val="16"/>
      <color theme="1"/>
      <name val="Arial"/>
      <family val="2"/>
    </font>
    <font>
      <i/>
      <sz val="9"/>
      <color theme="1"/>
      <name val="Arial"/>
      <family val="2"/>
    </font>
    <font>
      <b/>
      <i/>
      <sz val="9"/>
      <color theme="1"/>
      <name val="Arial"/>
      <family val="2"/>
    </font>
    <font>
      <b/>
      <i/>
      <sz val="11"/>
      <color rgb="FFFF0000"/>
      <name val="Arial"/>
      <family val="2"/>
    </font>
    <font>
      <vertAlign val="subscript"/>
      <sz val="11"/>
      <color theme="1"/>
      <name val="Arial"/>
      <family val="2"/>
    </font>
    <font>
      <vertAlign val="superscript"/>
      <sz val="11"/>
      <color theme="1"/>
      <name val="Arial"/>
      <family val="2"/>
    </font>
    <font>
      <b/>
      <sz val="11"/>
      <color rgb="FFFF0000"/>
      <name val="Arial"/>
      <family val="2"/>
    </font>
    <font>
      <sz val="11"/>
      <color rgb="FF000000"/>
      <name val="Arial"/>
      <family val="2"/>
    </font>
    <font>
      <b/>
      <sz val="11"/>
      <color theme="0"/>
      <name val="Arial"/>
      <family val="2"/>
    </font>
    <font>
      <sz val="11"/>
      <name val="Arial"/>
      <family val="2"/>
    </font>
    <font>
      <b/>
      <sz val="11"/>
      <name val="Arial"/>
      <family val="2"/>
    </font>
    <font>
      <b/>
      <sz val="16"/>
      <color rgb="FFFF0000"/>
      <name val="Arial"/>
      <family val="2"/>
    </font>
    <font>
      <b/>
      <sz val="10"/>
      <color theme="1"/>
      <name val="Arial"/>
      <family val="2"/>
    </font>
    <font>
      <sz val="10"/>
      <color rgb="FF7030A0"/>
      <name val="Arial"/>
      <family val="2"/>
    </font>
    <font>
      <sz val="14"/>
      <color rgb="FFFF0000"/>
      <name val="Calibri"/>
      <family val="2"/>
      <scheme val="minor"/>
    </font>
    <font>
      <i/>
      <sz val="11"/>
      <color rgb="FF7030A0"/>
      <name val="Calibri"/>
      <family val="2"/>
      <scheme val="minor"/>
    </font>
    <font>
      <b/>
      <sz val="14"/>
      <color rgb="FFFF0000"/>
      <name val="Calibri"/>
      <family val="2"/>
      <scheme val="minor"/>
    </font>
    <font>
      <sz val="11"/>
      <color rgb="FF7030A0"/>
      <name val="Calibri"/>
      <family val="2"/>
      <scheme val="minor"/>
    </font>
  </fonts>
  <fills count="35">
    <fill>
      <patternFill patternType="none"/>
    </fill>
    <fill>
      <patternFill patternType="gray125"/>
    </fill>
    <fill>
      <patternFill patternType="none"/>
    </fill>
    <fill>
      <patternFill patternType="solid">
        <fgColor rgb="FF44546A"/>
        <bgColor rgb="FF44546A"/>
      </patternFill>
    </fill>
    <fill>
      <patternFill patternType="solid">
        <fgColor rgb="FF263D46"/>
        <bgColor rgb="FF000000"/>
      </patternFill>
    </fill>
    <fill>
      <patternFill patternType="solid">
        <fgColor rgb="FFCCCCCC"/>
        <bgColor rgb="FF000000"/>
      </patternFill>
    </fill>
    <fill>
      <patternFill patternType="solid">
        <fgColor rgb="FF36627E"/>
        <bgColor rgb="FF000000"/>
      </patternFill>
    </fill>
    <fill>
      <patternFill patternType="solid">
        <fgColor rgb="FF437998"/>
        <bgColor rgb="FF000000"/>
      </patternFill>
    </fill>
    <fill>
      <patternFill patternType="solid">
        <fgColor rgb="FF5F9EB4"/>
        <bgColor rgb="FF000000"/>
      </patternFill>
    </fill>
    <fill>
      <patternFill patternType="solid">
        <fgColor rgb="FFA2D1D0"/>
        <bgColor rgb="FF000000"/>
      </patternFill>
    </fill>
    <fill>
      <patternFill patternType="solid">
        <fgColor rgb="FFAFDAA6"/>
        <bgColor rgb="FF000000"/>
      </patternFill>
    </fill>
    <fill>
      <patternFill patternType="solid">
        <fgColor rgb="FF72AA7F"/>
        <bgColor rgb="FF000000"/>
      </patternFill>
    </fill>
    <fill>
      <patternFill patternType="solid">
        <fgColor rgb="FF58937B"/>
        <bgColor rgb="FF000000"/>
      </patternFill>
    </fill>
    <fill>
      <patternFill patternType="solid">
        <fgColor rgb="FF3E665B"/>
        <bgColor rgb="FF000000"/>
      </patternFill>
    </fill>
    <fill>
      <patternFill patternType="solid">
        <fgColor rgb="FF2D433B"/>
        <bgColor rgb="FF000000"/>
      </patternFill>
    </fill>
    <fill>
      <patternFill patternType="solid">
        <fgColor rgb="FF58595B"/>
        <bgColor rgb="FF000000"/>
      </patternFill>
    </fill>
    <fill>
      <patternFill patternType="solid">
        <fgColor theme="0"/>
        <bgColor indexed="64"/>
      </patternFill>
    </fill>
    <fill>
      <patternFill patternType="solid">
        <fgColor theme="8" tint="0.79998168889431442"/>
        <bgColor indexed="64"/>
      </patternFill>
    </fill>
    <fill>
      <patternFill patternType="solid">
        <fgColor theme="8" tint="0.79998168889431442"/>
        <bgColor rgb="FF44546A"/>
      </patternFill>
    </fill>
    <fill>
      <patternFill patternType="solid">
        <fgColor theme="8" tint="0.79998168889431442"/>
        <bgColor rgb="FF000000"/>
      </patternFill>
    </fill>
    <fill>
      <patternFill patternType="solid">
        <fgColor theme="4"/>
        <bgColor indexed="64"/>
      </patternFill>
    </fill>
    <fill>
      <patternFill patternType="solid">
        <fgColor rgb="FF92D05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263D46"/>
        <bgColor indexed="64"/>
      </patternFill>
    </fill>
    <fill>
      <patternFill patternType="solid">
        <fgColor rgb="FF36627E"/>
        <bgColor indexed="64"/>
      </patternFill>
    </fill>
    <fill>
      <patternFill patternType="solid">
        <fgColor rgb="FF5F9EB4"/>
        <bgColor indexed="64"/>
      </patternFill>
    </fill>
    <fill>
      <patternFill patternType="solid">
        <fgColor rgb="FFAFDAA6"/>
        <bgColor indexed="64"/>
      </patternFill>
    </fill>
    <fill>
      <patternFill patternType="solid">
        <fgColor rgb="FF72AA7F"/>
        <bgColor indexed="64"/>
      </patternFill>
    </fill>
    <fill>
      <patternFill patternType="solid">
        <fgColor rgb="FFFF0000"/>
        <bgColor indexed="64"/>
      </patternFill>
    </fill>
  </fills>
  <borders count="17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0691854609822"/>
      </left>
      <right style="medium">
        <color indexed="64"/>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6795556505021"/>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3743705557422"/>
      </bottom>
      <diagonal/>
    </border>
    <border>
      <left style="thin">
        <color theme="0" tint="-0.14996795556505021"/>
      </left>
      <right style="thin">
        <color theme="0" tint="-0.14996795556505021"/>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3743705557422"/>
      </top>
      <bottom style="thin">
        <color theme="0" tint="-0.14996795556505021"/>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style="medium">
        <color indexed="64"/>
      </left>
      <right style="medium">
        <color indexed="64"/>
      </right>
      <top style="medium">
        <color indexed="64"/>
      </top>
      <bottom style="medium">
        <color indexed="64"/>
      </bottom>
      <diagonal/>
    </border>
    <border>
      <left style="thin">
        <color theme="6"/>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theme="0" tint="-0.14993743705557422"/>
      </left>
      <right style="thin">
        <color theme="0" tint="-0.14993743705557422"/>
      </right>
      <top/>
      <bottom style="thin">
        <color theme="0" tint="-0.14993743705557422"/>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theme="0" tint="-0.14993743705557422"/>
      </right>
      <top style="medium">
        <color auto="1"/>
      </top>
      <bottom style="thin">
        <color theme="0" tint="-0.14993743705557422"/>
      </bottom>
      <diagonal/>
    </border>
    <border>
      <left style="thin">
        <color theme="0" tint="-0.14993743705557422"/>
      </left>
      <right style="thin">
        <color theme="0" tint="-0.14993743705557422"/>
      </right>
      <top style="medium">
        <color auto="1"/>
      </top>
      <bottom style="thin">
        <color theme="0" tint="-0.14993743705557422"/>
      </bottom>
      <diagonal/>
    </border>
    <border>
      <left style="thin">
        <color theme="0" tint="-0.14993743705557422"/>
      </left>
      <right/>
      <top style="medium">
        <color auto="1"/>
      </top>
      <bottom style="thin">
        <color theme="0" tint="-0.14993743705557422"/>
      </bottom>
      <diagonal/>
    </border>
    <border>
      <left style="thin">
        <color theme="0" tint="-0.14990691854609822"/>
      </left>
      <right style="medium">
        <color indexed="64"/>
      </right>
      <top style="medium">
        <color auto="1"/>
      </top>
      <bottom style="thin">
        <color theme="0" tint="-0.14990691854609822"/>
      </bottom>
      <diagonal/>
    </border>
    <border>
      <left style="medium">
        <color auto="1"/>
      </left>
      <right style="thin">
        <color theme="0" tint="-0.14993743705557422"/>
      </right>
      <top style="thin">
        <color theme="0" tint="-0.14993743705557422"/>
      </top>
      <bottom style="thin">
        <color theme="0" tint="-0.14993743705557422"/>
      </bottom>
      <diagonal/>
    </border>
    <border>
      <left style="medium">
        <color auto="1"/>
      </left>
      <right style="thin">
        <color theme="0" tint="-0.14993743705557422"/>
      </right>
      <top style="thin">
        <color theme="0" tint="-0.14993743705557422"/>
      </top>
      <bottom style="medium">
        <color auto="1"/>
      </bottom>
      <diagonal/>
    </border>
    <border>
      <left style="thin">
        <color theme="0" tint="-0.14993743705557422"/>
      </left>
      <right style="thin">
        <color theme="0" tint="-0.14993743705557422"/>
      </right>
      <top style="thin">
        <color theme="0" tint="-0.14993743705557422"/>
      </top>
      <bottom style="medium">
        <color auto="1"/>
      </bottom>
      <diagonal/>
    </border>
    <border>
      <left style="thin">
        <color theme="0" tint="-0.14993743705557422"/>
      </left>
      <right/>
      <top style="thin">
        <color theme="0" tint="-0.14993743705557422"/>
      </top>
      <bottom style="medium">
        <color auto="1"/>
      </bottom>
      <diagonal/>
    </border>
    <border>
      <left style="thin">
        <color theme="0" tint="-0.14990691854609822"/>
      </left>
      <right style="medium">
        <color indexed="64"/>
      </right>
      <top style="thin">
        <color theme="0" tint="-0.14990691854609822"/>
      </top>
      <bottom style="medium">
        <color auto="1"/>
      </bottom>
      <diagonal/>
    </border>
    <border>
      <left style="medium">
        <color auto="1"/>
      </left>
      <right style="thin">
        <color theme="0" tint="-0.14996795556505021"/>
      </right>
      <top style="medium">
        <color auto="1"/>
      </top>
      <bottom style="thin">
        <color theme="0" tint="-0.14996795556505021"/>
      </bottom>
      <diagonal/>
    </border>
    <border>
      <left style="thin">
        <color theme="0" tint="-0.14996795556505021"/>
      </left>
      <right style="thin">
        <color theme="0" tint="-0.14996795556505021"/>
      </right>
      <top style="medium">
        <color auto="1"/>
      </top>
      <bottom style="thin">
        <color theme="0" tint="-0.14996795556505021"/>
      </bottom>
      <diagonal/>
    </border>
    <border>
      <left style="medium">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medium">
        <color auto="1"/>
      </bottom>
      <diagonal/>
    </border>
    <border>
      <left style="medium">
        <color auto="1"/>
      </left>
      <right style="thin">
        <color theme="0" tint="-0.14996795556505021"/>
      </right>
      <top style="thin">
        <color theme="0" tint="-0.14996795556505021"/>
      </top>
      <bottom style="medium">
        <color auto="1"/>
      </bottom>
      <diagonal/>
    </border>
    <border>
      <left style="medium">
        <color indexed="64"/>
      </left>
      <right style="medium">
        <color auto="1"/>
      </right>
      <top/>
      <bottom/>
      <diagonal/>
    </border>
    <border>
      <left style="medium">
        <color auto="1"/>
      </left>
      <right style="thin">
        <color theme="0" tint="-0.14996795556505021"/>
      </right>
      <top style="thin">
        <color theme="0" tint="-0.14996795556505021"/>
      </top>
      <bottom/>
      <diagonal/>
    </border>
    <border>
      <left style="medium">
        <color auto="1"/>
      </left>
      <right style="thin">
        <color theme="0" tint="-0.14996795556505021"/>
      </right>
      <top/>
      <bottom/>
      <diagonal/>
    </border>
    <border>
      <left style="medium">
        <color auto="1"/>
      </left>
      <right style="thin">
        <color theme="0" tint="-0.14996795556505021"/>
      </right>
      <top/>
      <bottom style="medium">
        <color auto="1"/>
      </bottom>
      <diagonal/>
    </border>
    <border>
      <left style="thin">
        <color theme="0" tint="-0.14996795556505021"/>
      </left>
      <right style="thin">
        <color theme="0" tint="-0.14996795556505021"/>
      </right>
      <top/>
      <bottom style="medium">
        <color auto="1"/>
      </bottom>
      <diagonal/>
    </border>
    <border>
      <left style="medium">
        <color auto="1"/>
      </left>
      <right style="thin">
        <color theme="0" tint="-0.14996795556505021"/>
      </right>
      <top/>
      <bottom style="thin">
        <color theme="0" tint="-0.14996795556505021"/>
      </bottom>
      <diagonal/>
    </border>
    <border>
      <left style="thin">
        <color theme="0" tint="-0.14996795556505021"/>
      </left>
      <right style="thin">
        <color theme="0" tint="-0.14996795556505021"/>
      </right>
      <top style="medium">
        <color auto="1"/>
      </top>
      <bottom/>
      <diagonal/>
    </border>
    <border>
      <left style="medium">
        <color auto="1"/>
      </left>
      <right style="thin">
        <color theme="0" tint="-0.14993743705557422"/>
      </right>
      <top/>
      <bottom style="thin">
        <color theme="0" tint="-0.14993743705557422"/>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theme="0" tint="-0.14993743705557422"/>
      </left>
      <right style="medium">
        <color auto="1"/>
      </right>
      <top style="medium">
        <color auto="1"/>
      </top>
      <bottom style="thin">
        <color theme="0" tint="-0.14990691854609822"/>
      </bottom>
      <diagonal/>
    </border>
    <border>
      <left style="thin">
        <color theme="0" tint="-0.14996795556505021"/>
      </left>
      <right style="medium">
        <color indexed="64"/>
      </right>
      <top style="medium">
        <color auto="1"/>
      </top>
      <bottom style="thin">
        <color theme="0" tint="-0.14996795556505021"/>
      </bottom>
      <diagonal/>
    </border>
    <border>
      <left style="thin">
        <color theme="0" tint="-0.14996795556505021"/>
      </left>
      <right style="medium">
        <color indexed="64"/>
      </right>
      <top style="thin">
        <color theme="0" tint="-0.14996795556505021"/>
      </top>
      <bottom style="thin">
        <color theme="0" tint="-0.14996795556505021"/>
      </bottom>
      <diagonal/>
    </border>
    <border>
      <left style="thin">
        <color theme="0" tint="-0.14996795556505021"/>
      </left>
      <right style="medium">
        <color indexed="64"/>
      </right>
      <top style="thin">
        <color theme="0" tint="-0.14996795556505021"/>
      </top>
      <bottom style="medium">
        <color auto="1"/>
      </bottom>
      <diagonal/>
    </border>
    <border>
      <left style="medium">
        <color auto="1"/>
      </left>
      <right style="thin">
        <color theme="0" tint="-0.1498458815271462"/>
      </right>
      <top/>
      <bottom style="medium">
        <color auto="1"/>
      </bottom>
      <diagonal/>
    </border>
    <border>
      <left style="thin">
        <color theme="0" tint="-0.1498458815271462"/>
      </left>
      <right/>
      <top/>
      <bottom style="medium">
        <color auto="1"/>
      </bottom>
      <diagonal/>
    </border>
    <border>
      <left style="thin">
        <color theme="0" tint="-0.14993743705557422"/>
      </left>
      <right/>
      <top/>
      <bottom style="medium">
        <color auto="1"/>
      </bottom>
      <diagonal/>
    </border>
    <border>
      <left style="thin">
        <color theme="0" tint="-0.14990691854609822"/>
      </left>
      <right style="medium">
        <color indexed="64"/>
      </right>
      <top/>
      <bottom style="medium">
        <color auto="1"/>
      </bottom>
      <diagonal/>
    </border>
    <border>
      <left style="thin">
        <color theme="0" tint="-0.14993743705557422"/>
      </left>
      <right/>
      <top/>
      <bottom style="thin">
        <color theme="0" tint="-0.14993743705557422"/>
      </bottom>
      <diagonal/>
    </border>
    <border>
      <left style="thin">
        <color theme="0" tint="-0.14990691854609822"/>
      </left>
      <right style="medium">
        <color indexed="64"/>
      </right>
      <top/>
      <bottom style="thin">
        <color theme="0" tint="-0.14990691854609822"/>
      </bottom>
      <diagonal/>
    </border>
    <border>
      <left style="thin">
        <color theme="0" tint="-0.14996795556505021"/>
      </left>
      <right style="medium">
        <color indexed="64"/>
      </right>
      <top/>
      <bottom style="thin">
        <color theme="0" tint="-0.14996795556505021"/>
      </bottom>
      <diagonal/>
    </border>
    <border>
      <left/>
      <right style="thin">
        <color auto="1"/>
      </right>
      <top/>
      <bottom style="thin">
        <color auto="1"/>
      </bottom>
      <diagonal/>
    </border>
    <border>
      <left style="medium">
        <color theme="0" tint="-0.24994659260841701"/>
      </left>
      <right/>
      <top style="medium">
        <color theme="0" tint="-0.24994659260841701"/>
      </top>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style="medium">
        <color theme="0" tint="-0.24994659260841701"/>
      </left>
      <right style="thin">
        <color theme="4"/>
      </right>
      <top style="thin">
        <color theme="4"/>
      </top>
      <bottom style="thin">
        <color theme="4"/>
      </bottom>
      <diagonal/>
    </border>
    <border>
      <left/>
      <right style="thin">
        <color theme="4"/>
      </right>
      <top style="thin">
        <color theme="4"/>
      </top>
      <bottom style="thin">
        <color theme="4"/>
      </bottom>
      <diagonal/>
    </border>
    <border>
      <left style="thin">
        <color theme="4"/>
      </left>
      <right/>
      <top style="medium">
        <color theme="0" tint="-0.24994659260841701"/>
      </top>
      <bottom style="thin">
        <color theme="4"/>
      </bottom>
      <diagonal/>
    </border>
    <border>
      <left/>
      <right style="thin">
        <color theme="4"/>
      </right>
      <top style="medium">
        <color theme="0" tint="-0.24994659260841701"/>
      </top>
      <bottom style="thin">
        <color theme="4"/>
      </bottom>
      <diagonal/>
    </border>
    <border>
      <left style="thin">
        <color theme="4"/>
      </left>
      <right style="thin">
        <color theme="4"/>
      </right>
      <top style="thin">
        <color theme="4"/>
      </top>
      <bottom style="thin">
        <color theme="4"/>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style="thin">
        <color theme="4"/>
      </left>
      <right/>
      <top style="thin">
        <color theme="4"/>
      </top>
      <bottom style="thin">
        <color theme="4"/>
      </bottom>
      <diagonal/>
    </border>
    <border>
      <left/>
      <right style="medium">
        <color theme="0" tint="-0.24994659260841701"/>
      </right>
      <top/>
      <bottom/>
      <diagonal/>
    </border>
    <border>
      <left style="thin">
        <color theme="4"/>
      </left>
      <right style="thin">
        <color theme="4"/>
      </right>
      <top style="thin">
        <color theme="4"/>
      </top>
      <bottom/>
      <diagonal/>
    </border>
    <border>
      <left style="thin">
        <color theme="4"/>
      </left>
      <right/>
      <top style="thin">
        <color theme="4"/>
      </top>
      <bottom style="medium">
        <color theme="0" tint="-0.24994659260841701"/>
      </bottom>
      <diagonal/>
    </border>
    <border>
      <left/>
      <right style="thin">
        <color theme="4"/>
      </right>
      <top style="thin">
        <color theme="4"/>
      </top>
      <bottom style="medium">
        <color theme="0" tint="-0.24994659260841701"/>
      </bottom>
      <diagonal/>
    </border>
    <border>
      <left/>
      <right/>
      <top/>
      <bottom style="medium">
        <color theme="0" tint="-0.24994659260841701"/>
      </bottom>
      <diagonal/>
    </border>
    <border>
      <left/>
      <right style="medium">
        <color theme="0" tint="-0.24994659260841701"/>
      </right>
      <top/>
      <bottom style="medium">
        <color theme="0" tint="-0.24994659260841701"/>
      </bottom>
      <diagonal/>
    </border>
    <border>
      <left style="medium">
        <color theme="0" tint="-0.24994659260841701"/>
      </left>
      <right style="thin">
        <color theme="4"/>
      </right>
      <top/>
      <bottom style="thin">
        <color theme="4"/>
      </bottom>
      <diagonal/>
    </border>
    <border>
      <left style="thin">
        <color theme="4"/>
      </left>
      <right style="thin">
        <color theme="4"/>
      </right>
      <top/>
      <bottom style="thin">
        <color theme="4"/>
      </bottom>
      <diagonal/>
    </border>
    <border>
      <left style="thin">
        <color theme="4"/>
      </left>
      <right style="medium">
        <color theme="0" tint="-0.24994659260841701"/>
      </right>
      <top style="thin">
        <color theme="4"/>
      </top>
      <bottom style="thin">
        <color theme="4"/>
      </bottom>
      <diagonal/>
    </border>
    <border>
      <left style="medium">
        <color theme="0" tint="-0.24994659260841701"/>
      </left>
      <right style="thin">
        <color theme="4"/>
      </right>
      <top style="thin">
        <color theme="4"/>
      </top>
      <bottom/>
      <diagonal/>
    </border>
    <border>
      <left/>
      <right style="medium">
        <color theme="0" tint="-0.24994659260841701"/>
      </right>
      <top style="thin">
        <color theme="4"/>
      </top>
      <bottom style="thin">
        <color theme="4"/>
      </bottom>
      <diagonal/>
    </border>
    <border>
      <left style="thin">
        <color theme="4"/>
      </left>
      <right style="medium">
        <color theme="0" tint="-0.24994659260841701"/>
      </right>
      <top style="thin">
        <color theme="4"/>
      </top>
      <bottom/>
      <diagonal/>
    </border>
    <border>
      <left style="medium">
        <color theme="0" tint="-0.24994659260841701"/>
      </left>
      <right style="thin">
        <color theme="4"/>
      </right>
      <top style="thin">
        <color theme="4"/>
      </top>
      <bottom style="medium">
        <color theme="0" tint="-0.24994659260841701"/>
      </bottom>
      <diagonal/>
    </border>
    <border>
      <left style="thin">
        <color theme="4"/>
      </left>
      <right style="thin">
        <color theme="4"/>
      </right>
      <top style="thin">
        <color theme="4"/>
      </top>
      <bottom style="medium">
        <color theme="0" tint="-0.24994659260841701"/>
      </bottom>
      <diagonal/>
    </border>
    <border>
      <left/>
      <right style="medium">
        <color theme="0" tint="-0.24994659260841701"/>
      </right>
      <top style="thin">
        <color theme="4"/>
      </top>
      <bottom style="medium">
        <color theme="0" tint="-0.24994659260841701"/>
      </bottom>
      <diagonal/>
    </border>
    <border>
      <left style="thin">
        <color theme="4"/>
      </left>
      <right style="thin">
        <color theme="4"/>
      </right>
      <top style="medium">
        <color theme="0" tint="-0.24994659260841701"/>
      </top>
      <bottom style="thin">
        <color theme="4"/>
      </bottom>
      <diagonal/>
    </border>
    <border>
      <left style="thin">
        <color theme="4"/>
      </left>
      <right/>
      <top style="medium">
        <color theme="0" tint="-0.24994659260841701"/>
      </top>
      <bottom/>
      <diagonal/>
    </border>
    <border>
      <left style="thin">
        <color theme="4"/>
      </left>
      <right/>
      <top/>
      <bottom/>
      <diagonal/>
    </border>
    <border>
      <left style="thin">
        <color theme="4"/>
      </left>
      <right/>
      <top/>
      <bottom style="medium">
        <color theme="0" tint="-0.24994659260841701"/>
      </bottom>
      <diagonal/>
    </border>
    <border>
      <left style="medium">
        <color theme="0" tint="-0.24994659260841701"/>
      </left>
      <right style="thin">
        <color theme="4"/>
      </right>
      <top style="medium">
        <color theme="0" tint="-0.24994659260841701"/>
      </top>
      <bottom style="thin">
        <color theme="4"/>
      </bottom>
      <diagonal/>
    </border>
    <border>
      <left style="medium">
        <color theme="0" tint="-0.24994659260841701"/>
      </left>
      <right/>
      <top/>
      <bottom style="medium">
        <color theme="0" tint="-0.24994659260841701"/>
      </bottom>
      <diagonal/>
    </border>
    <border>
      <left style="thin">
        <color theme="4"/>
      </left>
      <right style="medium">
        <color theme="0" tint="-0.24994659260841701"/>
      </right>
      <top style="medium">
        <color theme="0" tint="-0.24994659260841701"/>
      </top>
      <bottom/>
      <diagonal/>
    </border>
    <border>
      <left style="thin">
        <color theme="4"/>
      </left>
      <right style="medium">
        <color theme="0" tint="-0.24994659260841701"/>
      </right>
      <top/>
      <bottom/>
      <diagonal/>
    </border>
    <border>
      <left style="thin">
        <color theme="4"/>
      </left>
      <right style="medium">
        <color theme="0" tint="-0.24994659260841701"/>
      </right>
      <top style="medium">
        <color theme="0" tint="-0.24994659260841701"/>
      </top>
      <bottom style="thin">
        <color theme="4"/>
      </bottom>
      <diagonal/>
    </border>
    <border>
      <left style="thin">
        <color theme="4"/>
      </left>
      <right style="medium">
        <color theme="0" tint="-0.24994659260841701"/>
      </right>
      <top style="thin">
        <color theme="4"/>
      </top>
      <bottom style="medium">
        <color theme="0" tint="-0.24994659260841701"/>
      </bottom>
      <diagonal/>
    </border>
    <border>
      <left style="medium">
        <color theme="0" tint="-0.24994659260841701"/>
      </left>
      <right style="medium">
        <color theme="0" tint="-0.24994659260841701"/>
      </right>
      <top/>
      <bottom/>
      <diagonal/>
    </border>
    <border>
      <left/>
      <right style="thin">
        <color theme="4"/>
      </right>
      <top style="medium">
        <color theme="0" tint="-0.24994659260841701"/>
      </top>
      <bottom/>
      <diagonal/>
    </border>
    <border>
      <left style="thin">
        <color theme="4"/>
      </left>
      <right style="thin">
        <color theme="4"/>
      </right>
      <top style="medium">
        <color theme="0" tint="-0.24994659260841701"/>
      </top>
      <bottom/>
      <diagonal/>
    </border>
    <border>
      <left/>
      <right/>
      <top style="thin">
        <color theme="4"/>
      </top>
      <bottom style="thin">
        <color theme="4"/>
      </bottom>
      <diagonal/>
    </border>
    <border>
      <left style="medium">
        <color theme="0" tint="-0.24994659260841701"/>
      </left>
      <right style="thin">
        <color theme="4"/>
      </right>
      <top/>
      <bottom style="medium">
        <color theme="0" tint="-0.24994659260841701"/>
      </bottom>
      <diagonal/>
    </border>
    <border>
      <left/>
      <right/>
      <top style="thin">
        <color theme="4"/>
      </top>
      <bottom style="medium">
        <color theme="0" tint="-0.24994659260841701"/>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theme="4"/>
      </left>
      <right style="thin">
        <color theme="4"/>
      </right>
      <top/>
      <bottom/>
      <diagonal/>
    </border>
    <border>
      <left style="thin">
        <color theme="4"/>
      </left>
      <right style="thin">
        <color theme="4"/>
      </right>
      <top/>
      <bottom style="medium">
        <color theme="0" tint="-0.24994659260841701"/>
      </bottom>
      <diagonal/>
    </border>
    <border>
      <left style="thin">
        <color theme="4"/>
      </left>
      <right style="medium">
        <color theme="0" tint="-0.24994659260841701"/>
      </right>
      <top/>
      <bottom style="medium">
        <color theme="0" tint="-0.24994659260841701"/>
      </bottom>
      <diagonal/>
    </border>
    <border>
      <left style="medium">
        <color theme="0" tint="-0.24994659260841701"/>
      </left>
      <right/>
      <top style="medium">
        <color theme="0" tint="-0.24994659260841701"/>
      </top>
      <bottom style="thin">
        <color theme="4"/>
      </bottom>
      <diagonal/>
    </border>
    <border>
      <left/>
      <right/>
      <top/>
      <bottom style="thin">
        <color indexed="64"/>
      </bottom>
      <diagonal/>
    </border>
    <border>
      <left style="thin">
        <color theme="4"/>
      </left>
      <right/>
      <top/>
      <bottom style="thin">
        <color theme="4"/>
      </bottom>
      <diagonal/>
    </border>
    <border>
      <left/>
      <right/>
      <top/>
      <bottom style="thin">
        <color theme="4"/>
      </bottom>
      <diagonal/>
    </border>
    <border>
      <left/>
      <right style="medium">
        <color theme="0" tint="-0.24994659260841701"/>
      </right>
      <top/>
      <bottom style="thin">
        <color theme="4"/>
      </bottom>
      <diagonal/>
    </border>
    <border>
      <left style="medium">
        <color theme="0" tint="-0.24994659260841701"/>
      </left>
      <right style="medium">
        <color theme="0" tint="-0.24994659260841701"/>
      </right>
      <top/>
      <bottom style="medium">
        <color theme="0" tint="-0.24994659260841701"/>
      </bottom>
      <diagonal/>
    </border>
    <border>
      <left/>
      <right/>
      <top style="medium">
        <color theme="0" tint="-0.24994659260841701"/>
      </top>
      <bottom style="thin">
        <color theme="4"/>
      </bottom>
      <diagonal/>
    </border>
    <border>
      <left/>
      <right style="medium">
        <color theme="0" tint="-0.24994659260841701"/>
      </right>
      <top style="medium">
        <color theme="0" tint="-0.24994659260841701"/>
      </top>
      <bottom style="thin">
        <color theme="4"/>
      </bottom>
      <diagonal/>
    </border>
    <border>
      <left style="thin">
        <color theme="4"/>
      </left>
      <right style="medium">
        <color theme="0" tint="-0.24994659260841701"/>
      </right>
      <top/>
      <bottom style="thin">
        <color theme="4"/>
      </bottom>
      <diagonal/>
    </border>
    <border>
      <left style="medium">
        <color theme="0" tint="-0.24994659260841701"/>
      </left>
      <right style="thin">
        <color theme="4"/>
      </right>
      <top style="medium">
        <color theme="0" tint="-0.24994659260841701"/>
      </top>
      <bottom/>
      <diagonal/>
    </border>
    <border>
      <left style="medium">
        <color auto="1"/>
      </left>
      <right style="thin">
        <color theme="0" tint="-0.14993743705557422"/>
      </right>
      <top style="dashed">
        <color theme="0" tint="-0.14996795556505021"/>
      </top>
      <bottom style="dashed">
        <color theme="0" tint="-0.14996795556505021"/>
      </bottom>
      <diagonal/>
    </border>
    <border>
      <left style="thin">
        <color theme="0" tint="-0.14993743705557422"/>
      </left>
      <right style="thin">
        <color theme="0" tint="-0.14993743705557422"/>
      </right>
      <top style="dashed">
        <color theme="0" tint="-0.14996795556505021"/>
      </top>
      <bottom style="dashed">
        <color theme="0" tint="-0.14996795556505021"/>
      </bottom>
      <diagonal/>
    </border>
    <border>
      <left style="thin">
        <color theme="0" tint="-0.14993743705557422"/>
      </left>
      <right/>
      <top style="dashed">
        <color theme="0" tint="-0.14996795556505021"/>
      </top>
      <bottom style="dashed">
        <color theme="0" tint="-0.14996795556505021"/>
      </bottom>
      <diagonal/>
    </border>
    <border>
      <left style="thin">
        <color theme="0" tint="-0.14990691854609822"/>
      </left>
      <right style="medium">
        <color indexed="64"/>
      </right>
      <top style="dashed">
        <color theme="0" tint="-0.14996795556505021"/>
      </top>
      <bottom style="dashed">
        <color theme="0" tint="-0.14996795556505021"/>
      </bottom>
      <diagonal/>
    </border>
    <border>
      <left/>
      <right style="medium">
        <color indexed="64"/>
      </right>
      <top style="thick">
        <color auto="1"/>
      </top>
      <bottom style="medium">
        <color indexed="64"/>
      </bottom>
      <diagonal/>
    </border>
    <border>
      <left style="medium">
        <color auto="1"/>
      </left>
      <right style="thin">
        <color theme="0" tint="-0.14993743705557422"/>
      </right>
      <top style="dashed">
        <color theme="0" tint="-0.14996795556505021"/>
      </top>
      <bottom/>
      <diagonal/>
    </border>
    <border>
      <left style="thin">
        <color theme="0" tint="-0.14993743705557422"/>
      </left>
      <right style="thin">
        <color theme="0" tint="-0.14993743705557422"/>
      </right>
      <top style="dashed">
        <color theme="0" tint="-0.14996795556505021"/>
      </top>
      <bottom/>
      <diagonal/>
    </border>
    <border>
      <left style="thin">
        <color theme="0" tint="-0.14993743705557422"/>
      </left>
      <right/>
      <top style="dashed">
        <color theme="0" tint="-0.14996795556505021"/>
      </top>
      <bottom/>
      <diagonal/>
    </border>
    <border>
      <left style="thin">
        <color theme="0" tint="-0.14990691854609822"/>
      </left>
      <right style="medium">
        <color indexed="64"/>
      </right>
      <top style="dashed">
        <color theme="0" tint="-0.14996795556505021"/>
      </top>
      <bottom/>
      <diagonal/>
    </border>
    <border>
      <left/>
      <right/>
      <top style="thick">
        <color auto="1"/>
      </top>
      <bottom style="medium">
        <color indexed="64"/>
      </bottom>
      <diagonal/>
    </border>
    <border>
      <left style="medium">
        <color auto="1"/>
      </left>
      <right style="thin">
        <color theme="0" tint="-0.14993743705557422"/>
      </right>
      <top/>
      <bottom style="dashed">
        <color theme="0" tint="-0.14996795556505021"/>
      </bottom>
      <diagonal/>
    </border>
    <border>
      <left style="thin">
        <color theme="0" tint="-0.14993743705557422"/>
      </left>
      <right style="thin">
        <color theme="0" tint="-0.14993743705557422"/>
      </right>
      <top/>
      <bottom style="dashed">
        <color theme="0" tint="-0.14996795556505021"/>
      </bottom>
      <diagonal/>
    </border>
    <border>
      <left style="thin">
        <color theme="0" tint="-0.14993743705557422"/>
      </left>
      <right/>
      <top/>
      <bottom style="dashed">
        <color theme="0" tint="-0.14996795556505021"/>
      </bottom>
      <diagonal/>
    </border>
    <border>
      <left style="thin">
        <color theme="0" tint="-0.14990691854609822"/>
      </left>
      <right style="medium">
        <color indexed="64"/>
      </right>
      <top/>
      <bottom style="dashed">
        <color theme="0" tint="-0.14996795556505021"/>
      </bottom>
      <diagonal/>
    </border>
    <border>
      <left style="medium">
        <color auto="1"/>
      </left>
      <right style="thin">
        <color theme="0" tint="-0.14993743705557422"/>
      </right>
      <top style="thin">
        <color theme="0" tint="-0.14993743705557422"/>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6795556505021"/>
      </bottom>
      <diagonal/>
    </border>
    <border>
      <left style="thin">
        <color theme="0" tint="-0.14993743705557422"/>
      </left>
      <right/>
      <top style="thin">
        <color theme="0" tint="-0.14993743705557422"/>
      </top>
      <bottom style="thin">
        <color theme="0" tint="-0.14996795556505021"/>
      </bottom>
      <diagonal/>
    </border>
    <border>
      <left style="thin">
        <color theme="0" tint="-0.14990691854609822"/>
      </left>
      <right style="medium">
        <color indexed="64"/>
      </right>
      <top style="thin">
        <color theme="0" tint="-0.14990691854609822"/>
      </top>
      <bottom style="thin">
        <color theme="0" tint="-0.14996795556505021"/>
      </bottom>
      <diagonal/>
    </border>
    <border>
      <left/>
      <right style="thin">
        <color theme="4"/>
      </right>
      <top/>
      <bottom style="medium">
        <color theme="0" tint="-0.24994659260841701"/>
      </bottom>
      <diagonal/>
    </border>
  </borders>
  <cellStyleXfs count="7">
    <xf numFmtId="0" fontId="0" fillId="0" borderId="0"/>
    <xf numFmtId="0" fontId="1" fillId="2" borderId="0"/>
    <xf numFmtId="0" fontId="1" fillId="2" borderId="0"/>
    <xf numFmtId="0" fontId="18" fillId="0" borderId="0" applyNumberFormat="0" applyFill="0" applyBorder="0" applyAlignment="0" applyProtection="0"/>
    <xf numFmtId="0" fontId="40" fillId="2" borderId="0"/>
    <xf numFmtId="9" fontId="40" fillId="2" borderId="0" applyFont="0" applyFill="0" applyBorder="0" applyAlignment="0" applyProtection="0"/>
    <xf numFmtId="0" fontId="40" fillId="2" borderId="0"/>
  </cellStyleXfs>
  <cellXfs count="1118">
    <xf numFmtId="0" fontId="0" fillId="2" borderId="0" xfId="0" applyFill="1"/>
    <xf numFmtId="0" fontId="1" fillId="2" borderId="0" xfId="0" applyFont="1" applyFill="1"/>
    <xf numFmtId="0" fontId="4" fillId="2" borderId="0" xfId="0" applyFont="1" applyFill="1"/>
    <xf numFmtId="0" fontId="18" fillId="2" borderId="0" xfId="3" applyFill="1"/>
    <xf numFmtId="0" fontId="19" fillId="2" borderId="0" xfId="0" applyFont="1" applyFill="1"/>
    <xf numFmtId="0" fontId="24" fillId="2" borderId="0" xfId="0" applyFont="1" applyFill="1"/>
    <xf numFmtId="0" fontId="25" fillId="2" borderId="0" xfId="0" applyFont="1" applyFill="1"/>
    <xf numFmtId="0" fontId="26" fillId="2" borderId="0" xfId="0" applyFont="1" applyFill="1"/>
    <xf numFmtId="0" fontId="0" fillId="0" borderId="0" xfId="0"/>
    <xf numFmtId="0" fontId="28" fillId="2" borderId="0" xfId="0" applyFont="1" applyFill="1"/>
    <xf numFmtId="0" fontId="29" fillId="2" borderId="0" xfId="0" applyFont="1" applyFill="1"/>
    <xf numFmtId="0" fontId="4" fillId="21" borderId="0" xfId="0" applyFont="1" applyFill="1"/>
    <xf numFmtId="0" fontId="1" fillId="21" borderId="0" xfId="0" applyFont="1" applyFill="1"/>
    <xf numFmtId="0" fontId="25" fillId="21" borderId="34" xfId="0" applyFont="1" applyFill="1" applyBorder="1"/>
    <xf numFmtId="0" fontId="25" fillId="21" borderId="35" xfId="0" applyFont="1" applyFill="1" applyBorder="1"/>
    <xf numFmtId="0" fontId="25" fillId="22" borderId="33" xfId="0" applyFont="1" applyFill="1" applyBorder="1"/>
    <xf numFmtId="0" fontId="25" fillId="22" borderId="34" xfId="0" applyFont="1" applyFill="1" applyBorder="1"/>
    <xf numFmtId="0" fontId="25" fillId="22" borderId="35" xfId="0" applyFont="1" applyFill="1" applyBorder="1"/>
    <xf numFmtId="0" fontId="26" fillId="22" borderId="33" xfId="0" applyFont="1" applyFill="1" applyBorder="1"/>
    <xf numFmtId="0" fontId="26" fillId="22" borderId="34" xfId="0" applyFont="1" applyFill="1" applyBorder="1"/>
    <xf numFmtId="0" fontId="26" fillId="22" borderId="35" xfId="0" applyFont="1" applyFill="1" applyBorder="1"/>
    <xf numFmtId="0" fontId="26" fillId="22" borderId="36" xfId="0" applyFont="1" applyFill="1" applyBorder="1"/>
    <xf numFmtId="0" fontId="26" fillId="22" borderId="37" xfId="0" applyFont="1" applyFill="1" applyBorder="1"/>
    <xf numFmtId="0" fontId="0" fillId="21" borderId="0" xfId="0" applyFill="1"/>
    <xf numFmtId="0" fontId="1" fillId="21" borderId="0" xfId="0" applyFont="1" applyFill="1" applyAlignment="1">
      <alignment wrapText="1"/>
    </xf>
    <xf numFmtId="0" fontId="25" fillId="23" borderId="34" xfId="0" applyFont="1" applyFill="1" applyBorder="1"/>
    <xf numFmtId="0" fontId="1" fillId="23" borderId="0" xfId="0" applyFont="1" applyFill="1"/>
    <xf numFmtId="0" fontId="0" fillId="23" borderId="0" xfId="0" applyFill="1"/>
    <xf numFmtId="0" fontId="4" fillId="23" borderId="0" xfId="0" applyFont="1" applyFill="1"/>
    <xf numFmtId="0" fontId="25" fillId="24" borderId="0" xfId="0" applyFont="1" applyFill="1"/>
    <xf numFmtId="0" fontId="0" fillId="24" borderId="0" xfId="0" applyFill="1"/>
    <xf numFmtId="0" fontId="29" fillId="24" borderId="0" xfId="0" applyFont="1" applyFill="1"/>
    <xf numFmtId="0" fontId="4" fillId="23" borderId="0" xfId="0" applyFont="1" applyFill="1" applyAlignment="1">
      <alignment horizontal="center" vertical="center"/>
    </xf>
    <xf numFmtId="0" fontId="1" fillId="23" borderId="0" xfId="0" applyFont="1" applyFill="1" applyAlignment="1">
      <alignment horizontal="center" vertical="center"/>
    </xf>
    <xf numFmtId="0" fontId="0" fillId="23" borderId="0" xfId="0" applyFill="1" applyAlignment="1">
      <alignment horizontal="center" vertical="center"/>
    </xf>
    <xf numFmtId="0" fontId="0" fillId="2" borderId="0" xfId="0" applyFill="1" applyAlignment="1">
      <alignment horizontal="center" vertical="center"/>
    </xf>
    <xf numFmtId="0" fontId="4" fillId="25" borderId="0" xfId="0" applyFont="1" applyFill="1"/>
    <xf numFmtId="0" fontId="1" fillId="25" borderId="0" xfId="0" applyFont="1" applyFill="1"/>
    <xf numFmtId="0" fontId="0" fillId="25" borderId="0" xfId="0" applyFill="1"/>
    <xf numFmtId="0" fontId="30" fillId="21" borderId="0" xfId="0" applyFont="1" applyFill="1"/>
    <xf numFmtId="0" fontId="27" fillId="21" borderId="0" xfId="0" applyFont="1" applyFill="1"/>
    <xf numFmtId="0" fontId="32" fillId="2" borderId="0" xfId="0" applyFont="1" applyFill="1"/>
    <xf numFmtId="0" fontId="33" fillId="2" borderId="0" xfId="0" applyFont="1" applyFill="1"/>
    <xf numFmtId="0" fontId="3" fillId="2" borderId="0" xfId="0" applyFont="1" applyFill="1" applyAlignment="1">
      <alignment horizontal="center" vertical="center"/>
    </xf>
    <xf numFmtId="0" fontId="2" fillId="2" borderId="0" xfId="0" applyFont="1" applyFill="1"/>
    <xf numFmtId="0" fontId="3" fillId="2" borderId="0" xfId="0" applyFont="1" applyFill="1"/>
    <xf numFmtId="0" fontId="14" fillId="2" borderId="0" xfId="0" applyFont="1" applyFill="1"/>
    <xf numFmtId="0" fontId="2" fillId="2" borderId="0" xfId="0" applyFont="1" applyFill="1" applyAlignment="1">
      <alignment horizontal="center"/>
    </xf>
    <xf numFmtId="0" fontId="22" fillId="2" borderId="0" xfId="0" applyFont="1" applyFill="1"/>
    <xf numFmtId="0" fontId="2" fillId="2" borderId="0" xfId="0" applyFont="1" applyFill="1" applyAlignment="1">
      <alignment horizontal="center" vertical="center"/>
    </xf>
    <xf numFmtId="0" fontId="6" fillId="2" borderId="0" xfId="0" applyFont="1" applyFill="1" applyAlignment="1">
      <alignment horizontal="center" vertical="center" wrapText="1"/>
    </xf>
    <xf numFmtId="0" fontId="3" fillId="2" borderId="0" xfId="0" applyFont="1" applyFill="1" applyAlignment="1">
      <alignment horizontal="center"/>
    </xf>
    <xf numFmtId="0" fontId="23" fillId="2" borderId="0" xfId="0" applyFont="1" applyFill="1"/>
    <xf numFmtId="0" fontId="5" fillId="2" borderId="30" xfId="0" applyFont="1" applyFill="1" applyBorder="1" applyAlignment="1">
      <alignment horizontal="left" vertical="center"/>
    </xf>
    <xf numFmtId="0" fontId="3" fillId="2" borderId="0" xfId="0" applyFont="1" applyFill="1" applyAlignment="1">
      <alignment wrapText="1"/>
    </xf>
    <xf numFmtId="0" fontId="5" fillId="2" borderId="43" xfId="0" applyFont="1" applyFill="1" applyBorder="1" applyAlignment="1">
      <alignment horizontal="left" vertical="center"/>
    </xf>
    <xf numFmtId="0" fontId="10" fillId="2" borderId="0" xfId="0" applyFont="1" applyFill="1" applyAlignment="1">
      <alignment horizontal="center" vertical="center" textRotation="90" wrapText="1"/>
    </xf>
    <xf numFmtId="0" fontId="2" fillId="2" borderId="0" xfId="0" applyFont="1" applyFill="1" applyAlignment="1">
      <alignment horizontal="center" vertical="center" wrapText="1"/>
    </xf>
    <xf numFmtId="0" fontId="7" fillId="2" borderId="0" xfId="0" applyFont="1" applyFill="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vertical="top" wrapText="1"/>
    </xf>
    <xf numFmtId="0" fontId="2" fillId="2" borderId="0" xfId="0" applyFont="1" applyFill="1" applyAlignment="1">
      <alignment vertical="top"/>
    </xf>
    <xf numFmtId="0" fontId="6" fillId="2" borderId="9" xfId="0" applyFont="1" applyFill="1" applyBorder="1" applyAlignment="1">
      <alignment vertical="center" wrapText="1"/>
    </xf>
    <xf numFmtId="0" fontId="16" fillId="4" borderId="7" xfId="0" applyFont="1" applyFill="1" applyBorder="1" applyAlignment="1">
      <alignment vertical="center" textRotation="90" wrapText="1"/>
    </xf>
    <xf numFmtId="0" fontId="2" fillId="16" borderId="0" xfId="0" applyFont="1" applyFill="1" applyAlignment="1">
      <alignment vertical="top"/>
    </xf>
    <xf numFmtId="0" fontId="2" fillId="16" borderId="0" xfId="0" applyFont="1" applyFill="1"/>
    <xf numFmtId="0" fontId="2" fillId="2" borderId="9" xfId="0" applyFont="1" applyFill="1" applyBorder="1" applyAlignment="1">
      <alignment vertical="top" wrapText="1"/>
    </xf>
    <xf numFmtId="0" fontId="2" fillId="0" borderId="10" xfId="0" applyFont="1" applyBorder="1" applyAlignment="1">
      <alignment horizontal="left" vertical="top" wrapText="1"/>
    </xf>
    <xf numFmtId="0" fontId="2" fillId="2" borderId="10" xfId="0" applyFont="1" applyFill="1" applyBorder="1" applyAlignment="1">
      <alignment horizontal="left" vertical="top" wrapText="1"/>
    </xf>
    <xf numFmtId="0" fontId="9" fillId="4" borderId="28" xfId="0" applyFont="1" applyFill="1" applyBorder="1" applyAlignment="1">
      <alignment horizontal="center" vertical="center" wrapText="1"/>
    </xf>
    <xf numFmtId="0" fontId="7" fillId="4" borderId="28" xfId="0" applyFont="1" applyFill="1" applyBorder="1" applyAlignment="1">
      <alignment horizontal="left" vertical="center" wrapText="1"/>
    </xf>
    <xf numFmtId="0" fontId="9" fillId="4" borderId="28" xfId="0" applyFont="1" applyFill="1" applyBorder="1" applyAlignment="1">
      <alignment horizontal="left" vertical="center" wrapText="1"/>
    </xf>
    <xf numFmtId="0" fontId="9" fillId="19" borderId="28" xfId="0" applyFont="1" applyFill="1" applyBorder="1" applyAlignment="1">
      <alignment horizontal="center" vertical="center"/>
    </xf>
    <xf numFmtId="0" fontId="9" fillId="4" borderId="28" xfId="0" applyFont="1" applyFill="1" applyBorder="1" applyAlignment="1">
      <alignment horizontal="left" vertical="top" wrapText="1"/>
    </xf>
    <xf numFmtId="0" fontId="9" fillId="4" borderId="29" xfId="0" applyFont="1" applyFill="1" applyBorder="1" applyAlignment="1">
      <alignment horizontal="left" vertical="top" wrapText="1"/>
    </xf>
    <xf numFmtId="0" fontId="17" fillId="5" borderId="45" xfId="0" applyFont="1" applyFill="1" applyBorder="1" applyAlignment="1">
      <alignment horizontal="center" vertical="center" textRotation="90" wrapText="1"/>
    </xf>
    <xf numFmtId="0" fontId="9" fillId="5" borderId="28" xfId="0" applyFont="1" applyFill="1" applyBorder="1" applyAlignment="1">
      <alignment horizontal="center" vertical="center" wrapText="1"/>
    </xf>
    <xf numFmtId="0" fontId="7" fillId="5" borderId="28" xfId="0" applyFont="1" applyFill="1" applyBorder="1" applyAlignment="1">
      <alignment horizontal="left" vertical="center" wrapText="1"/>
    </xf>
    <xf numFmtId="0" fontId="9" fillId="5" borderId="28" xfId="0" applyFont="1" applyFill="1" applyBorder="1" applyAlignment="1">
      <alignment horizontal="left" vertical="center" wrapText="1"/>
    </xf>
    <xf numFmtId="0" fontId="9" fillId="19" borderId="28" xfId="0" applyFont="1" applyFill="1" applyBorder="1" applyAlignment="1">
      <alignment horizontal="left" vertical="center" wrapText="1"/>
    </xf>
    <xf numFmtId="0" fontId="9" fillId="5" borderId="28" xfId="0" applyFont="1" applyFill="1" applyBorder="1" applyAlignment="1">
      <alignment horizontal="left" vertical="top" wrapText="1"/>
    </xf>
    <xf numFmtId="0" fontId="9" fillId="5" borderId="29" xfId="0" applyFont="1" applyFill="1" applyBorder="1" applyAlignment="1">
      <alignment horizontal="left" vertical="top" wrapText="1"/>
    </xf>
    <xf numFmtId="0" fontId="16" fillId="6" borderId="47" xfId="0" applyFont="1" applyFill="1" applyBorder="1" applyAlignment="1">
      <alignment vertical="center" textRotation="90" wrapText="1"/>
    </xf>
    <xf numFmtId="0" fontId="16" fillId="6" borderId="28" xfId="0" applyFont="1" applyFill="1" applyBorder="1" applyAlignment="1">
      <alignment vertical="center" textRotation="90" wrapText="1"/>
    </xf>
    <xf numFmtId="0" fontId="16" fillId="6" borderId="7" xfId="0" applyFont="1" applyFill="1" applyBorder="1" applyAlignment="1">
      <alignment vertical="center" textRotation="90" wrapText="1"/>
    </xf>
    <xf numFmtId="0" fontId="16" fillId="6" borderId="44" xfId="0" applyFont="1" applyFill="1" applyBorder="1" applyAlignment="1">
      <alignment vertical="center" textRotation="90" wrapText="1"/>
    </xf>
    <xf numFmtId="0" fontId="9" fillId="6" borderId="28" xfId="0" applyFont="1" applyFill="1" applyBorder="1" applyAlignment="1">
      <alignment horizontal="center" vertical="center" wrapText="1"/>
    </xf>
    <xf numFmtId="0" fontId="7" fillId="6" borderId="28" xfId="0" applyFont="1" applyFill="1" applyBorder="1" applyAlignment="1">
      <alignment horizontal="left" vertical="center" wrapText="1"/>
    </xf>
    <xf numFmtId="0" fontId="9" fillId="6" borderId="28" xfId="0" applyFont="1" applyFill="1" applyBorder="1" applyAlignment="1">
      <alignment horizontal="left" vertical="center" wrapText="1"/>
    </xf>
    <xf numFmtId="0" fontId="9" fillId="19" borderId="28" xfId="0" applyFont="1" applyFill="1" applyBorder="1" applyAlignment="1">
      <alignment horizontal="center" vertical="center" wrapText="1"/>
    </xf>
    <xf numFmtId="0" fontId="9" fillId="6" borderId="28" xfId="0" applyFont="1" applyFill="1" applyBorder="1" applyAlignment="1">
      <alignment horizontal="left" vertical="top" wrapText="1"/>
    </xf>
    <xf numFmtId="0" fontId="9" fillId="6" borderId="29" xfId="0" applyFont="1" applyFill="1" applyBorder="1" applyAlignment="1">
      <alignment horizontal="left" vertical="top" wrapText="1"/>
    </xf>
    <xf numFmtId="0" fontId="16" fillId="7" borderId="47" xfId="0" applyFont="1" applyFill="1" applyBorder="1" applyAlignment="1">
      <alignment vertical="center" textRotation="90" wrapText="1"/>
    </xf>
    <xf numFmtId="0" fontId="16" fillId="7" borderId="46" xfId="0" applyFont="1" applyFill="1" applyBorder="1" applyAlignment="1">
      <alignment vertical="center" textRotation="90" wrapText="1"/>
    </xf>
    <xf numFmtId="0" fontId="16" fillId="7" borderId="7" xfId="0" applyFont="1" applyFill="1" applyBorder="1" applyAlignment="1">
      <alignment vertical="center" textRotation="90" wrapText="1"/>
    </xf>
    <xf numFmtId="0" fontId="16" fillId="7" borderId="44" xfId="0" applyFont="1" applyFill="1" applyBorder="1" applyAlignment="1">
      <alignment vertical="center" textRotation="90" wrapText="1"/>
    </xf>
    <xf numFmtId="0" fontId="9" fillId="7" borderId="28" xfId="0" applyFont="1" applyFill="1" applyBorder="1" applyAlignment="1">
      <alignment horizontal="center" vertical="center" wrapText="1"/>
    </xf>
    <xf numFmtId="0" fontId="7" fillId="7" borderId="28" xfId="0" applyFont="1" applyFill="1" applyBorder="1" applyAlignment="1">
      <alignment horizontal="left" vertical="center" wrapText="1"/>
    </xf>
    <xf numFmtId="0" fontId="9" fillId="7" borderId="28" xfId="0" applyFont="1" applyFill="1" applyBorder="1" applyAlignment="1">
      <alignment horizontal="left" vertical="center" wrapText="1"/>
    </xf>
    <xf numFmtId="0" fontId="9" fillId="7" borderId="28" xfId="0" applyFont="1" applyFill="1" applyBorder="1" applyAlignment="1">
      <alignment horizontal="left" vertical="top" wrapText="1"/>
    </xf>
    <xf numFmtId="0" fontId="9" fillId="7" borderId="29" xfId="0" applyFont="1" applyFill="1" applyBorder="1" applyAlignment="1">
      <alignment horizontal="left" vertical="top" wrapText="1"/>
    </xf>
    <xf numFmtId="0" fontId="16" fillId="8" borderId="7" xfId="0" applyFont="1" applyFill="1" applyBorder="1" applyAlignment="1">
      <alignment vertical="center" textRotation="90" wrapText="1"/>
    </xf>
    <xf numFmtId="0" fontId="17" fillId="8" borderId="44" xfId="0" applyFont="1" applyFill="1" applyBorder="1" applyAlignment="1">
      <alignment horizontal="center" vertical="center" textRotation="90" wrapText="1"/>
    </xf>
    <xf numFmtId="0" fontId="9" fillId="8" borderId="28" xfId="0" applyFont="1" applyFill="1" applyBorder="1" applyAlignment="1">
      <alignment horizontal="center" vertical="center" wrapText="1"/>
    </xf>
    <xf numFmtId="0" fontId="7" fillId="8" borderId="28" xfId="0" applyFont="1" applyFill="1" applyBorder="1" applyAlignment="1">
      <alignment horizontal="left" vertical="center" wrapText="1"/>
    </xf>
    <xf numFmtId="0" fontId="9" fillId="8" borderId="28" xfId="0" applyFont="1" applyFill="1" applyBorder="1" applyAlignment="1">
      <alignment horizontal="left" vertical="center" wrapText="1"/>
    </xf>
    <xf numFmtId="0" fontId="9" fillId="8" borderId="28" xfId="0" applyFont="1" applyFill="1" applyBorder="1" applyAlignment="1">
      <alignment horizontal="left" vertical="top" wrapText="1"/>
    </xf>
    <xf numFmtId="0" fontId="9" fillId="8" borderId="29" xfId="0" applyFont="1" applyFill="1" applyBorder="1" applyAlignment="1">
      <alignment horizontal="left" vertical="top" wrapText="1"/>
    </xf>
    <xf numFmtId="0" fontId="16" fillId="9" borderId="7" xfId="0" applyFont="1" applyFill="1" applyBorder="1" applyAlignment="1">
      <alignment vertical="center" textRotation="90" wrapText="1"/>
    </xf>
    <xf numFmtId="0" fontId="11" fillId="2" borderId="0" xfId="0" applyFont="1" applyFill="1" applyAlignment="1">
      <alignment vertical="top" wrapText="1"/>
    </xf>
    <xf numFmtId="0" fontId="17" fillId="9" borderId="44" xfId="0" applyFont="1" applyFill="1" applyBorder="1" applyAlignment="1">
      <alignment horizontal="center" vertical="center" textRotation="90" wrapText="1"/>
    </xf>
    <xf numFmtId="0" fontId="9" fillId="9" borderId="28" xfId="0" applyFont="1" applyFill="1" applyBorder="1" applyAlignment="1">
      <alignment horizontal="center" vertical="center" wrapText="1"/>
    </xf>
    <xf numFmtId="0" fontId="7" fillId="9" borderId="28" xfId="0" applyFont="1" applyFill="1" applyBorder="1" applyAlignment="1">
      <alignment horizontal="left" vertical="center" wrapText="1"/>
    </xf>
    <xf numFmtId="0" fontId="9" fillId="9" borderId="28" xfId="0" applyFont="1" applyFill="1" applyBorder="1" applyAlignment="1">
      <alignment horizontal="left" vertical="center" wrapText="1"/>
    </xf>
    <xf numFmtId="0" fontId="9" fillId="9" borderId="28" xfId="0" applyFont="1" applyFill="1" applyBorder="1" applyAlignment="1">
      <alignment horizontal="left" vertical="top" wrapText="1"/>
    </xf>
    <xf numFmtId="0" fontId="9" fillId="9" borderId="29" xfId="0" applyFont="1" applyFill="1" applyBorder="1" applyAlignment="1">
      <alignment horizontal="left" vertical="top" wrapText="1"/>
    </xf>
    <xf numFmtId="0" fontId="16" fillId="10" borderId="7" xfId="0" applyFont="1" applyFill="1" applyBorder="1" applyAlignment="1">
      <alignment vertical="center" textRotation="90" wrapText="1"/>
    </xf>
    <xf numFmtId="0" fontId="7" fillId="2" borderId="9"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17" fillId="10" borderId="44" xfId="0" applyFont="1" applyFill="1" applyBorder="1" applyAlignment="1">
      <alignment horizontal="center" vertical="center" textRotation="90" wrapText="1"/>
    </xf>
    <xf numFmtId="0" fontId="9" fillId="10" borderId="28" xfId="0" applyFont="1" applyFill="1" applyBorder="1" applyAlignment="1">
      <alignment horizontal="center" vertical="center" wrapText="1"/>
    </xf>
    <xf numFmtId="0" fontId="7" fillId="10" borderId="28" xfId="0" applyFont="1" applyFill="1" applyBorder="1" applyAlignment="1">
      <alignment horizontal="left" vertical="center" wrapText="1"/>
    </xf>
    <xf numFmtId="0" fontId="9" fillId="10" borderId="28" xfId="0" applyFont="1" applyFill="1" applyBorder="1" applyAlignment="1">
      <alignment horizontal="left" vertical="center" wrapText="1"/>
    </xf>
    <xf numFmtId="0" fontId="9" fillId="10" borderId="28" xfId="0" applyFont="1" applyFill="1" applyBorder="1" applyAlignment="1">
      <alignment horizontal="left" vertical="top" wrapText="1"/>
    </xf>
    <xf numFmtId="0" fontId="9" fillId="10" borderId="29" xfId="0" applyFont="1" applyFill="1" applyBorder="1" applyAlignment="1">
      <alignment horizontal="left" vertical="top" wrapText="1"/>
    </xf>
    <xf numFmtId="0" fontId="16" fillId="11" borderId="7" xfId="0" applyFont="1" applyFill="1" applyBorder="1" applyAlignment="1">
      <alignment vertical="center" textRotation="90" wrapText="1"/>
    </xf>
    <xf numFmtId="0" fontId="17" fillId="11" borderId="44" xfId="0" applyFont="1" applyFill="1" applyBorder="1" applyAlignment="1">
      <alignment horizontal="center" vertical="center" textRotation="90" wrapText="1"/>
    </xf>
    <xf numFmtId="0" fontId="9" fillId="11" borderId="28" xfId="0" applyFont="1" applyFill="1" applyBorder="1" applyAlignment="1">
      <alignment horizontal="center" vertical="center" wrapText="1"/>
    </xf>
    <xf numFmtId="0" fontId="7" fillId="11" borderId="28" xfId="0" applyFont="1" applyFill="1" applyBorder="1" applyAlignment="1">
      <alignment horizontal="left" vertical="center" wrapText="1"/>
    </xf>
    <xf numFmtId="0" fontId="9" fillId="11" borderId="28" xfId="0" applyFont="1" applyFill="1" applyBorder="1" applyAlignment="1">
      <alignment horizontal="left" vertical="center" wrapText="1"/>
    </xf>
    <xf numFmtId="0" fontId="9" fillId="11" borderId="28" xfId="0" applyFont="1" applyFill="1" applyBorder="1" applyAlignment="1">
      <alignment horizontal="left" vertical="top" wrapText="1"/>
    </xf>
    <xf numFmtId="0" fontId="9" fillId="11" borderId="29" xfId="0" applyFont="1" applyFill="1" applyBorder="1" applyAlignment="1">
      <alignment horizontal="left" vertical="top" wrapText="1"/>
    </xf>
    <xf numFmtId="0" fontId="16" fillId="12" borderId="14" xfId="0" applyFont="1" applyFill="1" applyBorder="1" applyAlignment="1">
      <alignment vertical="center" textRotation="90" wrapText="1"/>
    </xf>
    <xf numFmtId="0" fontId="17" fillId="12" borderId="7" xfId="0" applyFont="1" applyFill="1" applyBorder="1" applyAlignment="1">
      <alignment horizontal="center" vertical="center" textRotation="90" wrapText="1"/>
    </xf>
    <xf numFmtId="0" fontId="17" fillId="12" borderId="28" xfId="0" applyFont="1" applyFill="1" applyBorder="1" applyAlignment="1">
      <alignment vertical="center" textRotation="90" wrapText="1"/>
    </xf>
    <xf numFmtId="0" fontId="17" fillId="12" borderId="44" xfId="0" applyFont="1" applyFill="1" applyBorder="1" applyAlignment="1">
      <alignment horizontal="center" vertical="center" textRotation="90" wrapText="1"/>
    </xf>
    <xf numFmtId="0" fontId="9" fillId="12" borderId="28" xfId="0" applyFont="1" applyFill="1" applyBorder="1" applyAlignment="1">
      <alignment horizontal="center" vertical="center" wrapText="1"/>
    </xf>
    <xf numFmtId="0" fontId="7" fillId="12" borderId="28" xfId="0" applyFont="1" applyFill="1" applyBorder="1" applyAlignment="1">
      <alignment horizontal="left" vertical="center" wrapText="1"/>
    </xf>
    <xf numFmtId="0" fontId="9" fillId="12" borderId="28" xfId="0" applyFont="1" applyFill="1" applyBorder="1" applyAlignment="1">
      <alignment horizontal="left" vertical="center" wrapText="1"/>
    </xf>
    <xf numFmtId="0" fontId="9" fillId="12" borderId="28" xfId="0" applyFont="1" applyFill="1" applyBorder="1" applyAlignment="1">
      <alignment horizontal="left" vertical="top" wrapText="1"/>
    </xf>
    <xf numFmtId="0" fontId="9" fillId="12" borderId="29" xfId="0" applyFont="1" applyFill="1" applyBorder="1" applyAlignment="1">
      <alignment horizontal="left" vertical="top" wrapText="1"/>
    </xf>
    <xf numFmtId="0" fontId="17" fillId="13" borderId="14" xfId="0" applyFont="1" applyFill="1" applyBorder="1" applyAlignment="1">
      <alignment horizontal="center" vertical="center" textRotation="90" wrapText="1"/>
    </xf>
    <xf numFmtId="0" fontId="17" fillId="13" borderId="44" xfId="0" applyFont="1" applyFill="1" applyBorder="1" applyAlignment="1">
      <alignment horizontal="center" vertical="center" textRotation="90" wrapText="1"/>
    </xf>
    <xf numFmtId="0" fontId="9" fillId="13" borderId="28" xfId="0" applyFont="1" applyFill="1" applyBorder="1" applyAlignment="1">
      <alignment horizontal="center" vertical="center" wrapText="1"/>
    </xf>
    <xf numFmtId="0" fontId="7" fillId="13" borderId="28" xfId="0" applyFont="1" applyFill="1" applyBorder="1" applyAlignment="1">
      <alignment horizontal="left" vertical="center" wrapText="1"/>
    </xf>
    <xf numFmtId="0" fontId="9" fillId="13" borderId="28" xfId="0" applyFont="1" applyFill="1" applyBorder="1" applyAlignment="1">
      <alignment horizontal="left" vertical="center" wrapText="1"/>
    </xf>
    <xf numFmtId="0" fontId="9" fillId="13" borderId="28" xfId="0" applyFont="1" applyFill="1" applyBorder="1" applyAlignment="1">
      <alignment horizontal="left" vertical="top" wrapText="1"/>
    </xf>
    <xf numFmtId="0" fontId="9" fillId="13" borderId="29" xfId="0" applyFont="1" applyFill="1" applyBorder="1" applyAlignment="1">
      <alignment horizontal="left" vertical="top" wrapText="1"/>
    </xf>
    <xf numFmtId="0" fontId="17" fillId="14" borderId="14" xfId="0" applyFont="1" applyFill="1" applyBorder="1" applyAlignment="1">
      <alignment horizontal="center" vertical="center" textRotation="90" wrapText="1"/>
    </xf>
    <xf numFmtId="0" fontId="17" fillId="14" borderId="44" xfId="0" applyFont="1" applyFill="1" applyBorder="1" applyAlignment="1">
      <alignment horizontal="center" vertical="center" textRotation="90" wrapText="1"/>
    </xf>
    <xf numFmtId="0" fontId="9" fillId="14" borderId="28" xfId="0" applyFont="1" applyFill="1" applyBorder="1" applyAlignment="1">
      <alignment horizontal="center" vertical="center" wrapText="1"/>
    </xf>
    <xf numFmtId="0" fontId="7" fillId="14" borderId="28" xfId="0" applyFont="1" applyFill="1" applyBorder="1" applyAlignment="1">
      <alignment horizontal="left" vertical="center" wrapText="1"/>
    </xf>
    <xf numFmtId="0" fontId="9" fillId="14" borderId="28" xfId="0" applyFont="1" applyFill="1" applyBorder="1" applyAlignment="1">
      <alignment horizontal="left" vertical="center" wrapText="1"/>
    </xf>
    <xf numFmtId="0" fontId="9" fillId="14" borderId="28" xfId="0" applyFont="1" applyFill="1" applyBorder="1" applyAlignment="1">
      <alignment horizontal="left" vertical="top" wrapText="1"/>
    </xf>
    <xf numFmtId="0" fontId="9" fillId="14" borderId="29" xfId="0" applyFont="1" applyFill="1" applyBorder="1" applyAlignment="1">
      <alignment horizontal="left" vertical="top" wrapText="1"/>
    </xf>
    <xf numFmtId="0" fontId="17" fillId="15" borderId="7" xfId="0" applyFont="1" applyFill="1" applyBorder="1" applyAlignment="1">
      <alignment vertical="center" textRotation="90" wrapText="1"/>
    </xf>
    <xf numFmtId="0" fontId="17" fillId="15" borderId="4" xfId="0" applyFont="1" applyFill="1" applyBorder="1" applyAlignment="1">
      <alignment vertical="center" textRotation="90" wrapText="1"/>
    </xf>
    <xf numFmtId="0" fontId="17" fillId="15" borderId="14" xfId="0" applyFont="1" applyFill="1" applyBorder="1" applyAlignment="1">
      <alignment vertical="center" textRotation="90" wrapText="1"/>
    </xf>
    <xf numFmtId="0" fontId="13" fillId="2" borderId="0" xfId="0" applyFont="1" applyFill="1" applyAlignment="1">
      <alignment vertical="top"/>
    </xf>
    <xf numFmtId="0" fontId="17" fillId="15" borderId="44" xfId="0" applyFont="1" applyFill="1" applyBorder="1" applyAlignment="1">
      <alignment horizontal="center" vertical="center" textRotation="90" wrapText="1"/>
    </xf>
    <xf numFmtId="0" fontId="9" fillId="15" borderId="28" xfId="0" applyFont="1" applyFill="1" applyBorder="1" applyAlignment="1">
      <alignment horizontal="center" vertical="center" wrapText="1"/>
    </xf>
    <xf numFmtId="0" fontId="7" fillId="15" borderId="28" xfId="0" applyFont="1" applyFill="1" applyBorder="1" applyAlignment="1">
      <alignment horizontal="left" vertical="center" wrapText="1"/>
    </xf>
    <xf numFmtId="0" fontId="9" fillId="15" borderId="28" xfId="0" applyFont="1" applyFill="1" applyBorder="1" applyAlignment="1">
      <alignment horizontal="left" vertical="center" wrapText="1"/>
    </xf>
    <xf numFmtId="0" fontId="9" fillId="15" borderId="28" xfId="0" applyFont="1" applyFill="1" applyBorder="1" applyAlignment="1">
      <alignment horizontal="left" vertical="top" wrapText="1"/>
    </xf>
    <xf numFmtId="0" fontId="9" fillId="15" borderId="29" xfId="0" applyFont="1" applyFill="1" applyBorder="1" applyAlignment="1">
      <alignment horizontal="left" vertical="top" wrapText="1"/>
    </xf>
    <xf numFmtId="0" fontId="17" fillId="5" borderId="49" xfId="0" applyFont="1" applyFill="1" applyBorder="1" applyAlignment="1">
      <alignment horizontal="center" vertical="center" textRotation="90" wrapText="1"/>
    </xf>
    <xf numFmtId="0" fontId="9" fillId="5" borderId="50" xfId="0" applyFont="1" applyFill="1" applyBorder="1" applyAlignment="1">
      <alignment horizontal="center" vertical="center" wrapText="1"/>
    </xf>
    <xf numFmtId="0" fontId="7" fillId="5" borderId="50" xfId="0" applyFont="1" applyFill="1" applyBorder="1" applyAlignment="1">
      <alignment horizontal="left" vertical="center" wrapText="1"/>
    </xf>
    <xf numFmtId="0" fontId="9" fillId="5" borderId="50" xfId="0" applyFont="1" applyFill="1" applyBorder="1" applyAlignment="1">
      <alignment horizontal="left" vertical="center" wrapText="1"/>
    </xf>
    <xf numFmtId="0" fontId="9" fillId="5" borderId="50" xfId="0" applyFont="1" applyFill="1" applyBorder="1" applyAlignment="1">
      <alignment horizontal="left" vertical="top" wrapText="1"/>
    </xf>
    <xf numFmtId="0" fontId="9" fillId="5" borderId="51" xfId="0" applyFont="1" applyFill="1" applyBorder="1" applyAlignment="1">
      <alignment horizontal="left" vertical="top" wrapText="1"/>
    </xf>
    <xf numFmtId="0" fontId="15" fillId="2" borderId="0" xfId="0" applyFont="1" applyFill="1" applyAlignment="1">
      <alignment horizontal="center" vertical="center" textRotation="90" wrapText="1"/>
    </xf>
    <xf numFmtId="0" fontId="2" fillId="17" borderId="0" xfId="0" applyFont="1" applyFill="1" applyAlignment="1">
      <alignment horizontal="center" vertical="center"/>
    </xf>
    <xf numFmtId="0" fontId="13" fillId="16" borderId="0" xfId="0" applyFont="1" applyFill="1" applyAlignment="1">
      <alignment horizontal="left" vertical="top"/>
    </xf>
    <xf numFmtId="0" fontId="2" fillId="2" borderId="0" xfId="0" applyFont="1" applyFill="1" applyAlignment="1">
      <alignment vertical="center"/>
    </xf>
    <xf numFmtId="0" fontId="3" fillId="2" borderId="0" xfId="0" applyFont="1" applyFill="1" applyAlignment="1">
      <alignment vertical="center"/>
    </xf>
    <xf numFmtId="0" fontId="16" fillId="7" borderId="29" xfId="0" applyFont="1" applyFill="1" applyBorder="1" applyAlignment="1">
      <alignment horizontal="left" vertical="top" textRotation="90" wrapText="1"/>
    </xf>
    <xf numFmtId="0" fontId="16" fillId="9" borderId="29" xfId="0" applyFont="1" applyFill="1" applyBorder="1" applyAlignment="1">
      <alignment horizontal="left" vertical="top" textRotation="90" wrapText="1"/>
    </xf>
    <xf numFmtId="0" fontId="16" fillId="10" borderId="29" xfId="0" applyFont="1" applyFill="1" applyBorder="1" applyAlignment="1">
      <alignment horizontal="left" vertical="top" textRotation="90" wrapText="1"/>
    </xf>
    <xf numFmtId="0" fontId="16" fillId="11" borderId="29" xfId="0" applyFont="1" applyFill="1" applyBorder="1" applyAlignment="1">
      <alignment horizontal="left" vertical="top" textRotation="90" wrapText="1"/>
    </xf>
    <xf numFmtId="0" fontId="17" fillId="15" borderId="5" xfId="0" applyFont="1" applyFill="1" applyBorder="1" applyAlignment="1">
      <alignment horizontal="left" vertical="top" textRotation="90" wrapText="1"/>
    </xf>
    <xf numFmtId="0" fontId="2" fillId="2" borderId="0" xfId="0" applyFont="1" applyFill="1" applyAlignment="1">
      <alignment horizontal="left" vertical="top" wrapText="1"/>
    </xf>
    <xf numFmtId="0" fontId="16" fillId="6" borderId="29" xfId="0" applyFont="1" applyFill="1" applyBorder="1" applyAlignment="1">
      <alignment horizontal="left" vertical="top" textRotation="90" wrapText="1"/>
    </xf>
    <xf numFmtId="0" fontId="17" fillId="12" borderId="29" xfId="0" applyFont="1" applyFill="1" applyBorder="1" applyAlignment="1">
      <alignment horizontal="left" vertical="top" textRotation="90" wrapText="1"/>
    </xf>
    <xf numFmtId="0" fontId="5" fillId="2" borderId="81" xfId="0" applyFont="1" applyFill="1" applyBorder="1" applyAlignment="1">
      <alignment horizontal="left" vertical="center"/>
    </xf>
    <xf numFmtId="0" fontId="35" fillId="2" borderId="0" xfId="0" applyFont="1" applyFill="1"/>
    <xf numFmtId="0" fontId="3" fillId="2" borderId="0" xfId="0" applyFont="1" applyFill="1" applyAlignment="1">
      <alignment horizontal="center" wrapText="1"/>
    </xf>
    <xf numFmtId="0" fontId="32" fillId="0" borderId="0" xfId="0" applyFont="1"/>
    <xf numFmtId="0" fontId="37" fillId="2" borderId="0" xfId="0" applyFont="1" applyFill="1"/>
    <xf numFmtId="0" fontId="38" fillId="2" borderId="0" xfId="0" applyFont="1" applyFill="1"/>
    <xf numFmtId="0" fontId="2" fillId="0" borderId="0" xfId="0" applyFont="1" applyAlignment="1">
      <alignment vertical="top" wrapText="1"/>
    </xf>
    <xf numFmtId="0" fontId="11" fillId="0" borderId="0" xfId="0" applyFont="1" applyAlignment="1">
      <alignment vertical="top" wrapText="1"/>
    </xf>
    <xf numFmtId="0" fontId="13" fillId="0" borderId="0" xfId="0" applyFont="1" applyAlignment="1">
      <alignment horizontal="left" vertical="top"/>
    </xf>
    <xf numFmtId="0" fontId="13" fillId="0" borderId="0" xfId="0" applyFont="1" applyAlignment="1">
      <alignment horizontal="left" vertical="top" wrapText="1"/>
    </xf>
    <xf numFmtId="0" fontId="2" fillId="0" borderId="0" xfId="0" applyFont="1"/>
    <xf numFmtId="0" fontId="7" fillId="0" borderId="0" xfId="0" applyFont="1" applyAlignment="1">
      <alignment horizontal="left" vertical="center" wrapText="1"/>
    </xf>
    <xf numFmtId="0" fontId="13" fillId="0" borderId="0" xfId="0" applyFont="1" applyAlignment="1">
      <alignment vertical="top" wrapText="1"/>
    </xf>
    <xf numFmtId="0" fontId="13" fillId="0" borderId="0" xfId="0" applyFont="1" applyAlignment="1">
      <alignment vertical="top"/>
    </xf>
    <xf numFmtId="0" fontId="11" fillId="0" borderId="0" xfId="0" applyFont="1" applyAlignment="1">
      <alignment vertical="top"/>
    </xf>
    <xf numFmtId="0" fontId="5" fillId="2" borderId="62" xfId="0" applyFont="1" applyFill="1" applyBorder="1" applyAlignment="1">
      <alignment horizontal="left" vertical="center"/>
    </xf>
    <xf numFmtId="0" fontId="5" fillId="2" borderId="21" xfId="0" applyFont="1" applyFill="1" applyBorder="1" applyAlignment="1">
      <alignment horizontal="left" vertical="center"/>
    </xf>
    <xf numFmtId="0" fontId="5" fillId="2" borderId="18" xfId="0" applyFont="1" applyFill="1" applyBorder="1" applyAlignment="1">
      <alignment horizontal="left" vertical="center"/>
    </xf>
    <xf numFmtId="0" fontId="5" fillId="2" borderId="31" xfId="0" applyFont="1" applyFill="1" applyBorder="1" applyAlignment="1">
      <alignment horizontal="left" vertical="center"/>
    </xf>
    <xf numFmtId="0" fontId="5" fillId="2" borderId="53" xfId="0" applyFont="1" applyFill="1" applyBorder="1" applyAlignment="1">
      <alignment horizontal="left" vertical="center"/>
    </xf>
    <xf numFmtId="0" fontId="5" fillId="2" borderId="64" xfId="0" applyFont="1" applyFill="1" applyBorder="1" applyAlignment="1">
      <alignment horizontal="left" vertical="center"/>
    </xf>
    <xf numFmtId="0" fontId="5" fillId="2" borderId="24" xfId="0" applyFont="1" applyFill="1" applyBorder="1" applyAlignment="1">
      <alignment horizontal="left" vertical="center"/>
    </xf>
    <xf numFmtId="0" fontId="5" fillId="2" borderId="58" xfId="0" applyFont="1" applyFill="1" applyBorder="1" applyAlignment="1">
      <alignment horizontal="left" vertical="center"/>
    </xf>
    <xf numFmtId="0" fontId="1" fillId="20" borderId="12" xfId="1" applyFill="1" applyBorder="1" applyAlignment="1" applyProtection="1">
      <alignment horizontal="center" vertical="center"/>
      <protection locked="0"/>
    </xf>
    <xf numFmtId="0" fontId="1" fillId="17" borderId="9" xfId="0" applyFont="1" applyFill="1" applyBorder="1" applyAlignment="1" applyProtection="1">
      <alignment horizontal="center" vertical="center"/>
      <protection locked="0"/>
    </xf>
    <xf numFmtId="0" fontId="1" fillId="20" borderId="13" xfId="1" applyFill="1" applyBorder="1" applyAlignment="1" applyProtection="1">
      <alignment horizontal="center" vertical="center"/>
      <protection locked="0"/>
    </xf>
    <xf numFmtId="0" fontId="1" fillId="20" borderId="11" xfId="1" applyFill="1" applyBorder="1" applyAlignment="1" applyProtection="1">
      <alignment horizontal="center" vertical="center"/>
      <protection locked="0"/>
    </xf>
    <xf numFmtId="0" fontId="1" fillId="17" borderId="12" xfId="1" applyFill="1" applyBorder="1" applyAlignment="1" applyProtection="1">
      <alignment horizontal="center" vertical="center"/>
      <protection locked="0"/>
    </xf>
    <xf numFmtId="0" fontId="1" fillId="17" borderId="13" xfId="1" applyFill="1" applyBorder="1" applyAlignment="1" applyProtection="1">
      <alignment horizontal="center" vertical="center"/>
      <protection locked="0"/>
    </xf>
    <xf numFmtId="0" fontId="1" fillId="17" borderId="11" xfId="1" applyFill="1" applyBorder="1" applyAlignment="1" applyProtection="1">
      <alignment horizontal="center" vertical="center"/>
      <protection locked="0"/>
    </xf>
    <xf numFmtId="0" fontId="1" fillId="17" borderId="9" xfId="1" applyFill="1" applyBorder="1" applyAlignment="1" applyProtection="1">
      <alignment horizontal="center" vertical="center"/>
      <protection locked="0"/>
    </xf>
    <xf numFmtId="0" fontId="1" fillId="17" borderId="0" xfId="1" applyFill="1" applyAlignment="1" applyProtection="1">
      <alignment horizontal="center" vertical="center"/>
      <protection locked="0"/>
    </xf>
    <xf numFmtId="0" fontId="1" fillId="17" borderId="9" xfId="0" applyFont="1" applyFill="1" applyBorder="1" applyAlignment="1">
      <alignment horizontal="center" vertical="center"/>
    </xf>
    <xf numFmtId="0" fontId="1" fillId="17" borderId="12" xfId="1" applyFill="1" applyBorder="1" applyAlignment="1">
      <alignment horizontal="center" vertical="center"/>
    </xf>
    <xf numFmtId="0" fontId="1" fillId="17" borderId="13" xfId="1" applyFill="1" applyBorder="1" applyAlignment="1">
      <alignment horizontal="center" vertical="center"/>
    </xf>
    <xf numFmtId="0" fontId="1" fillId="17" borderId="11" xfId="1" applyFill="1" applyBorder="1" applyAlignment="1">
      <alignment horizontal="center" vertical="center"/>
    </xf>
    <xf numFmtId="0" fontId="1" fillId="17" borderId="9" xfId="1" applyFill="1" applyBorder="1" applyAlignment="1">
      <alignment horizontal="center" vertical="center"/>
    </xf>
    <xf numFmtId="0" fontId="1" fillId="17" borderId="0" xfId="1" applyFill="1" applyAlignment="1">
      <alignment horizontal="center" vertical="center"/>
    </xf>
    <xf numFmtId="0" fontId="46" fillId="19" borderId="28" xfId="1" applyFont="1" applyFill="1" applyBorder="1" applyAlignment="1">
      <alignment horizontal="center" vertical="center"/>
    </xf>
    <xf numFmtId="0" fontId="47" fillId="2" borderId="0" xfId="4" applyFont="1" applyAlignment="1">
      <alignment horizontal="center" vertical="center"/>
    </xf>
    <xf numFmtId="0" fontId="47" fillId="2" borderId="0" xfId="4" applyFont="1"/>
    <xf numFmtId="0" fontId="43" fillId="2" borderId="0" xfId="4" applyFont="1" applyAlignment="1">
      <alignment horizontal="center" vertical="center"/>
    </xf>
    <xf numFmtId="0" fontId="47" fillId="0" borderId="0" xfId="4" applyFont="1" applyFill="1" applyAlignment="1">
      <alignment horizontal="left" vertical="center"/>
    </xf>
    <xf numFmtId="0" fontId="43" fillId="26" borderId="97" xfId="4" applyFont="1" applyFill="1" applyBorder="1" applyAlignment="1">
      <alignment horizontal="center" vertical="center" wrapText="1"/>
    </xf>
    <xf numFmtId="2" fontId="47" fillId="26" borderId="97" xfId="4" applyNumberFormat="1" applyFont="1" applyFill="1" applyBorder="1" applyAlignment="1">
      <alignment horizontal="center" vertical="center"/>
    </xf>
    <xf numFmtId="0" fontId="44" fillId="2" borderId="0" xfId="4" applyFont="1"/>
    <xf numFmtId="0" fontId="49" fillId="2" borderId="0" xfId="4" applyFont="1"/>
    <xf numFmtId="0" fontId="43" fillId="2" borderId="0" xfId="4" applyFont="1"/>
    <xf numFmtId="0" fontId="43" fillId="26" borderId="116" xfId="4" applyFont="1" applyFill="1" applyBorder="1" applyAlignment="1">
      <alignment horizontal="center" vertical="center" wrapText="1"/>
    </xf>
    <xf numFmtId="2" fontId="47" fillId="26" borderId="97" xfId="4" applyNumberFormat="1" applyFont="1" applyFill="1" applyBorder="1" applyAlignment="1">
      <alignment horizontal="center" vertical="center" wrapText="1"/>
    </xf>
    <xf numFmtId="2" fontId="47" fillId="26" borderId="114" xfId="4" applyNumberFormat="1" applyFont="1" applyFill="1" applyBorder="1" applyAlignment="1">
      <alignment horizontal="center" vertical="center"/>
    </xf>
    <xf numFmtId="0" fontId="47" fillId="2" borderId="98" xfId="4" applyFont="1" applyBorder="1"/>
    <xf numFmtId="0" fontId="47" fillId="0" borderId="0" xfId="4" applyFont="1" applyFill="1"/>
    <xf numFmtId="0" fontId="43" fillId="0" borderId="0" xfId="4" applyFont="1" applyFill="1"/>
    <xf numFmtId="0" fontId="47" fillId="25" borderId="117" xfId="4" applyFont="1" applyFill="1" applyBorder="1"/>
    <xf numFmtId="0" fontId="47" fillId="25" borderId="98" xfId="4" applyFont="1" applyFill="1" applyBorder="1"/>
    <xf numFmtId="0" fontId="47" fillId="25" borderId="99" xfId="4" applyFont="1" applyFill="1" applyBorder="1"/>
    <xf numFmtId="0" fontId="47" fillId="25" borderId="118" xfId="4" applyFont="1" applyFill="1" applyBorder="1"/>
    <xf numFmtId="0" fontId="47" fillId="25" borderId="0" xfId="4" applyFont="1" applyFill="1"/>
    <xf numFmtId="0" fontId="47" fillId="25" borderId="101" xfId="4" applyFont="1" applyFill="1" applyBorder="1"/>
    <xf numFmtId="0" fontId="47" fillId="2" borderId="0" xfId="4" applyFont="1" applyAlignment="1">
      <alignment vertical="center"/>
    </xf>
    <xf numFmtId="0" fontId="47" fillId="25" borderId="118" xfId="4" applyFont="1" applyFill="1" applyBorder="1" applyAlignment="1">
      <alignment vertical="center"/>
    </xf>
    <xf numFmtId="0" fontId="47" fillId="25" borderId="0" xfId="4" applyFont="1" applyFill="1" applyAlignment="1">
      <alignment vertical="center"/>
    </xf>
    <xf numFmtId="0" fontId="47" fillId="25" borderId="101" xfId="4" applyFont="1" applyFill="1" applyBorder="1" applyAlignment="1">
      <alignment vertical="center"/>
    </xf>
    <xf numFmtId="0" fontId="47" fillId="25" borderId="119" xfId="4" applyFont="1" applyFill="1" applyBorder="1" applyAlignment="1">
      <alignment vertical="center"/>
    </xf>
    <xf numFmtId="0" fontId="47" fillId="25" borderId="105" xfId="4" applyFont="1" applyFill="1" applyBorder="1" applyAlignment="1">
      <alignment vertical="center"/>
    </xf>
    <xf numFmtId="0" fontId="47" fillId="25" borderId="106" xfId="4" applyFont="1" applyFill="1" applyBorder="1" applyAlignment="1">
      <alignment vertical="center"/>
    </xf>
    <xf numFmtId="0" fontId="47" fillId="25" borderId="122" xfId="4" applyFont="1" applyFill="1" applyBorder="1" applyAlignment="1">
      <alignment vertical="center"/>
    </xf>
    <xf numFmtId="0" fontId="47" fillId="25" borderId="123" xfId="4" applyFont="1" applyFill="1" applyBorder="1" applyAlignment="1">
      <alignment vertical="center"/>
    </xf>
    <xf numFmtId="0" fontId="47" fillId="25" borderId="117" xfId="4" applyFont="1" applyFill="1" applyBorder="1" applyAlignment="1">
      <alignment vertical="center"/>
    </xf>
    <xf numFmtId="0" fontId="47" fillId="25" borderId="99" xfId="4" applyFont="1" applyFill="1" applyBorder="1" applyAlignment="1">
      <alignment vertical="center"/>
    </xf>
    <xf numFmtId="0" fontId="47" fillId="25" borderId="98" xfId="4" applyFont="1" applyFill="1" applyBorder="1" applyAlignment="1">
      <alignment vertical="center"/>
    </xf>
    <xf numFmtId="0" fontId="51" fillId="2" borderId="0" xfId="0" applyFont="1" applyFill="1" applyAlignment="1">
      <alignment horizontal="left" vertical="top"/>
    </xf>
    <xf numFmtId="0" fontId="51" fillId="2" borderId="0" xfId="0" applyFont="1" applyFill="1" applyAlignment="1">
      <alignment vertical="top"/>
    </xf>
    <xf numFmtId="164" fontId="52" fillId="2" borderId="0" xfId="0" applyNumberFormat="1" applyFont="1" applyFill="1" applyAlignment="1">
      <alignment horizontal="left" vertical="top"/>
    </xf>
    <xf numFmtId="0" fontId="55" fillId="2" borderId="40" xfId="0" applyFont="1" applyFill="1" applyBorder="1" applyAlignment="1">
      <alignment horizontal="center" vertical="center"/>
    </xf>
    <xf numFmtId="0" fontId="52" fillId="2" borderId="0" xfId="0" applyFont="1" applyFill="1" applyAlignment="1">
      <alignment horizontal="center" vertical="center"/>
    </xf>
    <xf numFmtId="0" fontId="52" fillId="2" borderId="0" xfId="0" applyFont="1" applyFill="1" applyAlignment="1">
      <alignment horizontal="left" vertical="top"/>
    </xf>
    <xf numFmtId="0" fontId="51" fillId="2" borderId="0" xfId="0" applyFont="1" applyFill="1" applyAlignment="1">
      <alignment horizontal="left" vertical="top" wrapText="1"/>
    </xf>
    <xf numFmtId="0" fontId="52" fillId="2" borderId="0" xfId="0" applyFont="1" applyFill="1" applyAlignment="1">
      <alignment vertical="top"/>
    </xf>
    <xf numFmtId="0" fontId="56" fillId="2" borderId="41" xfId="0" applyFont="1" applyFill="1" applyBorder="1" applyAlignment="1">
      <alignment horizontal="left" vertical="center"/>
    </xf>
    <xf numFmtId="0" fontId="57" fillId="2" borderId="42" xfId="0" applyFont="1" applyFill="1" applyBorder="1" applyAlignment="1">
      <alignment horizontal="center" vertical="center"/>
    </xf>
    <xf numFmtId="0" fontId="55" fillId="2" borderId="38" xfId="0" applyFont="1" applyFill="1" applyBorder="1" applyAlignment="1">
      <alignment horizontal="center" vertical="center"/>
    </xf>
    <xf numFmtId="0" fontId="51" fillId="2" borderId="0" xfId="0" applyFont="1" applyFill="1" applyAlignment="1">
      <alignment vertical="top" wrapText="1"/>
    </xf>
    <xf numFmtId="0" fontId="2" fillId="2" borderId="0" xfId="0" applyFont="1" applyFill="1" applyAlignment="1">
      <alignment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58" fillId="2" borderId="18" xfId="0" applyFont="1" applyFill="1" applyBorder="1" applyAlignment="1">
      <alignment horizontal="center" vertical="center"/>
    </xf>
    <xf numFmtId="0" fontId="58" fillId="2" borderId="53" xfId="0" applyFont="1" applyFill="1" applyBorder="1" applyAlignment="1">
      <alignment horizontal="left" vertical="top" wrapText="1"/>
    </xf>
    <xf numFmtId="0" fontId="58" fillId="2" borderId="53" xfId="0" applyFont="1" applyFill="1" applyBorder="1" applyAlignment="1">
      <alignment horizontal="center" vertical="top"/>
    </xf>
    <xf numFmtId="0" fontId="58" fillId="2" borderId="54" xfId="0" applyFont="1" applyFill="1" applyBorder="1" applyAlignment="1">
      <alignment horizontal="center" vertical="top"/>
    </xf>
    <xf numFmtId="0" fontId="58" fillId="2" borderId="55" xfId="0" applyFont="1" applyFill="1" applyBorder="1" applyAlignment="1">
      <alignment horizontal="center" vertical="top"/>
    </xf>
    <xf numFmtId="0" fontId="58" fillId="2" borderId="18" xfId="0" applyFont="1" applyFill="1" applyBorder="1" applyAlignment="1">
      <alignment horizontal="left" vertical="top" wrapText="1"/>
    </xf>
    <xf numFmtId="0" fontId="58" fillId="2" borderId="18" xfId="0" applyFont="1" applyFill="1" applyBorder="1" applyAlignment="1">
      <alignment horizontal="center" vertical="top"/>
    </xf>
    <xf numFmtId="0" fontId="58" fillId="2" borderId="20" xfId="0" applyFont="1" applyFill="1" applyBorder="1" applyAlignment="1">
      <alignment horizontal="center" vertical="top"/>
    </xf>
    <xf numFmtId="0" fontId="58" fillId="2" borderId="19" xfId="0" applyFont="1" applyFill="1" applyBorder="1" applyAlignment="1">
      <alignment horizontal="center" vertical="top"/>
    </xf>
    <xf numFmtId="0" fontId="58" fillId="2" borderId="56" xfId="0" applyFont="1" applyFill="1" applyBorder="1" applyAlignment="1">
      <alignment horizontal="center" vertical="center"/>
    </xf>
    <xf numFmtId="0" fontId="58" fillId="2" borderId="58" xfId="0" applyFont="1" applyFill="1" applyBorder="1" applyAlignment="1">
      <alignment horizontal="left" vertical="top" wrapText="1"/>
    </xf>
    <xf numFmtId="0" fontId="58" fillId="2" borderId="58" xfId="0" applyFont="1" applyFill="1" applyBorder="1" applyAlignment="1">
      <alignment horizontal="center" vertical="top"/>
    </xf>
    <xf numFmtId="0" fontId="58" fillId="2" borderId="59" xfId="0" applyFont="1" applyFill="1" applyBorder="1" applyAlignment="1">
      <alignment horizontal="center" vertical="top"/>
    </xf>
    <xf numFmtId="0" fontId="58" fillId="2" borderId="60" xfId="0" applyFont="1" applyFill="1" applyBorder="1" applyAlignment="1">
      <alignment horizontal="center" vertical="top"/>
    </xf>
    <xf numFmtId="0" fontId="9" fillId="4" borderId="7" xfId="0" applyFont="1" applyFill="1" applyBorder="1" applyAlignment="1">
      <alignment horizontal="center" vertical="center"/>
    </xf>
    <xf numFmtId="0" fontId="9" fillId="4" borderId="0" xfId="0" applyFont="1" applyFill="1" applyAlignment="1">
      <alignment horizontal="center" vertical="center"/>
    </xf>
    <xf numFmtId="0" fontId="9" fillId="4" borderId="0" xfId="0" applyFont="1" applyFill="1" applyAlignment="1">
      <alignment horizontal="left" vertical="center"/>
    </xf>
    <xf numFmtId="0" fontId="9" fillId="4" borderId="0" xfId="0" applyFont="1" applyFill="1" applyAlignment="1">
      <alignment horizontal="left" vertical="center" wrapText="1"/>
    </xf>
    <xf numFmtId="0" fontId="8" fillId="4" borderId="0" xfId="0" applyFont="1" applyFill="1" applyAlignment="1">
      <alignment horizontal="center" vertical="center"/>
    </xf>
    <xf numFmtId="0" fontId="8" fillId="4" borderId="0" xfId="2" applyFont="1" applyFill="1" applyAlignment="1">
      <alignment horizontal="center" vertical="center"/>
    </xf>
    <xf numFmtId="0" fontId="8" fillId="4" borderId="0" xfId="0" applyFont="1" applyFill="1" applyAlignment="1">
      <alignment horizontal="center" vertical="center" wrapText="1"/>
    </xf>
    <xf numFmtId="0" fontId="8" fillId="4" borderId="8" xfId="2" applyFont="1" applyFill="1" applyBorder="1" applyAlignment="1">
      <alignment horizontal="center" vertical="center"/>
    </xf>
    <xf numFmtId="0" fontId="9" fillId="5" borderId="0" xfId="0" applyFont="1" applyFill="1" applyAlignment="1">
      <alignment horizontal="center" vertical="center"/>
    </xf>
    <xf numFmtId="0" fontId="9" fillId="5" borderId="7" xfId="0" applyFont="1" applyFill="1" applyBorder="1" applyAlignment="1">
      <alignment horizontal="center" vertical="center"/>
    </xf>
    <xf numFmtId="0" fontId="9" fillId="5" borderId="0" xfId="0" applyFont="1" applyFill="1" applyAlignment="1">
      <alignment horizontal="left" vertical="center"/>
    </xf>
    <xf numFmtId="0" fontId="9" fillId="5" borderId="0" xfId="0" applyFont="1" applyFill="1" applyAlignment="1">
      <alignment horizontal="left" vertical="top" wrapText="1"/>
    </xf>
    <xf numFmtId="0" fontId="9" fillId="5" borderId="0" xfId="0" applyFont="1" applyFill="1" applyAlignment="1">
      <alignment horizontal="center" vertical="top"/>
    </xf>
    <xf numFmtId="0" fontId="9" fillId="5" borderId="0" xfId="0" applyFont="1" applyFill="1" applyAlignment="1">
      <alignment horizontal="center" vertical="top" wrapText="1"/>
    </xf>
    <xf numFmtId="0" fontId="9" fillId="5" borderId="8" xfId="0" applyFont="1" applyFill="1" applyBorder="1" applyAlignment="1">
      <alignment horizontal="center" vertical="top"/>
    </xf>
    <xf numFmtId="0" fontId="58" fillId="2" borderId="21" xfId="0" applyFont="1" applyFill="1" applyBorder="1" applyAlignment="1">
      <alignment horizontal="center" vertical="center"/>
    </xf>
    <xf numFmtId="0" fontId="58" fillId="2" borderId="62" xfId="0" applyFont="1" applyFill="1" applyBorder="1" applyAlignment="1">
      <alignment horizontal="left" vertical="top" wrapText="1"/>
    </xf>
    <xf numFmtId="0" fontId="58" fillId="2" borderId="62" xfId="0" applyFont="1" applyFill="1" applyBorder="1" applyAlignment="1">
      <alignment horizontal="center" vertical="top"/>
    </xf>
    <xf numFmtId="0" fontId="58" fillId="2" borderId="21" xfId="0" applyFont="1" applyFill="1" applyBorder="1" applyAlignment="1">
      <alignment horizontal="left" vertical="top" wrapText="1"/>
    </xf>
    <xf numFmtId="0" fontId="58" fillId="2" borderId="21" xfId="0" applyFont="1" applyFill="1" applyBorder="1" applyAlignment="1">
      <alignment horizontal="center" vertical="top"/>
    </xf>
    <xf numFmtId="0" fontId="58" fillId="2" borderId="63" xfId="0" applyFont="1" applyFill="1" applyBorder="1" applyAlignment="1">
      <alignment horizontal="center" vertical="center"/>
    </xf>
    <xf numFmtId="0" fontId="58" fillId="2" borderId="80" xfId="0" applyFont="1" applyFill="1" applyBorder="1" applyAlignment="1">
      <alignment horizontal="center" vertical="center"/>
    </xf>
    <xf numFmtId="0" fontId="58" fillId="2" borderId="4" xfId="0" applyFont="1" applyFill="1" applyBorder="1" applyAlignment="1">
      <alignment horizontal="left" vertical="top" wrapText="1"/>
    </xf>
    <xf numFmtId="0" fontId="58" fillId="2" borderId="64" xfId="0" applyFont="1" applyFill="1" applyBorder="1" applyAlignment="1">
      <alignment horizontal="center" vertical="top"/>
    </xf>
    <xf numFmtId="0" fontId="58" fillId="2" borderId="70" xfId="0" applyFont="1" applyFill="1" applyBorder="1" applyAlignment="1">
      <alignment horizontal="center" vertical="top"/>
    </xf>
    <xf numFmtId="0" fontId="58" fillId="2" borderId="70" xfId="0" applyFont="1" applyFill="1" applyBorder="1" applyAlignment="1">
      <alignment horizontal="left" vertical="top" wrapText="1"/>
    </xf>
    <xf numFmtId="0" fontId="58" fillId="2" borderId="82" xfId="0" applyFont="1" applyFill="1" applyBorder="1" applyAlignment="1">
      <alignment horizontal="center" vertical="top"/>
    </xf>
    <xf numFmtId="0" fontId="58" fillId="2" borderId="83" xfId="0" applyFont="1" applyFill="1" applyBorder="1" applyAlignment="1">
      <alignment horizontal="center" vertical="top"/>
    </xf>
    <xf numFmtId="0" fontId="9" fillId="6" borderId="7" xfId="0" applyFont="1" applyFill="1" applyBorder="1" applyAlignment="1">
      <alignment horizontal="center" vertical="center"/>
    </xf>
    <xf numFmtId="0" fontId="9" fillId="6" borderId="2" xfId="0" applyFont="1" applyFill="1" applyBorder="1" applyAlignment="1">
      <alignment horizontal="center" vertical="center"/>
    </xf>
    <xf numFmtId="0" fontId="9" fillId="6" borderId="2" xfId="0" applyFont="1" applyFill="1" applyBorder="1" applyAlignment="1">
      <alignment horizontal="left" vertical="center"/>
    </xf>
    <xf numFmtId="0" fontId="9" fillId="6" borderId="2" xfId="0" applyFont="1" applyFill="1" applyBorder="1" applyAlignment="1">
      <alignment horizontal="left" vertical="center" wrapText="1"/>
    </xf>
    <xf numFmtId="0" fontId="8" fillId="6" borderId="2" xfId="0" applyFont="1" applyFill="1" applyBorder="1" applyAlignment="1">
      <alignment horizontal="center" vertical="center"/>
    </xf>
    <xf numFmtId="0" fontId="8" fillId="6" borderId="2" xfId="2" applyFont="1" applyFill="1" applyBorder="1" applyAlignment="1">
      <alignment horizontal="center" vertical="center"/>
    </xf>
    <xf numFmtId="0" fontId="8" fillId="6" borderId="2" xfId="2" applyFont="1" applyFill="1" applyBorder="1" applyAlignment="1">
      <alignment horizontal="center" vertical="center" wrapText="1"/>
    </xf>
    <xf numFmtId="0" fontId="8" fillId="6" borderId="3" xfId="2" applyFont="1" applyFill="1" applyBorder="1" applyAlignment="1">
      <alignment horizontal="center" vertical="center"/>
    </xf>
    <xf numFmtId="0" fontId="58" fillId="2" borderId="62" xfId="0" applyFont="1" applyFill="1" applyBorder="1" applyAlignment="1">
      <alignment vertical="top" wrapText="1"/>
    </xf>
    <xf numFmtId="0" fontId="58" fillId="2" borderId="21" xfId="0" applyFont="1" applyFill="1" applyBorder="1" applyAlignment="1">
      <alignment vertical="top" wrapText="1"/>
    </xf>
    <xf numFmtId="0" fontId="9" fillId="7" borderId="0" xfId="0" applyFont="1" applyFill="1" applyAlignment="1">
      <alignment horizontal="center" vertical="center"/>
    </xf>
    <xf numFmtId="0" fontId="9" fillId="7" borderId="7" xfId="0" applyFont="1" applyFill="1" applyBorder="1" applyAlignment="1">
      <alignment horizontal="center" vertical="center"/>
    </xf>
    <xf numFmtId="0" fontId="9" fillId="7" borderId="2" xfId="0" applyFont="1" applyFill="1" applyBorder="1" applyAlignment="1">
      <alignment horizontal="center" vertical="center"/>
    </xf>
    <xf numFmtId="0" fontId="9" fillId="7" borderId="2" xfId="0" applyFont="1" applyFill="1" applyBorder="1" applyAlignment="1">
      <alignment horizontal="left" vertical="center"/>
    </xf>
    <xf numFmtId="0" fontId="9" fillId="7" borderId="2" xfId="0" applyFont="1" applyFill="1" applyBorder="1" applyAlignment="1">
      <alignment horizontal="left" vertical="center" wrapText="1"/>
    </xf>
    <xf numFmtId="0" fontId="8" fillId="7" borderId="2" xfId="0" applyFont="1" applyFill="1" applyBorder="1" applyAlignment="1">
      <alignment horizontal="center" vertical="center"/>
    </xf>
    <xf numFmtId="0" fontId="8" fillId="7" borderId="2" xfId="2" applyFont="1" applyFill="1" applyBorder="1" applyAlignment="1">
      <alignment horizontal="center" vertical="center"/>
    </xf>
    <xf numFmtId="0" fontId="8" fillId="7" borderId="2" xfId="2" applyFont="1" applyFill="1" applyBorder="1" applyAlignment="1">
      <alignment horizontal="center" vertical="center" wrapText="1"/>
    </xf>
    <xf numFmtId="0" fontId="8" fillId="7" borderId="3" xfId="2" applyFont="1" applyFill="1" applyBorder="1" applyAlignment="1">
      <alignment horizontal="center" vertical="center"/>
    </xf>
    <xf numFmtId="0" fontId="58" fillId="2" borderId="64" xfId="0" applyFont="1" applyFill="1" applyBorder="1" applyAlignment="1">
      <alignment horizontal="left" vertical="top" wrapText="1"/>
    </xf>
    <xf numFmtId="0" fontId="58" fillId="2" borderId="64" xfId="0" applyFont="1" applyFill="1" applyBorder="1" applyAlignment="1">
      <alignment vertical="top" wrapText="1"/>
    </xf>
    <xf numFmtId="0" fontId="9" fillId="8" borderId="0" xfId="0" applyFont="1" applyFill="1" applyAlignment="1">
      <alignment horizontal="center" vertical="center"/>
    </xf>
    <xf numFmtId="0" fontId="9" fillId="8" borderId="7" xfId="0" applyFont="1" applyFill="1" applyBorder="1" applyAlignment="1">
      <alignment horizontal="center" vertical="center"/>
    </xf>
    <xf numFmtId="0" fontId="9" fillId="8" borderId="2" xfId="0" applyFont="1" applyFill="1" applyBorder="1" applyAlignment="1">
      <alignment horizontal="center" vertical="center"/>
    </xf>
    <xf numFmtId="0" fontId="9" fillId="8" borderId="2" xfId="0" applyFont="1" applyFill="1" applyBorder="1" applyAlignment="1">
      <alignment horizontal="left" vertical="center"/>
    </xf>
    <xf numFmtId="0" fontId="9" fillId="8" borderId="2" xfId="0" applyFont="1" applyFill="1" applyBorder="1" applyAlignment="1">
      <alignment horizontal="left" vertical="center" wrapText="1"/>
    </xf>
    <xf numFmtId="0" fontId="8" fillId="8" borderId="2" xfId="0" applyFont="1" applyFill="1" applyBorder="1" applyAlignment="1">
      <alignment horizontal="center" vertical="center"/>
    </xf>
    <xf numFmtId="0" fontId="8" fillId="8" borderId="2" xfId="2" applyFont="1" applyFill="1" applyBorder="1" applyAlignment="1">
      <alignment horizontal="center" vertical="center"/>
    </xf>
    <xf numFmtId="0" fontId="8" fillId="8" borderId="2" xfId="2" applyFont="1" applyFill="1" applyBorder="1" applyAlignment="1">
      <alignment horizontal="center" vertical="center" wrapText="1"/>
    </xf>
    <xf numFmtId="0" fontId="8" fillId="8" borderId="3" xfId="2" applyFont="1" applyFill="1" applyBorder="1" applyAlignment="1">
      <alignment horizontal="center" vertical="center"/>
    </xf>
    <xf numFmtId="0" fontId="58" fillId="2" borderId="61" xfId="0" applyFont="1" applyFill="1" applyBorder="1" applyAlignment="1">
      <alignment horizontal="center" vertical="center"/>
    </xf>
    <xf numFmtId="0" fontId="58" fillId="2" borderId="65" xfId="0" applyFont="1" applyFill="1" applyBorder="1" applyAlignment="1">
      <alignment horizontal="center" vertical="center"/>
    </xf>
    <xf numFmtId="0" fontId="9" fillId="9" borderId="0" xfId="0" applyFont="1" applyFill="1" applyAlignment="1">
      <alignment horizontal="center" vertical="center"/>
    </xf>
    <xf numFmtId="0" fontId="9" fillId="9" borderId="7" xfId="0" applyFont="1" applyFill="1" applyBorder="1" applyAlignment="1">
      <alignment horizontal="center" vertical="center"/>
    </xf>
    <xf numFmtId="0" fontId="9" fillId="9" borderId="2" xfId="0" applyFont="1" applyFill="1" applyBorder="1" applyAlignment="1">
      <alignment horizontal="center" vertical="center"/>
    </xf>
    <xf numFmtId="0" fontId="9" fillId="9" borderId="2" xfId="0" applyFont="1" applyFill="1" applyBorder="1" applyAlignment="1">
      <alignment horizontal="left" vertical="center"/>
    </xf>
    <xf numFmtId="0" fontId="9" fillId="9" borderId="2" xfId="0" applyFont="1" applyFill="1" applyBorder="1" applyAlignment="1">
      <alignment horizontal="left" vertical="center" wrapText="1"/>
    </xf>
    <xf numFmtId="0" fontId="8" fillId="9" borderId="2" xfId="0" applyFont="1" applyFill="1" applyBorder="1" applyAlignment="1">
      <alignment horizontal="center" vertical="center"/>
    </xf>
    <xf numFmtId="0" fontId="8" fillId="9" borderId="2" xfId="2" applyFont="1" applyFill="1" applyBorder="1" applyAlignment="1">
      <alignment horizontal="center" vertical="center"/>
    </xf>
    <xf numFmtId="0" fontId="8" fillId="9" borderId="2" xfId="2" applyFont="1" applyFill="1" applyBorder="1" applyAlignment="1">
      <alignment horizontal="center" vertical="center" wrapText="1"/>
    </xf>
    <xf numFmtId="0" fontId="8" fillId="9" borderId="3" xfId="2" applyFont="1" applyFill="1" applyBorder="1" applyAlignment="1">
      <alignment horizontal="center" vertical="center"/>
    </xf>
    <xf numFmtId="0" fontId="9" fillId="10" borderId="0" xfId="0" applyFont="1" applyFill="1" applyAlignment="1">
      <alignment horizontal="center" vertical="center"/>
    </xf>
    <xf numFmtId="0" fontId="9" fillId="10" borderId="2" xfId="0" applyFont="1" applyFill="1" applyBorder="1" applyAlignment="1">
      <alignment horizontal="center" vertical="center"/>
    </xf>
    <xf numFmtId="0" fontId="9" fillId="10" borderId="2" xfId="0" applyFont="1" applyFill="1" applyBorder="1" applyAlignment="1">
      <alignment horizontal="left" vertical="center"/>
    </xf>
    <xf numFmtId="0" fontId="9" fillId="10" borderId="2" xfId="0" applyFont="1" applyFill="1" applyBorder="1" applyAlignment="1">
      <alignment horizontal="left" vertical="center" wrapText="1"/>
    </xf>
    <xf numFmtId="0" fontId="8" fillId="10" borderId="2" xfId="0" applyFont="1" applyFill="1" applyBorder="1" applyAlignment="1">
      <alignment horizontal="center" vertical="center"/>
    </xf>
    <xf numFmtId="0" fontId="8" fillId="10" borderId="2" xfId="2" applyFont="1" applyFill="1" applyBorder="1" applyAlignment="1">
      <alignment horizontal="center" vertical="center"/>
    </xf>
    <xf numFmtId="0" fontId="8" fillId="10" borderId="2" xfId="2" applyFont="1" applyFill="1" applyBorder="1" applyAlignment="1">
      <alignment horizontal="center" vertical="center" wrapText="1"/>
    </xf>
    <xf numFmtId="0" fontId="8" fillId="10" borderId="3" xfId="2" applyFont="1" applyFill="1" applyBorder="1" applyAlignment="1">
      <alignment horizontal="center" vertical="center"/>
    </xf>
    <xf numFmtId="0" fontId="9" fillId="5" borderId="6"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4" xfId="0" applyFont="1" applyFill="1" applyBorder="1" applyAlignment="1">
      <alignment horizontal="left" vertical="center"/>
    </xf>
    <xf numFmtId="0" fontId="9" fillId="5" borderId="4" xfId="0" applyFont="1" applyFill="1" applyBorder="1" applyAlignment="1">
      <alignment horizontal="left" vertical="top" wrapText="1"/>
    </xf>
    <xf numFmtId="0" fontId="9" fillId="5" borderId="4" xfId="0" applyFont="1" applyFill="1" applyBorder="1" applyAlignment="1">
      <alignment horizontal="center" vertical="top"/>
    </xf>
    <xf numFmtId="0" fontId="9" fillId="5" borderId="4" xfId="0" applyFont="1" applyFill="1" applyBorder="1" applyAlignment="1">
      <alignment horizontal="center" vertical="top" wrapText="1"/>
    </xf>
    <xf numFmtId="0" fontId="9" fillId="5" borderId="5" xfId="0" applyFont="1" applyFill="1" applyBorder="1" applyAlignment="1">
      <alignment horizontal="center" vertical="top"/>
    </xf>
    <xf numFmtId="0" fontId="58" fillId="2" borderId="77" xfId="0" applyFont="1" applyFill="1" applyBorder="1" applyAlignment="1">
      <alignment horizontal="center" vertical="top"/>
    </xf>
    <xf numFmtId="0" fontId="58" fillId="2" borderId="78" xfId="0" applyFont="1" applyFill="1" applyBorder="1" applyAlignment="1">
      <alignment horizontal="center" vertical="top"/>
    </xf>
    <xf numFmtId="0" fontId="58" fillId="2" borderId="24" xfId="0" applyFont="1" applyFill="1" applyBorder="1" applyAlignment="1">
      <alignment horizontal="left" vertical="top" wrapText="1"/>
    </xf>
    <xf numFmtId="0" fontId="58" fillId="2" borderId="24" xfId="0" applyFont="1" applyFill="1" applyBorder="1" applyAlignment="1">
      <alignment horizontal="center" vertical="top"/>
    </xf>
    <xf numFmtId="0" fontId="58" fillId="2" borderId="24" xfId="0" applyFont="1" applyFill="1" applyBorder="1" applyAlignment="1">
      <alignment vertical="top" wrapText="1"/>
    </xf>
    <xf numFmtId="0" fontId="58" fillId="2" borderId="86" xfId="0" applyFont="1" applyFill="1" applyBorder="1" applyAlignment="1">
      <alignment horizontal="center" vertical="top"/>
    </xf>
    <xf numFmtId="0" fontId="58" fillId="2" borderId="79" xfId="0" applyFont="1" applyFill="1" applyBorder="1" applyAlignment="1">
      <alignment horizontal="center" vertical="top"/>
    </xf>
    <xf numFmtId="0" fontId="9" fillId="11" borderId="0" xfId="0" applyFont="1" applyFill="1" applyAlignment="1">
      <alignment horizontal="center" vertical="center"/>
    </xf>
    <xf numFmtId="0" fontId="9" fillId="11" borderId="7" xfId="0" applyFont="1" applyFill="1" applyBorder="1" applyAlignment="1">
      <alignment horizontal="center" vertical="center"/>
    </xf>
    <xf numFmtId="0" fontId="9" fillId="11" borderId="2" xfId="0" applyFont="1" applyFill="1" applyBorder="1" applyAlignment="1">
      <alignment horizontal="center" vertical="center"/>
    </xf>
    <xf numFmtId="0" fontId="9" fillId="11" borderId="2" xfId="0" applyFont="1" applyFill="1" applyBorder="1" applyAlignment="1">
      <alignment horizontal="left" vertical="center"/>
    </xf>
    <xf numFmtId="0" fontId="9" fillId="11" borderId="2" xfId="0" applyFont="1" applyFill="1" applyBorder="1" applyAlignment="1">
      <alignment horizontal="left" vertical="center" wrapText="1"/>
    </xf>
    <xf numFmtId="0" fontId="8" fillId="11" borderId="2" xfId="0" applyFont="1" applyFill="1" applyBorder="1" applyAlignment="1">
      <alignment horizontal="center" vertical="center"/>
    </xf>
    <xf numFmtId="0" fontId="8" fillId="11" borderId="2" xfId="2" applyFont="1" applyFill="1" applyBorder="1" applyAlignment="1">
      <alignment horizontal="center" vertical="center"/>
    </xf>
    <xf numFmtId="0" fontId="8" fillId="11" borderId="2" xfId="2" applyFont="1" applyFill="1" applyBorder="1" applyAlignment="1">
      <alignment horizontal="center" vertical="center" wrapText="1"/>
    </xf>
    <xf numFmtId="0" fontId="8" fillId="11" borderId="3" xfId="2" applyFont="1" applyFill="1" applyBorder="1" applyAlignment="1">
      <alignment horizontal="center" vertical="center"/>
    </xf>
    <xf numFmtId="0" fontId="58" fillId="2" borderId="84" xfId="0" applyFont="1" applyFill="1" applyBorder="1" applyAlignment="1">
      <alignment horizontal="center" vertical="top"/>
    </xf>
    <xf numFmtId="0" fontId="58" fillId="2" borderId="85" xfId="0" applyFont="1" applyFill="1" applyBorder="1" applyAlignment="1">
      <alignment horizontal="center" vertical="top"/>
    </xf>
    <xf numFmtId="0" fontId="9" fillId="12" borderId="0" xfId="0" applyFont="1" applyFill="1" applyAlignment="1">
      <alignment horizontal="center" vertical="center"/>
    </xf>
    <xf numFmtId="0" fontId="9" fillId="12" borderId="7" xfId="0" applyFont="1" applyFill="1" applyBorder="1" applyAlignment="1">
      <alignment horizontal="center" vertical="center"/>
    </xf>
    <xf numFmtId="0" fontId="9" fillId="12" borderId="2" xfId="0" applyFont="1" applyFill="1" applyBorder="1" applyAlignment="1">
      <alignment horizontal="center" vertical="center"/>
    </xf>
    <xf numFmtId="0" fontId="8" fillId="12" borderId="2" xfId="0" applyFont="1" applyFill="1" applyBorder="1" applyAlignment="1">
      <alignment horizontal="left" vertical="center"/>
    </xf>
    <xf numFmtId="0" fontId="8" fillId="12" borderId="2" xfId="0" applyFont="1" applyFill="1" applyBorder="1" applyAlignment="1">
      <alignment horizontal="center" vertical="center" wrapText="1"/>
    </xf>
    <xf numFmtId="0" fontId="8" fillId="12" borderId="2" xfId="0" applyFont="1" applyFill="1" applyBorder="1" applyAlignment="1">
      <alignment horizontal="center" vertical="center"/>
    </xf>
    <xf numFmtId="0" fontId="8" fillId="12" borderId="2" xfId="2" applyFont="1" applyFill="1" applyBorder="1" applyAlignment="1">
      <alignment horizontal="center" vertical="center"/>
    </xf>
    <xf numFmtId="0" fontId="8" fillId="12" borderId="2" xfId="2" applyFont="1" applyFill="1" applyBorder="1" applyAlignment="1">
      <alignment horizontal="center" vertical="center" wrapText="1"/>
    </xf>
    <xf numFmtId="0" fontId="8" fillId="12" borderId="3" xfId="2" applyFont="1" applyFill="1" applyBorder="1" applyAlignment="1">
      <alignment horizontal="center" vertical="center"/>
    </xf>
    <xf numFmtId="0" fontId="58" fillId="2" borderId="53" xfId="0" applyFont="1" applyFill="1" applyBorder="1" applyAlignment="1">
      <alignment vertical="top" wrapText="1"/>
    </xf>
    <xf numFmtId="0" fontId="58" fillId="2" borderId="18" xfId="0" applyFont="1" applyFill="1" applyBorder="1" applyAlignment="1">
      <alignment vertical="top" wrapText="1"/>
    </xf>
    <xf numFmtId="0" fontId="58" fillId="2" borderId="57" xfId="0" applyFont="1" applyFill="1" applyBorder="1" applyAlignment="1">
      <alignment horizontal="center" vertical="center"/>
    </xf>
    <xf numFmtId="0" fontId="58" fillId="2" borderId="58" xfId="0" applyFont="1" applyFill="1" applyBorder="1" applyAlignment="1">
      <alignment vertical="top" wrapText="1"/>
    </xf>
    <xf numFmtId="0" fontId="9" fillId="13" borderId="0" xfId="0" applyFont="1" applyFill="1" applyAlignment="1">
      <alignment horizontal="center" vertical="center"/>
    </xf>
    <xf numFmtId="0" fontId="9" fillId="13" borderId="7" xfId="0" applyFont="1" applyFill="1" applyBorder="1" applyAlignment="1">
      <alignment horizontal="center" vertical="center"/>
    </xf>
    <xf numFmtId="0" fontId="9" fillId="13" borderId="2" xfId="0" applyFont="1" applyFill="1" applyBorder="1" applyAlignment="1">
      <alignment horizontal="center" vertical="center"/>
    </xf>
    <xf numFmtId="0" fontId="9" fillId="13" borderId="2" xfId="0" applyFont="1" applyFill="1" applyBorder="1" applyAlignment="1">
      <alignment horizontal="left" vertical="center"/>
    </xf>
    <xf numFmtId="0" fontId="9" fillId="13" borderId="2" xfId="0" applyFont="1" applyFill="1" applyBorder="1" applyAlignment="1">
      <alignment horizontal="left" vertical="center" wrapText="1"/>
    </xf>
    <xf numFmtId="0" fontId="8" fillId="13" borderId="2" xfId="0" applyFont="1" applyFill="1" applyBorder="1" applyAlignment="1">
      <alignment horizontal="center" vertical="center"/>
    </xf>
    <xf numFmtId="0" fontId="8" fillId="13" borderId="2" xfId="2" applyFont="1" applyFill="1" applyBorder="1" applyAlignment="1">
      <alignment horizontal="center" vertical="center"/>
    </xf>
    <xf numFmtId="0" fontId="8" fillId="13" borderId="2" xfId="2" applyFont="1" applyFill="1" applyBorder="1" applyAlignment="1">
      <alignment horizontal="center" vertical="center" wrapText="1"/>
    </xf>
    <xf numFmtId="0" fontId="8" fillId="13" borderId="3" xfId="2" applyFont="1" applyFill="1" applyBorder="1" applyAlignment="1">
      <alignment horizontal="center" vertical="center"/>
    </xf>
    <xf numFmtId="0" fontId="58" fillId="2" borderId="71" xfId="0" applyFont="1" applyFill="1" applyBorder="1" applyAlignment="1">
      <alignment horizontal="center" vertical="center"/>
    </xf>
    <xf numFmtId="0" fontId="9" fillId="14" borderId="0" xfId="0" applyFont="1" applyFill="1" applyAlignment="1">
      <alignment horizontal="center" vertical="center"/>
    </xf>
    <xf numFmtId="0" fontId="9" fillId="14" borderId="7" xfId="0" applyFont="1" applyFill="1" applyBorder="1" applyAlignment="1">
      <alignment horizontal="center" vertical="center"/>
    </xf>
    <xf numFmtId="0" fontId="9" fillId="14" borderId="2" xfId="0" applyFont="1" applyFill="1" applyBorder="1" applyAlignment="1">
      <alignment horizontal="center" vertical="center"/>
    </xf>
    <xf numFmtId="0" fontId="9" fillId="14" borderId="2" xfId="0" applyFont="1" applyFill="1" applyBorder="1" applyAlignment="1">
      <alignment horizontal="left" vertical="center"/>
    </xf>
    <xf numFmtId="0" fontId="9" fillId="14" borderId="2" xfId="0" applyFont="1" applyFill="1" applyBorder="1" applyAlignment="1">
      <alignment horizontal="left" vertical="center" wrapText="1"/>
    </xf>
    <xf numFmtId="0" fontId="8" fillId="14" borderId="2" xfId="0" applyFont="1" applyFill="1" applyBorder="1" applyAlignment="1">
      <alignment horizontal="center" vertical="center"/>
    </xf>
    <xf numFmtId="0" fontId="8" fillId="14" borderId="2" xfId="2" applyFont="1" applyFill="1" applyBorder="1" applyAlignment="1">
      <alignment horizontal="center" vertical="center"/>
    </xf>
    <xf numFmtId="0" fontId="8" fillId="14" borderId="2" xfId="2" applyFont="1" applyFill="1" applyBorder="1" applyAlignment="1">
      <alignment horizontal="center" vertical="center" wrapText="1"/>
    </xf>
    <xf numFmtId="0" fontId="8" fillId="14" borderId="3" xfId="2" applyFont="1" applyFill="1" applyBorder="1" applyAlignment="1">
      <alignment horizontal="center" vertical="center"/>
    </xf>
    <xf numFmtId="0" fontId="58" fillId="2" borderId="52" xfId="0" applyFont="1" applyFill="1" applyBorder="1" applyAlignment="1">
      <alignment horizontal="center" vertical="center"/>
    </xf>
    <xf numFmtId="0" fontId="58" fillId="2" borderId="76" xfId="0" applyFont="1" applyFill="1" applyBorder="1" applyAlignment="1">
      <alignment horizontal="center" vertical="top"/>
    </xf>
    <xf numFmtId="0" fontId="58" fillId="2" borderId="73" xfId="0" applyFont="1" applyFill="1" applyBorder="1" applyAlignment="1">
      <alignment horizontal="center" vertical="center"/>
    </xf>
    <xf numFmtId="0" fontId="58" fillId="2" borderId="43" xfId="0" applyFont="1" applyFill="1" applyBorder="1" applyAlignment="1">
      <alignment horizontal="left" vertical="top" wrapText="1"/>
    </xf>
    <xf numFmtId="0" fontId="9" fillId="15" borderId="0" xfId="0" applyFont="1" applyFill="1" applyAlignment="1">
      <alignment horizontal="center" vertical="center"/>
    </xf>
    <xf numFmtId="0" fontId="9" fillId="5" borderId="4" xfId="0" applyFont="1" applyFill="1" applyBorder="1" applyAlignment="1">
      <alignment horizontal="left" vertical="center" wrapText="1"/>
    </xf>
    <xf numFmtId="0" fontId="9" fillId="5" borderId="4" xfId="0" applyFont="1" applyFill="1" applyBorder="1" applyAlignment="1">
      <alignment horizontal="center" vertical="center" wrapText="1"/>
    </xf>
    <xf numFmtId="0" fontId="9" fillId="5" borderId="5" xfId="0" applyFont="1" applyFill="1" applyBorder="1" applyAlignment="1">
      <alignment horizontal="center" vertical="center"/>
    </xf>
    <xf numFmtId="0" fontId="36" fillId="2" borderId="0" xfId="0" applyFont="1" applyFill="1" applyAlignment="1">
      <alignment horizontal="center" vertical="center"/>
    </xf>
    <xf numFmtId="0" fontId="3" fillId="2" borderId="0" xfId="0" applyFont="1" applyFill="1" applyAlignment="1">
      <alignment horizontal="left" vertical="center"/>
    </xf>
    <xf numFmtId="0" fontId="62" fillId="2" borderId="0" xfId="0" applyFont="1" applyFill="1" applyAlignment="1">
      <alignment horizontal="center" vertical="center"/>
    </xf>
    <xf numFmtId="0" fontId="3" fillId="2" borderId="0" xfId="0" applyFont="1" applyFill="1" applyAlignment="1">
      <alignment horizontal="left" vertical="center" wrapText="1"/>
    </xf>
    <xf numFmtId="0" fontId="64" fillId="2" borderId="0" xfId="4" applyFont="1" applyAlignment="1">
      <alignment horizontal="left"/>
    </xf>
    <xf numFmtId="0" fontId="47" fillId="26" borderId="123" xfId="4" applyFont="1" applyFill="1" applyBorder="1"/>
    <xf numFmtId="0" fontId="47" fillId="26" borderId="142" xfId="4" applyFont="1" applyFill="1" applyBorder="1"/>
    <xf numFmtId="0" fontId="65" fillId="2" borderId="107" xfId="4" applyFont="1" applyBorder="1" applyAlignment="1">
      <alignment horizontal="center" vertical="center"/>
    </xf>
    <xf numFmtId="0" fontId="65" fillId="2" borderId="97" xfId="4" applyFont="1" applyBorder="1" applyAlignment="1">
      <alignment horizontal="center" vertical="center" wrapText="1"/>
    </xf>
    <xf numFmtId="2" fontId="65" fillId="2" borderId="97" xfId="4" applyNumberFormat="1" applyFont="1" applyBorder="1" applyAlignment="1">
      <alignment horizontal="center" vertical="center"/>
    </xf>
    <xf numFmtId="0" fontId="65" fillId="2" borderId="130" xfId="4" applyFont="1" applyBorder="1" applyAlignment="1">
      <alignment horizontal="center" vertical="center"/>
    </xf>
    <xf numFmtId="0" fontId="65" fillId="2" borderId="114" xfId="4" applyFont="1" applyBorder="1" applyAlignment="1">
      <alignment horizontal="center" vertical="center" wrapText="1"/>
    </xf>
    <xf numFmtId="0" fontId="66" fillId="2" borderId="114" xfId="4" applyFont="1" applyBorder="1" applyAlignment="1">
      <alignment horizontal="center" vertical="center" wrapText="1"/>
    </xf>
    <xf numFmtId="2" fontId="66" fillId="2" borderId="114" xfId="4" applyNumberFormat="1" applyFont="1" applyBorder="1" applyAlignment="1">
      <alignment horizontal="center" vertical="center"/>
    </xf>
    <xf numFmtId="0" fontId="43" fillId="26" borderId="120" xfId="4" applyFont="1" applyFill="1" applyBorder="1" applyAlignment="1">
      <alignment horizontal="center" vertical="center" wrapText="1"/>
    </xf>
    <xf numFmtId="0" fontId="43" fillId="25" borderId="95" xfId="4" applyFont="1" applyFill="1" applyBorder="1" applyAlignment="1">
      <alignment horizontal="center" vertical="center" wrapText="1"/>
    </xf>
    <xf numFmtId="0" fontId="67" fillId="2" borderId="0" xfId="4" applyFont="1"/>
    <xf numFmtId="0" fontId="47" fillId="2" borderId="0" xfId="4" applyFont="1" applyAlignment="1">
      <alignment horizontal="center" vertical="center" wrapText="1"/>
    </xf>
    <xf numFmtId="0" fontId="43" fillId="2" borderId="132" xfId="4" applyFont="1" applyBorder="1" applyAlignment="1">
      <alignment vertical="center"/>
    </xf>
    <xf numFmtId="0" fontId="43" fillId="2" borderId="133" xfId="4" applyFont="1" applyBorder="1" applyAlignment="1">
      <alignment vertical="center"/>
    </xf>
    <xf numFmtId="0" fontId="43" fillId="2" borderId="134" xfId="4" applyFont="1" applyBorder="1" applyAlignment="1">
      <alignment vertical="center"/>
    </xf>
    <xf numFmtId="0" fontId="43" fillId="2" borderId="134" xfId="4" applyFont="1" applyBorder="1" applyAlignment="1">
      <alignment horizontal="right" vertical="center"/>
    </xf>
    <xf numFmtId="0" fontId="43" fillId="2" borderId="135" xfId="4" applyFont="1" applyBorder="1" applyAlignment="1">
      <alignment vertical="center"/>
    </xf>
    <xf numFmtId="0" fontId="43" fillId="2" borderId="136" xfId="4" applyFont="1" applyBorder="1" applyAlignment="1">
      <alignment vertical="center"/>
    </xf>
    <xf numFmtId="0" fontId="43" fillId="2" borderId="137" xfId="4" applyFont="1" applyBorder="1" applyAlignment="1">
      <alignment vertical="center"/>
    </xf>
    <xf numFmtId="0" fontId="43" fillId="2" borderId="138" xfId="4" applyFont="1" applyBorder="1" applyAlignment="1">
      <alignment vertical="center"/>
    </xf>
    <xf numFmtId="0" fontId="47" fillId="2" borderId="139" xfId="4" applyFont="1" applyBorder="1" applyAlignment="1">
      <alignment vertical="center" wrapText="1"/>
    </xf>
    <xf numFmtId="0" fontId="47" fillId="2" borderId="0" xfId="4" applyFont="1" applyAlignment="1">
      <alignment vertical="center" wrapText="1"/>
    </xf>
    <xf numFmtId="0" fontId="47" fillId="2" borderId="0" xfId="4" applyFont="1" applyAlignment="1">
      <alignment horizontal="right" vertical="center" wrapText="1"/>
    </xf>
    <xf numFmtId="0" fontId="47" fillId="2" borderId="0" xfId="4" applyFont="1" applyAlignment="1">
      <alignment horizontal="center"/>
    </xf>
    <xf numFmtId="0" fontId="70" fillId="2" borderId="0" xfId="4" applyFont="1"/>
    <xf numFmtId="0" fontId="47" fillId="2" borderId="0" xfId="4" applyFont="1" applyAlignment="1">
      <alignment wrapText="1"/>
    </xf>
    <xf numFmtId="0" fontId="43" fillId="25" borderId="120" xfId="4" applyFont="1" applyFill="1" applyBorder="1" applyAlignment="1">
      <alignment horizontal="left" vertical="center"/>
    </xf>
    <xf numFmtId="0" fontId="43" fillId="25" borderId="116" xfId="4" applyFont="1" applyFill="1" applyBorder="1" applyAlignment="1">
      <alignment horizontal="left" vertical="center"/>
    </xf>
    <xf numFmtId="0" fontId="43" fillId="25" borderId="116" xfId="4" applyFont="1" applyFill="1" applyBorder="1" applyAlignment="1">
      <alignment horizontal="center" vertical="center" wrapText="1"/>
    </xf>
    <xf numFmtId="0" fontId="43" fillId="25" borderId="95" xfId="4" applyFont="1" applyFill="1" applyBorder="1" applyAlignment="1">
      <alignment horizontal="center" vertical="center"/>
    </xf>
    <xf numFmtId="0" fontId="43" fillId="25" borderId="93" xfId="4" applyFont="1" applyFill="1" applyBorder="1" applyAlignment="1">
      <alignment horizontal="left" vertical="center" wrapText="1"/>
    </xf>
    <xf numFmtId="0" fontId="43" fillId="25" borderId="97" xfId="4" applyFont="1" applyFill="1" applyBorder="1" applyAlignment="1">
      <alignment horizontal="left" vertical="center" wrapText="1"/>
    </xf>
    <xf numFmtId="0" fontId="43" fillId="25" borderId="97" xfId="4" applyFont="1" applyFill="1" applyBorder="1" applyAlignment="1">
      <alignment horizontal="center" vertical="center" wrapText="1"/>
    </xf>
    <xf numFmtId="165" fontId="43" fillId="25" borderId="100" xfId="4" applyNumberFormat="1" applyFont="1" applyFill="1" applyBorder="1" applyAlignment="1">
      <alignment horizontal="center" vertical="center"/>
    </xf>
    <xf numFmtId="165" fontId="43" fillId="25" borderId="97" xfId="4" applyNumberFormat="1" applyFont="1" applyFill="1" applyBorder="1" applyAlignment="1">
      <alignment horizontal="center" vertical="center" wrapText="1"/>
    </xf>
    <xf numFmtId="167" fontId="43" fillId="25" borderId="97" xfId="4" applyNumberFormat="1" applyFont="1" applyFill="1" applyBorder="1" applyAlignment="1">
      <alignment horizontal="center" vertical="center" wrapText="1"/>
    </xf>
    <xf numFmtId="0" fontId="74" fillId="25" borderId="116" xfId="4" applyFont="1" applyFill="1" applyBorder="1" applyAlignment="1">
      <alignment horizontal="center" vertical="center" wrapText="1"/>
    </xf>
    <xf numFmtId="0" fontId="74" fillId="25" borderId="97" xfId="4" applyFont="1" applyFill="1" applyBorder="1" applyAlignment="1">
      <alignment horizontal="center" vertical="center" wrapText="1"/>
    </xf>
    <xf numFmtId="0" fontId="43" fillId="25" borderId="124" xfId="4" applyFont="1" applyFill="1" applyBorder="1" applyAlignment="1">
      <alignment horizontal="center" vertical="center"/>
    </xf>
    <xf numFmtId="165" fontId="43" fillId="25" borderId="109" xfId="4" applyNumberFormat="1" applyFont="1" applyFill="1" applyBorder="1" applyAlignment="1">
      <alignment horizontal="center" vertical="center"/>
    </xf>
    <xf numFmtId="2" fontId="73" fillId="26" borderId="97" xfId="4" applyNumberFormat="1" applyFont="1" applyFill="1" applyBorder="1" applyAlignment="1">
      <alignment horizontal="center" vertical="center"/>
    </xf>
    <xf numFmtId="2" fontId="73" fillId="26" borderId="114" xfId="4" applyNumberFormat="1" applyFont="1" applyFill="1" applyBorder="1" applyAlignment="1">
      <alignment horizontal="center" vertical="center"/>
    </xf>
    <xf numFmtId="0" fontId="43" fillId="26" borderId="120" xfId="6" applyFont="1" applyFill="1" applyBorder="1" applyAlignment="1">
      <alignment horizontal="center" vertical="center" wrapText="1"/>
    </xf>
    <xf numFmtId="0" fontId="47" fillId="26" borderId="97" xfId="6" applyFont="1" applyFill="1" applyBorder="1" applyAlignment="1">
      <alignment horizontal="center" vertical="center"/>
    </xf>
    <xf numFmtId="0" fontId="47" fillId="26" borderId="114" xfId="6" applyFont="1" applyFill="1" applyBorder="1" applyAlignment="1">
      <alignment horizontal="center" vertical="center"/>
    </xf>
    <xf numFmtId="2" fontId="43" fillId="26" borderId="116" xfId="6" applyNumberFormat="1" applyFont="1" applyFill="1" applyBorder="1" applyAlignment="1">
      <alignment horizontal="center" vertical="center" wrapText="1"/>
    </xf>
    <xf numFmtId="0" fontId="70" fillId="2" borderId="0" xfId="4" applyFont="1" applyAlignment="1">
      <alignment horizontal="left" vertical="center"/>
    </xf>
    <xf numFmtId="0" fontId="43" fillId="26" borderId="124" xfId="4" applyFont="1" applyFill="1" applyBorder="1" applyAlignment="1">
      <alignment horizontal="center" vertical="center" wrapText="1"/>
    </xf>
    <xf numFmtId="0" fontId="43" fillId="28" borderId="97" xfId="4" applyFont="1" applyFill="1" applyBorder="1" applyAlignment="1">
      <alignment horizontal="center" vertical="center" wrapText="1"/>
    </xf>
    <xf numFmtId="2" fontId="50" fillId="2" borderId="0" xfId="4" applyNumberFormat="1" applyFont="1" applyAlignment="1">
      <alignment vertical="center"/>
    </xf>
    <xf numFmtId="0" fontId="43" fillId="26" borderId="109" xfId="4" applyFont="1" applyFill="1" applyBorder="1" applyAlignment="1">
      <alignment horizontal="center" vertical="center" wrapText="1"/>
    </xf>
    <xf numFmtId="0" fontId="47" fillId="2" borderId="0" xfId="4" applyFont="1" applyAlignment="1">
      <alignment horizontal="left"/>
    </xf>
    <xf numFmtId="0" fontId="43" fillId="26" borderId="93" xfId="4" applyFont="1" applyFill="1" applyBorder="1" applyAlignment="1">
      <alignment horizontal="center" vertical="center" wrapText="1"/>
    </xf>
    <xf numFmtId="0" fontId="49" fillId="2" borderId="0" xfId="4" applyFont="1" applyAlignment="1">
      <alignment horizontal="left" vertical="center" wrapText="1"/>
    </xf>
    <xf numFmtId="2" fontId="74" fillId="26" borderId="97" xfId="4" applyNumberFormat="1" applyFont="1" applyFill="1" applyBorder="1" applyAlignment="1">
      <alignment horizontal="center" vertical="center"/>
    </xf>
    <xf numFmtId="0" fontId="49" fillId="2" borderId="0" xfId="4" applyFont="1" applyAlignment="1">
      <alignment horizontal="left"/>
    </xf>
    <xf numFmtId="2" fontId="74" fillId="26" borderId="114" xfId="4" applyNumberFormat="1" applyFont="1" applyFill="1" applyBorder="1" applyAlignment="1">
      <alignment horizontal="center" vertical="center"/>
    </xf>
    <xf numFmtId="0" fontId="73" fillId="2" borderId="97" xfId="4" applyFont="1" applyBorder="1" applyAlignment="1">
      <alignment horizontal="center" vertical="center"/>
    </xf>
    <xf numFmtId="0" fontId="43" fillId="2" borderId="97" xfId="4" applyFont="1" applyBorder="1" applyAlignment="1">
      <alignment horizontal="center" vertical="center"/>
    </xf>
    <xf numFmtId="0" fontId="49" fillId="2" borderId="0" xfId="4" applyFont="1" applyAlignment="1">
      <alignment horizontal="left" vertical="center"/>
    </xf>
    <xf numFmtId="0" fontId="43" fillId="26" borderId="112" xfId="4" applyFont="1" applyFill="1" applyBorder="1" applyAlignment="1">
      <alignment horizontal="center" vertical="center" wrapText="1"/>
    </xf>
    <xf numFmtId="0" fontId="43" fillId="26" borderId="123" xfId="4" applyFont="1" applyFill="1" applyBorder="1" applyAlignment="1">
      <alignment horizontal="center" vertical="center" wrapText="1"/>
    </xf>
    <xf numFmtId="0" fontId="15" fillId="3" borderId="38" xfId="0" applyFont="1" applyFill="1" applyBorder="1" applyAlignment="1">
      <alignment horizontal="center" vertical="center" wrapText="1"/>
    </xf>
    <xf numFmtId="0" fontId="17" fillId="0" borderId="0" xfId="0" applyFont="1" applyAlignment="1">
      <alignment vertical="center" textRotation="90" wrapText="1"/>
    </xf>
    <xf numFmtId="0" fontId="72" fillId="30" borderId="91" xfId="4" applyFont="1" applyFill="1" applyBorder="1" applyAlignment="1">
      <alignment horizontal="left" vertical="center"/>
    </xf>
    <xf numFmtId="0" fontId="72" fillId="30" borderId="121" xfId="4" applyFont="1" applyFill="1" applyBorder="1" applyAlignment="1">
      <alignment horizontal="left" vertical="center"/>
    </xf>
    <xf numFmtId="0" fontId="43" fillId="31" borderId="126" xfId="4" applyFont="1" applyFill="1" applyBorder="1" applyAlignment="1">
      <alignment horizontal="left" vertical="center"/>
    </xf>
    <xf numFmtId="0" fontId="43" fillId="31" borderId="91" xfId="4" applyFont="1" applyFill="1" applyBorder="1" applyAlignment="1">
      <alignment horizontal="left" vertical="center"/>
    </xf>
    <xf numFmtId="0" fontId="43" fillId="31" borderId="121" xfId="4" applyFont="1" applyFill="1" applyBorder="1" applyAlignment="1">
      <alignment horizontal="left" vertical="center"/>
    </xf>
    <xf numFmtId="0" fontId="43" fillId="31" borderId="88" xfId="4" applyFont="1" applyFill="1" applyBorder="1" applyAlignment="1">
      <alignment horizontal="left" vertical="center"/>
    </xf>
    <xf numFmtId="0" fontId="43" fillId="32" borderId="126" xfId="4" applyFont="1" applyFill="1" applyBorder="1" applyAlignment="1">
      <alignment horizontal="left" vertical="center"/>
    </xf>
    <xf numFmtId="0" fontId="43" fillId="32" borderId="91" xfId="4" applyFont="1" applyFill="1" applyBorder="1" applyAlignment="1">
      <alignment horizontal="left" vertical="center"/>
    </xf>
    <xf numFmtId="0" fontId="42" fillId="32" borderId="91" xfId="4" applyFont="1" applyFill="1" applyBorder="1" applyAlignment="1">
      <alignment horizontal="left" vertical="center"/>
    </xf>
    <xf numFmtId="0" fontId="43" fillId="32" borderId="121" xfId="4" applyFont="1" applyFill="1" applyBorder="1" applyAlignment="1">
      <alignment horizontal="left" vertical="center"/>
    </xf>
    <xf numFmtId="0" fontId="47" fillId="25" borderId="142" xfId="4" applyFont="1" applyFill="1" applyBorder="1" applyAlignment="1">
      <alignment vertical="center"/>
    </xf>
    <xf numFmtId="1" fontId="73" fillId="26" borderId="97" xfId="4" applyNumberFormat="1" applyFont="1" applyFill="1" applyBorder="1" applyAlignment="1">
      <alignment horizontal="center" vertical="center"/>
    </xf>
    <xf numFmtId="1" fontId="73" fillId="26" borderId="114" xfId="4" applyNumberFormat="1" applyFont="1" applyFill="1" applyBorder="1" applyAlignment="1">
      <alignment horizontal="center" vertical="center"/>
    </xf>
    <xf numFmtId="0" fontId="10" fillId="2" borderId="0" xfId="0" applyFont="1" applyFill="1" applyAlignment="1">
      <alignment horizontal="left" vertical="center"/>
    </xf>
    <xf numFmtId="0" fontId="2" fillId="0" borderId="7" xfId="0" applyFont="1" applyBorder="1" applyAlignment="1">
      <alignment horizontal="center"/>
    </xf>
    <xf numFmtId="0" fontId="2" fillId="0" borderId="0" xfId="0" applyFont="1" applyAlignment="1">
      <alignment horizontal="center"/>
    </xf>
    <xf numFmtId="0" fontId="52" fillId="0" borderId="7" xfId="0" applyFont="1" applyBorder="1" applyAlignment="1">
      <alignment horizontal="left" vertical="center"/>
    </xf>
    <xf numFmtId="0" fontId="52" fillId="0" borderId="0" xfId="0" applyFont="1" applyAlignment="1">
      <alignment horizontal="left" vertical="center"/>
    </xf>
    <xf numFmtId="0" fontId="47" fillId="2" borderId="0" xfId="4" applyFont="1" applyAlignment="1">
      <alignment horizontal="left" vertical="center"/>
    </xf>
    <xf numFmtId="0" fontId="47" fillId="2" borderId="87" xfId="4" applyFont="1" applyBorder="1" applyAlignment="1">
      <alignment horizontal="left"/>
    </xf>
    <xf numFmtId="0" fontId="47" fillId="2" borderId="26" xfId="4" applyFont="1" applyBorder="1" applyAlignment="1">
      <alignment horizontal="left"/>
    </xf>
    <xf numFmtId="0" fontId="48" fillId="2" borderId="0" xfId="4" applyFont="1" applyAlignment="1">
      <alignment horizontal="left"/>
    </xf>
    <xf numFmtId="0" fontId="47" fillId="2" borderId="15" xfId="4" applyFont="1" applyBorder="1" applyAlignment="1">
      <alignment horizontal="left"/>
    </xf>
    <xf numFmtId="0" fontId="47" fillId="2" borderId="27" xfId="4" applyFont="1" applyBorder="1" applyAlignment="1">
      <alignment horizontal="left"/>
    </xf>
    <xf numFmtId="0" fontId="47" fillId="2" borderId="15" xfId="4" applyFont="1" applyBorder="1"/>
    <xf numFmtId="0" fontId="47" fillId="2" borderId="27" xfId="4" applyFont="1" applyBorder="1"/>
    <xf numFmtId="0" fontId="43" fillId="29" borderId="91" xfId="4" applyFont="1" applyFill="1" applyBorder="1" applyAlignment="1">
      <alignment horizontal="center" vertical="center"/>
    </xf>
    <xf numFmtId="0" fontId="47" fillId="26" borderId="120" xfId="4" applyFont="1" applyFill="1" applyBorder="1" applyAlignment="1">
      <alignment horizontal="center" vertical="center"/>
    </xf>
    <xf numFmtId="0" fontId="43" fillId="26" borderId="96" xfId="4" applyFont="1" applyFill="1" applyBorder="1" applyAlignment="1">
      <alignment horizontal="left" vertical="center"/>
    </xf>
    <xf numFmtId="0" fontId="47" fillId="26" borderId="98" xfId="4" applyFont="1" applyFill="1" applyBorder="1"/>
    <xf numFmtId="0" fontId="47" fillId="26" borderId="99" xfId="4" applyFont="1" applyFill="1" applyBorder="1"/>
    <xf numFmtId="0" fontId="43" fillId="26" borderId="94" xfId="4" applyFont="1" applyFill="1" applyBorder="1" applyAlignment="1">
      <alignment horizontal="left" vertical="center" wrapText="1"/>
    </xf>
    <xf numFmtId="1" fontId="43" fillId="26" borderId="97" xfId="4" applyNumberFormat="1" applyFont="1" applyFill="1" applyBorder="1" applyAlignment="1">
      <alignment horizontal="center" vertical="center"/>
    </xf>
    <xf numFmtId="0" fontId="43" fillId="26" borderId="97" xfId="4" applyFont="1" applyFill="1" applyBorder="1" applyAlignment="1">
      <alignment horizontal="center" vertical="center"/>
    </xf>
    <xf numFmtId="0" fontId="47" fillId="26" borderId="0" xfId="4" applyFont="1" applyFill="1"/>
    <xf numFmtId="0" fontId="47" fillId="26" borderId="101" xfId="4" applyFont="1" applyFill="1" applyBorder="1"/>
    <xf numFmtId="0" fontId="47" fillId="26" borderId="105" xfId="4" applyFont="1" applyFill="1" applyBorder="1"/>
    <xf numFmtId="0" fontId="47" fillId="26" borderId="106" xfId="4" applyFont="1" applyFill="1" applyBorder="1"/>
    <xf numFmtId="0" fontId="43" fillId="26" borderId="109" xfId="4" applyFont="1" applyFill="1" applyBorder="1" applyAlignment="1">
      <alignment horizontal="center" vertical="center"/>
    </xf>
    <xf numFmtId="0" fontId="47" fillId="2" borderId="9" xfId="4" applyFont="1" applyBorder="1"/>
    <xf numFmtId="0" fontId="47" fillId="25" borderId="110" xfId="4" applyFont="1" applyFill="1" applyBorder="1" applyAlignment="1">
      <alignment horizontal="center" vertical="center"/>
    </xf>
    <xf numFmtId="2" fontId="47" fillId="25" borderId="97" xfId="4" applyNumberFormat="1" applyFont="1" applyFill="1" applyBorder="1" applyAlignment="1">
      <alignment horizontal="center" vertical="center"/>
    </xf>
    <xf numFmtId="0" fontId="50" fillId="2" borderId="0" xfId="4" applyFont="1"/>
    <xf numFmtId="0" fontId="47" fillId="26" borderId="93" xfId="4" applyFont="1" applyFill="1" applyBorder="1" applyAlignment="1">
      <alignment horizontal="center" vertical="center"/>
    </xf>
    <xf numFmtId="165" fontId="43" fillId="26" borderId="97" xfId="4" applyNumberFormat="1" applyFont="1" applyFill="1" applyBorder="1" applyAlignment="1">
      <alignment horizontal="center" vertical="center"/>
    </xf>
    <xf numFmtId="165" fontId="43" fillId="26" borderId="109" xfId="4" applyNumberFormat="1" applyFont="1" applyFill="1" applyBorder="1" applyAlignment="1">
      <alignment horizontal="center" vertical="center"/>
    </xf>
    <xf numFmtId="1" fontId="47" fillId="25" borderId="97" xfId="4" applyNumberFormat="1" applyFont="1" applyFill="1" applyBorder="1" applyAlignment="1">
      <alignment horizontal="center" vertical="center"/>
    </xf>
    <xf numFmtId="1" fontId="47" fillId="25" borderId="102" xfId="4" applyNumberFormat="1" applyFont="1" applyFill="1" applyBorder="1" applyAlignment="1">
      <alignment horizontal="center" vertical="center"/>
    </xf>
    <xf numFmtId="0" fontId="47" fillId="25" borderId="113" xfId="4" applyFont="1" applyFill="1" applyBorder="1" applyAlignment="1">
      <alignment horizontal="center" vertical="center"/>
    </xf>
    <xf numFmtId="2" fontId="47" fillId="25" borderId="114" xfId="4" applyNumberFormat="1" applyFont="1" applyFill="1" applyBorder="1" applyAlignment="1">
      <alignment horizontal="center" vertical="center"/>
    </xf>
    <xf numFmtId="1" fontId="43" fillId="25" borderId="103" xfId="4" applyNumberFormat="1" applyFont="1" applyFill="1" applyBorder="1" applyAlignment="1">
      <alignment horizontal="center" vertical="center"/>
    </xf>
    <xf numFmtId="1" fontId="43" fillId="25" borderId="115" xfId="4" applyNumberFormat="1" applyFont="1" applyFill="1" applyBorder="1" applyAlignment="1">
      <alignment horizontal="center" vertical="center"/>
    </xf>
    <xf numFmtId="0" fontId="47" fillId="2" borderId="9" xfId="4" applyFont="1" applyBorder="1" applyAlignment="1">
      <alignment horizontal="center" vertical="center"/>
    </xf>
    <xf numFmtId="0" fontId="71" fillId="2" borderId="0" xfId="4" applyFont="1"/>
    <xf numFmtId="0" fontId="71" fillId="26" borderId="117" xfId="4" applyFont="1" applyFill="1" applyBorder="1"/>
    <xf numFmtId="0" fontId="71" fillId="26" borderId="98" xfId="4" applyFont="1" applyFill="1" applyBorder="1"/>
    <xf numFmtId="0" fontId="71" fillId="26" borderId="99" xfId="4" applyFont="1" applyFill="1" applyBorder="1"/>
    <xf numFmtId="0" fontId="47" fillId="2" borderId="12" xfId="4" applyFont="1" applyBorder="1" applyAlignment="1">
      <alignment horizontal="center" vertical="center" wrapText="1"/>
    </xf>
    <xf numFmtId="1" fontId="43" fillId="26" borderId="97" xfId="4" quotePrefix="1" applyNumberFormat="1" applyFont="1" applyFill="1" applyBorder="1" applyAlignment="1">
      <alignment horizontal="center" vertical="center"/>
    </xf>
    <xf numFmtId="0" fontId="71" fillId="26" borderId="118" xfId="4" applyFont="1" applyFill="1" applyBorder="1"/>
    <xf numFmtId="0" fontId="71" fillId="26" borderId="0" xfId="4" applyFont="1" applyFill="1"/>
    <xf numFmtId="0" fontId="71" fillId="26" borderId="101" xfId="4" applyFont="1" applyFill="1" applyBorder="1"/>
    <xf numFmtId="1" fontId="47" fillId="25" borderId="114" xfId="4" applyNumberFormat="1" applyFont="1" applyFill="1" applyBorder="1" applyAlignment="1">
      <alignment horizontal="center" vertical="center"/>
    </xf>
    <xf numFmtId="0" fontId="71" fillId="26" borderId="119" xfId="4" applyFont="1" applyFill="1" applyBorder="1"/>
    <xf numFmtId="0" fontId="71" fillId="26" borderId="105" xfId="4" applyFont="1" applyFill="1" applyBorder="1"/>
    <xf numFmtId="0" fontId="71" fillId="26" borderId="106" xfId="4" applyFont="1" applyFill="1" applyBorder="1"/>
    <xf numFmtId="0" fontId="71" fillId="26" borderId="98" xfId="4" applyFont="1" applyFill="1" applyBorder="1" applyAlignment="1">
      <alignment horizontal="center"/>
    </xf>
    <xf numFmtId="0" fontId="71" fillId="26" borderId="99" xfId="4" applyFont="1" applyFill="1" applyBorder="1" applyAlignment="1">
      <alignment horizontal="center"/>
    </xf>
    <xf numFmtId="0" fontId="71" fillId="26" borderId="0" xfId="4" applyFont="1" applyFill="1" applyAlignment="1">
      <alignment horizontal="center"/>
    </xf>
    <xf numFmtId="0" fontId="71" fillId="26" borderId="101" xfId="4" applyFont="1" applyFill="1" applyBorder="1" applyAlignment="1">
      <alignment horizontal="center"/>
    </xf>
    <xf numFmtId="0" fontId="47" fillId="26" borderId="113" xfId="4" applyFont="1" applyFill="1" applyBorder="1" applyAlignment="1">
      <alignment horizontal="center" vertical="center"/>
    </xf>
    <xf numFmtId="0" fontId="71" fillId="26" borderId="105" xfId="4" applyFont="1" applyFill="1" applyBorder="1" applyAlignment="1">
      <alignment horizontal="center"/>
    </xf>
    <xf numFmtId="0" fontId="71" fillId="26" borderId="106" xfId="4" applyFont="1" applyFill="1" applyBorder="1" applyAlignment="1">
      <alignment horizontal="center"/>
    </xf>
    <xf numFmtId="0" fontId="43" fillId="29" borderId="121" xfId="4" applyFont="1" applyFill="1" applyBorder="1" applyAlignment="1">
      <alignment horizontal="center" vertical="center"/>
    </xf>
    <xf numFmtId="0" fontId="47" fillId="2" borderId="98" xfId="4" applyFont="1" applyBorder="1" applyAlignment="1">
      <alignment horizontal="center" vertical="center"/>
    </xf>
    <xf numFmtId="0" fontId="47" fillId="2" borderId="98" xfId="4" applyFont="1" applyBorder="1" applyAlignment="1">
      <alignment horizontal="left" vertical="center"/>
    </xf>
    <xf numFmtId="0" fontId="47" fillId="2" borderId="93" xfId="4" applyFont="1" applyBorder="1" applyAlignment="1" applyProtection="1">
      <alignment horizontal="center" vertical="center"/>
      <protection locked="0"/>
    </xf>
    <xf numFmtId="2" fontId="47" fillId="2" borderId="97" xfId="4" applyNumberFormat="1" applyFont="1" applyBorder="1" applyAlignment="1" applyProtection="1">
      <alignment horizontal="center" vertical="center"/>
      <protection locked="0"/>
    </xf>
    <xf numFmtId="0" fontId="47" fillId="2" borderId="113" xfId="4" applyFont="1" applyBorder="1" applyAlignment="1" applyProtection="1">
      <alignment horizontal="center" vertical="center"/>
      <protection locked="0"/>
    </xf>
    <xf numFmtId="2" fontId="47" fillId="2" borderId="114" xfId="4" applyNumberFormat="1" applyFont="1" applyBorder="1" applyAlignment="1" applyProtection="1">
      <alignment horizontal="center" vertical="center"/>
      <protection locked="0"/>
    </xf>
    <xf numFmtId="2" fontId="43" fillId="2" borderId="97" xfId="4" applyNumberFormat="1" applyFont="1" applyBorder="1" applyAlignment="1" applyProtection="1">
      <alignment horizontal="center" vertical="center"/>
      <protection locked="0"/>
    </xf>
    <xf numFmtId="2" fontId="43" fillId="2" borderId="114" xfId="4" applyNumberFormat="1" applyFont="1" applyBorder="1" applyAlignment="1" applyProtection="1">
      <alignment horizontal="center" vertical="center"/>
      <protection locked="0"/>
    </xf>
    <xf numFmtId="1" fontId="43" fillId="2" borderId="109" xfId="4" applyNumberFormat="1" applyFont="1" applyBorder="1" applyAlignment="1" applyProtection="1">
      <alignment horizontal="center" vertical="center"/>
      <protection locked="0"/>
    </xf>
    <xf numFmtId="1" fontId="43" fillId="2" borderId="112" xfId="4" applyNumberFormat="1" applyFont="1" applyBorder="1" applyAlignment="1" applyProtection="1">
      <alignment horizontal="center" vertical="center"/>
      <protection locked="0"/>
    </xf>
    <xf numFmtId="0" fontId="47" fillId="2" borderId="97" xfId="4" applyFont="1" applyBorder="1" applyAlignment="1" applyProtection="1">
      <alignment horizontal="center" vertical="center"/>
      <protection locked="0"/>
    </xf>
    <xf numFmtId="0" fontId="47" fillId="2" borderId="114" xfId="4" applyFont="1" applyBorder="1" applyAlignment="1" applyProtection="1">
      <alignment horizontal="center" vertical="center"/>
      <protection locked="0"/>
    </xf>
    <xf numFmtId="2" fontId="47" fillId="2" borderId="93" xfId="4" applyNumberFormat="1" applyFont="1" applyBorder="1" applyAlignment="1" applyProtection="1">
      <alignment horizontal="left" vertical="center" wrapText="1"/>
      <protection locked="0"/>
    </xf>
    <xf numFmtId="166" fontId="73" fillId="2" borderId="97" xfId="4" applyNumberFormat="1" applyFont="1" applyBorder="1" applyAlignment="1" applyProtection="1">
      <alignment horizontal="center" vertical="center"/>
      <protection locked="0"/>
    </xf>
    <xf numFmtId="2" fontId="43" fillId="2" borderId="100" xfId="4" applyNumberFormat="1" applyFont="1" applyBorder="1" applyAlignment="1" applyProtection="1">
      <alignment horizontal="center" vertical="center"/>
      <protection locked="0"/>
    </xf>
    <xf numFmtId="2" fontId="47" fillId="2" borderId="113" xfId="4" applyNumberFormat="1" applyFont="1" applyBorder="1" applyAlignment="1" applyProtection="1">
      <alignment horizontal="left" vertical="center" wrapText="1"/>
      <protection locked="0"/>
    </xf>
    <xf numFmtId="166" fontId="73" fillId="2" borderId="114" xfId="4" applyNumberFormat="1" applyFont="1" applyBorder="1" applyAlignment="1" applyProtection="1">
      <alignment horizontal="center" vertical="center"/>
      <protection locked="0"/>
    </xf>
    <xf numFmtId="2" fontId="43" fillId="2" borderId="103" xfId="4" applyNumberFormat="1" applyFont="1" applyBorder="1" applyAlignment="1" applyProtection="1">
      <alignment horizontal="center" vertical="center"/>
      <protection locked="0"/>
    </xf>
    <xf numFmtId="1" fontId="47" fillId="2" borderId="97" xfId="4" applyNumberFormat="1" applyFont="1" applyBorder="1" applyAlignment="1" applyProtection="1">
      <alignment horizontal="center" vertical="center"/>
      <protection locked="0"/>
    </xf>
    <xf numFmtId="1" fontId="43" fillId="2" borderId="100" xfId="4" applyNumberFormat="1" applyFont="1" applyBorder="1" applyAlignment="1" applyProtection="1">
      <alignment horizontal="center" vertical="center"/>
      <protection locked="0"/>
    </xf>
    <xf numFmtId="1" fontId="47" fillId="2" borderId="114" xfId="4" applyNumberFormat="1" applyFont="1" applyBorder="1" applyAlignment="1" applyProtection="1">
      <alignment horizontal="center" vertical="center"/>
      <protection locked="0"/>
    </xf>
    <xf numFmtId="1" fontId="43" fillId="2" borderId="103" xfId="4" applyNumberFormat="1" applyFont="1" applyBorder="1" applyAlignment="1" applyProtection="1">
      <alignment horizontal="center" vertical="center"/>
      <protection locked="0"/>
    </xf>
    <xf numFmtId="166" fontId="47" fillId="2" borderId="97" xfId="4" applyNumberFormat="1" applyFont="1" applyBorder="1" applyAlignment="1" applyProtection="1">
      <alignment horizontal="center" vertical="center"/>
      <protection locked="0"/>
    </xf>
    <xf numFmtId="166" fontId="47" fillId="2" borderId="114" xfId="4" applyNumberFormat="1" applyFont="1" applyBorder="1" applyAlignment="1" applyProtection="1">
      <alignment horizontal="center" vertical="center"/>
      <protection locked="0"/>
    </xf>
    <xf numFmtId="2" fontId="43" fillId="2" borderId="109" xfId="4" applyNumberFormat="1" applyFont="1" applyBorder="1" applyAlignment="1" applyProtection="1">
      <alignment horizontal="center" vertical="center"/>
      <protection locked="0"/>
    </xf>
    <xf numFmtId="2" fontId="43" fillId="2" borderId="125" xfId="4" applyNumberFormat="1" applyFont="1" applyBorder="1" applyAlignment="1" applyProtection="1">
      <alignment horizontal="center" vertical="center"/>
      <protection locked="0"/>
    </xf>
    <xf numFmtId="1" fontId="47" fillId="16" borderId="97" xfId="4" applyNumberFormat="1" applyFont="1" applyFill="1" applyBorder="1" applyAlignment="1" applyProtection="1">
      <alignment horizontal="center" vertical="center" wrapText="1"/>
      <protection locked="0"/>
    </xf>
    <xf numFmtId="0" fontId="43" fillId="16" borderId="97" xfId="4" applyFont="1" applyFill="1" applyBorder="1" applyAlignment="1" applyProtection="1">
      <alignment horizontal="center" vertical="center" wrapText="1"/>
      <protection locked="0"/>
    </xf>
    <xf numFmtId="0" fontId="47" fillId="16" borderId="109" xfId="4" applyFont="1" applyFill="1" applyBorder="1" applyAlignment="1" applyProtection="1">
      <alignment horizontal="left" vertical="center" wrapText="1"/>
      <protection locked="0"/>
    </xf>
    <xf numFmtId="2" fontId="47" fillId="16" borderId="109" xfId="4" applyNumberFormat="1" applyFont="1" applyFill="1" applyBorder="1" applyAlignment="1" applyProtection="1">
      <alignment vertical="center"/>
      <protection locked="0"/>
    </xf>
    <xf numFmtId="2" fontId="47" fillId="16" borderId="125" xfId="4" applyNumberFormat="1" applyFont="1" applyFill="1" applyBorder="1" applyAlignment="1" applyProtection="1">
      <alignment vertical="center"/>
      <protection locked="0"/>
    </xf>
    <xf numFmtId="165" fontId="47" fillId="16" borderId="97" xfId="4" applyNumberFormat="1" applyFont="1" applyFill="1" applyBorder="1" applyAlignment="1" applyProtection="1">
      <alignment horizontal="center" vertical="center" wrapText="1"/>
      <protection locked="0"/>
    </xf>
    <xf numFmtId="0" fontId="47" fillId="16" borderId="97" xfId="4" applyFont="1" applyFill="1" applyBorder="1" applyAlignment="1" applyProtection="1">
      <alignment horizontal="center" vertical="center" wrapText="1"/>
      <protection locked="0"/>
    </xf>
    <xf numFmtId="0" fontId="47" fillId="16" borderId="114" xfId="4" applyFont="1" applyFill="1" applyBorder="1" applyAlignment="1" applyProtection="1">
      <alignment horizontal="center" vertical="center" wrapText="1"/>
      <protection locked="0"/>
    </xf>
    <xf numFmtId="0" fontId="47" fillId="2" borderId="97" xfId="4" applyFont="1" applyBorder="1" applyAlignment="1" applyProtection="1">
      <alignment horizontal="center" vertical="center" wrapText="1"/>
      <protection locked="0"/>
    </xf>
    <xf numFmtId="0" fontId="47" fillId="2" borderId="114" xfId="4" applyFont="1" applyBorder="1" applyAlignment="1" applyProtection="1">
      <alignment horizontal="center" vertical="center" wrapText="1"/>
      <protection locked="0"/>
    </xf>
    <xf numFmtId="0" fontId="73" fillId="2" borderId="93" xfId="4" applyFont="1" applyBorder="1" applyAlignment="1" applyProtection="1">
      <alignment horizontal="center" vertical="center" wrapText="1"/>
      <protection locked="0"/>
    </xf>
    <xf numFmtId="2" fontId="73" fillId="2" borderId="97" xfId="4" applyNumberFormat="1" applyFont="1" applyBorder="1" applyAlignment="1" applyProtection="1">
      <alignment horizontal="center" vertical="center"/>
      <protection locked="0"/>
    </xf>
    <xf numFmtId="2" fontId="73" fillId="2" borderId="97" xfId="4" applyNumberFormat="1" applyFont="1" applyBorder="1" applyAlignment="1" applyProtection="1">
      <alignment horizontal="center" vertical="center" wrapText="1"/>
      <protection locked="0"/>
    </xf>
    <xf numFmtId="0" fontId="73" fillId="2" borderId="113" xfId="4" applyFont="1" applyBorder="1" applyAlignment="1" applyProtection="1">
      <alignment horizontal="center" vertical="center" wrapText="1"/>
      <protection locked="0"/>
    </xf>
    <xf numFmtId="2" fontId="73" fillId="2" borderId="114" xfId="4" applyNumberFormat="1" applyFont="1" applyBorder="1" applyAlignment="1" applyProtection="1">
      <alignment horizontal="center" vertical="center"/>
      <protection locked="0"/>
    </xf>
    <xf numFmtId="2" fontId="73" fillId="2" borderId="114" xfId="4" applyNumberFormat="1" applyFont="1" applyBorder="1" applyAlignment="1" applyProtection="1">
      <alignment horizontal="center" vertical="center" wrapText="1"/>
      <protection locked="0"/>
    </xf>
    <xf numFmtId="9" fontId="73" fillId="2" borderId="100" xfId="5" applyFont="1" applyFill="1" applyBorder="1" applyAlignment="1" applyProtection="1">
      <alignment horizontal="center" vertical="center" wrapText="1"/>
      <protection locked="0"/>
    </xf>
    <xf numFmtId="0" fontId="74" fillId="2" borderId="100" xfId="4" applyFont="1" applyBorder="1" applyAlignment="1" applyProtection="1">
      <alignment horizontal="center" vertical="center" wrapText="1"/>
      <protection locked="0"/>
    </xf>
    <xf numFmtId="0" fontId="74" fillId="2" borderId="109" xfId="4" applyFont="1" applyBorder="1" applyAlignment="1" applyProtection="1">
      <alignment horizontal="center" vertical="center" wrapText="1"/>
      <protection locked="0"/>
    </xf>
    <xf numFmtId="9" fontId="73" fillId="2" borderId="103" xfId="5" applyFont="1" applyFill="1" applyBorder="1" applyAlignment="1" applyProtection="1">
      <alignment horizontal="center" vertical="center" wrapText="1"/>
      <protection locked="0"/>
    </xf>
    <xf numFmtId="0" fontId="74" fillId="2" borderId="103" xfId="4" applyFont="1" applyBorder="1" applyAlignment="1" applyProtection="1">
      <alignment horizontal="center" vertical="center" wrapText="1"/>
      <protection locked="0"/>
    </xf>
    <xf numFmtId="0" fontId="74" fillId="2" borderId="125" xfId="4" applyFont="1" applyBorder="1" applyAlignment="1" applyProtection="1">
      <alignment horizontal="center" vertical="center" wrapText="1"/>
      <protection locked="0"/>
    </xf>
    <xf numFmtId="165" fontId="47" fillId="16" borderId="97" xfId="6" applyNumberFormat="1" applyFont="1" applyFill="1" applyBorder="1" applyAlignment="1" applyProtection="1">
      <alignment horizontal="center" vertical="center" wrapText="1"/>
      <protection locked="0"/>
    </xf>
    <xf numFmtId="168" fontId="73" fillId="16" borderId="97" xfId="4" applyNumberFormat="1" applyFont="1" applyFill="1" applyBorder="1" applyAlignment="1" applyProtection="1">
      <alignment horizontal="center" vertical="center"/>
      <protection locked="0"/>
    </xf>
    <xf numFmtId="168" fontId="73" fillId="16" borderId="114" xfId="4" applyNumberFormat="1" applyFont="1" applyFill="1" applyBorder="1" applyAlignment="1" applyProtection="1">
      <alignment horizontal="center" vertical="center"/>
      <protection locked="0"/>
    </xf>
    <xf numFmtId="0" fontId="73" fillId="2" borderId="93" xfId="6" applyFont="1" applyBorder="1" applyAlignment="1" applyProtection="1">
      <alignment horizontal="center" vertical="center" wrapText="1"/>
      <protection locked="0"/>
    </xf>
    <xf numFmtId="0" fontId="73" fillId="2" borderId="113" xfId="6" applyFont="1" applyBorder="1" applyAlignment="1" applyProtection="1">
      <alignment horizontal="center" vertical="center" wrapText="1"/>
      <protection locked="0"/>
    </xf>
    <xf numFmtId="0" fontId="47" fillId="26" borderId="97" xfId="6" applyFont="1" applyFill="1" applyBorder="1" applyAlignment="1" applyProtection="1">
      <alignment horizontal="center" vertical="center"/>
      <protection locked="0"/>
    </xf>
    <xf numFmtId="1" fontId="73" fillId="2" borderId="97" xfId="6" applyNumberFormat="1" applyFont="1" applyBorder="1" applyAlignment="1" applyProtection="1">
      <alignment horizontal="center" vertical="center" wrapText="1"/>
      <protection locked="0"/>
    </xf>
    <xf numFmtId="0" fontId="47" fillId="26" borderId="114" xfId="6" applyFont="1" applyFill="1" applyBorder="1" applyAlignment="1" applyProtection="1">
      <alignment horizontal="center" vertical="center"/>
      <protection locked="0"/>
    </xf>
    <xf numFmtId="1" fontId="73" fillId="2" borderId="114" xfId="6" applyNumberFormat="1" applyFont="1" applyBorder="1" applyAlignment="1" applyProtection="1">
      <alignment horizontal="center" vertical="center" wrapText="1"/>
      <protection locked="0"/>
    </xf>
    <xf numFmtId="0" fontId="47" fillId="2" borderId="93" xfId="6" applyFont="1" applyBorder="1" applyAlignment="1" applyProtection="1">
      <alignment horizontal="center" vertical="center" wrapText="1"/>
      <protection locked="0"/>
    </xf>
    <xf numFmtId="0" fontId="47" fillId="2" borderId="113" xfId="6" applyFont="1" applyBorder="1" applyAlignment="1" applyProtection="1">
      <alignment horizontal="center" vertical="center" wrapText="1"/>
      <protection locked="0"/>
    </xf>
    <xf numFmtId="2" fontId="73" fillId="2" borderId="97" xfId="6" applyNumberFormat="1" applyFont="1" applyBorder="1" applyAlignment="1" applyProtection="1">
      <alignment horizontal="center" vertical="center" wrapText="1"/>
      <protection locked="0"/>
    </xf>
    <xf numFmtId="0" fontId="74" fillId="2" borderId="97" xfId="6" applyFont="1" applyBorder="1" applyAlignment="1" applyProtection="1">
      <alignment horizontal="center" vertical="center" wrapText="1"/>
      <protection locked="0"/>
    </xf>
    <xf numFmtId="2" fontId="73" fillId="2" borderId="114" xfId="6" applyNumberFormat="1" applyFont="1" applyBorder="1" applyAlignment="1" applyProtection="1">
      <alignment horizontal="center" vertical="center" wrapText="1"/>
      <protection locked="0"/>
    </xf>
    <xf numFmtId="0" fontId="70" fillId="2" borderId="114" xfId="6" applyFont="1" applyBorder="1" applyAlignment="1" applyProtection="1">
      <alignment horizontal="center" vertical="center" wrapText="1"/>
      <protection locked="0"/>
    </xf>
    <xf numFmtId="2" fontId="47" fillId="26" borderId="97" xfId="6" applyNumberFormat="1" applyFont="1" applyFill="1" applyBorder="1" applyAlignment="1" applyProtection="1">
      <alignment horizontal="center" vertical="center"/>
      <protection locked="0"/>
    </xf>
    <xf numFmtId="0" fontId="47" fillId="2" borderId="97" xfId="6" applyFont="1" applyBorder="1" applyAlignment="1" applyProtection="1">
      <alignment horizontal="center" vertical="center" wrapText="1"/>
      <protection locked="0"/>
    </xf>
    <xf numFmtId="2" fontId="47" fillId="26" borderId="114" xfId="6" applyNumberFormat="1" applyFont="1" applyFill="1" applyBorder="1" applyAlignment="1" applyProtection="1">
      <alignment horizontal="center" vertical="center"/>
      <protection locked="0"/>
    </xf>
    <xf numFmtId="0" fontId="47" fillId="2" borderId="114" xfId="6" applyFont="1" applyBorder="1" applyAlignment="1" applyProtection="1">
      <alignment horizontal="center" vertical="center" wrapText="1"/>
      <protection locked="0"/>
    </xf>
    <xf numFmtId="0" fontId="75" fillId="2" borderId="0" xfId="0" applyFont="1" applyFill="1"/>
    <xf numFmtId="0" fontId="16" fillId="14" borderId="7" xfId="0" applyFont="1" applyFill="1" applyBorder="1" applyAlignment="1">
      <alignment horizontal="center" vertical="center" textRotation="90" wrapText="1"/>
    </xf>
    <xf numFmtId="0" fontId="2" fillId="2" borderId="144" xfId="0" applyFont="1" applyFill="1" applyBorder="1" applyAlignment="1">
      <alignment horizontal="left" vertical="center" wrapText="1"/>
    </xf>
    <xf numFmtId="165" fontId="47" fillId="16" borderId="97" xfId="4" applyNumberFormat="1" applyFont="1" applyFill="1" applyBorder="1" applyAlignment="1" applyProtection="1">
      <alignment horizontal="center" vertical="center"/>
      <protection locked="0"/>
    </xf>
    <xf numFmtId="165" fontId="47" fillId="2" borderId="109" xfId="4" applyNumberFormat="1" applyFont="1" applyBorder="1" applyAlignment="1" applyProtection="1">
      <alignment horizontal="center" vertical="center"/>
      <protection locked="0"/>
    </xf>
    <xf numFmtId="165" fontId="47" fillId="2" borderId="111" xfId="4" applyNumberFormat="1" applyFont="1" applyBorder="1" applyAlignment="1" applyProtection="1">
      <alignment horizontal="center" vertical="center"/>
      <protection locked="0"/>
    </xf>
    <xf numFmtId="165" fontId="47" fillId="16" borderId="114" xfId="4" applyNumberFormat="1" applyFont="1" applyFill="1" applyBorder="1" applyAlignment="1" applyProtection="1">
      <alignment horizontal="center" vertical="center"/>
      <protection locked="0"/>
    </xf>
    <xf numFmtId="2" fontId="47" fillId="16" borderId="97" xfId="4" applyNumberFormat="1" applyFont="1" applyFill="1" applyBorder="1" applyAlignment="1" applyProtection="1">
      <alignment horizontal="center" vertical="center" wrapText="1"/>
      <protection locked="0"/>
    </xf>
    <xf numFmtId="0" fontId="73" fillId="2" borderId="97" xfId="4" applyFont="1" applyBorder="1" applyAlignment="1" applyProtection="1">
      <alignment horizontal="center" vertical="center"/>
      <protection locked="0"/>
    </xf>
    <xf numFmtId="0" fontId="73" fillId="2" borderId="114" xfId="4" applyFont="1" applyBorder="1" applyAlignment="1" applyProtection="1">
      <alignment horizontal="center" vertical="center"/>
      <protection locked="0"/>
    </xf>
    <xf numFmtId="2" fontId="47" fillId="25" borderId="97" xfId="4" applyNumberFormat="1" applyFont="1" applyFill="1" applyBorder="1" applyAlignment="1" applyProtection="1">
      <alignment horizontal="center" vertical="center"/>
      <protection locked="0"/>
    </xf>
    <xf numFmtId="2" fontId="47" fillId="25" borderId="111" xfId="4" applyNumberFormat="1" applyFont="1" applyFill="1" applyBorder="1" applyAlignment="1" applyProtection="1">
      <alignment horizontal="center" vertical="center"/>
      <protection locked="0"/>
    </xf>
    <xf numFmtId="0" fontId="47" fillId="25" borderId="104" xfId="4" applyFont="1" applyFill="1" applyBorder="1" applyAlignment="1" applyProtection="1">
      <alignment horizontal="left" vertical="center"/>
      <protection locked="0"/>
    </xf>
    <xf numFmtId="2" fontId="47" fillId="25" borderId="114" xfId="4" applyNumberFormat="1" applyFont="1" applyFill="1" applyBorder="1" applyAlignment="1" applyProtection="1">
      <alignment horizontal="center" vertical="center"/>
      <protection locked="0"/>
    </xf>
    <xf numFmtId="0" fontId="47" fillId="26" borderId="104" xfId="4" applyFont="1" applyFill="1" applyBorder="1" applyAlignment="1" applyProtection="1">
      <alignment horizontal="left" vertical="center"/>
      <protection locked="0"/>
    </xf>
    <xf numFmtId="2" fontId="47" fillId="26" borderId="114" xfId="4" applyNumberFormat="1" applyFont="1" applyFill="1" applyBorder="1" applyAlignment="1" applyProtection="1">
      <alignment horizontal="center" vertical="center"/>
      <protection locked="0"/>
    </xf>
    <xf numFmtId="1" fontId="47" fillId="26" borderId="97" xfId="4" applyNumberFormat="1" applyFont="1" applyFill="1" applyBorder="1" applyAlignment="1">
      <alignment horizontal="center" vertical="center" wrapText="1"/>
    </xf>
    <xf numFmtId="0" fontId="65" fillId="2" borderId="108" xfId="4" applyFont="1" applyBorder="1" applyAlignment="1">
      <alignment horizontal="center" vertical="center" wrapText="1"/>
    </xf>
    <xf numFmtId="2" fontId="65" fillId="2" borderId="108" xfId="4" applyNumberFormat="1" applyFont="1" applyBorder="1" applyAlignment="1">
      <alignment horizontal="center" vertical="center"/>
    </xf>
    <xf numFmtId="165" fontId="73" fillId="2" borderId="97" xfId="4" applyNumberFormat="1" applyFont="1" applyBorder="1" applyAlignment="1" applyProtection="1">
      <alignment horizontal="center" vertical="center" wrapText="1"/>
      <protection locked="0"/>
    </xf>
    <xf numFmtId="165" fontId="73" fillId="2" borderId="114" xfId="4" applyNumberFormat="1" applyFont="1" applyBorder="1" applyAlignment="1" applyProtection="1">
      <alignment horizontal="center" vertical="center" wrapText="1"/>
      <protection locked="0"/>
    </xf>
    <xf numFmtId="0" fontId="73" fillId="2" borderId="97" xfId="4" applyFont="1" applyBorder="1" applyAlignment="1" applyProtection="1">
      <alignment horizontal="center" vertical="center" wrapText="1"/>
      <protection locked="0"/>
    </xf>
    <xf numFmtId="165" fontId="73" fillId="2" borderId="97" xfId="4" applyNumberFormat="1" applyFont="1" applyBorder="1" applyAlignment="1" applyProtection="1">
      <alignment horizontal="center" vertical="center"/>
      <protection locked="0"/>
    </xf>
    <xf numFmtId="165" fontId="73" fillId="26" borderId="97" xfId="4" applyNumberFormat="1" applyFont="1" applyFill="1" applyBorder="1" applyAlignment="1">
      <alignment horizontal="center" vertical="center"/>
    </xf>
    <xf numFmtId="165" fontId="73" fillId="2" borderId="114" xfId="4" applyNumberFormat="1" applyFont="1" applyBorder="1" applyAlignment="1" applyProtection="1">
      <alignment horizontal="center" vertical="center"/>
      <protection locked="0"/>
    </xf>
    <xf numFmtId="165" fontId="73" fillId="26" borderId="114" xfId="4" applyNumberFormat="1" applyFont="1" applyFill="1" applyBorder="1" applyAlignment="1">
      <alignment horizontal="center" vertical="center"/>
    </xf>
    <xf numFmtId="165" fontId="47" fillId="2" borderId="102" xfId="4" applyNumberFormat="1" applyFont="1" applyBorder="1" applyAlignment="1" applyProtection="1">
      <alignment horizontal="center" vertical="center"/>
      <protection locked="0"/>
    </xf>
    <xf numFmtId="165" fontId="47" fillId="2" borderId="97" xfId="4" applyNumberFormat="1" applyFont="1" applyBorder="1" applyAlignment="1" applyProtection="1">
      <alignment horizontal="center" vertical="center"/>
      <protection locked="0"/>
    </xf>
    <xf numFmtId="165" fontId="47" fillId="2" borderId="114" xfId="4" applyNumberFormat="1" applyFont="1" applyBorder="1" applyAlignment="1" applyProtection="1">
      <alignment horizontal="center" vertical="center"/>
      <protection locked="0"/>
    </xf>
    <xf numFmtId="0" fontId="43" fillId="26" borderId="116" xfId="6" applyFont="1" applyFill="1" applyBorder="1" applyAlignment="1">
      <alignment horizontal="center" vertical="center" wrapText="1"/>
    </xf>
    <xf numFmtId="2" fontId="67" fillId="27" borderId="0" xfId="4" applyNumberFormat="1" applyFont="1" applyFill="1" applyAlignment="1">
      <alignment vertical="center" wrapText="1"/>
    </xf>
    <xf numFmtId="2" fontId="50" fillId="27" borderId="0" xfId="4" applyNumberFormat="1" applyFont="1" applyFill="1" applyAlignment="1">
      <alignment vertical="center" wrapText="1"/>
    </xf>
    <xf numFmtId="2" fontId="50" fillId="2" borderId="0" xfId="4" applyNumberFormat="1" applyFont="1" applyAlignment="1">
      <alignment vertical="center" wrapText="1"/>
    </xf>
    <xf numFmtId="0" fontId="49" fillId="2" borderId="0" xfId="4" applyFont="1" applyAlignment="1">
      <alignment horizontal="left" wrapText="1"/>
    </xf>
    <xf numFmtId="0" fontId="49" fillId="2" borderId="0" xfId="4" applyFont="1" applyAlignment="1">
      <alignment horizontal="left" vertical="top" wrapText="1"/>
    </xf>
    <xf numFmtId="2" fontId="47" fillId="2" borderId="94" xfId="4" applyNumberFormat="1" applyFont="1" applyBorder="1" applyAlignment="1" applyProtection="1">
      <alignment horizontal="center" vertical="center"/>
      <protection locked="0"/>
    </xf>
    <xf numFmtId="2" fontId="47" fillId="2" borderId="104" xfId="4" applyNumberFormat="1" applyFont="1" applyBorder="1" applyAlignment="1" applyProtection="1">
      <alignment horizontal="center" vertical="center"/>
      <protection locked="0"/>
    </xf>
    <xf numFmtId="0" fontId="43" fillId="2" borderId="97" xfId="6" applyFont="1" applyBorder="1" applyAlignment="1" applyProtection="1">
      <alignment horizontal="center" vertical="center" wrapText="1"/>
      <protection locked="0"/>
    </xf>
    <xf numFmtId="0" fontId="43" fillId="2" borderId="114" xfId="6" applyFont="1" applyBorder="1" applyAlignment="1" applyProtection="1">
      <alignment horizontal="center" vertical="center" wrapText="1"/>
      <protection locked="0"/>
    </xf>
    <xf numFmtId="0" fontId="43" fillId="26" borderId="93" xfId="4" applyFont="1" applyFill="1" applyBorder="1" applyAlignment="1">
      <alignment horizontal="left" vertical="center" wrapText="1"/>
    </xf>
    <xf numFmtId="0" fontId="47" fillId="25" borderId="97" xfId="4" applyFont="1" applyFill="1" applyBorder="1" applyAlignment="1" applyProtection="1">
      <alignment horizontal="left" vertical="center"/>
      <protection locked="0"/>
    </xf>
    <xf numFmtId="0" fontId="43" fillId="26" borderId="97" xfId="4" applyFont="1" applyFill="1" applyBorder="1" applyAlignment="1">
      <alignment horizontal="left" vertical="center"/>
    </xf>
    <xf numFmtId="0" fontId="43" fillId="33" borderId="126" xfId="6" applyFont="1" applyFill="1" applyBorder="1" applyAlignment="1">
      <alignment horizontal="left" vertical="center"/>
    </xf>
    <xf numFmtId="0" fontId="43" fillId="33" borderId="91" xfId="6" applyFont="1" applyFill="1" applyBorder="1" applyAlignment="1">
      <alignment horizontal="left" vertical="center"/>
    </xf>
    <xf numFmtId="0" fontId="43" fillId="33" borderId="148" xfId="6" applyFont="1" applyFill="1" applyBorder="1" applyAlignment="1">
      <alignment horizontal="left" vertical="center"/>
    </xf>
    <xf numFmtId="0" fontId="47" fillId="2" borderId="94" xfId="4" applyFont="1" applyBorder="1" applyAlignment="1" applyProtection="1">
      <alignment horizontal="center" vertical="center"/>
      <protection locked="0"/>
    </xf>
    <xf numFmtId="0" fontId="47" fillId="2" borderId="104" xfId="4" applyFont="1" applyBorder="1" applyAlignment="1" applyProtection="1">
      <alignment horizontal="center" vertical="center"/>
      <protection locked="0"/>
    </xf>
    <xf numFmtId="0" fontId="47" fillId="2" borderId="139" xfId="4" applyFont="1" applyBorder="1" applyAlignment="1">
      <alignment horizontal="center" vertical="center" wrapText="1"/>
    </xf>
    <xf numFmtId="0" fontId="63" fillId="2" borderId="0" xfId="4" applyFont="1" applyAlignment="1">
      <alignment horizontal="center" vertical="center"/>
    </xf>
    <xf numFmtId="0" fontId="73" fillId="2" borderId="97" xfId="6" applyFont="1" applyBorder="1" applyAlignment="1" applyProtection="1">
      <alignment horizontal="center" vertical="center" wrapText="1"/>
      <protection locked="0"/>
    </xf>
    <xf numFmtId="0" fontId="73" fillId="2" borderId="114" xfId="6" applyFont="1" applyBorder="1" applyAlignment="1" applyProtection="1">
      <alignment horizontal="center" vertical="center" wrapText="1"/>
      <protection locked="0"/>
    </xf>
    <xf numFmtId="2" fontId="43" fillId="2" borderId="97" xfId="4" applyNumberFormat="1" applyFont="1" applyBorder="1" applyAlignment="1">
      <alignment horizontal="center" vertical="center" wrapText="1"/>
    </xf>
    <xf numFmtId="0" fontId="47" fillId="2" borderId="97" xfId="4" applyFont="1" applyBorder="1" applyAlignment="1">
      <alignment horizontal="center" vertical="center"/>
    </xf>
    <xf numFmtId="0" fontId="47" fillId="2" borderId="109" xfId="4" applyFont="1" applyBorder="1" applyAlignment="1">
      <alignment horizontal="center" vertical="center"/>
    </xf>
    <xf numFmtId="0" fontId="76" fillId="26" borderId="97" xfId="4" applyFont="1" applyFill="1" applyBorder="1" applyAlignment="1">
      <alignment horizontal="center" vertical="center" wrapText="1"/>
    </xf>
    <xf numFmtId="165" fontId="73" fillId="25" borderId="97" xfId="4" applyNumberFormat="1" applyFont="1" applyFill="1" applyBorder="1" applyAlignment="1">
      <alignment horizontal="center" vertical="center"/>
    </xf>
    <xf numFmtId="165" fontId="73" fillId="25" borderId="114" xfId="4" applyNumberFormat="1" applyFont="1" applyFill="1" applyBorder="1" applyAlignment="1">
      <alignment horizontal="center" vertical="center"/>
    </xf>
    <xf numFmtId="0" fontId="73" fillId="2" borderId="114" xfId="4" applyFont="1" applyBorder="1" applyAlignment="1" applyProtection="1">
      <alignment horizontal="center" vertical="center" wrapText="1"/>
      <protection locked="0"/>
    </xf>
    <xf numFmtId="0" fontId="2" fillId="2" borderId="11" xfId="0" applyFont="1" applyFill="1" applyBorder="1" applyAlignment="1">
      <alignment horizontal="left" vertical="center" wrapText="1"/>
    </xf>
    <xf numFmtId="0" fontId="2" fillId="2" borderId="9" xfId="0" applyFont="1" applyFill="1" applyBorder="1" applyAlignment="1">
      <alignment horizontal="center" vertical="center" wrapText="1"/>
    </xf>
    <xf numFmtId="0" fontId="2" fillId="2" borderId="9" xfId="0" applyFont="1" applyFill="1" applyBorder="1" applyAlignment="1">
      <alignment vertical="center" wrapText="1"/>
    </xf>
    <xf numFmtId="0" fontId="2" fillId="2" borderId="9" xfId="0" applyFont="1" applyFill="1" applyBorder="1" applyAlignment="1">
      <alignment horizontal="left" vertical="center" wrapText="1"/>
    </xf>
    <xf numFmtId="0" fontId="2" fillId="2" borderId="9" xfId="0" applyFont="1" applyFill="1" applyBorder="1" applyAlignment="1" applyProtection="1">
      <alignment horizontal="left" vertical="top" wrapText="1"/>
      <protection locked="0"/>
    </xf>
    <xf numFmtId="0" fontId="2" fillId="16" borderId="9" xfId="0" applyFont="1" applyFill="1" applyBorder="1" applyAlignment="1" applyProtection="1">
      <alignment horizontal="left" vertical="top" wrapText="1"/>
      <protection locked="0"/>
    </xf>
    <xf numFmtId="0" fontId="2" fillId="2" borderId="10" xfId="0" applyFont="1" applyFill="1" applyBorder="1" applyAlignment="1" applyProtection="1">
      <alignment horizontal="left" vertical="top" wrapText="1"/>
      <protection locked="0"/>
    </xf>
    <xf numFmtId="0" fontId="2" fillId="17" borderId="4" xfId="0" applyFont="1" applyFill="1" applyBorder="1" applyAlignment="1">
      <alignment vertical="center"/>
    </xf>
    <xf numFmtId="0" fontId="2" fillId="17" borderId="4" xfId="0" applyFont="1" applyFill="1" applyBorder="1" applyAlignment="1">
      <alignment vertical="center" wrapText="1"/>
    </xf>
    <xf numFmtId="0" fontId="6" fillId="0" borderId="0" xfId="0" applyFont="1" applyAlignment="1">
      <alignment vertical="top" wrapText="1"/>
    </xf>
    <xf numFmtId="0" fontId="8" fillId="3" borderId="74"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20" fillId="18" borderId="9" xfId="0" applyFont="1" applyFill="1" applyBorder="1" applyAlignment="1">
      <alignment vertical="center" wrapText="1"/>
    </xf>
    <xf numFmtId="0" fontId="20" fillId="18"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2" fillId="0" borderId="0" xfId="0" applyFont="1" applyAlignment="1">
      <alignment horizontal="center" wrapText="1"/>
    </xf>
    <xf numFmtId="0" fontId="6" fillId="2" borderId="9" xfId="0" applyFont="1" applyFill="1" applyBorder="1" applyAlignment="1">
      <alignment horizontal="center" vertical="center" wrapText="1"/>
    </xf>
    <xf numFmtId="0" fontId="1" fillId="20" borderId="25" xfId="1" applyFill="1" applyBorder="1" applyAlignment="1" applyProtection="1">
      <alignment horizontal="center" vertical="center"/>
      <protection locked="0"/>
    </xf>
    <xf numFmtId="0" fontId="1" fillId="20" borderId="16" xfId="1" applyFill="1" applyBorder="1" applyAlignment="1" applyProtection="1">
      <alignment horizontal="center" vertical="center"/>
      <protection locked="0"/>
    </xf>
    <xf numFmtId="0" fontId="1" fillId="20" borderId="26" xfId="1" applyFill="1" applyBorder="1" applyAlignment="1" applyProtection="1">
      <alignment horizontal="center" vertical="center"/>
      <protection locked="0"/>
    </xf>
    <xf numFmtId="0" fontId="1" fillId="17" borderId="27" xfId="1" applyFill="1" applyBorder="1" applyAlignment="1" applyProtection="1">
      <alignment horizontal="center" vertical="center"/>
      <protection locked="0"/>
    </xf>
    <xf numFmtId="0" fontId="1" fillId="17" borderId="25" xfId="1" applyFill="1" applyBorder="1" applyAlignment="1" applyProtection="1">
      <alignment horizontal="center" vertical="center"/>
      <protection locked="0"/>
    </xf>
    <xf numFmtId="0" fontId="1" fillId="17" borderId="26" xfId="1" applyFill="1" applyBorder="1" applyAlignment="1" applyProtection="1">
      <alignment horizontal="center" vertical="center"/>
      <protection locked="0"/>
    </xf>
    <xf numFmtId="0" fontId="1" fillId="17" borderId="16" xfId="1" applyFill="1" applyBorder="1" applyAlignment="1" applyProtection="1">
      <alignment horizontal="center" vertical="center"/>
      <protection locked="0"/>
    </xf>
    <xf numFmtId="0" fontId="26" fillId="17" borderId="11" xfId="1" applyFont="1" applyFill="1" applyBorder="1" applyAlignment="1" applyProtection="1">
      <alignment horizontal="center" vertical="center"/>
      <protection locked="0"/>
    </xf>
    <xf numFmtId="0" fontId="1" fillId="20" borderId="0" xfId="1" applyFill="1" applyAlignment="1" applyProtection="1">
      <alignment horizontal="center" vertical="center"/>
      <protection locked="0"/>
    </xf>
    <xf numFmtId="0" fontId="1" fillId="17" borderId="11" xfId="0" applyFont="1" applyFill="1" applyBorder="1" applyAlignment="1" applyProtection="1">
      <alignment horizontal="center" vertical="center"/>
      <protection locked="0"/>
    </xf>
    <xf numFmtId="0" fontId="2" fillId="2" borderId="11" xfId="0" applyFont="1" applyFill="1" applyBorder="1" applyAlignment="1" applyProtection="1">
      <alignment horizontal="left" vertical="top" wrapText="1"/>
      <protection locked="0"/>
    </xf>
    <xf numFmtId="0" fontId="7" fillId="16" borderId="10" xfId="0" applyFont="1" applyFill="1" applyBorder="1" applyAlignment="1" applyProtection="1">
      <alignment horizontal="left" vertical="top" wrapText="1"/>
      <protection locked="0"/>
    </xf>
    <xf numFmtId="0" fontId="1" fillId="17" borderId="12" xfId="0" applyFont="1" applyFill="1" applyBorder="1" applyAlignment="1" applyProtection="1">
      <alignment horizontal="center" vertical="center"/>
      <protection locked="0"/>
    </xf>
    <xf numFmtId="0" fontId="2" fillId="2" borderId="75" xfId="0" applyFont="1" applyFill="1" applyBorder="1" applyAlignment="1" applyProtection="1">
      <alignment horizontal="left" vertical="top" wrapText="1"/>
      <protection locked="0"/>
    </xf>
    <xf numFmtId="0" fontId="1" fillId="17" borderId="13" xfId="0" applyFont="1" applyFill="1" applyBorder="1" applyAlignment="1" applyProtection="1">
      <alignment horizontal="center" vertical="center"/>
      <protection locked="0"/>
    </xf>
    <xf numFmtId="0" fontId="2" fillId="2" borderId="12" xfId="0" applyFont="1" applyFill="1" applyBorder="1" applyAlignment="1" applyProtection="1">
      <alignment horizontal="left" vertical="top" wrapText="1"/>
      <protection locked="0"/>
    </xf>
    <xf numFmtId="0" fontId="2" fillId="2" borderId="17" xfId="0" applyFont="1" applyFill="1" applyBorder="1" applyAlignment="1" applyProtection="1">
      <alignment horizontal="left" vertical="top" wrapText="1"/>
      <protection locked="0"/>
    </xf>
    <xf numFmtId="0" fontId="77" fillId="2" borderId="0" xfId="0" applyFont="1" applyFill="1"/>
    <xf numFmtId="0" fontId="16" fillId="15" borderId="7" xfId="0" applyFont="1" applyFill="1" applyBorder="1" applyAlignment="1">
      <alignment horizontal="center" vertical="center" textRotation="90" wrapText="1"/>
    </xf>
    <xf numFmtId="0" fontId="58" fillId="2" borderId="154" xfId="0" applyFont="1" applyFill="1" applyBorder="1" applyAlignment="1">
      <alignment horizontal="left" vertical="top" wrapText="1"/>
    </xf>
    <xf numFmtId="0" fontId="58" fillId="2" borderId="154" xfId="0" applyFont="1" applyFill="1" applyBorder="1" applyAlignment="1">
      <alignment horizontal="center" vertical="top"/>
    </xf>
    <xf numFmtId="0" fontId="58" fillId="2" borderId="154" xfId="0" applyFont="1" applyFill="1" applyBorder="1" applyAlignment="1">
      <alignment vertical="top" wrapText="1"/>
    </xf>
    <xf numFmtId="0" fontId="58" fillId="2" borderId="155" xfId="0" applyFont="1" applyFill="1" applyBorder="1" applyAlignment="1">
      <alignment horizontal="center" vertical="top"/>
    </xf>
    <xf numFmtId="0" fontId="58" fillId="2" borderId="156" xfId="0" applyFont="1" applyFill="1" applyBorder="1" applyAlignment="1">
      <alignment horizontal="center" vertical="top"/>
    </xf>
    <xf numFmtId="0" fontId="58" fillId="2" borderId="159" xfId="0" applyFont="1" applyFill="1" applyBorder="1" applyAlignment="1">
      <alignment horizontal="left" vertical="top" wrapText="1"/>
    </xf>
    <xf numFmtId="0" fontId="58" fillId="2" borderId="159" xfId="0" applyFont="1" applyFill="1" applyBorder="1" applyAlignment="1">
      <alignment horizontal="center" vertical="top"/>
    </xf>
    <xf numFmtId="0" fontId="58" fillId="2" borderId="159" xfId="0" applyFont="1" applyFill="1" applyBorder="1" applyAlignment="1">
      <alignment vertical="top" wrapText="1"/>
    </xf>
    <xf numFmtId="0" fontId="58" fillId="2" borderId="160" xfId="0" applyFont="1" applyFill="1" applyBorder="1" applyAlignment="1">
      <alignment horizontal="center" vertical="top"/>
    </xf>
    <xf numFmtId="0" fontId="58" fillId="2" borderId="161" xfId="0" applyFont="1" applyFill="1" applyBorder="1" applyAlignment="1">
      <alignment horizontal="center" vertical="top"/>
    </xf>
    <xf numFmtId="0" fontId="9" fillId="15" borderId="162" xfId="0" applyFont="1" applyFill="1" applyBorder="1" applyAlignment="1">
      <alignment horizontal="center" vertical="center"/>
    </xf>
    <xf numFmtId="0" fontId="9" fillId="15" borderId="162" xfId="0" applyFont="1" applyFill="1" applyBorder="1" applyAlignment="1">
      <alignment horizontal="left" vertical="center"/>
    </xf>
    <xf numFmtId="0" fontId="9" fillId="15" borderId="162" xfId="0" applyFont="1" applyFill="1" applyBorder="1" applyAlignment="1">
      <alignment horizontal="left" vertical="center" wrapText="1"/>
    </xf>
    <xf numFmtId="0" fontId="8" fillId="15" borderId="162" xfId="0" applyFont="1" applyFill="1" applyBorder="1" applyAlignment="1">
      <alignment horizontal="center" vertical="center"/>
    </xf>
    <xf numFmtId="0" fontId="8" fillId="15" borderId="162" xfId="2" applyFont="1" applyFill="1" applyBorder="1" applyAlignment="1">
      <alignment horizontal="center" vertical="center"/>
    </xf>
    <xf numFmtId="0" fontId="8" fillId="15" borderId="162" xfId="2" applyFont="1" applyFill="1" applyBorder="1" applyAlignment="1">
      <alignment horizontal="center" vertical="center" wrapText="1"/>
    </xf>
    <xf numFmtId="0" fontId="8" fillId="15" borderId="157" xfId="2" applyFont="1" applyFill="1" applyBorder="1" applyAlignment="1">
      <alignment horizontal="center" vertical="center"/>
    </xf>
    <xf numFmtId="0" fontId="58" fillId="2" borderId="163" xfId="0" applyFont="1" applyFill="1" applyBorder="1" applyAlignment="1">
      <alignment horizontal="center" vertical="center"/>
    </xf>
    <xf numFmtId="0" fontId="5" fillId="2" borderId="164" xfId="0" applyFont="1" applyFill="1" applyBorder="1" applyAlignment="1">
      <alignment horizontal="left" vertical="center"/>
    </xf>
    <xf numFmtId="0" fontId="58" fillId="2" borderId="164" xfId="0" applyFont="1" applyFill="1" applyBorder="1" applyAlignment="1">
      <alignment horizontal="left" vertical="top" wrapText="1"/>
    </xf>
    <xf numFmtId="0" fontId="58" fillId="2" borderId="164" xfId="0" applyFont="1" applyFill="1" applyBorder="1" applyAlignment="1">
      <alignment horizontal="center" vertical="top"/>
    </xf>
    <xf numFmtId="0" fontId="58" fillId="2" borderId="164" xfId="0" applyFont="1" applyFill="1" applyBorder="1" applyAlignment="1">
      <alignment vertical="top" wrapText="1"/>
    </xf>
    <xf numFmtId="0" fontId="58" fillId="2" borderId="165" xfId="0" applyFont="1" applyFill="1" applyBorder="1" applyAlignment="1">
      <alignment horizontal="center" vertical="top"/>
    </xf>
    <xf numFmtId="0" fontId="58" fillId="2" borderId="166" xfId="0" applyFont="1" applyFill="1" applyBorder="1" applyAlignment="1">
      <alignment horizontal="center" vertical="top"/>
    </xf>
    <xf numFmtId="0" fontId="58" fillId="2" borderId="167" xfId="0" applyFont="1" applyFill="1" applyBorder="1" applyAlignment="1">
      <alignment horizontal="center" vertical="center"/>
    </xf>
    <xf numFmtId="0" fontId="5" fillId="2" borderId="168" xfId="0" applyFont="1" applyFill="1" applyBorder="1" applyAlignment="1">
      <alignment horizontal="left" vertical="center"/>
    </xf>
    <xf numFmtId="0" fontId="58" fillId="2" borderId="168" xfId="0" applyFont="1" applyFill="1" applyBorder="1" applyAlignment="1">
      <alignment horizontal="left" vertical="top" wrapText="1"/>
    </xf>
    <xf numFmtId="0" fontId="58" fillId="2" borderId="168" xfId="0" applyFont="1" applyFill="1" applyBorder="1" applyAlignment="1">
      <alignment horizontal="center" vertical="top"/>
    </xf>
    <xf numFmtId="0" fontId="58" fillId="2" borderId="168" xfId="0" applyFont="1" applyFill="1" applyBorder="1" applyAlignment="1">
      <alignment vertical="top" wrapText="1"/>
    </xf>
    <xf numFmtId="0" fontId="58" fillId="2" borderId="169" xfId="0" applyFont="1" applyFill="1" applyBorder="1" applyAlignment="1">
      <alignment horizontal="center" vertical="top"/>
    </xf>
    <xf numFmtId="0" fontId="58" fillId="2" borderId="170" xfId="0" applyFont="1" applyFill="1" applyBorder="1" applyAlignment="1">
      <alignment horizontal="center" vertical="top"/>
    </xf>
    <xf numFmtId="0" fontId="43" fillId="25" borderId="116" xfId="4" applyFont="1" applyFill="1" applyBorder="1" applyAlignment="1">
      <alignment horizontal="center" vertical="center"/>
    </xf>
    <xf numFmtId="165" fontId="43" fillId="25" borderId="97" xfId="4" applyNumberFormat="1" applyFont="1" applyFill="1" applyBorder="1" applyAlignment="1">
      <alignment horizontal="center" vertical="center"/>
    </xf>
    <xf numFmtId="2" fontId="47" fillId="2" borderId="130" xfId="4" applyNumberFormat="1" applyFont="1" applyBorder="1" applyAlignment="1" applyProtection="1">
      <alignment horizontal="left" vertical="center" wrapText="1"/>
      <protection locked="0"/>
    </xf>
    <xf numFmtId="2" fontId="47" fillId="2" borderId="171" xfId="4" applyNumberFormat="1" applyFont="1" applyBorder="1" applyAlignment="1" applyProtection="1">
      <alignment horizontal="center" vertical="center"/>
      <protection locked="0"/>
    </xf>
    <xf numFmtId="2" fontId="47" fillId="2" borderId="141" xfId="4" applyNumberFormat="1" applyFont="1" applyBorder="1" applyAlignment="1" applyProtection="1">
      <alignment horizontal="center" vertical="center"/>
      <protection locked="0"/>
    </xf>
    <xf numFmtId="166" fontId="73" fillId="2" borderId="141" xfId="4" applyNumberFormat="1" applyFont="1" applyBorder="1" applyAlignment="1" applyProtection="1">
      <alignment horizontal="center" vertical="center"/>
      <protection locked="0"/>
    </xf>
    <xf numFmtId="2" fontId="43" fillId="2" borderId="119" xfId="4" applyNumberFormat="1" applyFont="1" applyBorder="1" applyAlignment="1" applyProtection="1">
      <alignment horizontal="center" vertical="center"/>
      <protection locked="0"/>
    </xf>
    <xf numFmtId="0" fontId="43" fillId="25" borderId="124" xfId="4" applyFont="1" applyFill="1" applyBorder="1" applyAlignment="1">
      <alignment horizontal="center" vertical="center" wrapText="1"/>
    </xf>
    <xf numFmtId="2" fontId="43" fillId="25" borderId="97" xfId="4" applyNumberFormat="1" applyFont="1" applyFill="1" applyBorder="1" applyAlignment="1">
      <alignment horizontal="center" vertical="center" wrapText="1"/>
    </xf>
    <xf numFmtId="1" fontId="47" fillId="2" borderId="109" xfId="4" applyNumberFormat="1" applyFont="1" applyBorder="1" applyAlignment="1" applyProtection="1">
      <alignment horizontal="center" vertical="center"/>
      <protection locked="0"/>
    </xf>
    <xf numFmtId="167" fontId="47" fillId="2" borderId="109" xfId="4" applyNumberFormat="1" applyFont="1" applyBorder="1" applyAlignment="1" applyProtection="1">
      <alignment horizontal="center" vertical="center"/>
      <protection locked="0"/>
    </xf>
    <xf numFmtId="1" fontId="47" fillId="2" borderId="125" xfId="4" applyNumberFormat="1" applyFont="1" applyBorder="1" applyAlignment="1" applyProtection="1">
      <alignment horizontal="center" vertical="center"/>
      <protection locked="0"/>
    </xf>
    <xf numFmtId="167" fontId="47" fillId="2" borderId="97" xfId="4" applyNumberFormat="1" applyFont="1" applyBorder="1" applyAlignment="1" applyProtection="1">
      <alignment horizontal="center" vertical="center"/>
      <protection locked="0"/>
    </xf>
    <xf numFmtId="1" fontId="43" fillId="2" borderId="97" xfId="4" applyNumberFormat="1" applyFont="1" applyBorder="1" applyAlignment="1" applyProtection="1">
      <alignment horizontal="center" vertical="center"/>
      <protection locked="0"/>
    </xf>
    <xf numFmtId="169" fontId="47" fillId="2" borderId="97" xfId="4" applyNumberFormat="1" applyFont="1" applyBorder="1" applyAlignment="1" applyProtection="1">
      <alignment horizontal="center" vertical="center"/>
      <protection locked="0"/>
    </xf>
    <xf numFmtId="1" fontId="43" fillId="25" borderId="97" xfId="4" applyNumberFormat="1" applyFont="1" applyFill="1" applyBorder="1" applyAlignment="1">
      <alignment horizontal="center" vertical="center" wrapText="1"/>
    </xf>
    <xf numFmtId="170" fontId="47" fillId="2" borderId="97" xfId="4" applyNumberFormat="1" applyFont="1" applyBorder="1" applyAlignment="1" applyProtection="1">
      <alignment horizontal="center" vertical="center"/>
      <protection locked="0"/>
    </xf>
    <xf numFmtId="165" fontId="47" fillId="34" borderId="97" xfId="6" applyNumberFormat="1" applyFont="1" applyFill="1" applyBorder="1" applyAlignment="1" applyProtection="1">
      <alignment horizontal="center" vertical="center" wrapText="1"/>
      <protection locked="0"/>
    </xf>
    <xf numFmtId="0" fontId="47" fillId="34" borderId="97" xfId="6" applyFont="1" applyFill="1" applyBorder="1" applyAlignment="1">
      <alignment horizontal="center" vertical="center"/>
    </xf>
    <xf numFmtId="0" fontId="78" fillId="0" borderId="0" xfId="0" applyFont="1" applyAlignment="1">
      <alignment horizontal="left" vertical="center" wrapText="1"/>
    </xf>
    <xf numFmtId="0" fontId="79" fillId="0" borderId="0" xfId="0" applyFont="1" applyAlignment="1">
      <alignment horizontal="center" vertical="center" wrapText="1"/>
    </xf>
    <xf numFmtId="0" fontId="81" fillId="0" borderId="0" xfId="0" applyFont="1" applyAlignment="1">
      <alignment horizontal="center" vertical="center" wrapText="1"/>
    </xf>
    <xf numFmtId="1" fontId="43" fillId="26" borderId="109" xfId="4" applyNumberFormat="1" applyFont="1" applyFill="1" applyBorder="1" applyAlignment="1">
      <alignment horizontal="center" vertical="center"/>
    </xf>
    <xf numFmtId="0" fontId="47" fillId="2" borderId="111" xfId="4" applyFont="1" applyBorder="1" applyAlignment="1" applyProtection="1">
      <alignment horizontal="center" vertical="center"/>
      <protection locked="0"/>
    </xf>
    <xf numFmtId="0" fontId="47" fillId="2" borderId="115" xfId="4" applyFont="1" applyBorder="1" applyAlignment="1" applyProtection="1">
      <alignment horizontal="center" vertical="center"/>
      <protection locked="0"/>
    </xf>
    <xf numFmtId="0" fontId="43" fillId="26" borderId="116" xfId="4" applyFont="1" applyFill="1" applyBorder="1" applyAlignment="1">
      <alignment horizontal="left" vertical="center"/>
    </xf>
    <xf numFmtId="0" fontId="43" fillId="26" borderId="97" xfId="4" applyFont="1" applyFill="1" applyBorder="1" applyAlignment="1">
      <alignment horizontal="left" vertical="center" wrapText="1"/>
    </xf>
    <xf numFmtId="165" fontId="43" fillId="2" borderId="97" xfId="4" applyNumberFormat="1" applyFont="1" applyBorder="1" applyAlignment="1" applyProtection="1">
      <alignment horizontal="center" vertical="center"/>
      <protection locked="0"/>
    </xf>
    <xf numFmtId="168" fontId="73" fillId="16" borderId="97" xfId="4" applyNumberFormat="1" applyFont="1" applyFill="1" applyBorder="1" applyAlignment="1" applyProtection="1">
      <alignment horizontal="center" vertical="center" wrapText="1"/>
      <protection locked="0"/>
    </xf>
    <xf numFmtId="165" fontId="47" fillId="2" borderId="97" xfId="4" applyNumberFormat="1" applyFont="1" applyBorder="1" applyAlignment="1" applyProtection="1">
      <alignment horizontal="center" vertical="center" wrapText="1"/>
      <protection locked="0"/>
    </xf>
    <xf numFmtId="0" fontId="6" fillId="0" borderId="10" xfId="0" applyFont="1" applyBorder="1" applyAlignment="1">
      <alignment horizontal="left" vertical="top" wrapText="1"/>
    </xf>
    <xf numFmtId="0" fontId="7" fillId="0" borderId="10" xfId="0" applyFont="1" applyBorder="1" applyAlignment="1">
      <alignment horizontal="left" vertical="top" wrapText="1"/>
    </xf>
    <xf numFmtId="0" fontId="6" fillId="0" borderId="10" xfId="0" applyFont="1" applyBorder="1" applyAlignment="1">
      <alignment vertical="top" wrapText="1"/>
    </xf>
    <xf numFmtId="0" fontId="1" fillId="34" borderId="13" xfId="1" applyFill="1" applyBorder="1" applyAlignment="1" applyProtection="1">
      <alignment horizontal="center" vertical="center"/>
      <protection locked="0"/>
    </xf>
    <xf numFmtId="0" fontId="1" fillId="2" borderId="0" xfId="0" applyFont="1" applyFill="1" applyAlignment="1">
      <alignment vertical="top" wrapText="1"/>
    </xf>
    <xf numFmtId="0" fontId="58" fillId="2" borderId="153" xfId="0" applyFont="1" applyFill="1" applyBorder="1" applyAlignment="1">
      <alignment horizontal="center" vertical="center"/>
    </xf>
    <xf numFmtId="0" fontId="58" fillId="2" borderId="158" xfId="0" applyFont="1" applyFill="1" applyBorder="1" applyAlignment="1">
      <alignment horizontal="center" vertical="center"/>
    </xf>
    <xf numFmtId="0" fontId="5" fillId="2" borderId="154" xfId="0" applyFont="1" applyFill="1" applyBorder="1" applyAlignment="1">
      <alignment horizontal="left" vertical="center"/>
    </xf>
    <xf numFmtId="0" fontId="5" fillId="2" borderId="159" xfId="0" applyFont="1" applyFill="1" applyBorder="1" applyAlignment="1">
      <alignment horizontal="left" vertical="center"/>
    </xf>
    <xf numFmtId="0" fontId="58" fillId="2" borderId="61" xfId="0" applyFont="1" applyFill="1" applyBorder="1" applyAlignment="1">
      <alignment horizontal="center" vertical="center"/>
    </xf>
    <xf numFmtId="0" fontId="58" fillId="2" borderId="63" xfId="0" applyFont="1" applyFill="1" applyBorder="1" applyAlignment="1">
      <alignment horizontal="center" vertical="center"/>
    </xf>
    <xf numFmtId="0" fontId="5" fillId="2" borderId="62" xfId="0" applyFont="1" applyFill="1" applyBorder="1" applyAlignment="1">
      <alignment horizontal="left" vertical="center"/>
    </xf>
    <xf numFmtId="0" fontId="5" fillId="2" borderId="21" xfId="0" applyFont="1" applyFill="1" applyBorder="1" applyAlignment="1">
      <alignment horizontal="left" vertical="center"/>
    </xf>
    <xf numFmtId="0" fontId="58" fillId="2" borderId="67" xfId="0" applyFont="1" applyFill="1" applyBorder="1" applyAlignment="1">
      <alignment horizontal="center" vertical="center"/>
    </xf>
    <xf numFmtId="0" fontId="58" fillId="2" borderId="71" xfId="0" applyFont="1" applyFill="1" applyBorder="1" applyAlignment="1">
      <alignment horizontal="center" vertical="center"/>
    </xf>
    <xf numFmtId="0" fontId="5" fillId="2" borderId="22" xfId="0" applyFont="1" applyFill="1" applyBorder="1" applyAlignment="1">
      <alignment horizontal="left" vertical="center"/>
    </xf>
    <xf numFmtId="0" fontId="5" fillId="2" borderId="24" xfId="0" applyFont="1" applyFill="1" applyBorder="1" applyAlignment="1">
      <alignment horizontal="left" vertical="center"/>
    </xf>
    <xf numFmtId="0" fontId="58" fillId="2" borderId="56" xfId="0" applyFont="1" applyFill="1" applyBorder="1" applyAlignment="1">
      <alignment horizontal="center" vertical="center"/>
    </xf>
    <xf numFmtId="0" fontId="5" fillId="2" borderId="18" xfId="0" applyFont="1" applyFill="1" applyBorder="1" applyAlignment="1">
      <alignment horizontal="left" vertical="center"/>
    </xf>
    <xf numFmtId="0" fontId="5" fillId="2" borderId="31" xfId="0" applyFont="1" applyFill="1" applyBorder="1" applyAlignment="1">
      <alignment horizontal="left" vertical="center"/>
    </xf>
    <xf numFmtId="0" fontId="58" fillId="2" borderId="52" xfId="0" applyFont="1" applyFill="1" applyBorder="1" applyAlignment="1">
      <alignment horizontal="center" vertical="center"/>
    </xf>
    <xf numFmtId="0" fontId="5" fillId="2" borderId="53" xfId="0" applyFont="1" applyFill="1" applyBorder="1" applyAlignment="1">
      <alignment horizontal="left" vertical="center"/>
    </xf>
    <xf numFmtId="0" fontId="59" fillId="9" borderId="41" xfId="0" applyFont="1" applyFill="1" applyBorder="1" applyAlignment="1">
      <alignment horizontal="center" vertical="center" textRotation="90"/>
    </xf>
    <xf numFmtId="0" fontId="59" fillId="9" borderId="66" xfId="0" applyFont="1" applyFill="1" applyBorder="1" applyAlignment="1">
      <alignment horizontal="center" vertical="center" textRotation="90"/>
    </xf>
    <xf numFmtId="0" fontId="58" fillId="2" borderId="68" xfId="0" applyFont="1" applyFill="1" applyBorder="1" applyAlignment="1">
      <alignment horizontal="center" vertical="center"/>
    </xf>
    <xf numFmtId="0" fontId="5" fillId="2" borderId="23" xfId="0" applyFont="1" applyFill="1" applyBorder="1" applyAlignment="1">
      <alignment horizontal="left" vertical="center"/>
    </xf>
    <xf numFmtId="0" fontId="60" fillId="10" borderId="1" xfId="0" applyFont="1" applyFill="1" applyBorder="1" applyAlignment="1">
      <alignment horizontal="center" textRotation="90"/>
    </xf>
    <xf numFmtId="0" fontId="60" fillId="10" borderId="7" xfId="0" applyFont="1" applyFill="1" applyBorder="1" applyAlignment="1">
      <alignment horizontal="center" textRotation="90"/>
    </xf>
    <xf numFmtId="0" fontId="54" fillId="3" borderId="41" xfId="0" applyFont="1" applyFill="1" applyBorder="1" applyAlignment="1">
      <alignment horizontal="center" vertical="center" wrapText="1"/>
    </xf>
    <xf numFmtId="0" fontId="54" fillId="3" borderId="42" xfId="0" applyFont="1" applyFill="1" applyBorder="1" applyAlignment="1">
      <alignment horizontal="center" vertical="center" wrapText="1"/>
    </xf>
    <xf numFmtId="0" fontId="53" fillId="2" borderId="41" xfId="0" applyFont="1" applyFill="1" applyBorder="1" applyAlignment="1">
      <alignment horizontal="center" vertical="center"/>
    </xf>
    <xf numFmtId="0" fontId="53" fillId="2" borderId="42" xfId="0" applyFont="1" applyFill="1" applyBorder="1" applyAlignment="1">
      <alignment horizontal="center" vertical="center"/>
    </xf>
    <xf numFmtId="0" fontId="52" fillId="2" borderId="0" xfId="0" applyFont="1" applyFill="1" applyAlignment="1" applyProtection="1">
      <alignment horizontal="left" vertical="top"/>
      <protection locked="0"/>
    </xf>
    <xf numFmtId="0" fontId="59" fillId="6" borderId="41" xfId="0" applyFont="1" applyFill="1" applyBorder="1" applyAlignment="1">
      <alignment horizontal="center" vertical="center" textRotation="90"/>
    </xf>
    <xf numFmtId="0" fontId="59" fillId="6" borderId="66" xfId="0" applyFont="1" applyFill="1" applyBorder="1" applyAlignment="1">
      <alignment horizontal="center" vertical="center" textRotation="90"/>
    </xf>
    <xf numFmtId="0" fontId="51" fillId="2" borderId="0" xfId="0" applyFont="1" applyFill="1" applyAlignment="1" applyProtection="1">
      <alignment horizontal="left" vertical="top"/>
      <protection locked="0"/>
    </xf>
    <xf numFmtId="164" fontId="52" fillId="2" borderId="0" xfId="0" applyNumberFormat="1" applyFont="1" applyFill="1" applyAlignment="1">
      <alignment horizontal="left" vertical="top"/>
    </xf>
    <xf numFmtId="0" fontId="2" fillId="2" borderId="4" xfId="0" applyFont="1" applyFill="1" applyBorder="1" applyAlignment="1">
      <alignment horizontal="center" vertical="center" wrapText="1"/>
    </xf>
    <xf numFmtId="0" fontId="59" fillId="4" borderId="41" xfId="0" applyFont="1" applyFill="1" applyBorder="1" applyAlignment="1">
      <alignment horizontal="center" vertical="center" textRotation="90"/>
    </xf>
    <xf numFmtId="0" fontId="59" fillId="4" borderId="66" xfId="0" applyFont="1" applyFill="1" applyBorder="1" applyAlignment="1">
      <alignment horizontal="center" vertical="center" textRotation="90"/>
    </xf>
    <xf numFmtId="0" fontId="59" fillId="8" borderId="41" xfId="0" applyFont="1" applyFill="1" applyBorder="1" applyAlignment="1">
      <alignment horizontal="center" vertical="center" textRotation="90"/>
    </xf>
    <xf numFmtId="0" fontId="59" fillId="8" borderId="66" xfId="0" applyFont="1" applyFill="1" applyBorder="1" applyAlignment="1">
      <alignment horizontal="center" vertical="center" textRotation="90"/>
    </xf>
    <xf numFmtId="0" fontId="58" fillId="2" borderId="57" xfId="0" applyFont="1" applyFill="1" applyBorder="1" applyAlignment="1">
      <alignment horizontal="center" vertical="center"/>
    </xf>
    <xf numFmtId="0" fontId="5" fillId="2" borderId="58" xfId="0" applyFont="1" applyFill="1" applyBorder="1" applyAlignment="1">
      <alignment horizontal="left" vertical="center"/>
    </xf>
    <xf numFmtId="0" fontId="58" fillId="2" borderId="65" xfId="0" applyFont="1" applyFill="1" applyBorder="1" applyAlignment="1">
      <alignment horizontal="center" vertical="center"/>
    </xf>
    <xf numFmtId="0" fontId="5" fillId="2" borderId="64" xfId="0" applyFont="1" applyFill="1" applyBorder="1" applyAlignment="1">
      <alignment horizontal="left" vertical="center"/>
    </xf>
    <xf numFmtId="0" fontId="59" fillId="14" borderId="41" xfId="0" applyFont="1" applyFill="1" applyBorder="1" applyAlignment="1">
      <alignment horizontal="center" vertical="center" textRotation="90"/>
    </xf>
    <xf numFmtId="0" fontId="59" fillId="14" borderId="66" xfId="0" applyFont="1" applyFill="1" applyBorder="1" applyAlignment="1">
      <alignment horizontal="center" vertical="center" textRotation="90"/>
    </xf>
    <xf numFmtId="0" fontId="59" fillId="7" borderId="41" xfId="0" applyFont="1" applyFill="1" applyBorder="1" applyAlignment="1">
      <alignment horizontal="center" vertical="center" textRotation="90"/>
    </xf>
    <xf numFmtId="0" fontId="59" fillId="7" borderId="66" xfId="0" applyFont="1" applyFill="1" applyBorder="1" applyAlignment="1">
      <alignment horizontal="center" vertical="center" textRotation="90"/>
    </xf>
    <xf numFmtId="0" fontId="59" fillId="13" borderId="41" xfId="0" applyFont="1" applyFill="1" applyBorder="1" applyAlignment="1">
      <alignment horizontal="center" vertical="center" textRotation="90"/>
    </xf>
    <xf numFmtId="0" fontId="59" fillId="13" borderId="66" xfId="0" applyFont="1" applyFill="1" applyBorder="1" applyAlignment="1">
      <alignment horizontal="center" vertical="center" textRotation="90"/>
    </xf>
    <xf numFmtId="0" fontId="61" fillId="15" borderId="1" xfId="0" applyFont="1" applyFill="1" applyBorder="1" applyAlignment="1">
      <alignment horizontal="center" vertical="center" textRotation="45" wrapText="1"/>
    </xf>
    <xf numFmtId="0" fontId="61" fillId="15" borderId="7" xfId="0" applyFont="1" applyFill="1" applyBorder="1" applyAlignment="1">
      <alignment horizontal="center" vertical="center" textRotation="45" wrapText="1"/>
    </xf>
    <xf numFmtId="0" fontId="61" fillId="15" borderId="6" xfId="0" applyFont="1" applyFill="1" applyBorder="1" applyAlignment="1">
      <alignment horizontal="center" vertical="center" textRotation="45" wrapText="1"/>
    </xf>
    <xf numFmtId="0" fontId="5" fillId="2" borderId="70" xfId="0" applyFont="1" applyFill="1" applyBorder="1" applyAlignment="1">
      <alignment horizontal="left" vertical="center"/>
    </xf>
    <xf numFmtId="0" fontId="58" fillId="2" borderId="69" xfId="0" applyFont="1" applyFill="1" applyBorder="1" applyAlignment="1">
      <alignment horizontal="center" vertical="center"/>
    </xf>
    <xf numFmtId="0" fontId="5" fillId="2" borderId="32" xfId="0" applyFont="1" applyFill="1" applyBorder="1" applyAlignment="1">
      <alignment horizontal="left" vertical="center"/>
    </xf>
    <xf numFmtId="0" fontId="59" fillId="11" borderId="41" xfId="0" applyFont="1" applyFill="1" applyBorder="1" applyAlignment="1">
      <alignment horizontal="center" vertical="center" textRotation="90"/>
    </xf>
    <xf numFmtId="0" fontId="59" fillId="11" borderId="66" xfId="0" applyFont="1" applyFill="1" applyBorder="1" applyAlignment="1">
      <alignment horizontal="center" vertical="center" textRotation="90"/>
    </xf>
    <xf numFmtId="0" fontId="59" fillId="12" borderId="41" xfId="0" applyFont="1" applyFill="1" applyBorder="1" applyAlignment="1">
      <alignment horizontal="center" vertical="center" textRotation="90"/>
    </xf>
    <xf numFmtId="0" fontId="59" fillId="12" borderId="66" xfId="0" applyFont="1" applyFill="1" applyBorder="1" applyAlignment="1">
      <alignment horizontal="center" vertical="center" textRotation="90"/>
    </xf>
    <xf numFmtId="0" fontId="5" fillId="2" borderId="72" xfId="0" applyFont="1" applyFill="1" applyBorder="1" applyAlignment="1">
      <alignment horizontal="left" vertical="center"/>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21" fillId="17" borderId="0" xfId="0" applyFont="1" applyFill="1" applyAlignment="1">
      <alignment horizontal="center" vertical="center" wrapText="1"/>
    </xf>
    <xf numFmtId="0" fontId="21" fillId="17" borderId="0" xfId="0" applyFont="1" applyFill="1" applyAlignment="1">
      <alignment horizontal="center" vertical="center"/>
    </xf>
    <xf numFmtId="0" fontId="16" fillId="15" borderId="14" xfId="0" applyFont="1" applyFill="1" applyBorder="1" applyAlignment="1">
      <alignment horizontal="center" vertical="center" textRotation="90" wrapText="1"/>
    </xf>
    <xf numFmtId="0" fontId="17" fillId="12" borderId="47" xfId="0" applyFont="1" applyFill="1" applyBorder="1" applyAlignment="1">
      <alignment horizontal="center" vertical="center" textRotation="90" wrapText="1"/>
    </xf>
    <xf numFmtId="0" fontId="17" fillId="12" borderId="28" xfId="0" applyFont="1" applyFill="1" applyBorder="1" applyAlignment="1">
      <alignment horizontal="center" vertical="center" textRotation="90" wrapText="1"/>
    </xf>
    <xf numFmtId="0" fontId="17" fillId="12" borderId="29" xfId="0" applyFont="1" applyFill="1" applyBorder="1" applyAlignment="1">
      <alignment horizontal="center" vertical="center" textRotation="90" wrapText="1"/>
    </xf>
    <xf numFmtId="0" fontId="12" fillId="2" borderId="27" xfId="0" applyFont="1" applyFill="1" applyBorder="1" applyAlignment="1">
      <alignment horizontal="left" vertical="top" wrapText="1"/>
    </xf>
    <xf numFmtId="0" fontId="12" fillId="2" borderId="28" xfId="0" applyFont="1" applyFill="1" applyBorder="1" applyAlignment="1">
      <alignment horizontal="left" vertical="top" wrapText="1"/>
    </xf>
    <xf numFmtId="0" fontId="12" fillId="2" borderId="29" xfId="0" applyFont="1" applyFill="1" applyBorder="1" applyAlignment="1">
      <alignment horizontal="left" vertical="top" wrapText="1"/>
    </xf>
    <xf numFmtId="0" fontId="16" fillId="7" borderId="46" xfId="0" applyFont="1" applyFill="1" applyBorder="1" applyAlignment="1">
      <alignment horizontal="center" vertical="center" textRotation="90" wrapText="1"/>
    </xf>
    <xf numFmtId="0" fontId="16" fillId="7" borderId="48" xfId="0" applyFont="1" applyFill="1" applyBorder="1" applyAlignment="1">
      <alignment horizontal="center" vertical="center" textRotation="90" wrapText="1"/>
    </xf>
    <xf numFmtId="0" fontId="16" fillId="8" borderId="46" xfId="0" applyFont="1" applyFill="1" applyBorder="1" applyAlignment="1">
      <alignment horizontal="center" vertical="center" textRotation="90" wrapText="1"/>
    </xf>
    <xf numFmtId="0" fontId="16" fillId="8" borderId="48" xfId="0" applyFont="1" applyFill="1" applyBorder="1" applyAlignment="1">
      <alignment horizontal="center" vertical="center" textRotation="90" wrapText="1"/>
    </xf>
    <xf numFmtId="0" fontId="16" fillId="8" borderId="47" xfId="0" applyFont="1" applyFill="1" applyBorder="1" applyAlignment="1">
      <alignment horizontal="center" vertical="center" textRotation="90" wrapText="1"/>
    </xf>
    <xf numFmtId="0" fontId="16" fillId="7" borderId="14" xfId="0" applyFont="1" applyFill="1" applyBorder="1" applyAlignment="1">
      <alignment horizontal="center" vertical="center" textRotation="90" wrapText="1"/>
    </xf>
    <xf numFmtId="0" fontId="16" fillId="9" borderId="47" xfId="0" applyFont="1" applyFill="1" applyBorder="1" applyAlignment="1">
      <alignment horizontal="center" vertical="center" textRotation="90" wrapText="1"/>
    </xf>
    <xf numFmtId="0" fontId="16" fillId="9" borderId="46" xfId="0" applyFont="1" applyFill="1" applyBorder="1" applyAlignment="1">
      <alignment horizontal="center" vertical="center" textRotation="90" wrapText="1"/>
    </xf>
    <xf numFmtId="0" fontId="16" fillId="9" borderId="48" xfId="0" applyFont="1" applyFill="1" applyBorder="1" applyAlignment="1">
      <alignment horizontal="center" vertical="center" textRotation="90" wrapText="1"/>
    </xf>
    <xf numFmtId="0" fontId="2" fillId="2" borderId="9" xfId="0" applyFont="1" applyFill="1" applyBorder="1" applyAlignment="1">
      <alignment horizontal="center" vertical="center" wrapText="1"/>
    </xf>
    <xf numFmtId="0" fontId="2" fillId="2" borderId="11" xfId="0" applyFont="1" applyFill="1" applyBorder="1" applyAlignment="1">
      <alignment vertical="center" wrapText="1"/>
    </xf>
    <xf numFmtId="0" fontId="2" fillId="2" borderId="9" xfId="0" applyFont="1" applyFill="1" applyBorder="1" applyAlignment="1">
      <alignment vertical="center" wrapText="1"/>
    </xf>
    <xf numFmtId="0" fontId="17" fillId="14" borderId="47" xfId="0" applyFont="1" applyFill="1" applyBorder="1" applyAlignment="1">
      <alignment horizontal="center" vertical="center" textRotation="90" wrapText="1"/>
    </xf>
    <xf numFmtId="0" fontId="17" fillId="14" borderId="28" xfId="0" applyFont="1" applyFill="1" applyBorder="1" applyAlignment="1">
      <alignment horizontal="center" vertical="center" textRotation="90" wrapText="1"/>
    </xf>
    <xf numFmtId="0" fontId="17" fillId="14" borderId="29" xfId="0" applyFont="1" applyFill="1" applyBorder="1" applyAlignment="1">
      <alignment horizontal="center" vertical="center" textRotation="90" wrapText="1"/>
    </xf>
    <xf numFmtId="0" fontId="17" fillId="14" borderId="7" xfId="0" applyFont="1" applyFill="1" applyBorder="1" applyAlignment="1">
      <alignment horizontal="center" vertical="center" textRotation="90" wrapText="1"/>
    </xf>
    <xf numFmtId="0" fontId="2" fillId="2" borderId="9" xfId="0" applyFont="1" applyFill="1" applyBorder="1" applyAlignment="1">
      <alignment horizontal="left" vertical="center" wrapText="1"/>
    </xf>
    <xf numFmtId="0" fontId="17" fillId="15" borderId="7" xfId="0" applyFont="1" applyFill="1" applyBorder="1" applyAlignment="1">
      <alignment horizontal="center" vertical="center" textRotation="90" wrapText="1"/>
    </xf>
    <xf numFmtId="0" fontId="17" fillId="15" borderId="4" xfId="0" applyFont="1" applyFill="1" applyBorder="1" applyAlignment="1">
      <alignment horizontal="center" vertical="center" textRotation="90" wrapText="1"/>
    </xf>
    <xf numFmtId="0" fontId="17" fillId="15" borderId="5" xfId="0" applyFont="1" applyFill="1" applyBorder="1" applyAlignment="1">
      <alignment horizontal="center" vertical="center" textRotation="90" wrapText="1"/>
    </xf>
    <xf numFmtId="0" fontId="17" fillId="13" borderId="47" xfId="0" applyFont="1" applyFill="1" applyBorder="1" applyAlignment="1">
      <alignment horizontal="center" vertical="center" textRotation="90" wrapText="1"/>
    </xf>
    <xf numFmtId="0" fontId="17" fillId="13" borderId="28" xfId="0" applyFont="1" applyFill="1" applyBorder="1" applyAlignment="1">
      <alignment horizontal="center" vertical="center" textRotation="90" wrapText="1"/>
    </xf>
    <xf numFmtId="0" fontId="17" fillId="13" borderId="29" xfId="0" applyFont="1" applyFill="1" applyBorder="1" applyAlignment="1">
      <alignment horizontal="center" vertical="center" textRotation="90" wrapText="1"/>
    </xf>
    <xf numFmtId="0" fontId="17" fillId="13" borderId="7" xfId="0" applyFont="1" applyFill="1" applyBorder="1" applyAlignment="1">
      <alignment horizontal="center" vertical="center" textRotation="90" wrapText="1"/>
    </xf>
    <xf numFmtId="0" fontId="16" fillId="11" borderId="47" xfId="0" applyFont="1" applyFill="1" applyBorder="1" applyAlignment="1">
      <alignment horizontal="center" vertical="center" textRotation="90" wrapText="1"/>
    </xf>
    <xf numFmtId="0" fontId="16" fillId="11" borderId="46" xfId="0" applyFont="1" applyFill="1" applyBorder="1" applyAlignment="1">
      <alignment horizontal="center" vertical="center" textRotation="90" wrapText="1"/>
    </xf>
    <xf numFmtId="0" fontId="16" fillId="11" borderId="48" xfId="0" applyFont="1" applyFill="1" applyBorder="1" applyAlignment="1">
      <alignment horizontal="center" vertical="center" textRotation="90" wrapText="1"/>
    </xf>
    <xf numFmtId="0" fontId="16" fillId="12" borderId="14" xfId="0" applyFont="1" applyFill="1" applyBorder="1" applyAlignment="1">
      <alignment horizontal="center" vertical="center" textRotation="90" wrapText="1"/>
    </xf>
    <xf numFmtId="0" fontId="7" fillId="2" borderId="12"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16" fillId="11" borderId="14" xfId="0" applyFont="1" applyFill="1" applyBorder="1" applyAlignment="1">
      <alignment horizontal="center" vertical="center" textRotation="90" wrapText="1"/>
    </xf>
    <xf numFmtId="0" fontId="16" fillId="10" borderId="14" xfId="0" applyFont="1" applyFill="1" applyBorder="1" applyAlignment="1">
      <alignment horizontal="center" vertical="center" textRotation="90" wrapText="1"/>
    </xf>
    <xf numFmtId="0" fontId="16" fillId="10" borderId="47" xfId="0" applyFont="1" applyFill="1" applyBorder="1" applyAlignment="1">
      <alignment horizontal="center" vertical="center" textRotation="90" wrapText="1"/>
    </xf>
    <xf numFmtId="0" fontId="16" fillId="10" borderId="46" xfId="0" applyFont="1" applyFill="1" applyBorder="1" applyAlignment="1">
      <alignment horizontal="center" vertical="center" textRotation="90" wrapText="1"/>
    </xf>
    <xf numFmtId="0" fontId="16" fillId="10" borderId="48" xfId="0" applyFont="1" applyFill="1" applyBorder="1" applyAlignment="1">
      <alignment horizontal="center" vertical="center" textRotation="90" wrapText="1"/>
    </xf>
    <xf numFmtId="0" fontId="16" fillId="9" borderId="14" xfId="0" applyFont="1" applyFill="1" applyBorder="1" applyAlignment="1">
      <alignment horizontal="center" vertical="center" textRotation="90" wrapText="1"/>
    </xf>
    <xf numFmtId="0" fontId="16" fillId="8" borderId="14" xfId="0" applyFont="1" applyFill="1" applyBorder="1" applyAlignment="1">
      <alignment horizontal="center" vertical="center" textRotation="90" wrapText="1"/>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0" xfId="0" applyFont="1" applyFill="1" applyAlignment="1">
      <alignment horizontal="center" vertical="center"/>
    </xf>
    <xf numFmtId="0" fontId="10" fillId="2" borderId="8" xfId="0" applyFont="1" applyFill="1" applyBorder="1" applyAlignment="1">
      <alignment horizontal="center" vertical="center"/>
    </xf>
    <xf numFmtId="0" fontId="16" fillId="4" borderId="46" xfId="0" applyFont="1" applyFill="1" applyBorder="1" applyAlignment="1">
      <alignment horizontal="center" vertical="center" textRotation="90" wrapText="1"/>
    </xf>
    <xf numFmtId="0" fontId="16" fillId="4" borderId="48" xfId="0" applyFont="1" applyFill="1" applyBorder="1" applyAlignment="1">
      <alignment horizontal="center" vertical="center" textRotation="90" wrapText="1"/>
    </xf>
    <xf numFmtId="0" fontId="16" fillId="4" borderId="7" xfId="0" applyFont="1" applyFill="1" applyBorder="1" applyAlignment="1">
      <alignment horizontal="center" vertical="center" textRotation="90" wrapText="1"/>
    </xf>
    <xf numFmtId="0" fontId="16" fillId="4" borderId="0" xfId="0" applyFont="1" applyFill="1" applyAlignment="1">
      <alignment horizontal="center" vertical="center" textRotation="90" wrapText="1"/>
    </xf>
    <xf numFmtId="0" fontId="16" fillId="4" borderId="8" xfId="0" applyFont="1" applyFill="1" applyBorder="1" applyAlignment="1">
      <alignment horizontal="center" vertical="center" textRotation="90" wrapText="1"/>
    </xf>
    <xf numFmtId="0" fontId="31" fillId="16" borderId="7" xfId="0" applyFont="1" applyFill="1" applyBorder="1" applyAlignment="1">
      <alignment horizontal="left" vertical="top"/>
    </xf>
    <xf numFmtId="0" fontId="31" fillId="16" borderId="0" xfId="0" applyFont="1" applyFill="1" applyAlignment="1">
      <alignment horizontal="left" vertical="top"/>
    </xf>
    <xf numFmtId="0" fontId="31" fillId="16" borderId="8" xfId="0" applyFont="1" applyFill="1" applyBorder="1" applyAlignment="1">
      <alignment horizontal="left" vertical="top"/>
    </xf>
    <xf numFmtId="0" fontId="7" fillId="0" borderId="6" xfId="0" applyFont="1" applyBorder="1" applyAlignment="1" applyProtection="1">
      <alignment horizontal="left" vertical="top" wrapText="1"/>
      <protection locked="0"/>
    </xf>
    <xf numFmtId="0" fontId="7" fillId="0" borderId="4" xfId="0" applyFont="1" applyBorder="1" applyAlignment="1" applyProtection="1">
      <alignment horizontal="left" vertical="top" wrapText="1"/>
      <protection locked="0"/>
    </xf>
    <xf numFmtId="0" fontId="7" fillId="0" borderId="5" xfId="0" applyFont="1" applyBorder="1" applyAlignment="1" applyProtection="1">
      <alignment horizontal="left" vertical="top" wrapText="1"/>
      <protection locked="0"/>
    </xf>
    <xf numFmtId="0" fontId="16" fillId="4" borderId="14" xfId="0" applyFont="1" applyFill="1" applyBorder="1" applyAlignment="1">
      <alignment horizontal="center" vertical="center" textRotation="90" wrapText="1"/>
    </xf>
    <xf numFmtId="0" fontId="12" fillId="2" borderId="25" xfId="0" applyFont="1" applyFill="1" applyBorder="1" applyAlignment="1">
      <alignment horizontal="left" vertical="top" wrapText="1"/>
    </xf>
    <xf numFmtId="0" fontId="12" fillId="2" borderId="46" xfId="0" applyFont="1" applyFill="1" applyBorder="1" applyAlignment="1">
      <alignment horizontal="left" vertical="top" wrapText="1"/>
    </xf>
    <xf numFmtId="0" fontId="12" fillId="2" borderId="48" xfId="0" applyFont="1" applyFill="1" applyBorder="1" applyAlignment="1">
      <alignment horizontal="left" vertical="top" wrapText="1"/>
    </xf>
    <xf numFmtId="0" fontId="16" fillId="6" borderId="46" xfId="0" applyFont="1" applyFill="1" applyBorder="1" applyAlignment="1">
      <alignment horizontal="center" vertical="center" textRotation="90" wrapText="1"/>
    </xf>
    <xf numFmtId="0" fontId="16" fillId="6" borderId="48" xfId="0" applyFont="1" applyFill="1" applyBorder="1" applyAlignment="1">
      <alignment horizontal="center" vertical="center" textRotation="90" wrapText="1"/>
    </xf>
    <xf numFmtId="0" fontId="16" fillId="6" borderId="14" xfId="0" applyFont="1" applyFill="1" applyBorder="1" applyAlignment="1">
      <alignment horizontal="center" vertical="center" textRotation="90" wrapText="1"/>
    </xf>
    <xf numFmtId="0" fontId="16" fillId="14" borderId="14" xfId="0" applyFont="1" applyFill="1" applyBorder="1" applyAlignment="1">
      <alignment horizontal="center" vertical="center" textRotation="90" wrapText="1"/>
    </xf>
    <xf numFmtId="0" fontId="16" fillId="13" borderId="14" xfId="0" applyFont="1" applyFill="1" applyBorder="1" applyAlignment="1">
      <alignment horizontal="center" vertical="center" textRotation="90" wrapText="1"/>
    </xf>
    <xf numFmtId="165" fontId="47" fillId="2" borderId="103" xfId="4" applyNumberFormat="1" applyFont="1" applyBorder="1" applyAlignment="1" applyProtection="1">
      <alignment horizontal="center" vertical="center"/>
      <protection locked="0"/>
    </xf>
    <xf numFmtId="165" fontId="47" fillId="2" borderId="104" xfId="4" applyNumberFormat="1" applyFont="1" applyBorder="1" applyAlignment="1" applyProtection="1">
      <alignment horizontal="center" vertical="center"/>
      <protection locked="0"/>
    </xf>
    <xf numFmtId="165" fontId="47" fillId="2" borderId="100" xfId="4" applyNumberFormat="1" applyFont="1" applyBorder="1" applyAlignment="1" applyProtection="1">
      <alignment horizontal="center" vertical="center"/>
      <protection locked="0"/>
    </xf>
    <xf numFmtId="165" fontId="47" fillId="2" borderId="94" xfId="4" applyNumberFormat="1" applyFont="1" applyBorder="1" applyAlignment="1" applyProtection="1">
      <alignment horizontal="center" vertical="center"/>
      <protection locked="0"/>
    </xf>
    <xf numFmtId="0" fontId="72" fillId="29" borderId="89" xfId="4" applyFont="1" applyFill="1" applyBorder="1" applyAlignment="1">
      <alignment horizontal="left" vertical="center" wrapText="1"/>
    </xf>
    <xf numFmtId="0" fontId="72" fillId="29" borderId="90" xfId="4" applyFont="1" applyFill="1" applyBorder="1" applyAlignment="1">
      <alignment horizontal="left" vertical="center" wrapText="1"/>
    </xf>
    <xf numFmtId="0" fontId="43" fillId="26" borderId="95" xfId="4" applyFont="1" applyFill="1" applyBorder="1" applyAlignment="1">
      <alignment horizontal="center" vertical="center" wrapText="1"/>
    </xf>
    <xf numFmtId="0" fontId="43" fillId="26" borderId="96" xfId="4" applyFont="1" applyFill="1" applyBorder="1" applyAlignment="1">
      <alignment horizontal="center" vertical="center" wrapText="1"/>
    </xf>
    <xf numFmtId="1" fontId="43" fillId="26" borderId="100" xfId="4" applyNumberFormat="1" applyFont="1" applyFill="1" applyBorder="1" applyAlignment="1">
      <alignment horizontal="center" vertical="center"/>
    </xf>
    <xf numFmtId="1" fontId="43" fillId="26" borderId="94" xfId="4" applyNumberFormat="1" applyFont="1" applyFill="1" applyBorder="1" applyAlignment="1">
      <alignment horizontal="center" vertical="center"/>
    </xf>
    <xf numFmtId="165" fontId="47" fillId="16" borderId="100" xfId="4" applyNumberFormat="1" applyFont="1" applyFill="1" applyBorder="1" applyAlignment="1" applyProtection="1">
      <alignment horizontal="center" vertical="center"/>
      <protection locked="0"/>
    </xf>
    <xf numFmtId="165" fontId="47" fillId="16" borderId="94" xfId="4" applyNumberFormat="1" applyFont="1" applyFill="1" applyBorder="1" applyAlignment="1" applyProtection="1">
      <alignment horizontal="center" vertical="center"/>
      <protection locked="0"/>
    </xf>
    <xf numFmtId="165" fontId="47" fillId="16" borderId="103" xfId="4" applyNumberFormat="1" applyFont="1" applyFill="1" applyBorder="1" applyAlignment="1" applyProtection="1">
      <alignment horizontal="center" vertical="center"/>
      <protection locked="0"/>
    </xf>
    <xf numFmtId="165" fontId="47" fillId="16" borderId="104" xfId="4" applyNumberFormat="1" applyFont="1" applyFill="1" applyBorder="1" applyAlignment="1" applyProtection="1">
      <alignment horizontal="center" vertical="center"/>
      <protection locked="0"/>
    </xf>
    <xf numFmtId="2" fontId="47" fillId="26" borderId="103" xfId="4" applyNumberFormat="1" applyFont="1" applyFill="1" applyBorder="1" applyAlignment="1" applyProtection="1">
      <alignment horizontal="center" vertical="center"/>
      <protection locked="0"/>
    </xf>
    <xf numFmtId="2" fontId="47" fillId="26" borderId="104" xfId="4" applyNumberFormat="1" applyFont="1" applyFill="1" applyBorder="1" applyAlignment="1" applyProtection="1">
      <alignment horizontal="center" vertical="center"/>
      <protection locked="0"/>
    </xf>
    <xf numFmtId="1" fontId="43" fillId="26" borderId="100" xfId="4" quotePrefix="1" applyNumberFormat="1" applyFont="1" applyFill="1" applyBorder="1" applyAlignment="1">
      <alignment horizontal="center" vertical="center"/>
    </xf>
    <xf numFmtId="1" fontId="43" fillId="26" borderId="94" xfId="4" quotePrefix="1" applyNumberFormat="1" applyFont="1" applyFill="1" applyBorder="1" applyAlignment="1">
      <alignment horizontal="center" vertical="center"/>
    </xf>
    <xf numFmtId="165" fontId="47" fillId="25" borderId="103" xfId="4" applyNumberFormat="1" applyFont="1" applyFill="1" applyBorder="1" applyAlignment="1" applyProtection="1">
      <alignment horizontal="center" vertical="center"/>
      <protection locked="0"/>
    </xf>
    <xf numFmtId="165" fontId="47" fillId="25" borderId="104" xfId="4" applyNumberFormat="1" applyFont="1" applyFill="1" applyBorder="1" applyAlignment="1" applyProtection="1">
      <alignment horizontal="center" vertical="center"/>
      <protection locked="0"/>
    </xf>
    <xf numFmtId="0" fontId="47" fillId="2" borderId="110" xfId="4" applyFont="1" applyBorder="1" applyAlignment="1" applyProtection="1">
      <alignment horizontal="center" vertical="center"/>
      <protection locked="0"/>
    </xf>
    <xf numFmtId="0" fontId="47" fillId="2" borderId="107" xfId="4" applyFont="1" applyBorder="1" applyAlignment="1" applyProtection="1">
      <alignment horizontal="center" vertical="center"/>
      <protection locked="0"/>
    </xf>
    <xf numFmtId="0" fontId="47" fillId="2" borderId="102" xfId="4" applyFont="1" applyBorder="1" applyAlignment="1" applyProtection="1">
      <alignment horizontal="center" vertical="center"/>
      <protection locked="0"/>
    </xf>
    <xf numFmtId="0" fontId="47" fillId="2" borderId="108" xfId="4" applyFont="1" applyBorder="1" applyAlignment="1" applyProtection="1">
      <alignment horizontal="center" vertical="center"/>
      <protection locked="0"/>
    </xf>
    <xf numFmtId="0" fontId="43" fillId="26" borderId="100" xfId="4" applyFont="1" applyFill="1" applyBorder="1" applyAlignment="1">
      <alignment horizontal="center" vertical="center"/>
    </xf>
    <xf numFmtId="0" fontId="43" fillId="26" borderId="94" xfId="4" applyFont="1" applyFill="1" applyBorder="1" applyAlignment="1">
      <alignment horizontal="center" vertical="center"/>
    </xf>
    <xf numFmtId="0" fontId="47" fillId="2" borderId="97" xfId="4" applyFont="1" applyBorder="1" applyAlignment="1" applyProtection="1">
      <alignment horizontal="center" vertical="center"/>
      <protection locked="0"/>
    </xf>
    <xf numFmtId="165" fontId="47" fillId="2" borderId="97" xfId="4" applyNumberFormat="1" applyFont="1" applyBorder="1" applyAlignment="1" applyProtection="1">
      <alignment horizontal="center" vertical="center"/>
      <protection locked="0"/>
    </xf>
    <xf numFmtId="2" fontId="47" fillId="26" borderId="97" xfId="4" applyNumberFormat="1" applyFont="1" applyFill="1" applyBorder="1" applyAlignment="1">
      <alignment horizontal="center" vertical="center"/>
    </xf>
    <xf numFmtId="165" fontId="47" fillId="25" borderId="100" xfId="4" applyNumberFormat="1" applyFont="1" applyFill="1" applyBorder="1" applyAlignment="1" applyProtection="1">
      <alignment horizontal="center" vertical="center"/>
      <protection locked="0"/>
    </xf>
    <xf numFmtId="165" fontId="47" fillId="25" borderId="94" xfId="4" applyNumberFormat="1" applyFont="1" applyFill="1" applyBorder="1" applyAlignment="1" applyProtection="1">
      <alignment horizontal="center" vertical="center"/>
      <protection locked="0"/>
    </xf>
    <xf numFmtId="0" fontId="43" fillId="26" borderId="100" xfId="4" applyFont="1" applyFill="1" applyBorder="1" applyAlignment="1">
      <alignment horizontal="center" vertical="center" wrapText="1"/>
    </xf>
    <xf numFmtId="0" fontId="43" fillId="26" borderId="94" xfId="4" applyFont="1" applyFill="1" applyBorder="1" applyAlignment="1">
      <alignment horizontal="center" vertical="center" wrapText="1"/>
    </xf>
    <xf numFmtId="165" fontId="47" fillId="2" borderId="102" xfId="4" applyNumberFormat="1" applyFont="1" applyBorder="1" applyAlignment="1" applyProtection="1">
      <alignment horizontal="center" vertical="center"/>
      <protection locked="0"/>
    </xf>
    <xf numFmtId="165" fontId="47" fillId="2" borderId="108" xfId="4" applyNumberFormat="1" applyFont="1" applyBorder="1" applyAlignment="1" applyProtection="1">
      <alignment horizontal="center" vertical="center"/>
      <protection locked="0"/>
    </xf>
    <xf numFmtId="2" fontId="47" fillId="26" borderId="102" xfId="4" applyNumberFormat="1" applyFont="1" applyFill="1" applyBorder="1" applyAlignment="1">
      <alignment horizontal="center" vertical="center"/>
    </xf>
    <xf numFmtId="2" fontId="47" fillId="26" borderId="108" xfId="4" applyNumberFormat="1" applyFont="1" applyFill="1" applyBorder="1" applyAlignment="1">
      <alignment horizontal="center" vertical="center"/>
    </xf>
    <xf numFmtId="165" fontId="47" fillId="2" borderId="114" xfId="4" applyNumberFormat="1" applyFont="1" applyBorder="1" applyAlignment="1" applyProtection="1">
      <alignment horizontal="center" vertical="center"/>
      <protection locked="0"/>
    </xf>
    <xf numFmtId="1" fontId="43" fillId="26" borderId="100" xfId="4" applyNumberFormat="1" applyFont="1" applyFill="1" applyBorder="1" applyAlignment="1" applyProtection="1">
      <alignment horizontal="center" vertical="center"/>
      <protection locked="0"/>
    </xf>
    <xf numFmtId="1" fontId="43" fillId="26" borderId="94" xfId="4" applyNumberFormat="1" applyFont="1" applyFill="1" applyBorder="1" applyAlignment="1" applyProtection="1">
      <alignment horizontal="center" vertical="center"/>
      <protection locked="0"/>
    </xf>
    <xf numFmtId="0" fontId="41" fillId="0" borderId="0" xfId="4" applyFont="1" applyFill="1" applyAlignment="1">
      <alignment horizontal="left" vertical="center"/>
    </xf>
    <xf numFmtId="0" fontId="39" fillId="0" borderId="0" xfId="4" applyFont="1" applyFill="1" applyAlignment="1">
      <alignment horizontal="left" vertical="center"/>
    </xf>
    <xf numFmtId="0" fontId="45" fillId="29" borderId="88" xfId="4" applyFont="1" applyFill="1" applyBorder="1" applyAlignment="1">
      <alignment horizontal="left" vertical="center"/>
    </xf>
    <xf numFmtId="0" fontId="45" fillId="29" borderId="98" xfId="4" applyFont="1" applyFill="1" applyBorder="1" applyAlignment="1">
      <alignment horizontal="left" vertical="center"/>
    </xf>
    <xf numFmtId="0" fontId="45" fillId="29" borderId="99" xfId="4" applyFont="1" applyFill="1" applyBorder="1" applyAlignment="1">
      <alignment horizontal="left" vertical="center"/>
    </xf>
    <xf numFmtId="0" fontId="42" fillId="2" borderId="92" xfId="4" applyFont="1" applyBorder="1" applyAlignment="1" applyProtection="1">
      <alignment horizontal="left" vertical="top" wrapText="1"/>
      <protection locked="0"/>
    </xf>
    <xf numFmtId="0" fontId="42" fillId="2" borderId="89" xfId="4" applyFont="1" applyBorder="1" applyAlignment="1" applyProtection="1">
      <alignment horizontal="left" vertical="top" wrapText="1"/>
      <protection locked="0"/>
    </xf>
    <xf numFmtId="0" fontId="42" fillId="2" borderId="90" xfId="4" applyFont="1" applyBorder="1" applyAlignment="1" applyProtection="1">
      <alignment horizontal="left" vertical="top" wrapText="1"/>
      <protection locked="0"/>
    </xf>
    <xf numFmtId="0" fontId="39" fillId="0" borderId="0" xfId="4" applyFont="1" applyFill="1" applyAlignment="1" applyProtection="1">
      <alignment horizontal="left" vertical="center"/>
      <protection locked="0"/>
    </xf>
    <xf numFmtId="0" fontId="47" fillId="2" borderId="100" xfId="4" applyFont="1" applyBorder="1" applyAlignment="1" applyProtection="1">
      <alignment horizontal="center" vertical="center"/>
      <protection locked="0"/>
    </xf>
    <xf numFmtId="0" fontId="47" fillId="2" borderId="94" xfId="4" applyFont="1" applyBorder="1" applyAlignment="1" applyProtection="1">
      <alignment horizontal="center" vertical="center"/>
      <protection locked="0"/>
    </xf>
    <xf numFmtId="0" fontId="43" fillId="26" borderId="116" xfId="4" applyFont="1" applyFill="1" applyBorder="1" applyAlignment="1">
      <alignment horizontal="center" vertical="center" wrapText="1"/>
    </xf>
    <xf numFmtId="1" fontId="43" fillId="26" borderId="97" xfId="4" applyNumberFormat="1" applyFont="1" applyFill="1" applyBorder="1" applyAlignment="1">
      <alignment horizontal="center" vertical="center"/>
    </xf>
    <xf numFmtId="0" fontId="80" fillId="0" borderId="0" xfId="0" applyFont="1" applyAlignment="1">
      <alignment horizontal="left" vertical="center" wrapText="1"/>
    </xf>
    <xf numFmtId="0" fontId="72" fillId="30" borderId="89" xfId="4" applyFont="1" applyFill="1" applyBorder="1" applyAlignment="1">
      <alignment horizontal="left" vertical="center" wrapText="1"/>
    </xf>
    <xf numFmtId="0" fontId="72" fillId="30" borderId="90" xfId="4" applyFont="1" applyFill="1" applyBorder="1" applyAlignment="1">
      <alignment horizontal="left" vertical="center" wrapText="1"/>
    </xf>
    <xf numFmtId="0" fontId="72" fillId="30" borderId="0" xfId="4" applyFont="1" applyFill="1" applyAlignment="1">
      <alignment horizontal="left" vertical="center" wrapText="1"/>
    </xf>
    <xf numFmtId="0" fontId="72" fillId="30" borderId="101" xfId="4" applyFont="1" applyFill="1" applyBorder="1" applyAlignment="1">
      <alignment horizontal="left" vertical="center" wrapText="1"/>
    </xf>
    <xf numFmtId="0" fontId="45" fillId="30" borderId="88" xfId="4" applyFont="1" applyFill="1" applyBorder="1" applyAlignment="1">
      <alignment horizontal="left" vertical="center"/>
    </xf>
    <xf numFmtId="0" fontId="45" fillId="30" borderId="98" xfId="4" applyFont="1" applyFill="1" applyBorder="1" applyAlignment="1">
      <alignment horizontal="left" vertical="center"/>
    </xf>
    <xf numFmtId="0" fontId="45" fillId="30" borderId="99" xfId="4" applyFont="1" applyFill="1" applyBorder="1" applyAlignment="1">
      <alignment horizontal="left" vertical="center"/>
    </xf>
    <xf numFmtId="0" fontId="43" fillId="2" borderId="92" xfId="4" applyFont="1" applyBorder="1" applyAlignment="1" applyProtection="1">
      <alignment horizontal="left" vertical="top" wrapText="1"/>
      <protection locked="0"/>
    </xf>
    <xf numFmtId="0" fontId="43" fillId="2" borderId="89" xfId="4" applyFont="1" applyBorder="1" applyAlignment="1" applyProtection="1">
      <alignment horizontal="left" vertical="top" wrapText="1"/>
      <protection locked="0"/>
    </xf>
    <xf numFmtId="0" fontId="43" fillId="2" borderId="90" xfId="4" applyFont="1" applyBorder="1" applyAlignment="1" applyProtection="1">
      <alignment horizontal="left" vertical="top" wrapText="1"/>
      <protection locked="0"/>
    </xf>
    <xf numFmtId="2" fontId="47" fillId="2" borderId="100" xfId="4" applyNumberFormat="1" applyFont="1" applyBorder="1" applyAlignment="1" applyProtection="1">
      <alignment horizontal="center" vertical="center"/>
      <protection locked="0"/>
    </xf>
    <xf numFmtId="2" fontId="47" fillId="2" borderId="129" xfId="4" applyNumberFormat="1" applyFont="1" applyBorder="1" applyAlignment="1" applyProtection="1">
      <alignment horizontal="center" vertical="center"/>
      <protection locked="0"/>
    </xf>
    <xf numFmtId="2" fontId="47" fillId="2" borderId="94" xfId="4" applyNumberFormat="1" applyFont="1" applyBorder="1" applyAlignment="1" applyProtection="1">
      <alignment horizontal="center" vertical="center"/>
      <protection locked="0"/>
    </xf>
    <xf numFmtId="2" fontId="47" fillId="2" borderId="103" xfId="4" applyNumberFormat="1" applyFont="1" applyBorder="1" applyAlignment="1" applyProtection="1">
      <alignment horizontal="center" vertical="center"/>
      <protection locked="0"/>
    </xf>
    <xf numFmtId="2" fontId="47" fillId="2" borderId="131" xfId="4" applyNumberFormat="1" applyFont="1" applyBorder="1" applyAlignment="1" applyProtection="1">
      <alignment horizontal="center" vertical="center"/>
      <protection locked="0"/>
    </xf>
    <xf numFmtId="2" fontId="47" fillId="2" borderId="104" xfId="4" applyNumberFormat="1" applyFont="1" applyBorder="1" applyAlignment="1" applyProtection="1">
      <alignment horizontal="center" vertical="center"/>
      <protection locked="0"/>
    </xf>
    <xf numFmtId="2" fontId="65" fillId="2" borderId="145" xfId="4" applyNumberFormat="1" applyFont="1" applyBorder="1" applyAlignment="1">
      <alignment horizontal="left" vertical="center"/>
    </xf>
    <xf numFmtId="2" fontId="65" fillId="2" borderId="146" xfId="4" applyNumberFormat="1" applyFont="1" applyBorder="1" applyAlignment="1">
      <alignment horizontal="left" vertical="center"/>
    </xf>
    <xf numFmtId="2" fontId="65" fillId="2" borderId="147" xfId="4" applyNumberFormat="1" applyFont="1" applyBorder="1" applyAlignment="1">
      <alignment horizontal="left" vertical="center"/>
    </xf>
    <xf numFmtId="0" fontId="23" fillId="2" borderId="0" xfId="4" applyFont="1" applyAlignment="1">
      <alignment horizontal="left" vertical="center" wrapText="1"/>
    </xf>
    <xf numFmtId="2" fontId="65" fillId="2" borderId="100" xfId="4" applyNumberFormat="1" applyFont="1" applyBorder="1" applyAlignment="1">
      <alignment horizontal="left" vertical="center"/>
    </xf>
    <xf numFmtId="2" fontId="65" fillId="2" borderId="129" xfId="4" applyNumberFormat="1" applyFont="1" applyBorder="1" applyAlignment="1">
      <alignment horizontal="left" vertical="center"/>
    </xf>
    <xf numFmtId="2" fontId="65" fillId="2" borderId="111" xfId="4" applyNumberFormat="1" applyFont="1" applyBorder="1" applyAlignment="1">
      <alignment horizontal="left" vertical="center"/>
    </xf>
    <xf numFmtId="2" fontId="65" fillId="2" borderId="103" xfId="4" applyNumberFormat="1" applyFont="1" applyBorder="1" applyAlignment="1">
      <alignment horizontal="left" vertical="center"/>
    </xf>
    <xf numFmtId="2" fontId="65" fillId="2" borderId="131" xfId="4" applyNumberFormat="1" applyFont="1" applyBorder="1" applyAlignment="1">
      <alignment horizontal="left" vertical="center"/>
    </xf>
    <xf numFmtId="2" fontId="65" fillId="2" borderId="115" xfId="4" applyNumberFormat="1" applyFont="1" applyBorder="1" applyAlignment="1">
      <alignment horizontal="left" vertical="center"/>
    </xf>
    <xf numFmtId="0" fontId="43" fillId="26" borderId="93" xfId="4" applyFont="1" applyFill="1" applyBorder="1" applyAlignment="1">
      <alignment horizontal="center" vertical="center" wrapText="1"/>
    </xf>
    <xf numFmtId="0" fontId="43" fillId="26" borderId="97" xfId="4" applyFont="1" applyFill="1" applyBorder="1" applyAlignment="1">
      <alignment horizontal="center" vertical="center" wrapText="1"/>
    </xf>
    <xf numFmtId="0" fontId="43" fillId="26" borderId="109" xfId="4" applyFont="1" applyFill="1" applyBorder="1" applyAlignment="1">
      <alignment horizontal="center" vertical="center" wrapText="1"/>
    </xf>
    <xf numFmtId="0" fontId="49" fillId="2" borderId="0" xfId="4" applyFont="1" applyAlignment="1">
      <alignment horizontal="left" wrapText="1"/>
    </xf>
    <xf numFmtId="0" fontId="43" fillId="26" borderId="143" xfId="4" applyFont="1" applyFill="1" applyBorder="1" applyAlignment="1">
      <alignment horizontal="center" vertical="center" wrapText="1"/>
    </xf>
    <xf numFmtId="0" fontId="43" fillId="26" borderId="129" xfId="4" applyFont="1" applyFill="1" applyBorder="1" applyAlignment="1">
      <alignment horizontal="center" vertical="center" wrapText="1"/>
    </xf>
    <xf numFmtId="0" fontId="72" fillId="31" borderId="127" xfId="4" applyFont="1" applyFill="1" applyBorder="1" applyAlignment="1">
      <alignment horizontal="left" vertical="center" wrapText="1"/>
    </xf>
    <xf numFmtId="0" fontId="72" fillId="31" borderId="128" xfId="4" applyFont="1" applyFill="1" applyBorder="1" applyAlignment="1">
      <alignment horizontal="left" vertical="center" wrapText="1"/>
    </xf>
    <xf numFmtId="0" fontId="72" fillId="31" borderId="117" xfId="4" applyFont="1" applyFill="1" applyBorder="1" applyAlignment="1">
      <alignment horizontal="left" vertical="center" wrapText="1"/>
    </xf>
    <xf numFmtId="0" fontId="72" fillId="31" borderId="122" xfId="4" applyFont="1" applyFill="1" applyBorder="1" applyAlignment="1">
      <alignment horizontal="left" vertical="center" wrapText="1"/>
    </xf>
    <xf numFmtId="0" fontId="72" fillId="31" borderId="98" xfId="4" applyFont="1" applyFill="1" applyBorder="1" applyAlignment="1">
      <alignment horizontal="left" vertical="center" wrapText="1"/>
    </xf>
    <xf numFmtId="0" fontId="72" fillId="31" borderId="99" xfId="4" applyFont="1" applyFill="1" applyBorder="1" applyAlignment="1">
      <alignment horizontal="left" vertical="center" wrapText="1"/>
    </xf>
    <xf numFmtId="0" fontId="45" fillId="31" borderId="88" xfId="4" applyFont="1" applyFill="1" applyBorder="1" applyAlignment="1">
      <alignment vertical="center"/>
    </xf>
    <xf numFmtId="0" fontId="45" fillId="31" borderId="98" xfId="4" applyFont="1" applyFill="1" applyBorder="1" applyAlignment="1">
      <alignment vertical="center"/>
    </xf>
    <xf numFmtId="0" fontId="45" fillId="31" borderId="99" xfId="4" applyFont="1" applyFill="1" applyBorder="1" applyAlignment="1">
      <alignment vertical="center"/>
    </xf>
    <xf numFmtId="0" fontId="43" fillId="16" borderId="92" xfId="4" applyFont="1" applyFill="1" applyBorder="1" applyAlignment="1" applyProtection="1">
      <alignment horizontal="left" vertical="top" wrapText="1"/>
      <protection locked="0"/>
    </xf>
    <xf numFmtId="0" fontId="43" fillId="16" borderId="89" xfId="4" applyFont="1" applyFill="1" applyBorder="1" applyAlignment="1" applyProtection="1">
      <alignment horizontal="left" vertical="top" wrapText="1"/>
      <protection locked="0"/>
    </xf>
    <xf numFmtId="0" fontId="43" fillId="16" borderId="90" xfId="4" applyFont="1" applyFill="1" applyBorder="1" applyAlignment="1" applyProtection="1">
      <alignment horizontal="left" vertical="top" wrapText="1"/>
      <protection locked="0"/>
    </xf>
    <xf numFmtId="0" fontId="72" fillId="32" borderId="98" xfId="4" applyFont="1" applyFill="1" applyBorder="1" applyAlignment="1">
      <alignment horizontal="left" vertical="center" wrapText="1"/>
    </xf>
    <xf numFmtId="0" fontId="72" fillId="32" borderId="90" xfId="4" applyFont="1" applyFill="1" applyBorder="1" applyAlignment="1">
      <alignment horizontal="left" vertical="center" wrapText="1"/>
    </xf>
    <xf numFmtId="0" fontId="45" fillId="32" borderId="88" xfId="4" applyFont="1" applyFill="1" applyBorder="1" applyAlignment="1">
      <alignment vertical="center"/>
    </xf>
    <xf numFmtId="0" fontId="45" fillId="32" borderId="98" xfId="4" applyFont="1" applyFill="1" applyBorder="1" applyAlignment="1">
      <alignment vertical="center"/>
    </xf>
    <xf numFmtId="0" fontId="45" fillId="32" borderId="99" xfId="4" applyFont="1" applyFill="1" applyBorder="1" applyAlignment="1">
      <alignment vertical="center"/>
    </xf>
    <xf numFmtId="0" fontId="43" fillId="26" borderId="152" xfId="4" applyFont="1" applyFill="1" applyBorder="1" applyAlignment="1">
      <alignment horizontal="center" vertical="center" wrapText="1"/>
    </xf>
    <xf numFmtId="0" fontId="43" fillId="26" borderId="107" xfId="4" applyFont="1" applyFill="1" applyBorder="1" applyAlignment="1">
      <alignment horizontal="center" vertical="center" wrapText="1"/>
    </xf>
    <xf numFmtId="0" fontId="43" fillId="26" borderId="128" xfId="4" applyFont="1" applyFill="1" applyBorder="1" applyAlignment="1">
      <alignment horizontal="center" vertical="center" wrapText="1"/>
    </xf>
    <xf numFmtId="0" fontId="43" fillId="26" borderId="108" xfId="4" applyFont="1" applyFill="1" applyBorder="1" applyAlignment="1">
      <alignment horizontal="center" vertical="center" wrapText="1"/>
    </xf>
    <xf numFmtId="0" fontId="43" fillId="25" borderId="128" xfId="4" applyFont="1" applyFill="1" applyBorder="1" applyAlignment="1">
      <alignment horizontal="center" vertical="center" wrapText="1"/>
    </xf>
    <xf numFmtId="0" fontId="43" fillId="25" borderId="108" xfId="4" applyFont="1" applyFill="1" applyBorder="1" applyAlignment="1">
      <alignment horizontal="center" vertical="center" wrapText="1"/>
    </xf>
    <xf numFmtId="0" fontId="43" fillId="25" borderId="122" xfId="4" applyFont="1" applyFill="1" applyBorder="1" applyAlignment="1">
      <alignment horizontal="center" vertical="center" wrapText="1"/>
    </xf>
    <xf numFmtId="0" fontId="43" fillId="25" borderId="151" xfId="4" applyFont="1" applyFill="1" applyBorder="1" applyAlignment="1">
      <alignment horizontal="center" vertical="center" wrapText="1"/>
    </xf>
    <xf numFmtId="0" fontId="47" fillId="2" borderId="0" xfId="4" applyFont="1"/>
    <xf numFmtId="0" fontId="43" fillId="2" borderId="0" xfId="4" applyFont="1"/>
    <xf numFmtId="0" fontId="72" fillId="33" borderId="89" xfId="6" applyFont="1" applyFill="1" applyBorder="1" applyAlignment="1">
      <alignment horizontal="left" vertical="center" wrapText="1"/>
    </xf>
    <xf numFmtId="0" fontId="72" fillId="33" borderId="90" xfId="6" applyFont="1" applyFill="1" applyBorder="1" applyAlignment="1">
      <alignment horizontal="left" vertical="center" wrapText="1"/>
    </xf>
    <xf numFmtId="0" fontId="43" fillId="26" borderId="95" xfId="6" applyFont="1" applyFill="1" applyBorder="1" applyAlignment="1">
      <alignment horizontal="center" vertical="center" wrapText="1"/>
    </xf>
    <xf numFmtId="0" fontId="43" fillId="26" borderId="149" xfId="6" applyFont="1" applyFill="1" applyBorder="1" applyAlignment="1">
      <alignment horizontal="center" vertical="center" wrapText="1"/>
    </xf>
    <xf numFmtId="0" fontId="43" fillId="26" borderId="150" xfId="6" applyFont="1" applyFill="1" applyBorder="1" applyAlignment="1">
      <alignment horizontal="center" vertical="center" wrapText="1"/>
    </xf>
    <xf numFmtId="0" fontId="43" fillId="2" borderId="100" xfId="6" applyFont="1" applyBorder="1" applyAlignment="1" applyProtection="1">
      <alignment horizontal="center" vertical="center" wrapText="1"/>
      <protection locked="0"/>
    </xf>
    <xf numFmtId="0" fontId="43" fillId="2" borderId="129" xfId="6" applyFont="1" applyBorder="1" applyAlignment="1" applyProtection="1">
      <alignment horizontal="center" vertical="center" wrapText="1"/>
      <protection locked="0"/>
    </xf>
    <xf numFmtId="0" fontId="43" fillId="2" borderId="111" xfId="6" applyFont="1" applyBorder="1" applyAlignment="1" applyProtection="1">
      <alignment horizontal="center" vertical="center" wrapText="1"/>
      <protection locked="0"/>
    </xf>
    <xf numFmtId="0" fontId="47" fillId="2" borderId="134" xfId="4" applyFont="1" applyBorder="1" applyAlignment="1">
      <alignment vertical="center" wrapText="1"/>
    </xf>
    <xf numFmtId="0" fontId="47" fillId="2" borderId="138" xfId="4" applyFont="1" applyBorder="1" applyAlignment="1">
      <alignment vertical="center" wrapText="1"/>
    </xf>
    <xf numFmtId="0" fontId="47" fillId="2" borderId="134" xfId="4" applyFont="1" applyBorder="1" applyAlignment="1">
      <alignment horizontal="right" vertical="center" wrapText="1"/>
    </xf>
    <xf numFmtId="0" fontId="47" fillId="2" borderId="138" xfId="4" applyFont="1" applyBorder="1" applyAlignment="1">
      <alignment horizontal="right" vertical="center" wrapText="1"/>
    </xf>
    <xf numFmtId="0" fontId="63" fillId="2" borderId="0" xfId="4" applyFont="1" applyAlignment="1">
      <alignment horizontal="center"/>
    </xf>
    <xf numFmtId="0" fontId="47" fillId="2" borderId="137" xfId="4" applyFont="1" applyBorder="1" applyAlignment="1">
      <alignment vertical="center" wrapText="1"/>
    </xf>
    <xf numFmtId="0" fontId="43" fillId="2" borderId="103" xfId="6" applyFont="1" applyBorder="1" applyAlignment="1" applyProtection="1">
      <alignment horizontal="center" vertical="center" wrapText="1"/>
      <protection locked="0"/>
    </xf>
    <xf numFmtId="0" fontId="43" fillId="2" borderId="131" xfId="6" applyFont="1" applyBorder="1" applyAlignment="1" applyProtection="1">
      <alignment horizontal="center" vertical="center" wrapText="1"/>
      <protection locked="0"/>
    </xf>
    <xf numFmtId="0" fontId="43" fillId="2" borderId="115" xfId="6" applyFont="1" applyBorder="1" applyAlignment="1" applyProtection="1">
      <alignment horizontal="center" vertical="center" wrapText="1"/>
      <protection locked="0"/>
    </xf>
    <xf numFmtId="0" fontId="73" fillId="2" borderId="100" xfId="6" applyFont="1" applyBorder="1" applyAlignment="1" applyProtection="1">
      <alignment horizontal="left" vertical="center" wrapText="1"/>
      <protection locked="0"/>
    </xf>
    <xf numFmtId="0" fontId="73" fillId="2" borderId="129" xfId="6" applyFont="1" applyBorder="1" applyAlignment="1" applyProtection="1">
      <alignment horizontal="left" vertical="center" wrapText="1"/>
      <protection locked="0"/>
    </xf>
    <xf numFmtId="0" fontId="73" fillId="2" borderId="111" xfId="6" applyFont="1" applyBorder="1" applyAlignment="1" applyProtection="1">
      <alignment horizontal="left" vertical="center" wrapText="1"/>
      <protection locked="0"/>
    </xf>
    <xf numFmtId="0" fontId="73" fillId="2" borderId="103" xfId="6" applyFont="1" applyBorder="1" applyAlignment="1" applyProtection="1">
      <alignment horizontal="left" vertical="center" wrapText="1"/>
      <protection locked="0"/>
    </xf>
    <xf numFmtId="0" fontId="73" fillId="2" borderId="131" xfId="6" applyFont="1" applyBorder="1" applyAlignment="1" applyProtection="1">
      <alignment horizontal="left" vertical="center" wrapText="1"/>
      <protection locked="0"/>
    </xf>
    <xf numFmtId="0" fontId="73" fillId="2" borderId="115" xfId="6" applyFont="1" applyBorder="1" applyAlignment="1" applyProtection="1">
      <alignment horizontal="left" vertical="center" wrapText="1"/>
      <protection locked="0"/>
    </xf>
    <xf numFmtId="0" fontId="74" fillId="2" borderId="100" xfId="6" applyFont="1" applyBorder="1" applyAlignment="1" applyProtection="1">
      <alignment horizontal="center" vertical="center" wrapText="1"/>
      <protection locked="0"/>
    </xf>
    <xf numFmtId="0" fontId="74" fillId="2" borderId="94" xfId="6" applyFont="1" applyBorder="1" applyAlignment="1" applyProtection="1">
      <alignment horizontal="center" vertical="center" wrapText="1"/>
      <protection locked="0"/>
    </xf>
    <xf numFmtId="0" fontId="73" fillId="2" borderId="97" xfId="6" applyFont="1" applyBorder="1" applyAlignment="1" applyProtection="1">
      <alignment horizontal="left" vertical="center" wrapText="1"/>
      <protection locked="0"/>
    </xf>
    <xf numFmtId="0" fontId="73" fillId="2" borderId="109" xfId="6" applyFont="1" applyBorder="1" applyAlignment="1" applyProtection="1">
      <alignment horizontal="left" vertical="center" wrapText="1"/>
      <protection locked="0"/>
    </xf>
    <xf numFmtId="0" fontId="74" fillId="2" borderId="103" xfId="6" applyFont="1" applyBorder="1" applyAlignment="1" applyProtection="1">
      <alignment horizontal="center" vertical="center" wrapText="1"/>
      <protection locked="0"/>
    </xf>
    <xf numFmtId="0" fontId="74" fillId="2" borderId="104" xfId="6" applyFont="1" applyBorder="1" applyAlignment="1" applyProtection="1">
      <alignment horizontal="center" vertical="center" wrapText="1"/>
      <protection locked="0"/>
    </xf>
    <xf numFmtId="0" fontId="73" fillId="2" borderId="114" xfId="6" applyFont="1" applyBorder="1" applyAlignment="1" applyProtection="1">
      <alignment horizontal="left" vertical="center" wrapText="1"/>
      <protection locked="0"/>
    </xf>
    <xf numFmtId="0" fontId="73" fillId="2" borderId="125" xfId="6" applyFont="1" applyBorder="1" applyAlignment="1" applyProtection="1">
      <alignment horizontal="left" vertical="center" wrapText="1"/>
      <protection locked="0"/>
    </xf>
    <xf numFmtId="0" fontId="43" fillId="26" borderId="96" xfId="6" applyFont="1" applyFill="1" applyBorder="1" applyAlignment="1">
      <alignment horizontal="center" vertical="center" wrapText="1"/>
    </xf>
    <xf numFmtId="0" fontId="43" fillId="26" borderId="117" xfId="6" applyFont="1" applyFill="1" applyBorder="1" applyAlignment="1">
      <alignment horizontal="center" vertical="center" wrapText="1"/>
    </xf>
    <xf numFmtId="0" fontId="43" fillId="26" borderId="99" xfId="6" applyFont="1" applyFill="1" applyBorder="1" applyAlignment="1">
      <alignment horizontal="center" vertical="center" wrapText="1"/>
    </xf>
    <xf numFmtId="0" fontId="43" fillId="26" borderId="98" xfId="6" applyFont="1" applyFill="1" applyBorder="1" applyAlignment="1">
      <alignment horizontal="center" vertical="center" wrapText="1"/>
    </xf>
    <xf numFmtId="0" fontId="73" fillId="16" borderId="93" xfId="6" applyFont="1" applyFill="1" applyBorder="1" applyAlignment="1" applyProtection="1">
      <alignment horizontal="center" vertical="center" wrapText="1"/>
      <protection locked="0"/>
    </xf>
    <xf numFmtId="0" fontId="73" fillId="16" borderId="113" xfId="6" applyFont="1" applyFill="1" applyBorder="1" applyAlignment="1" applyProtection="1">
      <alignment horizontal="center" vertical="center" wrapText="1"/>
      <protection locked="0"/>
    </xf>
    <xf numFmtId="0" fontId="73" fillId="16" borderId="97" xfId="6" applyFont="1" applyFill="1" applyBorder="1" applyAlignment="1" applyProtection="1">
      <alignment horizontal="center" vertical="center" wrapText="1"/>
      <protection locked="0"/>
    </xf>
    <xf numFmtId="0" fontId="73" fillId="16" borderId="114" xfId="6" applyFont="1" applyFill="1" applyBorder="1" applyAlignment="1" applyProtection="1">
      <alignment horizontal="center" vertical="center" wrapText="1"/>
      <protection locked="0"/>
    </xf>
    <xf numFmtId="0" fontId="74" fillId="2" borderId="102" xfId="6" applyFont="1" applyBorder="1" applyAlignment="1" applyProtection="1">
      <alignment horizontal="center" vertical="center" wrapText="1"/>
      <protection locked="0"/>
    </xf>
    <xf numFmtId="0" fontId="74" fillId="2" borderId="140" xfId="6" applyFont="1" applyBorder="1" applyAlignment="1" applyProtection="1">
      <alignment horizontal="center" vertical="center" wrapText="1"/>
      <protection locked="0"/>
    </xf>
    <xf numFmtId="0" fontId="74" fillId="2" borderId="141" xfId="6" applyFont="1" applyBorder="1" applyAlignment="1" applyProtection="1">
      <alignment horizontal="center" vertical="center" wrapText="1"/>
      <protection locked="0"/>
    </xf>
    <xf numFmtId="0" fontId="74" fillId="2" borderId="108" xfId="6" applyFont="1" applyBorder="1" applyAlignment="1" applyProtection="1">
      <alignment horizontal="center" vertical="center" wrapText="1"/>
      <protection locked="0"/>
    </xf>
    <xf numFmtId="0" fontId="45" fillId="33" borderId="88" xfId="6" applyFont="1" applyFill="1" applyBorder="1" applyAlignment="1">
      <alignment horizontal="left" vertical="center"/>
    </xf>
    <xf numFmtId="0" fontId="45" fillId="33" borderId="98" xfId="6" applyFont="1" applyFill="1" applyBorder="1" applyAlignment="1">
      <alignment horizontal="left" vertical="center"/>
    </xf>
    <xf numFmtId="0" fontId="45" fillId="33" borderId="99" xfId="6" applyFont="1" applyFill="1" applyBorder="1" applyAlignment="1">
      <alignment horizontal="left" vertical="center"/>
    </xf>
    <xf numFmtId="0" fontId="43" fillId="2" borderId="92" xfId="6" applyFont="1" applyBorder="1" applyAlignment="1" applyProtection="1">
      <alignment horizontal="left" vertical="top" wrapText="1"/>
      <protection locked="0"/>
    </xf>
    <xf numFmtId="0" fontId="43" fillId="2" borderId="89" xfId="6" applyFont="1" applyBorder="1" applyAlignment="1" applyProtection="1">
      <alignment horizontal="left" vertical="top" wrapText="1"/>
      <protection locked="0"/>
    </xf>
    <xf numFmtId="0" fontId="43" fillId="2" borderId="90" xfId="6" applyFont="1" applyBorder="1" applyAlignment="1" applyProtection="1">
      <alignment horizontal="left" vertical="top" wrapText="1"/>
      <protection locked="0"/>
    </xf>
    <xf numFmtId="0" fontId="72" fillId="33" borderId="105" xfId="6" applyFont="1" applyFill="1" applyBorder="1" applyAlignment="1">
      <alignment horizontal="left" vertical="center" wrapText="1"/>
    </xf>
    <xf numFmtId="0" fontId="72" fillId="33" borderId="106" xfId="6" applyFont="1" applyFill="1" applyBorder="1" applyAlignment="1">
      <alignment horizontal="left" vertical="center" wrapText="1"/>
    </xf>
    <xf numFmtId="0" fontId="43" fillId="26" borderId="116" xfId="6" applyFont="1" applyFill="1" applyBorder="1" applyAlignment="1">
      <alignment horizontal="center" vertical="center" wrapText="1"/>
    </xf>
    <xf numFmtId="0" fontId="43" fillId="26" borderId="124" xfId="6" applyFont="1" applyFill="1" applyBorder="1" applyAlignment="1">
      <alignment horizontal="center" vertical="center" wrapText="1"/>
    </xf>
    <xf numFmtId="0" fontId="41" fillId="2" borderId="0" xfId="4" applyFont="1" applyAlignment="1">
      <alignment horizontal="left" vertical="center"/>
    </xf>
    <xf numFmtId="0" fontId="39" fillId="2" borderId="0" xfId="4" applyFont="1" applyAlignment="1">
      <alignment horizontal="left" vertical="center"/>
    </xf>
    <xf numFmtId="0" fontId="39" fillId="2" borderId="0" xfId="4" applyFont="1" applyAlignment="1" applyProtection="1">
      <alignment horizontal="left" vertical="center"/>
      <protection locked="0"/>
    </xf>
    <xf numFmtId="0" fontId="43" fillId="0" borderId="92" xfId="6" applyFont="1" applyFill="1" applyBorder="1" applyAlignment="1" applyProtection="1">
      <alignment horizontal="left" vertical="top" wrapText="1"/>
      <protection locked="0"/>
    </xf>
    <xf numFmtId="0" fontId="43" fillId="0" borderId="89" xfId="6" applyFont="1" applyFill="1" applyBorder="1" applyAlignment="1" applyProtection="1">
      <alignment horizontal="left" vertical="top" wrapText="1"/>
      <protection locked="0"/>
    </xf>
    <xf numFmtId="0" fontId="43" fillId="0" borderId="90" xfId="6" applyFont="1" applyFill="1" applyBorder="1" applyAlignment="1" applyProtection="1">
      <alignment horizontal="left" vertical="top" wrapText="1"/>
      <protection locked="0"/>
    </xf>
    <xf numFmtId="0" fontId="73" fillId="16" borderId="93" xfId="6" quotePrefix="1" applyFont="1" applyFill="1" applyBorder="1" applyAlignment="1" applyProtection="1">
      <alignment horizontal="center" vertical="center" wrapText="1"/>
      <protection locked="0"/>
    </xf>
    <xf numFmtId="0" fontId="1" fillId="24" borderId="0" xfId="0" applyFont="1" applyFill="1" applyAlignment="1">
      <alignment horizontal="left" vertical="top" wrapText="1"/>
    </xf>
    <xf numFmtId="0" fontId="0" fillId="24" borderId="0" xfId="0" applyFill="1" applyAlignment="1">
      <alignment horizontal="left" vertical="top" wrapText="1"/>
    </xf>
    <xf numFmtId="0" fontId="4" fillId="21" borderId="0" xfId="0" applyFont="1" applyFill="1" applyAlignment="1">
      <alignment horizontal="center" vertical="center" wrapText="1"/>
    </xf>
    <xf numFmtId="0" fontId="4" fillId="21" borderId="0" xfId="0" applyFont="1" applyFill="1" applyAlignment="1">
      <alignment horizontal="center" wrapText="1"/>
    </xf>
    <xf numFmtId="0" fontId="4" fillId="22" borderId="39" xfId="0" applyFont="1" applyFill="1" applyBorder="1" applyAlignment="1">
      <alignment horizontal="center" vertical="center" wrapText="1"/>
    </xf>
    <xf numFmtId="0" fontId="4" fillId="24" borderId="0" xfId="0" applyFont="1" applyFill="1" applyAlignment="1">
      <alignment horizontal="center" vertical="center" wrapText="1"/>
    </xf>
    <xf numFmtId="0" fontId="1" fillId="24" borderId="0" xfId="0" applyFont="1" applyFill="1" applyAlignment="1">
      <alignment horizontal="left" vertical="center" wrapText="1"/>
    </xf>
    <xf numFmtId="0" fontId="0" fillId="24" borderId="0" xfId="0" applyFill="1" applyAlignment="1">
      <alignment horizontal="left" vertical="center" wrapText="1"/>
    </xf>
    <xf numFmtId="0" fontId="1" fillId="21" borderId="0" xfId="0" applyFont="1" applyFill="1" applyAlignment="1">
      <alignment wrapText="1"/>
    </xf>
    <xf numFmtId="0" fontId="1" fillId="23" borderId="0" xfId="0" applyFont="1" applyFill="1" applyAlignment="1">
      <alignment wrapText="1"/>
    </xf>
  </cellXfs>
  <cellStyles count="7">
    <cellStyle name="Hyperlink" xfId="3" builtinId="8"/>
    <cellStyle name="Normal" xfId="0" builtinId="0"/>
    <cellStyle name="Normal 2" xfId="1" xr:uid="{00000000-0005-0000-0000-000002000000}"/>
    <cellStyle name="Normal 3" xfId="4" xr:uid="{DADE585E-FA9F-491E-B6C8-7FC1B7512C83}"/>
    <cellStyle name="Normal 3 2" xfId="6" xr:uid="{8E90B843-B9A1-44F9-AF25-2A048396CA3C}"/>
    <cellStyle name="Normal 4" xfId="2" xr:uid="{00000000-0005-0000-0000-000003000000}"/>
    <cellStyle name="Percent 2" xfId="5" xr:uid="{C00025AD-049E-4CE5-8E9C-D33B203E61F1}"/>
  </cellStyles>
  <dxfs count="122">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9C0006"/>
      </font>
      <fill>
        <patternFill>
          <bgColor rgb="FFFFC7CE"/>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auto="1"/>
      </font>
      <fill>
        <patternFill>
          <bgColor theme="7" tint="0.59996337778862885"/>
        </patternFill>
      </fill>
    </dxf>
    <dxf>
      <font>
        <color auto="1"/>
      </font>
      <fill>
        <patternFill>
          <bgColor theme="7" tint="0.59996337778862885"/>
        </patternFill>
      </fill>
    </dxf>
    <dxf>
      <font>
        <color auto="1"/>
      </font>
      <fill>
        <patternFill>
          <bgColor theme="7" tint="0.59996337778862885"/>
        </patternFill>
      </fill>
    </dxf>
    <dxf>
      <font>
        <color auto="1"/>
      </font>
      <fill>
        <patternFill>
          <bgColor theme="7"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auto="1"/>
      </font>
      <fill>
        <patternFill>
          <bgColor theme="7" tint="0.59996337778862885"/>
        </patternFill>
      </fill>
    </dxf>
    <dxf>
      <font>
        <color auto="1"/>
      </font>
      <fill>
        <patternFill>
          <bgColor theme="7" tint="0.59996337778862885"/>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bgColor rgb="FFFFC000"/>
        </patternFill>
      </fill>
    </dxf>
    <dxf>
      <fill>
        <patternFill>
          <bgColor rgb="FFFF0000"/>
        </patternFill>
      </fill>
    </dxf>
    <dxf>
      <font>
        <color rgb="FFFF0000"/>
      </font>
    </dxf>
    <dxf>
      <font>
        <b/>
        <i val="0"/>
        <color rgb="FFFF0000"/>
      </font>
    </dxf>
    <dxf>
      <font>
        <b/>
        <i val="0"/>
        <color rgb="FFFF0000"/>
      </font>
    </dxf>
  </dxfs>
  <tableStyles count="0" defaultTableStyle="TableStyleMedium9"/>
  <colors>
    <mruColors>
      <color rgb="FF72AA7F"/>
      <color rgb="FFAFDAA6"/>
      <color rgb="FF5F9EB4"/>
      <color rgb="FF36627E"/>
      <color rgb="FF263D46"/>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129608</xdr:colOff>
      <xdr:row>0</xdr:row>
      <xdr:rowOff>529395</xdr:rowOff>
    </xdr:from>
    <xdr:to>
      <xdr:col>11</xdr:col>
      <xdr:colOff>778773</xdr:colOff>
      <xdr:row>4</xdr:row>
      <xdr:rowOff>313428</xdr:rowOff>
    </xdr:to>
    <xdr:pic>
      <xdr:nvPicPr>
        <xdr:cNvPr id="9" name="Picture 8" descr="C:\Users\msparks\AppData\Local\Microsoft\Windows\Temporary Internet Files\Content.Outlook\11JAEGEV\IWBI_Logo_graygradient.jpg">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10127" y="529395"/>
          <a:ext cx="2803281" cy="1689033"/>
        </a:xfrm>
        <a:prstGeom prst="rect">
          <a:avLst/>
        </a:prstGeom>
        <a:noFill/>
        <a:ln>
          <a:noFill/>
        </a:ln>
      </xdr:spPr>
    </xdr:pic>
    <xdr:clientData/>
  </xdr:twoCellAnchor>
  <xdr:twoCellAnchor editAs="oneCell">
    <xdr:from>
      <xdr:col>10</xdr:col>
      <xdr:colOff>54157</xdr:colOff>
      <xdr:row>4</xdr:row>
      <xdr:rowOff>321403</xdr:rowOff>
    </xdr:from>
    <xdr:to>
      <xdr:col>11</xdr:col>
      <xdr:colOff>1218893</xdr:colOff>
      <xdr:row>8</xdr:row>
      <xdr:rowOff>649</xdr:rowOff>
    </xdr:to>
    <xdr:pic>
      <xdr:nvPicPr>
        <xdr:cNvPr id="11" name="Picture 10">
          <a:extLst>
            <a:ext uri="{FF2B5EF4-FFF2-40B4-BE49-F238E27FC236}">
              <a16:creationId xmlns:a16="http://schemas.microsoft.com/office/drawing/2014/main" id="{F04BD6E0-63DB-434C-AA03-2656E1542107}"/>
            </a:ext>
          </a:extLst>
        </xdr:cNvPr>
        <xdr:cNvPicPr>
          <a:picLocks noChangeAspect="1"/>
        </xdr:cNvPicPr>
      </xdr:nvPicPr>
      <xdr:blipFill>
        <a:blip xmlns:r="http://schemas.openxmlformats.org/officeDocument/2006/relationships" r:embed="rId2"/>
        <a:stretch>
          <a:fillRect/>
        </a:stretch>
      </xdr:blipFill>
      <xdr:spPr>
        <a:xfrm>
          <a:off x="20034676" y="2226403"/>
          <a:ext cx="3322663" cy="12032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2.wellcertified.com/v/en/overview"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sheetPr>
  <dimension ref="A2:M66"/>
  <sheetViews>
    <sheetView topLeftCell="A19" zoomScale="115" zoomScaleNormal="115" workbookViewId="0">
      <selection sqref="A1:I1"/>
    </sheetView>
  </sheetViews>
  <sheetFormatPr defaultRowHeight="13.2"/>
  <cols>
    <col min="1" max="1" width="22.33203125" customWidth="1"/>
  </cols>
  <sheetData>
    <row r="2" spans="1:3">
      <c r="A2" s="4" t="s">
        <v>1072</v>
      </c>
    </row>
    <row r="5" spans="1:3">
      <c r="A5" s="2" t="s">
        <v>334</v>
      </c>
    </row>
    <row r="6" spans="1:3">
      <c r="B6" t="s">
        <v>329</v>
      </c>
    </row>
    <row r="7" spans="1:3">
      <c r="C7" s="2" t="s">
        <v>748</v>
      </c>
    </row>
    <row r="8" spans="1:3">
      <c r="C8" s="2" t="s">
        <v>749</v>
      </c>
    </row>
    <row r="9" spans="1:3">
      <c r="C9" s="2" t="s">
        <v>750</v>
      </c>
    </row>
    <row r="10" spans="1:3">
      <c r="B10" s="1" t="s">
        <v>751</v>
      </c>
    </row>
    <row r="11" spans="1:3">
      <c r="B11" s="1" t="s">
        <v>330</v>
      </c>
    </row>
    <row r="12" spans="1:3">
      <c r="B12" t="s">
        <v>331</v>
      </c>
    </row>
    <row r="13" spans="1:3">
      <c r="B13" s="1" t="s">
        <v>761</v>
      </c>
    </row>
    <row r="15" spans="1:3">
      <c r="B15" t="s">
        <v>332</v>
      </c>
    </row>
    <row r="17" spans="1:13">
      <c r="B17" s="1" t="s">
        <v>333</v>
      </c>
    </row>
    <row r="18" spans="1:13">
      <c r="B18" s="1"/>
    </row>
    <row r="19" spans="1:13">
      <c r="B19" s="3" t="s">
        <v>752</v>
      </c>
    </row>
    <row r="20" spans="1:13">
      <c r="B20" s="1"/>
    </row>
    <row r="21" spans="1:13">
      <c r="B21" s="798" t="s">
        <v>335</v>
      </c>
      <c r="C21" s="798"/>
      <c r="D21" s="798"/>
      <c r="E21" s="798"/>
      <c r="F21" s="798"/>
      <c r="G21" s="798"/>
      <c r="H21" s="798"/>
      <c r="I21" s="798"/>
      <c r="J21" s="798"/>
      <c r="K21" s="798"/>
      <c r="L21" s="798"/>
      <c r="M21" s="798"/>
    </row>
    <row r="22" spans="1:13">
      <c r="B22" s="1"/>
      <c r="C22" s="4" t="s">
        <v>753</v>
      </c>
    </row>
    <row r="23" spans="1:13">
      <c r="B23" s="1"/>
      <c r="C23" s="2" t="s">
        <v>754</v>
      </c>
    </row>
    <row r="24" spans="1:13">
      <c r="B24" s="1"/>
      <c r="C24" s="2" t="s">
        <v>755</v>
      </c>
    </row>
    <row r="25" spans="1:13">
      <c r="B25" s="1"/>
      <c r="C25" s="2" t="s">
        <v>756</v>
      </c>
    </row>
    <row r="26" spans="1:13">
      <c r="B26" s="1"/>
      <c r="C26" s="1" t="s">
        <v>757</v>
      </c>
    </row>
    <row r="27" spans="1:13">
      <c r="B27" s="1"/>
    </row>
    <row r="29" spans="1:13">
      <c r="A29" s="2" t="s">
        <v>745</v>
      </c>
    </row>
    <row r="30" spans="1:13">
      <c r="B30" s="1" t="s">
        <v>744</v>
      </c>
    </row>
    <row r="31" spans="1:13">
      <c r="B31" s="1" t="s">
        <v>758</v>
      </c>
    </row>
    <row r="32" spans="1:13" s="5" customFormat="1">
      <c r="A32" s="7" t="s">
        <v>358</v>
      </c>
      <c r="B32" s="7" t="s">
        <v>771</v>
      </c>
      <c r="C32" s="7"/>
      <c r="D32" s="7"/>
      <c r="E32" s="7"/>
      <c r="F32" s="7"/>
      <c r="G32" s="7"/>
    </row>
    <row r="33" spans="1:9" s="5" customFormat="1">
      <c r="A33" s="7"/>
      <c r="B33" s="7"/>
      <c r="C33" s="7"/>
      <c r="D33" s="7"/>
      <c r="E33" s="7"/>
      <c r="F33" s="7"/>
      <c r="G33" s="7"/>
    </row>
    <row r="35" spans="1:9">
      <c r="A35" s="2" t="s">
        <v>336</v>
      </c>
    </row>
    <row r="36" spans="1:9">
      <c r="B36" s="1" t="s">
        <v>339</v>
      </c>
    </row>
    <row r="37" spans="1:9">
      <c r="C37" t="s">
        <v>338</v>
      </c>
    </row>
    <row r="38" spans="1:9">
      <c r="B38" s="1" t="s">
        <v>764</v>
      </c>
    </row>
    <row r="39" spans="1:9">
      <c r="A39" s="7" t="s">
        <v>358</v>
      </c>
      <c r="B39" s="7" t="s">
        <v>759</v>
      </c>
      <c r="C39" s="7"/>
      <c r="D39" s="7"/>
      <c r="E39" s="7"/>
      <c r="F39" s="7"/>
      <c r="G39" s="7"/>
      <c r="H39" s="7"/>
      <c r="I39" s="7"/>
    </row>
    <row r="40" spans="1:9">
      <c r="A40" s="5" t="s">
        <v>364</v>
      </c>
      <c r="B40" s="5" t="s">
        <v>760</v>
      </c>
    </row>
    <row r="41" spans="1:9">
      <c r="A41" s="41" t="s">
        <v>746</v>
      </c>
      <c r="B41" s="42" t="s">
        <v>747</v>
      </c>
    </row>
    <row r="42" spans="1:9">
      <c r="C42" s="41" t="s">
        <v>772</v>
      </c>
    </row>
    <row r="43" spans="1:9">
      <c r="C43" s="41" t="s">
        <v>773</v>
      </c>
    </row>
    <row r="44" spans="1:9">
      <c r="C44" s="41" t="s">
        <v>765</v>
      </c>
    </row>
    <row r="45" spans="1:9">
      <c r="C45" s="41" t="s">
        <v>1073</v>
      </c>
    </row>
    <row r="46" spans="1:9">
      <c r="C46" s="41" t="s">
        <v>766</v>
      </c>
    </row>
    <row r="47" spans="1:9">
      <c r="C47" s="41" t="s">
        <v>767</v>
      </c>
    </row>
    <row r="48" spans="1:9">
      <c r="C48" s="42" t="s">
        <v>768</v>
      </c>
    </row>
    <row r="49" spans="1:4">
      <c r="D49" s="41" t="s">
        <v>769</v>
      </c>
    </row>
    <row r="50" spans="1:4">
      <c r="B50" s="42" t="s">
        <v>720</v>
      </c>
    </row>
    <row r="51" spans="1:4">
      <c r="C51" s="41" t="s">
        <v>770</v>
      </c>
    </row>
    <row r="52" spans="1:4">
      <c r="C52" s="187" t="s">
        <v>1074</v>
      </c>
    </row>
    <row r="53" spans="1:4">
      <c r="C53" s="187" t="s">
        <v>762</v>
      </c>
    </row>
    <row r="55" spans="1:4">
      <c r="A55" s="731" t="s">
        <v>1075</v>
      </c>
      <c r="B55" s="731" t="s">
        <v>1076</v>
      </c>
      <c r="C55" s="731"/>
      <c r="D55" s="731"/>
    </row>
    <row r="56" spans="1:4">
      <c r="A56" s="731"/>
      <c r="B56" s="731"/>
      <c r="C56" s="731" t="s">
        <v>1077</v>
      </c>
      <c r="D56" s="731"/>
    </row>
    <row r="57" spans="1:4">
      <c r="A57" s="731"/>
      <c r="B57" s="731"/>
      <c r="C57" s="731"/>
      <c r="D57" s="731"/>
    </row>
    <row r="58" spans="1:4">
      <c r="A58" s="731"/>
      <c r="B58" s="731" t="s">
        <v>1078</v>
      </c>
      <c r="C58" s="731"/>
      <c r="D58" s="731"/>
    </row>
    <row r="59" spans="1:4">
      <c r="A59" s="731"/>
      <c r="B59" s="731"/>
      <c r="C59" s="731" t="s">
        <v>1079</v>
      </c>
      <c r="D59" s="731"/>
    </row>
    <row r="60" spans="1:4">
      <c r="A60" s="731"/>
      <c r="B60" s="731" t="s">
        <v>1080</v>
      </c>
      <c r="C60" s="731"/>
      <c r="D60" s="731"/>
    </row>
    <row r="61" spans="1:4">
      <c r="A61" s="731"/>
      <c r="B61" s="731" t="s">
        <v>1081</v>
      </c>
      <c r="C61" s="731"/>
      <c r="D61" s="731"/>
    </row>
    <row r="62" spans="1:4">
      <c r="A62" s="731"/>
      <c r="B62" s="731"/>
      <c r="C62" s="731" t="s">
        <v>1082</v>
      </c>
      <c r="D62" s="731"/>
    </row>
    <row r="63" spans="1:4">
      <c r="A63" s="731"/>
      <c r="B63" s="731" t="s">
        <v>1083</v>
      </c>
      <c r="C63" s="731"/>
      <c r="D63" s="731"/>
    </row>
    <row r="64" spans="1:4">
      <c r="A64" s="731"/>
      <c r="B64" s="731"/>
      <c r="C64" s="731" t="s">
        <v>1084</v>
      </c>
      <c r="D64" s="731"/>
    </row>
    <row r="65" spans="1:4">
      <c r="A65" s="731"/>
      <c r="B65" s="731"/>
      <c r="C65" s="731"/>
      <c r="D65" s="731"/>
    </row>
    <row r="66" spans="1:4">
      <c r="A66" s="731"/>
      <c r="B66" s="731"/>
      <c r="C66" s="731"/>
      <c r="D66" s="731"/>
    </row>
  </sheetData>
  <mergeCells count="1">
    <mergeCell ref="B21:M21"/>
  </mergeCells>
  <hyperlinks>
    <hyperlink ref="B19" r:id="rId1" display="https://v2.wellcertified.com/v/en/overview"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1054"/>
  <sheetViews>
    <sheetView showWhiteSpace="0" view="pageBreakPreview" topLeftCell="B215" zoomScale="50" zoomScaleNormal="55" zoomScaleSheetLayoutView="50" zoomScalePageLayoutView="40" workbookViewId="0">
      <selection activeCell="E7" sqref="E7"/>
    </sheetView>
  </sheetViews>
  <sheetFormatPr defaultColWidth="14.44140625" defaultRowHeight="12"/>
  <cols>
    <col min="1" max="1" width="5.88671875" style="43" hidden="1" customWidth="1"/>
    <col min="2" max="2" width="12.6640625" style="45" customWidth="1"/>
    <col min="3" max="3" width="18.6640625" style="428" customWidth="1"/>
    <col min="4" max="4" width="11.6640625" style="43" customWidth="1"/>
    <col min="5" max="5" width="65.6640625" style="429" customWidth="1"/>
    <col min="6" max="6" width="102.6640625" style="431" customWidth="1"/>
    <col min="7" max="7" width="17.33203125" style="43" hidden="1" customWidth="1"/>
    <col min="8" max="8" width="7.109375" style="43" hidden="1" customWidth="1"/>
    <col min="9" max="9" width="20.109375" style="43" customWidth="1"/>
    <col min="10" max="10" width="68.6640625" style="54" customWidth="1"/>
    <col min="11" max="12" width="31.33203125" style="51" customWidth="1"/>
    <col min="13" max="13" width="12.6640625" style="45" customWidth="1"/>
    <col min="14" max="16" width="14.44140625" style="45"/>
    <col min="17" max="23" width="14.44140625" style="45" hidden="1" customWidth="1"/>
    <col min="24" max="24" width="14.44140625" style="45" customWidth="1"/>
    <col min="25" max="16384" width="14.44140625" style="45"/>
  </cols>
  <sheetData>
    <row r="1" spans="1:23" ht="60" customHeight="1" thickBot="1">
      <c r="B1" s="44"/>
      <c r="C1" s="829" t="s">
        <v>1139</v>
      </c>
      <c r="D1" s="829"/>
      <c r="E1" s="829"/>
      <c r="F1" s="829"/>
      <c r="G1" s="829"/>
      <c r="H1" s="829"/>
      <c r="I1" s="829"/>
      <c r="J1" s="829"/>
      <c r="K1" s="829"/>
      <c r="L1" s="829"/>
      <c r="N1" s="46"/>
    </row>
    <row r="2" spans="1:23" ht="30" customHeight="1">
      <c r="B2" s="44"/>
      <c r="C2" s="256"/>
      <c r="D2" s="826" t="s">
        <v>1140</v>
      </c>
      <c r="E2" s="826"/>
      <c r="F2" s="826"/>
      <c r="G2" s="257"/>
      <c r="H2" s="257"/>
      <c r="I2" s="824">
        <f>SUM(U11:U290)</f>
        <v>72</v>
      </c>
      <c r="J2" s="822" t="str">
        <f>VLOOKUP($D$4,Lists!$B$1:$E$19,2,FALSE)</f>
        <v>Anticipated</v>
      </c>
      <c r="K2" s="512"/>
      <c r="L2" s="513"/>
      <c r="N2" s="46"/>
    </row>
    <row r="3" spans="1:23" ht="30" customHeight="1" thickBot="1">
      <c r="B3" s="44"/>
      <c r="C3" s="256"/>
      <c r="D3" s="830">
        <f ca="1">TODAY()</f>
        <v>44879</v>
      </c>
      <c r="E3" s="830"/>
      <c r="F3" s="258"/>
      <c r="G3" s="257"/>
      <c r="H3" s="257"/>
      <c r="I3" s="825"/>
      <c r="J3" s="823"/>
      <c r="K3" s="512"/>
      <c r="L3" s="513"/>
      <c r="N3" s="188" t="s">
        <v>1085</v>
      </c>
    </row>
    <row r="4" spans="1:23" ht="30" customHeight="1" thickBot="1">
      <c r="B4" s="44"/>
      <c r="C4" s="256"/>
      <c r="D4" s="826" t="s">
        <v>346</v>
      </c>
      <c r="E4" s="826"/>
      <c r="F4" s="826"/>
      <c r="G4" s="257"/>
      <c r="H4" s="257"/>
      <c r="I4" s="259">
        <f>SUM(S11:S290)</f>
        <v>0</v>
      </c>
      <c r="J4" s="496" t="s">
        <v>326</v>
      </c>
      <c r="K4" s="512"/>
      <c r="L4" s="513"/>
      <c r="N4" s="189" t="s">
        <v>1086</v>
      </c>
    </row>
    <row r="5" spans="1:23" ht="30" customHeight="1" thickBot="1">
      <c r="A5" s="260"/>
      <c r="B5" s="44"/>
      <c r="C5" s="256"/>
      <c r="D5" s="261"/>
      <c r="E5" s="262"/>
      <c r="F5" s="262"/>
      <c r="G5" s="257"/>
      <c r="H5" s="257"/>
      <c r="I5" s="259">
        <f>SUM(T11:T290)</f>
        <v>0</v>
      </c>
      <c r="J5" s="496" t="s">
        <v>727</v>
      </c>
      <c r="K5" s="512"/>
      <c r="L5" s="513"/>
      <c r="N5" s="48" t="s">
        <v>1087</v>
      </c>
    </row>
    <row r="6" spans="1:23" ht="30" customHeight="1" thickBot="1">
      <c r="A6" s="260"/>
      <c r="B6" s="44"/>
      <c r="C6" s="256"/>
      <c r="D6" s="261"/>
      <c r="E6" s="262"/>
      <c r="F6" s="262"/>
      <c r="G6" s="257"/>
      <c r="H6" s="257"/>
      <c r="I6" s="259">
        <f>SUM(R11:R290)</f>
        <v>0</v>
      </c>
      <c r="J6" s="496" t="s">
        <v>388</v>
      </c>
      <c r="K6" s="512"/>
      <c r="L6" s="513"/>
      <c r="N6" s="48"/>
    </row>
    <row r="7" spans="1:23" ht="30" customHeight="1" thickBot="1">
      <c r="B7" s="44"/>
      <c r="C7" s="256"/>
      <c r="D7" s="263"/>
      <c r="E7" s="263"/>
      <c r="F7" s="511" t="str">
        <f>_xlfn.CONCAT(IF(SUM(W11:W290) &gt; 0,"Preconditions Pending On-Site Assessment: ",""),IF(SUM(W11:W290)&gt;0,IF(SUM(W11:W290) &gt; 0,SUM(W11:W290),""),""))</f>
        <v/>
      </c>
      <c r="G7" s="264"/>
      <c r="H7" s="264"/>
      <c r="I7" s="259">
        <f>SUM(Q11:Q290)</f>
        <v>0</v>
      </c>
      <c r="J7" s="496" t="str">
        <f>IF(VLOOKUP($D$4,Lists!$B$1:$E$19,3,FALSE)&lt;&gt; "",VLOOKUP($D$4,Lists!$B$1:$E$19,3,FALSE),"Not Anticipated")</f>
        <v>Not Anticipated</v>
      </c>
      <c r="K7" s="512"/>
      <c r="L7" s="513"/>
    </row>
    <row r="8" spans="1:23" ht="30" customHeight="1" thickBot="1">
      <c r="A8" s="49"/>
      <c r="B8" s="44"/>
      <c r="C8" s="257"/>
      <c r="D8" s="45"/>
      <c r="E8" s="262"/>
      <c r="F8" s="511" t="str">
        <f>_xlfn.CONCAT(IF(SUM(V11:V290) &gt; 0,"Preconditions Pending Documentation: ",""),IF(SUM(V11:V290)&gt;0,IF(SUM(V11:V290) &gt; 0,SUM(V11:V290),""),""))</f>
        <v/>
      </c>
      <c r="G8" s="265">
        <f>SUM(G290,G271,G225,G197,G169,G153,G135,G104,G88,G63,G40)</f>
        <v>72</v>
      </c>
      <c r="H8" s="265">
        <f>SUM(H290,H271,H225,H197,H169,H153,H135,H104,H88,H63,H40)</f>
        <v>0</v>
      </c>
      <c r="I8" s="266">
        <f>SUM(I290,I271,I225,I197,I169,I153,I135,I104,I88,I63,I40)</f>
        <v>72</v>
      </c>
      <c r="J8" s="496" t="s">
        <v>340</v>
      </c>
      <c r="K8" s="514"/>
      <c r="L8" s="515"/>
    </row>
    <row r="9" spans="1:23" ht="13.2" customHeight="1" thickBot="1">
      <c r="A9" s="49"/>
      <c r="B9" s="44"/>
      <c r="C9" s="257"/>
      <c r="D9" s="45"/>
      <c r="E9" s="45"/>
      <c r="F9" s="267"/>
      <c r="G9" s="257"/>
      <c r="H9" s="257"/>
      <c r="I9" s="257"/>
      <c r="J9" s="268"/>
      <c r="K9" s="831"/>
      <c r="L9" s="831"/>
    </row>
    <row r="10" spans="1:23" ht="52.2" customHeight="1" thickBot="1">
      <c r="A10" s="50" t="s">
        <v>1062</v>
      </c>
      <c r="B10" s="44"/>
      <c r="C10" s="269" t="s">
        <v>0</v>
      </c>
      <c r="D10" s="270" t="s">
        <v>1</v>
      </c>
      <c r="E10" s="270" t="s">
        <v>2</v>
      </c>
      <c r="F10" s="270" t="s">
        <v>3</v>
      </c>
      <c r="G10" s="270" t="s">
        <v>4</v>
      </c>
      <c r="H10" s="270" t="s">
        <v>5</v>
      </c>
      <c r="I10" s="270" t="s">
        <v>370</v>
      </c>
      <c r="J10" s="270" t="s">
        <v>6</v>
      </c>
      <c r="K10" s="270" t="str">
        <f>VLOOKUP(D4,Lists!B1:E15,2,FALSE)</f>
        <v>Anticipated</v>
      </c>
      <c r="L10" s="271" t="str">
        <f>_xlfn.CONCAT(VLOOKUP($D$4,Lists!$B$1:$E19,3,FALSE),IF(OR(VLOOKUP($D$4,Lists!$B$1:$E19,4,FALSE) = "",VLOOKUP($D$4,Lists!$B$1:$E19,3,FALSE) = ""),""," or "),VLOOKUP($D$4,Lists!$B$1:$E19,4,FALSE))</f>
        <v>Not Anticipated</v>
      </c>
      <c r="Q10" s="186" t="s">
        <v>706</v>
      </c>
      <c r="R10" s="186" t="s">
        <v>393</v>
      </c>
      <c r="S10" s="186" t="s">
        <v>394</v>
      </c>
      <c r="T10" s="186" t="s">
        <v>395</v>
      </c>
      <c r="U10" s="186" t="s">
        <v>396</v>
      </c>
      <c r="V10" s="186" t="s">
        <v>397</v>
      </c>
      <c r="W10" s="54" t="s">
        <v>736</v>
      </c>
    </row>
    <row r="11" spans="1:23" ht="21" customHeight="1">
      <c r="A11" s="272" t="s">
        <v>8</v>
      </c>
      <c r="B11" s="44"/>
      <c r="C11" s="832" t="s">
        <v>7</v>
      </c>
      <c r="D11" s="814" t="s">
        <v>8</v>
      </c>
      <c r="E11" s="815" t="s">
        <v>9</v>
      </c>
      <c r="F11" s="273" t="s">
        <v>10</v>
      </c>
      <c r="G11" s="274">
        <f>'Review Comments'!F10</f>
        <v>0</v>
      </c>
      <c r="H11" s="274" t="str">
        <f>'Review Comments'!G10</f>
        <v>Required</v>
      </c>
      <c r="I11" s="274" t="str">
        <f>IF(H11="Yes",G11,IF(H11="Required","Required",""))</f>
        <v>Required</v>
      </c>
      <c r="J11" s="273" t="str">
        <f>IF('Review Comments'!H10=0,"",'Review Comments'!H10)</f>
        <v>Anticipated</v>
      </c>
      <c r="K11" s="275" t="str">
        <f>IF(I11="Required","Required",IF(ISNUMBER(MATCH(J11,Lists!$H$2:$H$9,0)),I11,""))</f>
        <v>Required</v>
      </c>
      <c r="L11" s="276" t="str">
        <f>IF(I11="Required","Required",IF(ISNUMBER(MATCH(J11,Lists!$I$2:$I$9,0)),I11,IF(ISNUMBER(MATCH(J11,Lists!$J$2:$J$9,0)),I11,"")))</f>
        <v>Required</v>
      </c>
      <c r="Q11" s="45">
        <f>IF(I11="Required",0,IF(ISNUMBER(MATCH(J11,Lists!$I$2:$I$4,0)),L11))</f>
        <v>0</v>
      </c>
      <c r="R11" s="45">
        <f>IF(I11="Required",0,IF(ISNUMBER(MATCH(J11,Lists!$K$2:$K$7,0)),L11))</f>
        <v>0</v>
      </c>
      <c r="S11" s="45">
        <f>IF(I11="Required",0,IF(ISNUMBER(MATCH(J11,Lists!$G$2:$G$4,0)),L11))</f>
        <v>0</v>
      </c>
      <c r="T11" s="45">
        <f>IF(I11="Required",0,IF(ISNUMBER(MATCH(J11,Lists!$G$7:$G$8,0)),L11))</f>
        <v>0</v>
      </c>
      <c r="U11" s="45">
        <f>IF(I11="Required",0,IF(ISNUMBER(MATCH(J11,Lists!$H$2:$H$4,0)),K11))</f>
        <v>0</v>
      </c>
      <c r="V11" s="45">
        <f t="shared" ref="V11:V74" si="0">IF(A11="P",IF(IFERROR(SEARCH("Pending Documentation",J11),0)&gt;0,IF(I11="Required",1,I11),0),0)</f>
        <v>0</v>
      </c>
      <c r="W11" s="45">
        <f>IF(A11="P",IF(IFERROR(SEARCH("Pending On-site Assessment",J11),0)&gt;0,IF(I11="Required",1,I11),0),0)</f>
        <v>0</v>
      </c>
    </row>
    <row r="12" spans="1:23" ht="21" customHeight="1">
      <c r="A12" s="272" t="s">
        <v>8</v>
      </c>
      <c r="B12" s="44"/>
      <c r="C12" s="833"/>
      <c r="D12" s="811"/>
      <c r="E12" s="812"/>
      <c r="F12" s="277" t="s">
        <v>11</v>
      </c>
      <c r="G12" s="278">
        <f>'Review Comments'!F11</f>
        <v>0</v>
      </c>
      <c r="H12" s="278" t="str">
        <f>'Review Comments'!G11</f>
        <v>Required</v>
      </c>
      <c r="I12" s="278" t="str">
        <f t="shared" ref="I12:I18" si="1">IF(H12="Yes",G12,IF(H12="Required","Required",""))</f>
        <v>Required</v>
      </c>
      <c r="J12" s="277" t="str">
        <f>IF('Review Comments'!H11=0,"",'Review Comments'!H11)</f>
        <v>Anticipated</v>
      </c>
      <c r="K12" s="279" t="str">
        <f>IF(I12="Required","Required",IF(ISNUMBER(MATCH(J12,Lists!$H$2:$H$9,0)),I12,""))</f>
        <v>Required</v>
      </c>
      <c r="L12" s="280" t="str">
        <f>IF(I12="Required","Required",IF(ISNUMBER(MATCH(J12,Lists!$I$2:$I$9,0)),I12,IF(ISNUMBER(MATCH(J12,Lists!$J$2:$J$9,0)),I12,"")))</f>
        <v>Required</v>
      </c>
      <c r="Q12" s="45">
        <f>IF(I12="Required",0,IF(ISNUMBER(MATCH(J12,Lists!$I$2:$I$4,0)),L12))</f>
        <v>0</v>
      </c>
      <c r="R12" s="45">
        <f>IF(I12="Required",0,IF(ISNUMBER(MATCH(J12,Lists!$K$2:$K$7,0)),L12))</f>
        <v>0</v>
      </c>
      <c r="S12" s="45">
        <f>IF(I12="Required",0,IF(ISNUMBER(MATCH(J12,Lists!$G$2:$G$4,0)),L12))</f>
        <v>0</v>
      </c>
      <c r="T12" s="45">
        <f>IF(I12="Required",0,IF(ISNUMBER(MATCH(J12,Lists!$G$7:$G$8,0)),L12))</f>
        <v>0</v>
      </c>
      <c r="U12" s="45">
        <f>IF(I12="Required",0,IF(ISNUMBER(MATCH(J12,Lists!$H$2:$H$4,0)),K12))</f>
        <v>0</v>
      </c>
      <c r="V12" s="45">
        <f t="shared" si="0"/>
        <v>0</v>
      </c>
      <c r="W12" s="45">
        <f t="shared" ref="W12:W75" si="2">IF(A12="P",IF(IFERROR(SEARCH("Pending On-site Assessment",J12),0)&gt;0,IF(I12="Required",1,I12),0),0)</f>
        <v>0</v>
      </c>
    </row>
    <row r="13" spans="1:23" ht="21" customHeight="1">
      <c r="A13" s="272" t="s">
        <v>8</v>
      </c>
      <c r="B13" s="44"/>
      <c r="C13" s="833"/>
      <c r="D13" s="811"/>
      <c r="E13" s="812"/>
      <c r="F13" s="277" t="s">
        <v>12</v>
      </c>
      <c r="G13" s="278">
        <f>'Review Comments'!F12</f>
        <v>0</v>
      </c>
      <c r="H13" s="278" t="str">
        <f>'Review Comments'!G12</f>
        <v>Required</v>
      </c>
      <c r="I13" s="278" t="str">
        <f t="shared" si="1"/>
        <v>Required</v>
      </c>
      <c r="J13" s="277" t="str">
        <f>IF('Review Comments'!H12=0,"",'Review Comments'!H12)</f>
        <v>Anticipated</v>
      </c>
      <c r="K13" s="279" t="str">
        <f>IF(I13="Required","Required",IF(ISNUMBER(MATCH(J13,Lists!$H$2:$H$9,0)),I13,""))</f>
        <v>Required</v>
      </c>
      <c r="L13" s="280" t="str">
        <f>IF(I13="Required","Required",IF(ISNUMBER(MATCH(J13,Lists!$I$2:$I$9,0)),I13,IF(ISNUMBER(MATCH(J13,Lists!$J$2:$J$9,0)),I13,"")))</f>
        <v>Required</v>
      </c>
      <c r="Q13" s="45">
        <f>IF(I13="Required",0,IF(ISNUMBER(MATCH(J13,Lists!$I$2:$I$4,0)),L13))</f>
        <v>0</v>
      </c>
      <c r="R13" s="45">
        <f>IF(I13="Required",0,IF(ISNUMBER(MATCH(J13,Lists!$K$2:$K$7,0)),L13))</f>
        <v>0</v>
      </c>
      <c r="S13" s="45">
        <f>IF(I13="Required",0,IF(ISNUMBER(MATCH(J13,Lists!$G$2:$G$4,0)),L13))</f>
        <v>0</v>
      </c>
      <c r="T13" s="45">
        <f>IF(I13="Required",0,IF(ISNUMBER(MATCH(J13,Lists!$G$7:$G$8,0)),L13))</f>
        <v>0</v>
      </c>
      <c r="U13" s="45">
        <f>IF(I13="Required",0,IF(ISNUMBER(MATCH(J13,Lists!$H$2:$H$4,0)),K13))</f>
        <v>0</v>
      </c>
      <c r="V13" s="45">
        <f t="shared" si="0"/>
        <v>0</v>
      </c>
      <c r="W13" s="45">
        <f t="shared" si="2"/>
        <v>0</v>
      </c>
    </row>
    <row r="14" spans="1:23" ht="21" customHeight="1">
      <c r="A14" s="272" t="s">
        <v>8</v>
      </c>
      <c r="B14" s="44"/>
      <c r="C14" s="833"/>
      <c r="D14" s="811"/>
      <c r="E14" s="812"/>
      <c r="F14" s="277" t="s">
        <v>13</v>
      </c>
      <c r="G14" s="278">
        <f>'Review Comments'!F13</f>
        <v>0</v>
      </c>
      <c r="H14" s="278" t="str">
        <f>'Review Comments'!G13</f>
        <v>Required</v>
      </c>
      <c r="I14" s="278" t="str">
        <f t="shared" si="1"/>
        <v>Required</v>
      </c>
      <c r="J14" s="277" t="str">
        <f>IF('Review Comments'!H13=0,"",'Review Comments'!H13)</f>
        <v>Anticipated</v>
      </c>
      <c r="K14" s="279" t="str">
        <f>IF(I14="Required","Required",IF(ISNUMBER(MATCH(J14,Lists!$H$2:$H$9,0)),I14,""))</f>
        <v>Required</v>
      </c>
      <c r="L14" s="280" t="str">
        <f>IF(I14="Required","Required",IF(ISNUMBER(MATCH(J14,Lists!$I$2:$I$9,0)),I14,IF(ISNUMBER(MATCH(J14,Lists!$J$2:$J$9,0)),I14,"")))</f>
        <v>Required</v>
      </c>
      <c r="Q14" s="45">
        <f>IF(I14="Required",0,IF(ISNUMBER(MATCH(J14,Lists!$I$2:$I$4,0)),L14))</f>
        <v>0</v>
      </c>
      <c r="R14" s="45">
        <f>IF(I14="Required",0,IF(ISNUMBER(MATCH(J14,Lists!$K$2:$K$7,0)),L14))</f>
        <v>0</v>
      </c>
      <c r="S14" s="45">
        <f>IF(I14="Required",0,IF(ISNUMBER(MATCH(J14,Lists!$G$2:$G$4,0)),L14))</f>
        <v>0</v>
      </c>
      <c r="T14" s="45">
        <f>IF(I14="Required",0,IF(ISNUMBER(MATCH(J14,Lists!$G$7:$G$8,0)),L14))</f>
        <v>0</v>
      </c>
      <c r="U14" s="45">
        <f>IF(I14="Required",0,IF(ISNUMBER(MATCH(J14,Lists!$H$2:$H$4,0)),K14))</f>
        <v>0</v>
      </c>
      <c r="V14" s="45">
        <f t="shared" si="0"/>
        <v>0</v>
      </c>
      <c r="W14" s="45">
        <f t="shared" si="2"/>
        <v>0</v>
      </c>
    </row>
    <row r="15" spans="1:23" ht="21" customHeight="1">
      <c r="A15" s="272" t="s">
        <v>8</v>
      </c>
      <c r="B15" s="44"/>
      <c r="C15" s="833"/>
      <c r="D15" s="811"/>
      <c r="E15" s="812"/>
      <c r="F15" s="277" t="s">
        <v>14</v>
      </c>
      <c r="G15" s="278">
        <f>'Review Comments'!F14</f>
        <v>0</v>
      </c>
      <c r="H15" s="278" t="str">
        <f>'Review Comments'!G14</f>
        <v>Required</v>
      </c>
      <c r="I15" s="278" t="str">
        <f t="shared" si="1"/>
        <v>Required</v>
      </c>
      <c r="J15" s="277" t="str">
        <f>IF('Review Comments'!H14=0,"",'Review Comments'!H14)</f>
        <v>Anticipated</v>
      </c>
      <c r="K15" s="279" t="str">
        <f>IF(I15="Required","Required",IF(ISNUMBER(MATCH(J15,Lists!$H$2:$H$9,0)),I15,""))</f>
        <v>Required</v>
      </c>
      <c r="L15" s="280" t="str">
        <f>IF(I15="Required","Required",IF(ISNUMBER(MATCH(J15,Lists!$I$2:$I$9,0)),I15,IF(ISNUMBER(MATCH(J15,Lists!$J$2:$J$9,0)),I15,"")))</f>
        <v>Required</v>
      </c>
      <c r="Q15" s="45">
        <f>IF(I15="Required",0,IF(ISNUMBER(MATCH(J15,Lists!$I$2:$I$4,0)),L15))</f>
        <v>0</v>
      </c>
      <c r="R15" s="45">
        <f>IF(I15="Required",0,IF(ISNUMBER(MATCH(J15,Lists!$K$2:$K$7,0)),L15))</f>
        <v>0</v>
      </c>
      <c r="S15" s="45">
        <f>IF(I15="Required",0,IF(ISNUMBER(MATCH(J15,Lists!$G$2:$G$4,0)),L15))</f>
        <v>0</v>
      </c>
      <c r="T15" s="45">
        <f>IF(I15="Required",0,IF(ISNUMBER(MATCH(J15,Lists!$G$7:$G$8,0)),L15))</f>
        <v>0</v>
      </c>
      <c r="U15" s="45">
        <f>IF(I15="Required",0,IF(ISNUMBER(MATCH(J15,Lists!$H$2:$H$4,0)),K15))</f>
        <v>0</v>
      </c>
      <c r="V15" s="45">
        <f t="shared" si="0"/>
        <v>0</v>
      </c>
      <c r="W15" s="45">
        <f t="shared" si="2"/>
        <v>0</v>
      </c>
    </row>
    <row r="16" spans="1:23" ht="21" customHeight="1">
      <c r="A16" s="272" t="s">
        <v>8</v>
      </c>
      <c r="B16" s="44"/>
      <c r="C16" s="833"/>
      <c r="D16" s="811" t="s">
        <v>8</v>
      </c>
      <c r="E16" s="812" t="s">
        <v>15</v>
      </c>
      <c r="F16" s="277" t="s">
        <v>16</v>
      </c>
      <c r="G16" s="278">
        <f>'Review Comments'!F15</f>
        <v>0</v>
      </c>
      <c r="H16" s="278" t="str">
        <f>'Review Comments'!G15</f>
        <v>Required</v>
      </c>
      <c r="I16" s="278" t="str">
        <f t="shared" si="1"/>
        <v>Required</v>
      </c>
      <c r="J16" s="277" t="str">
        <f>IF('Review Comments'!H15=0,"",'Review Comments'!H15)</f>
        <v>Anticipated</v>
      </c>
      <c r="K16" s="279" t="str">
        <f>IF(I16="Required","Required",IF(ISNUMBER(MATCH(J16,Lists!$H$2:$H$9,0)),I16,""))</f>
        <v>Required</v>
      </c>
      <c r="L16" s="280" t="str">
        <f>IF(I16="Required","Required",IF(ISNUMBER(MATCH(J16,Lists!$I$2:$I$9,0)),I16,IF(ISNUMBER(MATCH(J16,Lists!$J$2:$J$9,0)),I16,"")))</f>
        <v>Required</v>
      </c>
      <c r="Q16" s="45">
        <f>IF(I16="Required",0,IF(ISNUMBER(MATCH(J16,Lists!$I$2:$I$4,0)),L16))</f>
        <v>0</v>
      </c>
      <c r="R16" s="45">
        <f>IF(I16="Required",0,IF(ISNUMBER(MATCH(J16,Lists!$K$2:$K$7,0)),L16))</f>
        <v>0</v>
      </c>
      <c r="S16" s="45">
        <f>IF(I16="Required",0,IF(ISNUMBER(MATCH(J16,Lists!$G$2:$G$4,0)),L16))</f>
        <v>0</v>
      </c>
      <c r="T16" s="45">
        <f>IF(I16="Required",0,IF(ISNUMBER(MATCH(J16,Lists!$G$7:$G$8,0)),L16))</f>
        <v>0</v>
      </c>
      <c r="U16" s="45">
        <f>IF(I16="Required",0,IF(ISNUMBER(MATCH(J16,Lists!$H$2:$H$4,0)),K16))</f>
        <v>0</v>
      </c>
      <c r="V16" s="45">
        <f t="shared" si="0"/>
        <v>0</v>
      </c>
      <c r="W16" s="45">
        <f t="shared" si="2"/>
        <v>0</v>
      </c>
    </row>
    <row r="17" spans="1:23" ht="21" customHeight="1">
      <c r="A17" s="272" t="s">
        <v>8</v>
      </c>
      <c r="B17" s="44"/>
      <c r="C17" s="833"/>
      <c r="D17" s="811"/>
      <c r="E17" s="812"/>
      <c r="F17" s="277" t="s">
        <v>17</v>
      </c>
      <c r="G17" s="278">
        <f>'Review Comments'!F16</f>
        <v>0</v>
      </c>
      <c r="H17" s="278" t="str">
        <f>'Review Comments'!G16</f>
        <v>Required</v>
      </c>
      <c r="I17" s="278" t="str">
        <f t="shared" si="1"/>
        <v>Required</v>
      </c>
      <c r="J17" s="277" t="str">
        <f>IF('Review Comments'!H16=0,"",'Review Comments'!H16)</f>
        <v>Anticipated</v>
      </c>
      <c r="K17" s="279" t="str">
        <f>IF(I17="Required","Required",IF(ISNUMBER(MATCH(J17,Lists!$H$2:$H$9,0)),I17,""))</f>
        <v>Required</v>
      </c>
      <c r="L17" s="280" t="str">
        <f>IF(I17="Required","Required",IF(ISNUMBER(MATCH(J17,Lists!$I$2:$I$9,0)),I17,IF(ISNUMBER(MATCH(J17,Lists!$J$2:$J$9,0)),I17,"")))</f>
        <v>Required</v>
      </c>
      <c r="Q17" s="45">
        <f>IF(I17="Required",0,IF(ISNUMBER(MATCH(J17,Lists!$I$2:$I$4,0)),L17))</f>
        <v>0</v>
      </c>
      <c r="R17" s="45">
        <f>IF(I17="Required",0,IF(ISNUMBER(MATCH(J17,Lists!$K$2:$K$7,0)),L17))</f>
        <v>0</v>
      </c>
      <c r="S17" s="45">
        <f>IF(I17="Required",0,IF(ISNUMBER(MATCH(J17,Lists!$G$2:$G$4,0)),L17))</f>
        <v>0</v>
      </c>
      <c r="T17" s="45">
        <f>IF(I17="Required",0,IF(ISNUMBER(MATCH(J17,Lists!$G$7:$G$8,0)),L17))</f>
        <v>0</v>
      </c>
      <c r="U17" s="45">
        <f>IF(I17="Required",0,IF(ISNUMBER(MATCH(J17,Lists!$H$2:$H$4,0)),K17))</f>
        <v>0</v>
      </c>
      <c r="V17" s="45">
        <f t="shared" si="0"/>
        <v>0</v>
      </c>
      <c r="W17" s="45">
        <f t="shared" si="2"/>
        <v>0</v>
      </c>
    </row>
    <row r="18" spans="1:23" ht="21" customHeight="1">
      <c r="A18" s="272" t="s">
        <v>8</v>
      </c>
      <c r="B18" s="44"/>
      <c r="C18" s="833"/>
      <c r="D18" s="811" t="s">
        <v>8</v>
      </c>
      <c r="E18" s="812" t="s">
        <v>18</v>
      </c>
      <c r="F18" s="277" t="s">
        <v>19</v>
      </c>
      <c r="G18" s="278">
        <f>'Review Comments'!F17</f>
        <v>0</v>
      </c>
      <c r="H18" s="278" t="str">
        <f>'Review Comments'!G17</f>
        <v>Required</v>
      </c>
      <c r="I18" s="278" t="str">
        <f t="shared" si="1"/>
        <v>Required</v>
      </c>
      <c r="J18" s="277" t="str">
        <f>IF('Review Comments'!H17=0,"",'Review Comments'!H17)</f>
        <v>Anticipated</v>
      </c>
      <c r="K18" s="279" t="str">
        <f>IF(I18="Required","Required",IF(ISNUMBER(MATCH(J18,Lists!$H$2:$H$9,0)),I18,""))</f>
        <v>Required</v>
      </c>
      <c r="L18" s="280" t="str">
        <f>IF(I18="Required","Required",IF(ISNUMBER(MATCH(J18,Lists!$I$2:$I$9,0)),I18,IF(ISNUMBER(MATCH(J18,Lists!$J$2:$J$9,0)),I18,"")))</f>
        <v>Required</v>
      </c>
      <c r="Q18" s="45">
        <f>IF(I18="Required",0,IF(ISNUMBER(MATCH(J18,Lists!$I$2:$I$4,0)),L18))</f>
        <v>0</v>
      </c>
      <c r="R18" s="45">
        <f>IF(I18="Required",0,IF(ISNUMBER(MATCH(J18,Lists!$K$2:$K$7,0)),L18))</f>
        <v>0</v>
      </c>
      <c r="S18" s="45">
        <f>IF(I18="Required",0,IF(ISNUMBER(MATCH(J18,Lists!$G$2:$G$4,0)),L18))</f>
        <v>0</v>
      </c>
      <c r="T18" s="45">
        <f>IF(I18="Required",0,IF(ISNUMBER(MATCH(J18,Lists!$G$7:$G$8,0)),L18))</f>
        <v>0</v>
      </c>
      <c r="U18" s="45">
        <f>IF(I18="Required",0,IF(ISNUMBER(MATCH(J18,Lists!$H$2:$H$4,0)),K18))</f>
        <v>0</v>
      </c>
      <c r="V18" s="45">
        <f t="shared" si="0"/>
        <v>0</v>
      </c>
      <c r="W18" s="45">
        <f t="shared" si="2"/>
        <v>0</v>
      </c>
    </row>
    <row r="19" spans="1:23" ht="21" customHeight="1">
      <c r="A19" s="272" t="s">
        <v>8</v>
      </c>
      <c r="B19" s="44"/>
      <c r="C19" s="833"/>
      <c r="D19" s="811"/>
      <c r="E19" s="812"/>
      <c r="F19" s="277" t="s">
        <v>20</v>
      </c>
      <c r="G19" s="278">
        <f>'Review Comments'!F18</f>
        <v>0</v>
      </c>
      <c r="H19" s="278" t="str">
        <f>'Review Comments'!G18</f>
        <v>Required</v>
      </c>
      <c r="I19" s="278" t="str">
        <f t="shared" ref="I19:I20" si="3">IF(H19="Yes",G19,IF(H19="Required","Required",""))</f>
        <v>Required</v>
      </c>
      <c r="J19" s="277" t="str">
        <f>IF('Review Comments'!H18=0,"",'Review Comments'!H18)</f>
        <v>Anticipated</v>
      </c>
      <c r="K19" s="279" t="str">
        <f>IF(I19="Required","Required",IF(ISNUMBER(MATCH(J19,Lists!$H$2:$H$9,0)),I19,""))</f>
        <v>Required</v>
      </c>
      <c r="L19" s="280" t="str">
        <f>IF(I19="Required","Required",IF(ISNUMBER(MATCH(J19,Lists!$I$2:$I$9,0)),I19,IF(ISNUMBER(MATCH(J19,Lists!$J$2:$J$9,0)),I19,"")))</f>
        <v>Required</v>
      </c>
      <c r="Q19" s="45">
        <f>IF(I19="Required",0,IF(ISNUMBER(MATCH(J19,Lists!$I$2:$I$4,0)),L19))</f>
        <v>0</v>
      </c>
      <c r="R19" s="45">
        <f>IF(I19="Required",0,IF(ISNUMBER(MATCH(J19,Lists!$K$2:$K$7,0)),L19))</f>
        <v>0</v>
      </c>
      <c r="S19" s="45">
        <f>IF(I19="Required",0,IF(ISNUMBER(MATCH(J19,Lists!$G$2:$G$4,0)),L19))</f>
        <v>0</v>
      </c>
      <c r="T19" s="45">
        <f>IF(I19="Required",0,IF(ISNUMBER(MATCH(J19,Lists!$G$7:$G$8,0)),L19))</f>
        <v>0</v>
      </c>
      <c r="U19" s="45">
        <f>IF(I19="Required",0,IF(ISNUMBER(MATCH(J19,Lists!$H$2:$H$4,0)),K19))</f>
        <v>0</v>
      </c>
      <c r="V19" s="45">
        <f t="shared" si="0"/>
        <v>0</v>
      </c>
      <c r="W19" s="45">
        <f t="shared" si="2"/>
        <v>0</v>
      </c>
    </row>
    <row r="20" spans="1:23" ht="21" customHeight="1">
      <c r="A20" s="272" t="s">
        <v>8</v>
      </c>
      <c r="B20" s="44"/>
      <c r="C20" s="833"/>
      <c r="D20" s="281" t="s">
        <v>8</v>
      </c>
      <c r="E20" s="201" t="s">
        <v>21</v>
      </c>
      <c r="F20" s="277" t="s">
        <v>22</v>
      </c>
      <c r="G20" s="278">
        <f>'Review Comments'!F19</f>
        <v>0</v>
      </c>
      <c r="H20" s="278" t="str">
        <f>'Review Comments'!G19</f>
        <v>Required</v>
      </c>
      <c r="I20" s="278" t="str">
        <f t="shared" si="3"/>
        <v>Required</v>
      </c>
      <c r="J20" s="277" t="str">
        <f>IF('Review Comments'!H19=0,"",'Review Comments'!H19)</f>
        <v>Anticipated</v>
      </c>
      <c r="K20" s="279" t="str">
        <f>IF(I20="Required","Required",IF(ISNUMBER(MATCH(J20,Lists!$H$2:$H$9,0)),I20,""))</f>
        <v>Required</v>
      </c>
      <c r="L20" s="280" t="str">
        <f>IF(I20="Required","Required",IF(ISNUMBER(MATCH(J20,Lists!$I$2:$I$9,0)),I20,IF(ISNUMBER(MATCH(J20,Lists!$J$2:$J$9,0)),I20,"")))</f>
        <v>Required</v>
      </c>
      <c r="Q20" s="45">
        <f>IF(I20="Required",0,IF(ISNUMBER(MATCH(J20,Lists!$I$2:$I$4,0)),L20))</f>
        <v>0</v>
      </c>
      <c r="R20" s="45">
        <f>IF(I20="Required",0,IF(ISNUMBER(MATCH(J20,Lists!$K$2:$K$7,0)),L20))</f>
        <v>0</v>
      </c>
      <c r="S20" s="45">
        <f>IF(I20="Required",0,IF(ISNUMBER(MATCH(J20,Lists!$G$2:$G$4,0)),L20))</f>
        <v>0</v>
      </c>
      <c r="T20" s="45">
        <f>IF(I20="Required",0,IF(ISNUMBER(MATCH(J20,Lists!$G$7:$G$8,0)),L20))</f>
        <v>0</v>
      </c>
      <c r="U20" s="45">
        <f>IF(I20="Required",0,IF(ISNUMBER(MATCH(J20,Lists!$H$2:$H$4,0)),K20))</f>
        <v>0</v>
      </c>
      <c r="V20" s="45">
        <f t="shared" si="0"/>
        <v>0</v>
      </c>
      <c r="W20" s="45">
        <f t="shared" si="2"/>
        <v>0</v>
      </c>
    </row>
    <row r="21" spans="1:23" ht="21" customHeight="1">
      <c r="A21" s="272" t="s">
        <v>23</v>
      </c>
      <c r="B21" s="44"/>
      <c r="C21" s="833"/>
      <c r="D21" s="811" t="s">
        <v>23</v>
      </c>
      <c r="E21" s="812" t="s">
        <v>24</v>
      </c>
      <c r="F21" s="277" t="s">
        <v>25</v>
      </c>
      <c r="G21" s="278">
        <f>'Review Comments'!F20</f>
        <v>1</v>
      </c>
      <c r="H21" s="278" t="str">
        <f>'Review Comments'!G20</f>
        <v>Yes</v>
      </c>
      <c r="I21" s="278">
        <f t="shared" ref="I21:I39" si="4">IF(H21="Yes",G21,IF(H21="Required","Required",""))</f>
        <v>1</v>
      </c>
      <c r="J21" s="277" t="str">
        <f>IF('Review Comments'!H20=0,"",'Review Comments'!H20)</f>
        <v>Anticipated</v>
      </c>
      <c r="K21" s="279">
        <f>IF(I21="Required","Required",IF(ISNUMBER(MATCH(J21,Lists!$H$2:$H$9,0)),I21,""))</f>
        <v>1</v>
      </c>
      <c r="L21" s="280" t="str">
        <f>IF(I21="Required","Required",IF(ISNUMBER(MATCH(J21,Lists!$I$2:$I$9,0)),I21,IF(ISNUMBER(MATCH(J21,Lists!$J$2:$J$9,0)),I21,"")))</f>
        <v/>
      </c>
      <c r="Q21" s="45" t="b">
        <f>IF(I21="Required",0,IF(ISNUMBER(MATCH(J21,Lists!$I$2:$I$4,0)),L21))</f>
        <v>0</v>
      </c>
      <c r="R21" s="45" t="b">
        <f>IF(I21="Required",0,IF(ISNUMBER(MATCH(J21,Lists!$K$2:$K$7,0)),L21))</f>
        <v>0</v>
      </c>
      <c r="S21" s="45" t="b">
        <f>IF(I21="Required",0,IF(ISNUMBER(MATCH(J21,Lists!$G$2:$G$4,0)),L21))</f>
        <v>0</v>
      </c>
      <c r="T21" s="45" t="b">
        <f>IF(I21="Required",0,IF(ISNUMBER(MATCH(J21,Lists!$G$7:$G$8,0)),L21))</f>
        <v>0</v>
      </c>
      <c r="U21" s="45">
        <f>IF(I21="Required",0,IF(ISNUMBER(MATCH(J21,Lists!$H$2:$H$4,0)),K21))</f>
        <v>1</v>
      </c>
      <c r="V21" s="45">
        <f t="shared" si="0"/>
        <v>0</v>
      </c>
      <c r="W21" s="45">
        <f t="shared" si="2"/>
        <v>0</v>
      </c>
    </row>
    <row r="22" spans="1:23" ht="21" customHeight="1">
      <c r="A22" s="272" t="s">
        <v>23</v>
      </c>
      <c r="B22" s="44"/>
      <c r="C22" s="833"/>
      <c r="D22" s="811"/>
      <c r="E22" s="812"/>
      <c r="F22" s="277" t="s">
        <v>398</v>
      </c>
      <c r="G22" s="278">
        <f>'Review Comments'!F21</f>
        <v>0</v>
      </c>
      <c r="H22" s="278" t="str">
        <f>'Review Comments'!G21</f>
        <v>No</v>
      </c>
      <c r="I22" s="278" t="str">
        <f t="shared" si="4"/>
        <v/>
      </c>
      <c r="J22" s="277" t="str">
        <f>IF('Review Comments'!H21=0,"",'Review Comments'!H21)</f>
        <v>Not Attempted</v>
      </c>
      <c r="K22" s="279" t="str">
        <f>IF(I22="Required","Required",IF(ISNUMBER(MATCH(J22,Lists!$H$2:$H$9,0)),I22,""))</f>
        <v/>
      </c>
      <c r="L22" s="280" t="str">
        <f>IF(I22="Required","Required",IF(ISNUMBER(MATCH(J22,Lists!$I$2:$I$9,0)),I22,IF(ISNUMBER(MATCH(J22,Lists!$J$2:$J$9,0)),I22,"")))</f>
        <v/>
      </c>
      <c r="Q22" s="45" t="b">
        <f>IF(I22="Required",0,IF(ISNUMBER(MATCH(J22,Lists!$I$2:$I$4,0)),L22))</f>
        <v>0</v>
      </c>
      <c r="R22" s="45" t="b">
        <f>IF(I22="Required",0,IF(ISNUMBER(MATCH(J22,Lists!$K$2:$K$7,0)),L22))</f>
        <v>0</v>
      </c>
      <c r="S22" s="45" t="b">
        <f>IF(I22="Required",0,IF(ISNUMBER(MATCH(J22,Lists!$G$2:$G$4,0)),L22))</f>
        <v>0</v>
      </c>
      <c r="T22" s="45" t="b">
        <f>IF(I22="Required",0,IF(ISNUMBER(MATCH(J22,Lists!$G$7:$G$8,0)),L22))</f>
        <v>0</v>
      </c>
      <c r="U22" s="45" t="b">
        <f>IF(I22="Required",0,IF(ISNUMBER(MATCH(J22,Lists!$H$2:$H$4,0)),K22))</f>
        <v>0</v>
      </c>
      <c r="V22" s="45">
        <f t="shared" si="0"/>
        <v>0</v>
      </c>
      <c r="W22" s="45">
        <f t="shared" si="2"/>
        <v>0</v>
      </c>
    </row>
    <row r="23" spans="1:23" ht="21" customHeight="1">
      <c r="A23" s="272" t="s">
        <v>23</v>
      </c>
      <c r="B23" s="44"/>
      <c r="C23" s="833"/>
      <c r="D23" s="811"/>
      <c r="E23" s="812"/>
      <c r="F23" s="277" t="s">
        <v>399</v>
      </c>
      <c r="G23" s="278">
        <f>'Review Comments'!F22</f>
        <v>0</v>
      </c>
      <c r="H23" s="278" t="str">
        <f>'Review Comments'!G22</f>
        <v>No</v>
      </c>
      <c r="I23" s="278" t="str">
        <f t="shared" si="4"/>
        <v/>
      </c>
      <c r="J23" s="277" t="str">
        <f>IF('Review Comments'!H22=0,"",'Review Comments'!H22)</f>
        <v>Not Attempted</v>
      </c>
      <c r="K23" s="279" t="str">
        <f>IF(I23="Required","Required",IF(ISNUMBER(MATCH(J23,Lists!$H$2:$H$9,0)),I23,""))</f>
        <v/>
      </c>
      <c r="L23" s="280" t="str">
        <f>IF(I23="Required","Required",IF(ISNUMBER(MATCH(J23,Lists!$I$2:$I$9,0)),I23,IF(ISNUMBER(MATCH(J23,Lists!$J$2:$J$9,0)),I23,"")))</f>
        <v/>
      </c>
      <c r="Q23" s="45" t="b">
        <f>IF(I23="Required",0,IF(ISNUMBER(MATCH(J23,Lists!$I$2:$I$4,0)),L23))</f>
        <v>0</v>
      </c>
      <c r="R23" s="45" t="b">
        <f>IF(I23="Required",0,IF(ISNUMBER(MATCH(J23,Lists!$K$2:$K$7,0)),L23))</f>
        <v>0</v>
      </c>
      <c r="S23" s="45" t="b">
        <f>IF(I23="Required",0,IF(ISNUMBER(MATCH(J23,Lists!$G$2:$G$4,0)),L23))</f>
        <v>0</v>
      </c>
      <c r="T23" s="45" t="b">
        <f>IF(I23="Required",0,IF(ISNUMBER(MATCH(J23,Lists!$G$7:$G$8,0)),L23))</f>
        <v>0</v>
      </c>
      <c r="U23" s="45" t="b">
        <f>IF(I23="Required",0,IF(ISNUMBER(MATCH(J23,Lists!$H$2:$H$4,0)),K23))</f>
        <v>0</v>
      </c>
      <c r="V23" s="45">
        <f t="shared" si="0"/>
        <v>0</v>
      </c>
      <c r="W23" s="45">
        <f t="shared" si="2"/>
        <v>0</v>
      </c>
    </row>
    <row r="24" spans="1:23" ht="21" customHeight="1">
      <c r="A24" s="272" t="s">
        <v>23</v>
      </c>
      <c r="B24" s="44"/>
      <c r="C24" s="833"/>
      <c r="D24" s="811" t="s">
        <v>23</v>
      </c>
      <c r="E24" s="812" t="s">
        <v>26</v>
      </c>
      <c r="F24" s="277" t="s">
        <v>27</v>
      </c>
      <c r="G24" s="278">
        <f>'Review Comments'!F23</f>
        <v>1</v>
      </c>
      <c r="H24" s="278" t="str">
        <f>'Review Comments'!G23</f>
        <v>Yes</v>
      </c>
      <c r="I24" s="278">
        <f t="shared" si="4"/>
        <v>1</v>
      </c>
      <c r="J24" s="277" t="str">
        <f>IF('Review Comments'!H23=0,"",'Review Comments'!H23)</f>
        <v>Anticipated</v>
      </c>
      <c r="K24" s="279">
        <f>IF(I24="Required","Required",IF(ISNUMBER(MATCH(J24,Lists!$H$2:$H$9,0)),I24,""))</f>
        <v>1</v>
      </c>
      <c r="L24" s="280" t="str">
        <f>IF(I24="Required","Required",IF(ISNUMBER(MATCH(J24,Lists!$I$2:$I$9,0)),I24,IF(ISNUMBER(MATCH(J24,Lists!$J$2:$J$9,0)),I24,"")))</f>
        <v/>
      </c>
      <c r="Q24" s="45" t="b">
        <f>IF(I24="Required",0,IF(ISNUMBER(MATCH(J24,Lists!$I$2:$I$4,0)),L24))</f>
        <v>0</v>
      </c>
      <c r="R24" s="45" t="b">
        <f>IF(I24="Required",0,IF(ISNUMBER(MATCH(J24,Lists!$K$2:$K$7,0)),L24))</f>
        <v>0</v>
      </c>
      <c r="S24" s="45" t="b">
        <f>IF(I24="Required",0,IF(ISNUMBER(MATCH(J24,Lists!$G$2:$G$4,0)),L24))</f>
        <v>0</v>
      </c>
      <c r="T24" s="45" t="b">
        <f>IF(I24="Required",0,IF(ISNUMBER(MATCH(J24,Lists!$G$7:$G$8,0)),L24))</f>
        <v>0</v>
      </c>
      <c r="U24" s="45">
        <f>IF(I24="Required",0,IF(ISNUMBER(MATCH(J24,Lists!$H$2:$H$4,0)),K24))</f>
        <v>1</v>
      </c>
      <c r="V24" s="45">
        <f t="shared" si="0"/>
        <v>0</v>
      </c>
      <c r="W24" s="45">
        <f t="shared" si="2"/>
        <v>0</v>
      </c>
    </row>
    <row r="25" spans="1:23" ht="21" customHeight="1">
      <c r="A25" s="272" t="s">
        <v>23</v>
      </c>
      <c r="B25" s="44"/>
      <c r="C25" s="833"/>
      <c r="D25" s="811"/>
      <c r="E25" s="812"/>
      <c r="F25" s="277" t="s">
        <v>28</v>
      </c>
      <c r="G25" s="278">
        <f>'Review Comments'!F24</f>
        <v>1</v>
      </c>
      <c r="H25" s="278" t="str">
        <f>'Review Comments'!G24</f>
        <v>Yes</v>
      </c>
      <c r="I25" s="278">
        <f t="shared" si="4"/>
        <v>1</v>
      </c>
      <c r="J25" s="277" t="str">
        <f>IF('Review Comments'!H24=0,"",'Review Comments'!H24)</f>
        <v>Anticipated</v>
      </c>
      <c r="K25" s="279">
        <f>IF(I25="Required","Required",IF(ISNUMBER(MATCH(J25,Lists!$H$2:$H$9,0)),I25,""))</f>
        <v>1</v>
      </c>
      <c r="L25" s="280" t="str">
        <f>IF(I25="Required","Required",IF(ISNUMBER(MATCH(J25,Lists!$I$2:$I$9,0)),I25,IF(ISNUMBER(MATCH(J25,Lists!$J$2:$J$9,0)),I25,"")))</f>
        <v/>
      </c>
      <c r="Q25" s="45" t="b">
        <f>IF(I25="Required",0,IF(ISNUMBER(MATCH(J25,Lists!$I$2:$I$4,0)),L25))</f>
        <v>0</v>
      </c>
      <c r="R25" s="45" t="b">
        <f>IF(I25="Required",0,IF(ISNUMBER(MATCH(J25,Lists!$K$2:$K$7,0)),L25))</f>
        <v>0</v>
      </c>
      <c r="S25" s="45" t="b">
        <f>IF(I25="Required",0,IF(ISNUMBER(MATCH(J25,Lists!$G$2:$G$4,0)),L25))</f>
        <v>0</v>
      </c>
      <c r="T25" s="45" t="b">
        <f>IF(I25="Required",0,IF(ISNUMBER(MATCH(J25,Lists!$G$7:$G$8,0)),L25))</f>
        <v>0</v>
      </c>
      <c r="U25" s="45">
        <f>IF(I25="Required",0,IF(ISNUMBER(MATCH(J25,Lists!$H$2:$H$4,0)),K25))</f>
        <v>1</v>
      </c>
      <c r="V25" s="45">
        <f t="shared" si="0"/>
        <v>0</v>
      </c>
      <c r="W25" s="45">
        <f t="shared" si="2"/>
        <v>0</v>
      </c>
    </row>
    <row r="26" spans="1:23" ht="21" customHeight="1">
      <c r="A26" s="272" t="s">
        <v>23</v>
      </c>
      <c r="B26" s="44"/>
      <c r="C26" s="833"/>
      <c r="D26" s="811"/>
      <c r="E26" s="812"/>
      <c r="F26" s="277" t="s">
        <v>400</v>
      </c>
      <c r="G26" s="278">
        <f>'Review Comments'!F25</f>
        <v>0</v>
      </c>
      <c r="H26" s="278" t="str">
        <f>'Review Comments'!G25</f>
        <v>No</v>
      </c>
      <c r="I26" s="278" t="str">
        <f t="shared" si="4"/>
        <v/>
      </c>
      <c r="J26" s="277" t="str">
        <f>IF('Review Comments'!H25=0,"",'Review Comments'!H25)</f>
        <v>Not Attempted</v>
      </c>
      <c r="K26" s="279" t="str">
        <f>IF(I26="Required","Required",IF(ISNUMBER(MATCH(J26,Lists!$H$2:$H$9,0)),I26,""))</f>
        <v/>
      </c>
      <c r="L26" s="280" t="str">
        <f>IF(I26="Required","Required",IF(ISNUMBER(MATCH(J26,Lists!$I$2:$I$9,0)),I26,IF(ISNUMBER(MATCH(J26,Lists!$J$2:$J$9,0)),I26,"")))</f>
        <v/>
      </c>
      <c r="Q26" s="45" t="b">
        <f>IF(I26="Required",0,IF(ISNUMBER(MATCH(J26,Lists!$I$2:$I$4,0)),L26))</f>
        <v>0</v>
      </c>
      <c r="R26" s="45" t="b">
        <f>IF(I26="Required",0,IF(ISNUMBER(MATCH(J26,Lists!$K$2:$K$7,0)),L26))</f>
        <v>0</v>
      </c>
      <c r="S26" s="45" t="b">
        <f>IF(I26="Required",0,IF(ISNUMBER(MATCH(J26,Lists!$G$2:$G$4,0)),L26))</f>
        <v>0</v>
      </c>
      <c r="T26" s="45" t="b">
        <f>IF(I26="Required",0,IF(ISNUMBER(MATCH(J26,Lists!$G$7:$G$8,0)),L26))</f>
        <v>0</v>
      </c>
      <c r="U26" s="45" t="b">
        <f>IF(I26="Required",0,IF(ISNUMBER(MATCH(J26,Lists!$H$2:$H$4,0)),K26))</f>
        <v>0</v>
      </c>
      <c r="V26" s="45">
        <f t="shared" si="0"/>
        <v>0</v>
      </c>
      <c r="W26" s="45">
        <f t="shared" si="2"/>
        <v>0</v>
      </c>
    </row>
    <row r="27" spans="1:23" ht="21" customHeight="1">
      <c r="A27" s="272" t="s">
        <v>23</v>
      </c>
      <c r="B27" s="44"/>
      <c r="C27" s="833"/>
      <c r="D27" s="811"/>
      <c r="E27" s="812"/>
      <c r="F27" s="277" t="s">
        <v>29</v>
      </c>
      <c r="G27" s="278">
        <f>'Review Comments'!F26</f>
        <v>0</v>
      </c>
      <c r="H27" s="278" t="str">
        <f>'Review Comments'!G26</f>
        <v>No</v>
      </c>
      <c r="I27" s="278" t="str">
        <f t="shared" si="4"/>
        <v/>
      </c>
      <c r="J27" s="277" t="str">
        <f>IF('Review Comments'!H26=0,"",'Review Comments'!H26)</f>
        <v>Not Attempted</v>
      </c>
      <c r="K27" s="279" t="str">
        <f>IF(I27="Required","Required",IF(ISNUMBER(MATCH(J27,Lists!$H$2:$H$9,0)),I27,""))</f>
        <v/>
      </c>
      <c r="L27" s="280" t="str">
        <f>IF(I27="Required","Required",IF(ISNUMBER(MATCH(J27,Lists!$I$2:$I$9,0)),I27,IF(ISNUMBER(MATCH(J27,Lists!$J$2:$J$9,0)),I27,"")))</f>
        <v/>
      </c>
      <c r="Q27" s="45" t="b">
        <f>IF(I27="Required",0,IF(ISNUMBER(MATCH(J27,Lists!$I$2:$I$4,0)),L27))</f>
        <v>0</v>
      </c>
      <c r="R27" s="45" t="b">
        <f>IF(I27="Required",0,IF(ISNUMBER(MATCH(J27,Lists!$K$2:$K$7,0)),L27))</f>
        <v>0</v>
      </c>
      <c r="S27" s="45" t="b">
        <f>IF(I27="Required",0,IF(ISNUMBER(MATCH(J27,Lists!$G$2:$G$4,0)),L27))</f>
        <v>0</v>
      </c>
      <c r="T27" s="45" t="b">
        <f>IF(I27="Required",0,IF(ISNUMBER(MATCH(J27,Lists!$G$7:$G$8,0)),L27))</f>
        <v>0</v>
      </c>
      <c r="U27" s="45" t="b">
        <f>IF(I27="Required",0,IF(ISNUMBER(MATCH(J27,Lists!$H$2:$H$4,0)),K27))</f>
        <v>0</v>
      </c>
      <c r="V27" s="45">
        <f t="shared" si="0"/>
        <v>0</v>
      </c>
      <c r="W27" s="45">
        <f t="shared" si="2"/>
        <v>0</v>
      </c>
    </row>
    <row r="28" spans="1:23" ht="21" customHeight="1">
      <c r="A28" s="272" t="s">
        <v>23</v>
      </c>
      <c r="B28" s="44"/>
      <c r="C28" s="833"/>
      <c r="D28" s="811" t="s">
        <v>23</v>
      </c>
      <c r="E28" s="812" t="s">
        <v>30</v>
      </c>
      <c r="F28" s="277" t="s">
        <v>401</v>
      </c>
      <c r="G28" s="278">
        <f>'Review Comments'!F27</f>
        <v>0</v>
      </c>
      <c r="H28" s="278" t="str">
        <f>'Review Comments'!G27</f>
        <v>No</v>
      </c>
      <c r="I28" s="278" t="str">
        <f t="shared" si="4"/>
        <v/>
      </c>
      <c r="J28" s="277" t="str">
        <f>IF('Review Comments'!H27=0,"",'Review Comments'!H27)</f>
        <v>Not Attempted</v>
      </c>
      <c r="K28" s="279" t="str">
        <f>IF(I28="Required","Required",IF(ISNUMBER(MATCH(J28,Lists!$H$2:$H$9,0)),I28,""))</f>
        <v/>
      </c>
      <c r="L28" s="280" t="str">
        <f>IF(I28="Required","Required",IF(ISNUMBER(MATCH(J28,Lists!$I$2:$I$9,0)),I28,IF(ISNUMBER(MATCH(J28,Lists!$J$2:$J$9,0)),I28,"")))</f>
        <v/>
      </c>
      <c r="Q28" s="45" t="b">
        <f>IF(I28="Required",0,IF(ISNUMBER(MATCH(J28,Lists!$I$2:$I$4,0)),L28))</f>
        <v>0</v>
      </c>
      <c r="R28" s="45" t="b">
        <f>IF(I28="Required",0,IF(ISNUMBER(MATCH(J28,Lists!$K$2:$K$7,0)),L28))</f>
        <v>0</v>
      </c>
      <c r="S28" s="45" t="b">
        <f>IF(I28="Required",0,IF(ISNUMBER(MATCH(J28,Lists!$G$2:$G$4,0)),L28))</f>
        <v>0</v>
      </c>
      <c r="T28" s="45" t="b">
        <f>IF(I28="Required",0,IF(ISNUMBER(MATCH(J28,Lists!$G$7:$G$8,0)),L28))</f>
        <v>0</v>
      </c>
      <c r="U28" s="45" t="b">
        <f>IF(I28="Required",0,IF(ISNUMBER(MATCH(J28,Lists!$H$2:$H$4,0)),K28))</f>
        <v>0</v>
      </c>
      <c r="V28" s="45">
        <f t="shared" si="0"/>
        <v>0</v>
      </c>
      <c r="W28" s="45">
        <f t="shared" si="2"/>
        <v>0</v>
      </c>
    </row>
    <row r="29" spans="1:23" ht="21" customHeight="1">
      <c r="A29" s="272" t="s">
        <v>23</v>
      </c>
      <c r="B29" s="44"/>
      <c r="C29" s="833"/>
      <c r="D29" s="811"/>
      <c r="E29" s="812"/>
      <c r="F29" s="277" t="s">
        <v>402</v>
      </c>
      <c r="G29" s="278">
        <f>'Review Comments'!F28</f>
        <v>0</v>
      </c>
      <c r="H29" s="278" t="str">
        <f>'Review Comments'!G28</f>
        <v>No</v>
      </c>
      <c r="I29" s="278" t="str">
        <f t="shared" si="4"/>
        <v/>
      </c>
      <c r="J29" s="277" t="str">
        <f>IF('Review Comments'!H28=0,"",'Review Comments'!H28)</f>
        <v>Not Attempted</v>
      </c>
      <c r="K29" s="279" t="str">
        <f>IF(I29="Required","Required",IF(ISNUMBER(MATCH(J29,Lists!$H$2:$H$9,0)),I29,""))</f>
        <v/>
      </c>
      <c r="L29" s="280" t="str">
        <f>IF(I29="Required","Required",IF(ISNUMBER(MATCH(J29,Lists!$I$2:$I$9,0)),I29,IF(ISNUMBER(MATCH(J29,Lists!$J$2:$J$9,0)),I29,"")))</f>
        <v/>
      </c>
      <c r="Q29" s="45" t="b">
        <f>IF(I29="Required",0,IF(ISNUMBER(MATCH(J29,Lists!$I$2:$I$4,0)),L29))</f>
        <v>0</v>
      </c>
      <c r="R29" s="45" t="b">
        <f>IF(I29="Required",0,IF(ISNUMBER(MATCH(J29,Lists!$K$2:$K$7,0)),L29))</f>
        <v>0</v>
      </c>
      <c r="S29" s="45" t="b">
        <f>IF(I29="Required",0,IF(ISNUMBER(MATCH(J29,Lists!$G$2:$G$4,0)),L29))</f>
        <v>0</v>
      </c>
      <c r="T29" s="45" t="b">
        <f>IF(I29="Required",0,IF(ISNUMBER(MATCH(J29,Lists!$G$7:$G$8,0)),L29))</f>
        <v>0</v>
      </c>
      <c r="U29" s="45" t="b">
        <f>IF(I29="Required",0,IF(ISNUMBER(MATCH(J29,Lists!$H$2:$H$4,0)),K29))</f>
        <v>0</v>
      </c>
      <c r="V29" s="45">
        <f t="shared" si="0"/>
        <v>0</v>
      </c>
      <c r="W29" s="45">
        <f t="shared" si="2"/>
        <v>0</v>
      </c>
    </row>
    <row r="30" spans="1:23" ht="21" customHeight="1">
      <c r="A30" s="272" t="s">
        <v>23</v>
      </c>
      <c r="B30" s="44"/>
      <c r="C30" s="833"/>
      <c r="D30" s="811"/>
      <c r="E30" s="812"/>
      <c r="F30" s="277" t="s">
        <v>403</v>
      </c>
      <c r="G30" s="278">
        <f>'Review Comments'!F29</f>
        <v>0</v>
      </c>
      <c r="H30" s="278" t="str">
        <f>'Review Comments'!G29</f>
        <v>No</v>
      </c>
      <c r="I30" s="278" t="str">
        <f t="shared" si="4"/>
        <v/>
      </c>
      <c r="J30" s="277" t="str">
        <f>IF('Review Comments'!H29=0,"",'Review Comments'!H29)</f>
        <v>Not Attempted</v>
      </c>
      <c r="K30" s="279" t="str">
        <f>IF(I30="Required","Required",IF(ISNUMBER(MATCH(J30,Lists!$H$2:$H$9,0)),I30,""))</f>
        <v/>
      </c>
      <c r="L30" s="280" t="str">
        <f>IF(I30="Required","Required",IF(ISNUMBER(MATCH(J30,Lists!$I$2:$I$9,0)),I30,IF(ISNUMBER(MATCH(J30,Lists!$J$2:$J$9,0)),I30,"")))</f>
        <v/>
      </c>
      <c r="Q30" s="45" t="b">
        <f>IF(I30="Required",0,IF(ISNUMBER(MATCH(J30,Lists!$I$2:$I$4,0)),L30))</f>
        <v>0</v>
      </c>
      <c r="R30" s="45" t="b">
        <f>IF(I30="Required",0,IF(ISNUMBER(MATCH(J30,Lists!$K$2:$K$7,0)),L30))</f>
        <v>0</v>
      </c>
      <c r="S30" s="45" t="b">
        <f>IF(I30="Required",0,IF(ISNUMBER(MATCH(J30,Lists!$G$2:$G$4,0)),L30))</f>
        <v>0</v>
      </c>
      <c r="T30" s="45" t="b">
        <f>IF(I30="Required",0,IF(ISNUMBER(MATCH(J30,Lists!$G$7:$G$8,0)),L30))</f>
        <v>0</v>
      </c>
      <c r="U30" s="45" t="b">
        <f>IF(I30="Required",0,IF(ISNUMBER(MATCH(J30,Lists!$H$2:$H$4,0)),K30))</f>
        <v>0</v>
      </c>
      <c r="V30" s="45">
        <f t="shared" si="0"/>
        <v>0</v>
      </c>
      <c r="W30" s="45">
        <f t="shared" si="2"/>
        <v>0</v>
      </c>
    </row>
    <row r="31" spans="1:23" ht="21" customHeight="1">
      <c r="A31" s="272" t="s">
        <v>23</v>
      </c>
      <c r="B31" s="44"/>
      <c r="C31" s="833"/>
      <c r="D31" s="811" t="s">
        <v>23</v>
      </c>
      <c r="E31" s="812" t="s">
        <v>31</v>
      </c>
      <c r="F31" s="277" t="s">
        <v>404</v>
      </c>
      <c r="G31" s="278">
        <f>'Review Comments'!F30</f>
        <v>1</v>
      </c>
      <c r="H31" s="278" t="str">
        <f>'Review Comments'!G30</f>
        <v>Yes</v>
      </c>
      <c r="I31" s="278">
        <f t="shared" si="4"/>
        <v>1</v>
      </c>
      <c r="J31" s="277" t="str">
        <f>IF('Review Comments'!H30=0,"",'Review Comments'!H30)</f>
        <v>Anticipated</v>
      </c>
      <c r="K31" s="279">
        <f>IF(I31="Required","Required",IF(ISNUMBER(MATCH(J31,Lists!$H$2:$H$9,0)),I31,""))</f>
        <v>1</v>
      </c>
      <c r="L31" s="280" t="str">
        <f>IF(I31="Required","Required",IF(ISNUMBER(MATCH(J31,Lists!$I$2:$I$9,0)),I31,IF(ISNUMBER(MATCH(J31,Lists!$J$2:$J$9,0)),I31,"")))</f>
        <v/>
      </c>
      <c r="Q31" s="45" t="b">
        <f>IF(I31="Required",0,IF(ISNUMBER(MATCH(J31,Lists!$I$2:$I$4,0)),L31))</f>
        <v>0</v>
      </c>
      <c r="R31" s="45" t="b">
        <f>IF(I31="Required",0,IF(ISNUMBER(MATCH(J31,Lists!$K$2:$K$7,0)),L31))</f>
        <v>0</v>
      </c>
      <c r="S31" s="45" t="b">
        <f>IF(I31="Required",0,IF(ISNUMBER(MATCH(J31,Lists!$G$2:$G$4,0)),L31))</f>
        <v>0</v>
      </c>
      <c r="T31" s="45" t="b">
        <f>IF(I31="Required",0,IF(ISNUMBER(MATCH(J31,Lists!$G$7:$G$8,0)),L31))</f>
        <v>0</v>
      </c>
      <c r="U31" s="45">
        <f>IF(I31="Required",0,IF(ISNUMBER(MATCH(J31,Lists!$H$2:$H$4,0)),K31))</f>
        <v>1</v>
      </c>
      <c r="V31" s="45">
        <f t="shared" si="0"/>
        <v>0</v>
      </c>
      <c r="W31" s="45">
        <f t="shared" si="2"/>
        <v>0</v>
      </c>
    </row>
    <row r="32" spans="1:23" ht="21" customHeight="1">
      <c r="A32" s="272" t="s">
        <v>23</v>
      </c>
      <c r="B32" s="44"/>
      <c r="C32" s="833"/>
      <c r="D32" s="811"/>
      <c r="E32" s="812"/>
      <c r="F32" s="277" t="s">
        <v>405</v>
      </c>
      <c r="G32" s="278">
        <f>'Review Comments'!F31</f>
        <v>1</v>
      </c>
      <c r="H32" s="278" t="str">
        <f>'Review Comments'!G31</f>
        <v>Yes</v>
      </c>
      <c r="I32" s="278">
        <f t="shared" si="4"/>
        <v>1</v>
      </c>
      <c r="J32" s="277" t="str">
        <f>IF('Review Comments'!H31=0,"",'Review Comments'!H31)</f>
        <v>Anticipated</v>
      </c>
      <c r="K32" s="279">
        <f>IF(I32="Required","Required",IF(ISNUMBER(MATCH(J32,Lists!$H$2:$H$9,0)),I32,""))</f>
        <v>1</v>
      </c>
      <c r="L32" s="280" t="str">
        <f>IF(I32="Required","Required",IF(ISNUMBER(MATCH(J32,Lists!$I$2:$I$9,0)),I32,IF(ISNUMBER(MATCH(J32,Lists!$J$2:$J$9,0)),I32,"")))</f>
        <v/>
      </c>
      <c r="Q32" s="45" t="b">
        <f>IF(I32="Required",0,IF(ISNUMBER(MATCH(J32,Lists!$I$2:$I$4,0)),L32))</f>
        <v>0</v>
      </c>
      <c r="R32" s="45" t="b">
        <f>IF(I32="Required",0,IF(ISNUMBER(MATCH(J32,Lists!$K$2:$K$7,0)),L32))</f>
        <v>0</v>
      </c>
      <c r="S32" s="45" t="b">
        <f>IF(I32="Required",0,IF(ISNUMBER(MATCH(J32,Lists!$G$2:$G$4,0)),L32))</f>
        <v>0</v>
      </c>
      <c r="T32" s="45" t="b">
        <f>IF(I32="Required",0,IF(ISNUMBER(MATCH(J32,Lists!$G$7:$G$8,0)),L32))</f>
        <v>0</v>
      </c>
      <c r="U32" s="45">
        <f>IF(I32="Required",0,IF(ISNUMBER(MATCH(J32,Lists!$H$2:$H$4,0)),K32))</f>
        <v>1</v>
      </c>
      <c r="V32" s="45">
        <f t="shared" si="0"/>
        <v>0</v>
      </c>
      <c r="W32" s="45">
        <f t="shared" si="2"/>
        <v>0</v>
      </c>
    </row>
    <row r="33" spans="1:23" ht="21" customHeight="1">
      <c r="A33" s="272" t="s">
        <v>23</v>
      </c>
      <c r="B33" s="44"/>
      <c r="C33" s="833"/>
      <c r="D33" s="281" t="s">
        <v>23</v>
      </c>
      <c r="E33" s="201" t="s">
        <v>32</v>
      </c>
      <c r="F33" s="277" t="s">
        <v>406</v>
      </c>
      <c r="G33" s="278">
        <f>'Review Comments'!F32</f>
        <v>1</v>
      </c>
      <c r="H33" s="278" t="str">
        <f>'Review Comments'!G32</f>
        <v>Yes</v>
      </c>
      <c r="I33" s="278">
        <f t="shared" si="4"/>
        <v>1</v>
      </c>
      <c r="J33" s="277" t="str">
        <f>IF('Review Comments'!H32=0,"",'Review Comments'!H32)</f>
        <v>Anticipated</v>
      </c>
      <c r="K33" s="279">
        <f>IF(I33="Required","Required",IF(ISNUMBER(MATCH(J33,Lists!$H$2:$H$9,0)),I33,""))</f>
        <v>1</v>
      </c>
      <c r="L33" s="280" t="str">
        <f>IF(I33="Required","Required",IF(ISNUMBER(MATCH(J33,Lists!$I$2:$I$9,0)),I33,IF(ISNUMBER(MATCH(J33,Lists!$J$2:$J$9,0)),I33,"")))</f>
        <v/>
      </c>
      <c r="Q33" s="45" t="b">
        <f>IF(I33="Required",0,IF(ISNUMBER(MATCH(J33,Lists!$I$2:$I$4,0)),L33))</f>
        <v>0</v>
      </c>
      <c r="R33" s="45" t="b">
        <f>IF(I33="Required",0,IF(ISNUMBER(MATCH(J33,Lists!$K$2:$K$7,0)),L33))</f>
        <v>0</v>
      </c>
      <c r="S33" s="45" t="b">
        <f>IF(I33="Required",0,IF(ISNUMBER(MATCH(J33,Lists!$G$2:$G$4,0)),L33))</f>
        <v>0</v>
      </c>
      <c r="T33" s="45" t="b">
        <f>IF(I33="Required",0,IF(ISNUMBER(MATCH(J33,Lists!$G$7:$G$8,0)),L33))</f>
        <v>0</v>
      </c>
      <c r="U33" s="45">
        <f>IF(I33="Required",0,IF(ISNUMBER(MATCH(J33,Lists!$H$2:$H$4,0)),K33))</f>
        <v>1</v>
      </c>
      <c r="V33" s="45">
        <f t="shared" si="0"/>
        <v>0</v>
      </c>
      <c r="W33" s="45">
        <f t="shared" si="2"/>
        <v>0</v>
      </c>
    </row>
    <row r="34" spans="1:23" ht="21" customHeight="1">
      <c r="A34" s="272" t="s">
        <v>23</v>
      </c>
      <c r="B34" s="44"/>
      <c r="C34" s="833"/>
      <c r="D34" s="281" t="s">
        <v>23</v>
      </c>
      <c r="E34" s="201" t="s">
        <v>33</v>
      </c>
      <c r="F34" s="277" t="s">
        <v>407</v>
      </c>
      <c r="G34" s="278">
        <f>'Review Comments'!F33</f>
        <v>1</v>
      </c>
      <c r="H34" s="278" t="str">
        <f>'Review Comments'!G33</f>
        <v>Yes</v>
      </c>
      <c r="I34" s="278">
        <f t="shared" si="4"/>
        <v>1</v>
      </c>
      <c r="J34" s="277" t="str">
        <f>IF('Review Comments'!H33=0,"",'Review Comments'!H33)</f>
        <v>Anticipated</v>
      </c>
      <c r="K34" s="279">
        <f>IF(I34="Required","Required",IF(ISNUMBER(MATCH(J34,Lists!$H$2:$H$9,0)),I34,""))</f>
        <v>1</v>
      </c>
      <c r="L34" s="280" t="str">
        <f>IF(I34="Required","Required",IF(ISNUMBER(MATCH(J34,Lists!$I$2:$I$9,0)),I34,IF(ISNUMBER(MATCH(J34,Lists!$J$2:$J$9,0)),I34,"")))</f>
        <v/>
      </c>
      <c r="Q34" s="45" t="b">
        <f>IF(I34="Required",0,IF(ISNUMBER(MATCH(J34,Lists!$I$2:$I$4,0)),L34))</f>
        <v>0</v>
      </c>
      <c r="R34" s="45" t="b">
        <f>IF(I34="Required",0,IF(ISNUMBER(MATCH(J34,Lists!$K$2:$K$7,0)),L34))</f>
        <v>0</v>
      </c>
      <c r="S34" s="45" t="b">
        <f>IF(I34="Required",0,IF(ISNUMBER(MATCH(J34,Lists!$G$2:$G$4,0)),L34))</f>
        <v>0</v>
      </c>
      <c r="T34" s="45" t="b">
        <f>IF(I34="Required",0,IF(ISNUMBER(MATCH(J34,Lists!$G$7:$G$8,0)),L34))</f>
        <v>0</v>
      </c>
      <c r="U34" s="45">
        <f>IF(I34="Required",0,IF(ISNUMBER(MATCH(J34,Lists!$H$2:$H$4,0)),K34))</f>
        <v>1</v>
      </c>
      <c r="V34" s="45">
        <f t="shared" si="0"/>
        <v>0</v>
      </c>
      <c r="W34" s="45">
        <f t="shared" si="2"/>
        <v>0</v>
      </c>
    </row>
    <row r="35" spans="1:23" ht="21" customHeight="1">
      <c r="A35" s="272" t="s">
        <v>23</v>
      </c>
      <c r="B35" s="44"/>
      <c r="C35" s="833"/>
      <c r="D35" s="281" t="s">
        <v>23</v>
      </c>
      <c r="E35" s="201" t="s">
        <v>34</v>
      </c>
      <c r="F35" s="277" t="s">
        <v>408</v>
      </c>
      <c r="G35" s="278">
        <f>'Review Comments'!F34</f>
        <v>1</v>
      </c>
      <c r="H35" s="278" t="str">
        <f>'Review Comments'!G34</f>
        <v>Yes</v>
      </c>
      <c r="I35" s="278">
        <f t="shared" si="4"/>
        <v>1</v>
      </c>
      <c r="J35" s="277" t="str">
        <f>IF('Review Comments'!H34=0,"",'Review Comments'!H34)</f>
        <v>Anticipated</v>
      </c>
      <c r="K35" s="279">
        <f>IF(I35="Required","Required",IF(ISNUMBER(MATCH(J35,Lists!$H$2:$H$9,0)),I35,""))</f>
        <v>1</v>
      </c>
      <c r="L35" s="280" t="str">
        <f>IF(I35="Required","Required",IF(ISNUMBER(MATCH(J35,Lists!$I$2:$I$9,0)),I35,IF(ISNUMBER(MATCH(J35,Lists!$J$2:$J$9,0)),I35,"")))</f>
        <v/>
      </c>
      <c r="Q35" s="45" t="b">
        <f>IF(I35="Required",0,IF(ISNUMBER(MATCH(J35,Lists!$I$2:$I$4,0)),L35))</f>
        <v>0</v>
      </c>
      <c r="R35" s="45" t="b">
        <f>IF(I35="Required",0,IF(ISNUMBER(MATCH(J35,Lists!$K$2:$K$7,0)),L35))</f>
        <v>0</v>
      </c>
      <c r="S35" s="45" t="b">
        <f>IF(I35="Required",0,IF(ISNUMBER(MATCH(J35,Lists!$G$2:$G$4,0)),L35))</f>
        <v>0</v>
      </c>
      <c r="T35" s="45" t="b">
        <f>IF(I35="Required",0,IF(ISNUMBER(MATCH(J35,Lists!$G$7:$G$8,0)),L35))</f>
        <v>0</v>
      </c>
      <c r="U35" s="45">
        <f>IF(I35="Required",0,IF(ISNUMBER(MATCH(J35,Lists!$H$2:$H$4,0)),K35))</f>
        <v>1</v>
      </c>
      <c r="V35" s="45">
        <f t="shared" si="0"/>
        <v>0</v>
      </c>
      <c r="W35" s="45">
        <f t="shared" si="2"/>
        <v>0</v>
      </c>
    </row>
    <row r="36" spans="1:23" ht="21" customHeight="1">
      <c r="A36" s="272" t="s">
        <v>23</v>
      </c>
      <c r="B36" s="44"/>
      <c r="C36" s="833"/>
      <c r="D36" s="281" t="s">
        <v>23</v>
      </c>
      <c r="E36" s="201" t="s">
        <v>35</v>
      </c>
      <c r="F36" s="277" t="s">
        <v>409</v>
      </c>
      <c r="G36" s="278">
        <f>'Review Comments'!F35</f>
        <v>1</v>
      </c>
      <c r="H36" s="278" t="str">
        <f>'Review Comments'!G35</f>
        <v>Yes</v>
      </c>
      <c r="I36" s="278">
        <f t="shared" si="4"/>
        <v>1</v>
      </c>
      <c r="J36" s="277" t="str">
        <f>IF('Review Comments'!H35=0,"",'Review Comments'!H35)</f>
        <v>Anticipated</v>
      </c>
      <c r="K36" s="279">
        <f>IF(I36="Required","Required",IF(ISNUMBER(MATCH(J36,Lists!$H$2:$H$9,0)),I36,""))</f>
        <v>1</v>
      </c>
      <c r="L36" s="280" t="str">
        <f>IF(I36="Required","Required",IF(ISNUMBER(MATCH(J36,Lists!$I$2:$I$9,0)),I36,IF(ISNUMBER(MATCH(J36,Lists!$J$2:$J$9,0)),I36,"")))</f>
        <v/>
      </c>
      <c r="Q36" s="45" t="b">
        <f>IF(I36="Required",0,IF(ISNUMBER(MATCH(J36,Lists!$I$2:$I$4,0)),L36))</f>
        <v>0</v>
      </c>
      <c r="R36" s="45" t="b">
        <f>IF(I36="Required",0,IF(ISNUMBER(MATCH(J36,Lists!$K$2:$K$7,0)),L36))</f>
        <v>0</v>
      </c>
      <c r="S36" s="45" t="b">
        <f>IF(I36="Required",0,IF(ISNUMBER(MATCH(J36,Lists!$G$2:$G$4,0)),L36))</f>
        <v>0</v>
      </c>
      <c r="T36" s="45" t="b">
        <f>IF(I36="Required",0,IF(ISNUMBER(MATCH(J36,Lists!$G$7:$G$8,0)),L36))</f>
        <v>0</v>
      </c>
      <c r="U36" s="45">
        <f>IF(I36="Required",0,IF(ISNUMBER(MATCH(J36,Lists!$H$2:$H$4,0)),K36))</f>
        <v>1</v>
      </c>
      <c r="V36" s="45">
        <f t="shared" si="0"/>
        <v>0</v>
      </c>
      <c r="W36" s="45">
        <f t="shared" si="2"/>
        <v>0</v>
      </c>
    </row>
    <row r="37" spans="1:23" ht="21" customHeight="1">
      <c r="A37" s="272" t="s">
        <v>23</v>
      </c>
      <c r="B37" s="44"/>
      <c r="C37" s="833"/>
      <c r="D37" s="281" t="s">
        <v>23</v>
      </c>
      <c r="E37" s="201" t="s">
        <v>36</v>
      </c>
      <c r="F37" s="277" t="s">
        <v>410</v>
      </c>
      <c r="G37" s="278">
        <f>'Review Comments'!F36</f>
        <v>1</v>
      </c>
      <c r="H37" s="278" t="str">
        <f>'Review Comments'!G36</f>
        <v>Yes</v>
      </c>
      <c r="I37" s="278">
        <f t="shared" si="4"/>
        <v>1</v>
      </c>
      <c r="J37" s="277" t="str">
        <f>IF('Review Comments'!H36=0,"",'Review Comments'!H36)</f>
        <v>Anticipated</v>
      </c>
      <c r="K37" s="279">
        <f>IF(I37="Required","Required",IF(ISNUMBER(MATCH(J37,Lists!$H$2:$H$9,0)),I37,""))</f>
        <v>1</v>
      </c>
      <c r="L37" s="280" t="str">
        <f>IF(I37="Required","Required",IF(ISNUMBER(MATCH(J37,Lists!$I$2:$I$9,0)),I37,IF(ISNUMBER(MATCH(J37,Lists!$J$2:$J$9,0)),I37,"")))</f>
        <v/>
      </c>
      <c r="Q37" s="45" t="b">
        <f>IF(I37="Required",0,IF(ISNUMBER(MATCH(J37,Lists!$I$2:$I$4,0)),L37))</f>
        <v>0</v>
      </c>
      <c r="R37" s="45" t="b">
        <f>IF(I37="Required",0,IF(ISNUMBER(MATCH(J37,Lists!$K$2:$K$7,0)),L37))</f>
        <v>0</v>
      </c>
      <c r="S37" s="45" t="b">
        <f>IF(I37="Required",0,IF(ISNUMBER(MATCH(J37,Lists!$G$2:$G$4,0)),L37))</f>
        <v>0</v>
      </c>
      <c r="T37" s="45" t="b">
        <f>IF(I37="Required",0,IF(ISNUMBER(MATCH(J37,Lists!$G$7:$G$8,0)),L37))</f>
        <v>0</v>
      </c>
      <c r="U37" s="45">
        <f>IF(I37="Required",0,IF(ISNUMBER(MATCH(J37,Lists!$H$2:$H$4,0)),K37))</f>
        <v>1</v>
      </c>
      <c r="V37" s="45">
        <f t="shared" si="0"/>
        <v>0</v>
      </c>
      <c r="W37" s="45">
        <f t="shared" si="2"/>
        <v>0</v>
      </c>
    </row>
    <row r="38" spans="1:23" ht="21" customHeight="1">
      <c r="A38" s="272" t="s">
        <v>23</v>
      </c>
      <c r="B38" s="44"/>
      <c r="C38" s="833"/>
      <c r="D38" s="811" t="s">
        <v>23</v>
      </c>
      <c r="E38" s="812" t="s">
        <v>37</v>
      </c>
      <c r="F38" s="277" t="s">
        <v>411</v>
      </c>
      <c r="G38" s="278">
        <f>'Review Comments'!F37</f>
        <v>1</v>
      </c>
      <c r="H38" s="278" t="str">
        <f>'Review Comments'!G37</f>
        <v>Yes</v>
      </c>
      <c r="I38" s="278">
        <f t="shared" si="4"/>
        <v>1</v>
      </c>
      <c r="J38" s="277" t="str">
        <f>IF('Review Comments'!H37=0,"",'Review Comments'!H37)</f>
        <v>Anticipated</v>
      </c>
      <c r="K38" s="279">
        <f>IF(I38="Required","Required",IF(ISNUMBER(MATCH(J38,Lists!$H$2:$H$9,0)),I38,""))</f>
        <v>1</v>
      </c>
      <c r="L38" s="280" t="str">
        <f>IF(I38="Required","Required",IF(ISNUMBER(MATCH(J38,Lists!$I$2:$I$9,0)),I38,IF(ISNUMBER(MATCH(J38,Lists!$J$2:$J$9,0)),I38,"")))</f>
        <v/>
      </c>
      <c r="Q38" s="45" t="b">
        <f>IF(I38="Required",0,IF(ISNUMBER(MATCH(J38,Lists!$I$2:$I$4,0)),L38))</f>
        <v>0</v>
      </c>
      <c r="R38" s="45" t="b">
        <f>IF(I38="Required",0,IF(ISNUMBER(MATCH(J38,Lists!$K$2:$K$7,0)),L38))</f>
        <v>0</v>
      </c>
      <c r="S38" s="45" t="b">
        <f>IF(I38="Required",0,IF(ISNUMBER(MATCH(J38,Lists!$G$2:$G$4,0)),L38))</f>
        <v>0</v>
      </c>
      <c r="T38" s="45" t="b">
        <f>IF(I38="Required",0,IF(ISNUMBER(MATCH(J38,Lists!$G$7:$G$8,0)),L38))</f>
        <v>0</v>
      </c>
      <c r="U38" s="45">
        <f>IF(I38="Required",0,IF(ISNUMBER(MATCH(J38,Lists!$H$2:$H$4,0)),K38))</f>
        <v>1</v>
      </c>
      <c r="V38" s="45">
        <f t="shared" si="0"/>
        <v>0</v>
      </c>
      <c r="W38" s="45">
        <f t="shared" si="2"/>
        <v>0</v>
      </c>
    </row>
    <row r="39" spans="1:23" ht="21" customHeight="1" thickBot="1">
      <c r="A39" s="272" t="s">
        <v>23</v>
      </c>
      <c r="B39" s="44"/>
      <c r="C39" s="833"/>
      <c r="D39" s="836"/>
      <c r="E39" s="837"/>
      <c r="F39" s="282" t="s">
        <v>412</v>
      </c>
      <c r="G39" s="283">
        <f>'Review Comments'!F38</f>
        <v>1</v>
      </c>
      <c r="H39" s="283" t="str">
        <f>'Review Comments'!G38</f>
        <v>Yes</v>
      </c>
      <c r="I39" s="283">
        <f t="shared" si="4"/>
        <v>1</v>
      </c>
      <c r="J39" s="282" t="str">
        <f>IF('Review Comments'!H38=0,"",'Review Comments'!H38)</f>
        <v>Anticipated</v>
      </c>
      <c r="K39" s="284">
        <f>IF(I39="Required","Required",IF(ISNUMBER(MATCH(J39,Lists!$H$2:$H$9,0)),I39,""))</f>
        <v>1</v>
      </c>
      <c r="L39" s="285" t="str">
        <f>IF(I39="Required","Required",IF(ISNUMBER(MATCH(J39,Lists!$I$2:$I$9,0)),I39,IF(ISNUMBER(MATCH(J39,Lists!$J$2:$J$9,0)),I39,"")))</f>
        <v/>
      </c>
      <c r="Q39" s="45" t="b">
        <f>IF(I39="Required",0,IF(ISNUMBER(MATCH(J39,Lists!$I$2:$I$4,0)),L39))</f>
        <v>0</v>
      </c>
      <c r="R39" s="45" t="b">
        <f>IF(I39="Required",0,IF(ISNUMBER(MATCH(J39,Lists!$K$2:$K$7,0)),L39))</f>
        <v>0</v>
      </c>
      <c r="S39" s="45" t="b">
        <f>IF(I39="Required",0,IF(ISNUMBER(MATCH(J39,Lists!$G$2:$G$4,0)),L39))</f>
        <v>0</v>
      </c>
      <c r="T39" s="45" t="b">
        <f>IF(I39="Required",0,IF(ISNUMBER(MATCH(J39,Lists!$G$7:$G$8,0)),L39))</f>
        <v>0</v>
      </c>
      <c r="U39" s="45">
        <f>IF(I39="Required",0,IF(ISNUMBER(MATCH(J39,Lists!$H$2:$H$4,0)),K39))</f>
        <v>1</v>
      </c>
      <c r="V39" s="45">
        <f t="shared" si="0"/>
        <v>0</v>
      </c>
      <c r="W39" s="45">
        <f t="shared" si="2"/>
        <v>0</v>
      </c>
    </row>
    <row r="40" spans="1:23" s="175" customFormat="1" ht="16.2" customHeight="1">
      <c r="A40" s="272" t="s">
        <v>23</v>
      </c>
      <c r="B40" s="174"/>
      <c r="C40" s="286"/>
      <c r="D40" s="287"/>
      <c r="E40" s="288"/>
      <c r="F40" s="289"/>
      <c r="G40" s="290">
        <f>SUM(G11:G39)</f>
        <v>12</v>
      </c>
      <c r="H40" s="287"/>
      <c r="I40" s="291">
        <f>SUM(I11:I39)</f>
        <v>12</v>
      </c>
      <c r="J40" s="292"/>
      <c r="K40" s="291">
        <f>SUM(K11:K39)</f>
        <v>12</v>
      </c>
      <c r="L40" s="293">
        <f>SUM(L11:L39)</f>
        <v>0</v>
      </c>
      <c r="Q40" s="175" t="b">
        <f>IF(I40="Required",0,IF(ISNUMBER(MATCH(J40,Lists!$I$2:$I$4,0)),L40))</f>
        <v>0</v>
      </c>
      <c r="R40" s="175" t="b">
        <f>IF(I40="Required",0,IF(ISNUMBER(MATCH(J40,Lists!$K$2:$K$7,0)),L40))</f>
        <v>0</v>
      </c>
      <c r="S40" s="175" t="b">
        <f>IF(I40="Required",0,IF(ISNUMBER(MATCH(J40,Lists!$G$2:$G$4,0)),L40))</f>
        <v>0</v>
      </c>
      <c r="T40" s="175" t="b">
        <f>IF(I40="Required",0,IF(ISNUMBER(MATCH(J40,Lists!$G$7:$G$8,0)),L40))</f>
        <v>0</v>
      </c>
      <c r="U40" s="175" t="b">
        <f>IF(I40="Required",0,IF(ISNUMBER(MATCH(J40,Lists!$H$2:$H$4,0)),K40))</f>
        <v>0</v>
      </c>
      <c r="V40" s="175">
        <f t="shared" si="0"/>
        <v>0</v>
      </c>
      <c r="W40" s="45">
        <f t="shared" si="2"/>
        <v>0</v>
      </c>
    </row>
    <row r="41" spans="1:23" ht="6.6" customHeight="1" thickBot="1">
      <c r="A41" s="294"/>
      <c r="B41" s="44"/>
      <c r="C41" s="295"/>
      <c r="D41" s="294"/>
      <c r="E41" s="296"/>
      <c r="F41" s="297"/>
      <c r="G41" s="298"/>
      <c r="H41" s="298"/>
      <c r="I41" s="298"/>
      <c r="J41" s="299"/>
      <c r="K41" s="298"/>
      <c r="L41" s="300"/>
      <c r="Q41" s="45" t="b">
        <f>IF(I41="Required",0,IF(ISNUMBER(MATCH(J41,Lists!$I$2:$I$4,0)),L41))</f>
        <v>0</v>
      </c>
      <c r="R41" s="45" t="b">
        <f>IF(I41="Required",0,IF(ISNUMBER(MATCH(J41,Lists!$K$2:$K$7,0)),L41))</f>
        <v>0</v>
      </c>
      <c r="S41" s="45" t="b">
        <f>IF(I41="Required",0,IF(ISNUMBER(MATCH(J41,Lists!$G$2:$G$4,0)),L41))</f>
        <v>0</v>
      </c>
      <c r="T41" s="45" t="b">
        <f>IF(I41="Required",0,IF(ISNUMBER(MATCH(J41,Lists!$G$7:$G$8,0)),L41))</f>
        <v>0</v>
      </c>
      <c r="U41" s="45" t="b">
        <f>IF(I41="Required",0,IF(ISNUMBER(MATCH(J41,Lists!$H$2:$H$4,0)),K41))</f>
        <v>0</v>
      </c>
      <c r="V41" s="45">
        <f t="shared" si="0"/>
        <v>0</v>
      </c>
      <c r="W41" s="45">
        <f t="shared" si="2"/>
        <v>0</v>
      </c>
    </row>
    <row r="42" spans="1:23" ht="21" customHeight="1">
      <c r="A42" s="301" t="s">
        <v>8</v>
      </c>
      <c r="B42" s="44"/>
      <c r="C42" s="827" t="s">
        <v>38</v>
      </c>
      <c r="D42" s="803" t="s">
        <v>8</v>
      </c>
      <c r="E42" s="805" t="s">
        <v>39</v>
      </c>
      <c r="F42" s="302" t="s">
        <v>40</v>
      </c>
      <c r="G42" s="303">
        <f>'Review Comments'!F44</f>
        <v>0</v>
      </c>
      <c r="H42" s="303" t="str">
        <f>'Review Comments'!G44</f>
        <v>Required</v>
      </c>
      <c r="I42" s="303" t="str">
        <f t="shared" ref="I42:I60" si="5">IF(H42="Yes",G42,IF(H42="Required","Required",""))</f>
        <v>Required</v>
      </c>
      <c r="J42" s="302" t="str">
        <f>IF('Review Comments'!H44=0,"",'Review Comments'!H44)</f>
        <v>Anticipated</v>
      </c>
      <c r="K42" s="275" t="str">
        <f>IF(I42="Required","Required",IF(ISNUMBER(MATCH(J42,Lists!$H$2:$H$9,0)),I42,""))</f>
        <v>Required</v>
      </c>
      <c r="L42" s="276" t="str">
        <f>IF(I42="Required","Required",IF(ISNUMBER(MATCH(J42,Lists!$I$2:$I$9,0)),I42,IF(ISNUMBER(MATCH(J42,Lists!$J$2:$J$9,0)),I42,"")))</f>
        <v>Required</v>
      </c>
      <c r="Q42" s="45">
        <f>IF(I42="Required",0,IF(ISNUMBER(MATCH(J42,Lists!$I$2:$I$4,0)),L42))</f>
        <v>0</v>
      </c>
      <c r="R42" s="45">
        <f>IF(I42="Required",0,IF(ISNUMBER(MATCH(J42,Lists!$K$2:$K$7,0)),L42))</f>
        <v>0</v>
      </c>
      <c r="S42" s="45">
        <f>IF(I42="Required",0,IF(ISNUMBER(MATCH(J42,Lists!$G$2:$G$4,0)),L42))</f>
        <v>0</v>
      </c>
      <c r="T42" s="45">
        <f>IF(I42="Required",0,IF(ISNUMBER(MATCH(J42,Lists!$G$7:$G$8,0)),L42))</f>
        <v>0</v>
      </c>
      <c r="U42" s="45">
        <f>IF(I42="Required",0,IF(ISNUMBER(MATCH(J42,Lists!$H$2:$H$4,0)),K42))</f>
        <v>0</v>
      </c>
      <c r="V42" s="45">
        <f t="shared" si="0"/>
        <v>0</v>
      </c>
      <c r="W42" s="45">
        <f t="shared" si="2"/>
        <v>0</v>
      </c>
    </row>
    <row r="43" spans="1:23" ht="21" customHeight="1">
      <c r="A43" s="301" t="s">
        <v>8</v>
      </c>
      <c r="B43" s="44"/>
      <c r="C43" s="828"/>
      <c r="D43" s="804"/>
      <c r="E43" s="806"/>
      <c r="F43" s="304" t="s">
        <v>41</v>
      </c>
      <c r="G43" s="305">
        <f>'Review Comments'!F45</f>
        <v>0</v>
      </c>
      <c r="H43" s="305" t="str">
        <f>'Review Comments'!G45</f>
        <v>Required</v>
      </c>
      <c r="I43" s="305" t="str">
        <f t="shared" si="5"/>
        <v>Required</v>
      </c>
      <c r="J43" s="304" t="str">
        <f>IF('Review Comments'!H45=0,"",'Review Comments'!H45)</f>
        <v>Anticipated</v>
      </c>
      <c r="K43" s="279" t="str">
        <f>IF(I43="Required","Required",IF(ISNUMBER(MATCH(J43,Lists!$H$2:$H$9,0)),I43,""))</f>
        <v>Required</v>
      </c>
      <c r="L43" s="280" t="str">
        <f>IF(I43="Required","Required",IF(ISNUMBER(MATCH(J43,Lists!$I$2:$I$9,0)),I43,IF(ISNUMBER(MATCH(J43,Lists!$J$2:$J$9,0)),I43,"")))</f>
        <v>Required</v>
      </c>
      <c r="Q43" s="45">
        <f>IF(I43="Required",0,IF(ISNUMBER(MATCH(J43,Lists!$I$2:$I$4,0)),L43))</f>
        <v>0</v>
      </c>
      <c r="R43" s="45">
        <f>IF(I43="Required",0,IF(ISNUMBER(MATCH(J43,Lists!$K$2:$K$7,0)),L43))</f>
        <v>0</v>
      </c>
      <c r="S43" s="45">
        <f>IF(I43="Required",0,IF(ISNUMBER(MATCH(J43,Lists!$G$2:$G$4,0)),L43))</f>
        <v>0</v>
      </c>
      <c r="T43" s="45">
        <f>IF(I43="Required",0,IF(ISNUMBER(MATCH(J43,Lists!$G$7:$G$8,0)),L43))</f>
        <v>0</v>
      </c>
      <c r="U43" s="45">
        <f>IF(I43="Required",0,IF(ISNUMBER(MATCH(J43,Lists!$H$2:$H$4,0)),K43))</f>
        <v>0</v>
      </c>
      <c r="V43" s="45">
        <f t="shared" si="0"/>
        <v>0</v>
      </c>
      <c r="W43" s="45">
        <f t="shared" si="2"/>
        <v>0</v>
      </c>
    </row>
    <row r="44" spans="1:23" ht="21" customHeight="1">
      <c r="A44" s="301" t="s">
        <v>8</v>
      </c>
      <c r="B44" s="44"/>
      <c r="C44" s="828"/>
      <c r="D44" s="804"/>
      <c r="E44" s="806"/>
      <c r="F44" s="304" t="s">
        <v>42</v>
      </c>
      <c r="G44" s="305">
        <f>'Review Comments'!F46</f>
        <v>0</v>
      </c>
      <c r="H44" s="305" t="str">
        <f>'Review Comments'!G46</f>
        <v>Required</v>
      </c>
      <c r="I44" s="305" t="str">
        <f t="shared" si="5"/>
        <v>Required</v>
      </c>
      <c r="J44" s="304" t="str">
        <f>IF('Review Comments'!H46=0,"",'Review Comments'!H46)</f>
        <v>Anticipated</v>
      </c>
      <c r="K44" s="279" t="str">
        <f>IF(I44="Required","Required",IF(ISNUMBER(MATCH(J44,Lists!$H$2:$H$9,0)),I44,""))</f>
        <v>Required</v>
      </c>
      <c r="L44" s="280" t="str">
        <f>IF(I44="Required","Required",IF(ISNUMBER(MATCH(J44,Lists!$I$2:$I$9,0)),I44,IF(ISNUMBER(MATCH(J44,Lists!$J$2:$J$9,0)),I44,"")))</f>
        <v>Required</v>
      </c>
      <c r="Q44" s="45">
        <f>IF(I44="Required",0,IF(ISNUMBER(MATCH(J44,Lists!$I$2:$I$4,0)),L44))</f>
        <v>0</v>
      </c>
      <c r="R44" s="45">
        <f>IF(I44="Required",0,IF(ISNUMBER(MATCH(J44,Lists!$K$2:$K$7,0)),L44))</f>
        <v>0</v>
      </c>
      <c r="S44" s="45">
        <f>IF(I44="Required",0,IF(ISNUMBER(MATCH(J44,Lists!$G$2:$G$4,0)),L44))</f>
        <v>0</v>
      </c>
      <c r="T44" s="45">
        <f>IF(I44="Required",0,IF(ISNUMBER(MATCH(J44,Lists!$G$7:$G$8,0)),L44))</f>
        <v>0</v>
      </c>
      <c r="U44" s="45">
        <f>IF(I44="Required",0,IF(ISNUMBER(MATCH(J44,Lists!$H$2:$H$4,0)),K44))</f>
        <v>0</v>
      </c>
      <c r="V44" s="45">
        <f t="shared" si="0"/>
        <v>0</v>
      </c>
      <c r="W44" s="45">
        <f t="shared" si="2"/>
        <v>0</v>
      </c>
    </row>
    <row r="45" spans="1:23" ht="21" customHeight="1">
      <c r="A45" s="301" t="s">
        <v>8</v>
      </c>
      <c r="B45" s="44"/>
      <c r="C45" s="828"/>
      <c r="D45" s="804" t="s">
        <v>8</v>
      </c>
      <c r="E45" s="806" t="s">
        <v>43</v>
      </c>
      <c r="F45" s="304" t="s">
        <v>44</v>
      </c>
      <c r="G45" s="305">
        <f>'Review Comments'!F47</f>
        <v>0</v>
      </c>
      <c r="H45" s="305" t="str">
        <f>'Review Comments'!G47</f>
        <v>Required</v>
      </c>
      <c r="I45" s="305" t="str">
        <f t="shared" si="5"/>
        <v>Required</v>
      </c>
      <c r="J45" s="304" t="str">
        <f>IF('Review Comments'!H47=0,"",'Review Comments'!H47)</f>
        <v>Anticipated</v>
      </c>
      <c r="K45" s="279" t="str">
        <f>IF(I45="Required","Required",IF(ISNUMBER(MATCH(J45,Lists!$H$2:$H$9,0)),I45,""))</f>
        <v>Required</v>
      </c>
      <c r="L45" s="280" t="str">
        <f>IF(I45="Required","Required",IF(ISNUMBER(MATCH(J45,Lists!$I$2:$I$9,0)),I45,IF(ISNUMBER(MATCH(J45,Lists!$J$2:$J$9,0)),I45,"")))</f>
        <v>Required</v>
      </c>
      <c r="Q45" s="45">
        <f>IF(I45="Required",0,IF(ISNUMBER(MATCH(J45,Lists!$I$2:$I$4,0)),L45))</f>
        <v>0</v>
      </c>
      <c r="R45" s="45">
        <f>IF(I45="Required",0,IF(ISNUMBER(MATCH(J45,Lists!$K$2:$K$7,0)),L45))</f>
        <v>0</v>
      </c>
      <c r="S45" s="45">
        <f>IF(I45="Required",0,IF(ISNUMBER(MATCH(J45,Lists!$G$2:$G$4,0)),L45))</f>
        <v>0</v>
      </c>
      <c r="T45" s="45">
        <f>IF(I45="Required",0,IF(ISNUMBER(MATCH(J45,Lists!$G$7:$G$8,0)),L45))</f>
        <v>0</v>
      </c>
      <c r="U45" s="45">
        <f>IF(I45="Required",0,IF(ISNUMBER(MATCH(J45,Lists!$H$2:$H$4,0)),K45))</f>
        <v>0</v>
      </c>
      <c r="V45" s="45">
        <f t="shared" si="0"/>
        <v>0</v>
      </c>
      <c r="W45" s="45">
        <f t="shared" si="2"/>
        <v>0</v>
      </c>
    </row>
    <row r="46" spans="1:23" ht="21" customHeight="1">
      <c r="A46" s="301" t="s">
        <v>8</v>
      </c>
      <c r="B46" s="44"/>
      <c r="C46" s="828"/>
      <c r="D46" s="804"/>
      <c r="E46" s="806"/>
      <c r="F46" s="304" t="s">
        <v>45</v>
      </c>
      <c r="G46" s="305">
        <f>'Review Comments'!F48</f>
        <v>0</v>
      </c>
      <c r="H46" s="305" t="str">
        <f>'Review Comments'!G48</f>
        <v>Required</v>
      </c>
      <c r="I46" s="305" t="str">
        <f t="shared" si="5"/>
        <v>Required</v>
      </c>
      <c r="J46" s="304" t="str">
        <f>IF('Review Comments'!H48=0,"",'Review Comments'!H48)</f>
        <v>Anticipated</v>
      </c>
      <c r="K46" s="279" t="str">
        <f>IF(I46="Required","Required",IF(ISNUMBER(MATCH(J46,Lists!$H$2:$H$9,0)),I46,""))</f>
        <v>Required</v>
      </c>
      <c r="L46" s="280" t="str">
        <f>IF(I46="Required","Required",IF(ISNUMBER(MATCH(J46,Lists!$I$2:$I$9,0)),I46,IF(ISNUMBER(MATCH(J46,Lists!$J$2:$J$9,0)),I46,"")))</f>
        <v>Required</v>
      </c>
      <c r="Q46" s="45">
        <f>IF(I46="Required",0,IF(ISNUMBER(MATCH(J46,Lists!$I$2:$I$4,0)),L46))</f>
        <v>0</v>
      </c>
      <c r="R46" s="45">
        <f>IF(I46="Required",0,IF(ISNUMBER(MATCH(J46,Lists!$K$2:$K$7,0)),L46))</f>
        <v>0</v>
      </c>
      <c r="S46" s="45">
        <f>IF(I46="Required",0,IF(ISNUMBER(MATCH(J46,Lists!$G$2:$G$4,0)),L46))</f>
        <v>0</v>
      </c>
      <c r="T46" s="45">
        <f>IF(I46="Required",0,IF(ISNUMBER(MATCH(J46,Lists!$G$7:$G$8,0)),L46))</f>
        <v>0</v>
      </c>
      <c r="U46" s="45">
        <f>IF(I46="Required",0,IF(ISNUMBER(MATCH(J46,Lists!$H$2:$H$4,0)),K46))</f>
        <v>0</v>
      </c>
      <c r="V46" s="45">
        <f t="shared" si="0"/>
        <v>0</v>
      </c>
      <c r="W46" s="45">
        <f t="shared" si="2"/>
        <v>0</v>
      </c>
    </row>
    <row r="47" spans="1:23" ht="21" customHeight="1">
      <c r="A47" s="301" t="s">
        <v>8</v>
      </c>
      <c r="B47" s="44"/>
      <c r="C47" s="828"/>
      <c r="D47" s="804"/>
      <c r="E47" s="806"/>
      <c r="F47" s="304" t="s">
        <v>46</v>
      </c>
      <c r="G47" s="305">
        <f>'Review Comments'!F49</f>
        <v>0</v>
      </c>
      <c r="H47" s="305" t="str">
        <f>'Review Comments'!G49</f>
        <v>Required</v>
      </c>
      <c r="I47" s="305" t="str">
        <f t="shared" si="5"/>
        <v>Required</v>
      </c>
      <c r="J47" s="304" t="str">
        <f>IF('Review Comments'!H49=0,"",'Review Comments'!H49)</f>
        <v>Anticipated</v>
      </c>
      <c r="K47" s="279" t="str">
        <f>IF(I47="Required","Required",IF(ISNUMBER(MATCH(J47,Lists!$H$2:$H$9,0)),I47,""))</f>
        <v>Required</v>
      </c>
      <c r="L47" s="280" t="str">
        <f>IF(I47="Required","Required",IF(ISNUMBER(MATCH(J47,Lists!$I$2:$I$9,0)),I47,IF(ISNUMBER(MATCH(J47,Lists!$J$2:$J$9,0)),I47,"")))</f>
        <v>Required</v>
      </c>
      <c r="Q47" s="45">
        <f>IF(I47="Required",0,IF(ISNUMBER(MATCH(J47,Lists!$I$2:$I$4,0)),L47))</f>
        <v>0</v>
      </c>
      <c r="R47" s="45">
        <f>IF(I47="Required",0,IF(ISNUMBER(MATCH(J47,Lists!$K$2:$K$7,0)),L47))</f>
        <v>0</v>
      </c>
      <c r="S47" s="45">
        <f>IF(I47="Required",0,IF(ISNUMBER(MATCH(J47,Lists!$G$2:$G$4,0)),L47))</f>
        <v>0</v>
      </c>
      <c r="T47" s="45">
        <f>IF(I47="Required",0,IF(ISNUMBER(MATCH(J47,Lists!$G$7:$G$8,0)),L47))</f>
        <v>0</v>
      </c>
      <c r="U47" s="45">
        <f>IF(I47="Required",0,IF(ISNUMBER(MATCH(J47,Lists!$H$2:$H$4,0)),K47))</f>
        <v>0</v>
      </c>
      <c r="V47" s="45">
        <f t="shared" si="0"/>
        <v>0</v>
      </c>
      <c r="W47" s="45">
        <f t="shared" si="2"/>
        <v>0</v>
      </c>
    </row>
    <row r="48" spans="1:23" ht="21" customHeight="1">
      <c r="A48" s="301" t="s">
        <v>8</v>
      </c>
      <c r="B48" s="44"/>
      <c r="C48" s="828"/>
      <c r="D48" s="804"/>
      <c r="E48" s="806"/>
      <c r="F48" s="304" t="s">
        <v>47</v>
      </c>
      <c r="G48" s="305">
        <f>'Review Comments'!F50</f>
        <v>0</v>
      </c>
      <c r="H48" s="305" t="str">
        <f>'Review Comments'!G50</f>
        <v>Required</v>
      </c>
      <c r="I48" s="305" t="str">
        <f t="shared" si="5"/>
        <v>Required</v>
      </c>
      <c r="J48" s="304" t="str">
        <f>IF('Review Comments'!H50=0,"",'Review Comments'!H50)</f>
        <v>Anticipated</v>
      </c>
      <c r="K48" s="279" t="str">
        <f>IF(I48="Required","Required",IF(ISNUMBER(MATCH(J48,Lists!$H$2:$H$9,0)),I48,""))</f>
        <v>Required</v>
      </c>
      <c r="L48" s="280" t="str">
        <f>IF(I48="Required","Required",IF(ISNUMBER(MATCH(J48,Lists!$I$2:$I$9,0)),I48,IF(ISNUMBER(MATCH(J48,Lists!$J$2:$J$9,0)),I48,"")))</f>
        <v>Required</v>
      </c>
      <c r="Q48" s="45">
        <f>IF(I48="Required",0,IF(ISNUMBER(MATCH(J48,Lists!$I$2:$I$4,0)),L48))</f>
        <v>0</v>
      </c>
      <c r="R48" s="45">
        <f>IF(I48="Required",0,IF(ISNUMBER(MATCH(J48,Lists!$K$2:$K$7,0)),L48))</f>
        <v>0</v>
      </c>
      <c r="S48" s="45">
        <f>IF(I48="Required",0,IF(ISNUMBER(MATCH(J48,Lists!$G$2:$G$4,0)),L48))</f>
        <v>0</v>
      </c>
      <c r="T48" s="45">
        <f>IF(I48="Required",0,IF(ISNUMBER(MATCH(J48,Lists!$G$7:$G$8,0)),L48))</f>
        <v>0</v>
      </c>
      <c r="U48" s="45">
        <f>IF(I48="Required",0,IF(ISNUMBER(MATCH(J48,Lists!$H$2:$H$4,0)),K48))</f>
        <v>0</v>
      </c>
      <c r="V48" s="45">
        <f t="shared" si="0"/>
        <v>0</v>
      </c>
      <c r="W48" s="45">
        <f t="shared" si="2"/>
        <v>0</v>
      </c>
    </row>
    <row r="49" spans="1:23" ht="21" customHeight="1">
      <c r="A49" s="301" t="s">
        <v>8</v>
      </c>
      <c r="B49" s="44"/>
      <c r="C49" s="828"/>
      <c r="D49" s="804"/>
      <c r="E49" s="806"/>
      <c r="F49" s="304" t="s">
        <v>48</v>
      </c>
      <c r="G49" s="305">
        <f>'Review Comments'!F51</f>
        <v>0</v>
      </c>
      <c r="H49" s="305" t="str">
        <f>'Review Comments'!G51</f>
        <v>Required</v>
      </c>
      <c r="I49" s="305" t="str">
        <f t="shared" si="5"/>
        <v>Required</v>
      </c>
      <c r="J49" s="304" t="str">
        <f>IF('Review Comments'!H51=0,"",'Review Comments'!H51)</f>
        <v>Anticipated</v>
      </c>
      <c r="K49" s="279" t="str">
        <f>IF(I49="Required","Required",IF(ISNUMBER(MATCH(J49,Lists!$H$2:$H$9,0)),I49,""))</f>
        <v>Required</v>
      </c>
      <c r="L49" s="280" t="str">
        <f>IF(I49="Required","Required",IF(ISNUMBER(MATCH(J49,Lists!$I$2:$I$9,0)),I49,IF(ISNUMBER(MATCH(J49,Lists!$J$2:$J$9,0)),I49,"")))</f>
        <v>Required</v>
      </c>
      <c r="Q49" s="45">
        <f>IF(I49="Required",0,IF(ISNUMBER(MATCH(J49,Lists!$I$2:$I$4,0)),L49))</f>
        <v>0</v>
      </c>
      <c r="R49" s="45">
        <f>IF(I49="Required",0,IF(ISNUMBER(MATCH(J49,Lists!$K$2:$K$7,0)),L49))</f>
        <v>0</v>
      </c>
      <c r="S49" s="45">
        <f>IF(I49="Required",0,IF(ISNUMBER(MATCH(J49,Lists!$G$2:$G$4,0)),L49))</f>
        <v>0</v>
      </c>
      <c r="T49" s="45">
        <f>IF(I49="Required",0,IF(ISNUMBER(MATCH(J49,Lists!$G$7:$G$8,0)),L49))</f>
        <v>0</v>
      </c>
      <c r="U49" s="45">
        <f>IF(I49="Required",0,IF(ISNUMBER(MATCH(J49,Lists!$H$2:$H$4,0)),K49))</f>
        <v>0</v>
      </c>
      <c r="V49" s="45">
        <f t="shared" si="0"/>
        <v>0</v>
      </c>
      <c r="W49" s="45">
        <f t="shared" si="2"/>
        <v>0</v>
      </c>
    </row>
    <row r="50" spans="1:23" ht="21" customHeight="1">
      <c r="A50" s="301" t="s">
        <v>8</v>
      </c>
      <c r="B50" s="44"/>
      <c r="C50" s="828"/>
      <c r="D50" s="804"/>
      <c r="E50" s="806"/>
      <c r="F50" s="304" t="s">
        <v>49</v>
      </c>
      <c r="G50" s="305">
        <f>'Review Comments'!F52</f>
        <v>0</v>
      </c>
      <c r="H50" s="305" t="str">
        <f>'Review Comments'!G52</f>
        <v>Required</v>
      </c>
      <c r="I50" s="305" t="str">
        <f t="shared" si="5"/>
        <v>Required</v>
      </c>
      <c r="J50" s="304" t="str">
        <f>IF('Review Comments'!H52=0,"",'Review Comments'!H52)</f>
        <v>Anticipated</v>
      </c>
      <c r="K50" s="279" t="str">
        <f>IF(I50="Required","Required",IF(ISNUMBER(MATCH(J50,Lists!$H$2:$H$9,0)),I50,""))</f>
        <v>Required</v>
      </c>
      <c r="L50" s="280" t="str">
        <f>IF(I50="Required","Required",IF(ISNUMBER(MATCH(J50,Lists!$I$2:$I$9,0)),I50,IF(ISNUMBER(MATCH(J50,Lists!$J$2:$J$9,0)),I50,"")))</f>
        <v>Required</v>
      </c>
      <c r="Q50" s="45">
        <f>IF(I50="Required",0,IF(ISNUMBER(MATCH(J50,Lists!$I$2:$I$4,0)),L50))</f>
        <v>0</v>
      </c>
      <c r="R50" s="45">
        <f>IF(I50="Required",0,IF(ISNUMBER(MATCH(J50,Lists!$K$2:$K$7,0)),L50))</f>
        <v>0</v>
      </c>
      <c r="S50" s="45">
        <f>IF(I50="Required",0,IF(ISNUMBER(MATCH(J50,Lists!$G$2:$G$4,0)),L50))</f>
        <v>0</v>
      </c>
      <c r="T50" s="45">
        <f>IF(I50="Required",0,IF(ISNUMBER(MATCH(J50,Lists!$G$7:$G$8,0)),L50))</f>
        <v>0</v>
      </c>
      <c r="U50" s="45">
        <f>IF(I50="Required",0,IF(ISNUMBER(MATCH(J50,Lists!$H$2:$H$4,0)),K50))</f>
        <v>0</v>
      </c>
      <c r="V50" s="45">
        <f t="shared" si="0"/>
        <v>0</v>
      </c>
      <c r="W50" s="45">
        <f t="shared" si="2"/>
        <v>0</v>
      </c>
    </row>
    <row r="51" spans="1:23" ht="21" customHeight="1">
      <c r="A51" s="301" t="s">
        <v>8</v>
      </c>
      <c r="B51" s="44"/>
      <c r="C51" s="828"/>
      <c r="D51" s="804"/>
      <c r="E51" s="806"/>
      <c r="F51" s="304" t="s">
        <v>50</v>
      </c>
      <c r="G51" s="305">
        <f>'Review Comments'!F53</f>
        <v>0</v>
      </c>
      <c r="H51" s="305" t="str">
        <f>'Review Comments'!G53</f>
        <v>Required</v>
      </c>
      <c r="I51" s="305" t="str">
        <f t="shared" si="5"/>
        <v>Required</v>
      </c>
      <c r="J51" s="304" t="str">
        <f>IF('Review Comments'!H53=0,"",'Review Comments'!H53)</f>
        <v>Anticipated</v>
      </c>
      <c r="K51" s="279" t="str">
        <f>IF(I51="Required","Required",IF(ISNUMBER(MATCH(J51,Lists!$H$2:$H$9,0)),I51,""))</f>
        <v>Required</v>
      </c>
      <c r="L51" s="280" t="str">
        <f>IF(I51="Required","Required",IF(ISNUMBER(MATCH(J51,Lists!$I$2:$I$9,0)),I51,IF(ISNUMBER(MATCH(J51,Lists!$J$2:$J$9,0)),I51,"")))</f>
        <v>Required</v>
      </c>
      <c r="Q51" s="45">
        <f>IF(I51="Required",0,IF(ISNUMBER(MATCH(J51,Lists!$I$2:$I$4,0)),L51))</f>
        <v>0</v>
      </c>
      <c r="R51" s="45">
        <f>IF(I51="Required",0,IF(ISNUMBER(MATCH(J51,Lists!$K$2:$K$7,0)),L51))</f>
        <v>0</v>
      </c>
      <c r="S51" s="45">
        <f>IF(I51="Required",0,IF(ISNUMBER(MATCH(J51,Lists!$G$2:$G$4,0)),L51))</f>
        <v>0</v>
      </c>
      <c r="T51" s="45">
        <f>IF(I51="Required",0,IF(ISNUMBER(MATCH(J51,Lists!$G$7:$G$8,0)),L51))</f>
        <v>0</v>
      </c>
      <c r="U51" s="45">
        <f>IF(I51="Required",0,IF(ISNUMBER(MATCH(J51,Lists!$H$2:$H$4,0)),K51))</f>
        <v>0</v>
      </c>
      <c r="V51" s="45">
        <f t="shared" si="0"/>
        <v>0</v>
      </c>
      <c r="W51" s="45">
        <f t="shared" si="2"/>
        <v>0</v>
      </c>
    </row>
    <row r="52" spans="1:23" ht="21" customHeight="1">
      <c r="A52" s="301" t="s">
        <v>8</v>
      </c>
      <c r="B52" s="44"/>
      <c r="C52" s="828"/>
      <c r="D52" s="306" t="s">
        <v>8</v>
      </c>
      <c r="E52" s="200" t="s">
        <v>51</v>
      </c>
      <c r="F52" s="304" t="s">
        <v>52</v>
      </c>
      <c r="G52" s="305">
        <f>'Review Comments'!F54</f>
        <v>0</v>
      </c>
      <c r="H52" s="305" t="str">
        <f>'Review Comments'!G54</f>
        <v>Required</v>
      </c>
      <c r="I52" s="305" t="str">
        <f t="shared" si="5"/>
        <v>Required</v>
      </c>
      <c r="J52" s="304" t="str">
        <f>IF('Review Comments'!H54=0,"",'Review Comments'!H54)</f>
        <v>Anticipated</v>
      </c>
      <c r="K52" s="279" t="str">
        <f>IF(I52="Required","Required",IF(ISNUMBER(MATCH(J52,Lists!$H$2:$H$9,0)),I52,""))</f>
        <v>Required</v>
      </c>
      <c r="L52" s="280" t="str">
        <f>IF(I52="Required","Required",IF(ISNUMBER(MATCH(J52,Lists!$I$2:$I$9,0)),I52,IF(ISNUMBER(MATCH(J52,Lists!$J$2:$J$9,0)),I52,"")))</f>
        <v>Required</v>
      </c>
      <c r="Q52" s="45">
        <f>IF(I52="Required",0,IF(ISNUMBER(MATCH(J52,Lists!$I$2:$I$4,0)),L52))</f>
        <v>0</v>
      </c>
      <c r="R52" s="45">
        <f>IF(I52="Required",0,IF(ISNUMBER(MATCH(J52,Lists!$K$2:$K$7,0)),L52))</f>
        <v>0</v>
      </c>
      <c r="S52" s="45">
        <f>IF(I52="Required",0,IF(ISNUMBER(MATCH(J52,Lists!$G$2:$G$4,0)),L52))</f>
        <v>0</v>
      </c>
      <c r="T52" s="45">
        <f>IF(I52="Required",0,IF(ISNUMBER(MATCH(J52,Lists!$G$7:$G$8,0)),L52))</f>
        <v>0</v>
      </c>
      <c r="U52" s="45">
        <f>IF(I52="Required",0,IF(ISNUMBER(MATCH(J52,Lists!$H$2:$H$4,0)),K52))</f>
        <v>0</v>
      </c>
      <c r="V52" s="45">
        <f t="shared" si="0"/>
        <v>0</v>
      </c>
      <c r="W52" s="45">
        <f t="shared" si="2"/>
        <v>0</v>
      </c>
    </row>
    <row r="53" spans="1:23" ht="21" customHeight="1">
      <c r="A53" s="301" t="s">
        <v>23</v>
      </c>
      <c r="B53" s="44"/>
      <c r="C53" s="828"/>
      <c r="D53" s="306" t="s">
        <v>23</v>
      </c>
      <c r="E53" s="200" t="s">
        <v>53</v>
      </c>
      <c r="F53" s="304" t="s">
        <v>413</v>
      </c>
      <c r="G53" s="305">
        <f>'Review Comments'!F55</f>
        <v>1</v>
      </c>
      <c r="H53" s="305" t="str">
        <f>'Review Comments'!G55</f>
        <v>Yes</v>
      </c>
      <c r="I53" s="305">
        <f t="shared" si="5"/>
        <v>1</v>
      </c>
      <c r="J53" s="304" t="str">
        <f>IF('Review Comments'!H55=0,"",'Review Comments'!H55)</f>
        <v>Anticipated</v>
      </c>
      <c r="K53" s="279">
        <f>IF(I53="Required","Required",IF(ISNUMBER(MATCH(J53,Lists!$H$2:$H$9,0)),I53,""))</f>
        <v>1</v>
      </c>
      <c r="L53" s="280" t="str">
        <f>IF(I53="Required","Required",IF(ISNUMBER(MATCH(J53,Lists!$I$2:$I$9,0)),I53,IF(ISNUMBER(MATCH(J53,Lists!$J$2:$J$9,0)),I53,"")))</f>
        <v/>
      </c>
      <c r="Q53" s="45" t="b">
        <f>IF(I53="Required",0,IF(ISNUMBER(MATCH(J53,Lists!$I$2:$I$4,0)),L53))</f>
        <v>0</v>
      </c>
      <c r="R53" s="45" t="b">
        <f>IF(I53="Required",0,IF(ISNUMBER(MATCH(J53,Lists!$K$2:$K$7,0)),L53))</f>
        <v>0</v>
      </c>
      <c r="S53" s="45" t="b">
        <f>IF(I53="Required",0,IF(ISNUMBER(MATCH(J53,Lists!$G$2:$G$4,0)),L53))</f>
        <v>0</v>
      </c>
      <c r="T53" s="45" t="b">
        <f>IF(I53="Required",0,IF(ISNUMBER(MATCH(J53,Lists!$G$7:$G$8,0)),L53))</f>
        <v>0</v>
      </c>
      <c r="U53" s="45">
        <f>IF(I53="Required",0,IF(ISNUMBER(MATCH(J53,Lists!$H$2:$H$4,0)),K53))</f>
        <v>1</v>
      </c>
      <c r="V53" s="45">
        <f t="shared" si="0"/>
        <v>0</v>
      </c>
      <c r="W53" s="45">
        <f t="shared" si="2"/>
        <v>0</v>
      </c>
    </row>
    <row r="54" spans="1:23" ht="21" customHeight="1">
      <c r="A54" s="301" t="s">
        <v>23</v>
      </c>
      <c r="B54" s="44"/>
      <c r="C54" s="828"/>
      <c r="D54" s="804" t="s">
        <v>23</v>
      </c>
      <c r="E54" s="806" t="s">
        <v>54</v>
      </c>
      <c r="F54" s="304" t="s">
        <v>414</v>
      </c>
      <c r="G54" s="305">
        <f>'Review Comments'!F56</f>
        <v>0</v>
      </c>
      <c r="H54" s="305" t="str">
        <f>'Review Comments'!G56</f>
        <v>No</v>
      </c>
      <c r="I54" s="305" t="str">
        <f t="shared" si="5"/>
        <v/>
      </c>
      <c r="J54" s="304" t="str">
        <f>IF('Review Comments'!H56=0,"",'Review Comments'!H56)</f>
        <v>Not Attempted</v>
      </c>
      <c r="K54" s="279" t="str">
        <f>IF(I54="Required","Required",IF(ISNUMBER(MATCH(J54,Lists!$H$2:$H$9,0)),I54,""))</f>
        <v/>
      </c>
      <c r="L54" s="280" t="str">
        <f>IF(I54="Required","Required",IF(ISNUMBER(MATCH(J54,Lists!$I$2:$I$9,0)),I54,IF(ISNUMBER(MATCH(J54,Lists!$J$2:$J$9,0)),I54,"")))</f>
        <v/>
      </c>
      <c r="Q54" s="45" t="b">
        <f>IF(I54="Required",0,IF(ISNUMBER(MATCH(J54,Lists!$I$2:$I$4,0)),L54))</f>
        <v>0</v>
      </c>
      <c r="R54" s="45" t="b">
        <f>IF(I54="Required",0,IF(ISNUMBER(MATCH(J54,Lists!$K$2:$K$7,0)),L54))</f>
        <v>0</v>
      </c>
      <c r="S54" s="45" t="b">
        <f>IF(I54="Required",0,IF(ISNUMBER(MATCH(J54,Lists!$G$2:$G$4,0)),L54))</f>
        <v>0</v>
      </c>
      <c r="T54" s="45" t="b">
        <f>IF(I54="Required",0,IF(ISNUMBER(MATCH(J54,Lists!$G$7:$G$8,0)),L54))</f>
        <v>0</v>
      </c>
      <c r="U54" s="45" t="b">
        <f>IF(I54="Required",0,IF(ISNUMBER(MATCH(J54,Lists!$H$2:$H$4,0)),K54))</f>
        <v>0</v>
      </c>
      <c r="V54" s="45">
        <f t="shared" si="0"/>
        <v>0</v>
      </c>
      <c r="W54" s="45">
        <f t="shared" si="2"/>
        <v>0</v>
      </c>
    </row>
    <row r="55" spans="1:23" ht="21" customHeight="1">
      <c r="A55" s="301" t="s">
        <v>23</v>
      </c>
      <c r="B55" s="44"/>
      <c r="C55" s="828"/>
      <c r="D55" s="804"/>
      <c r="E55" s="806"/>
      <c r="F55" s="304" t="s">
        <v>415</v>
      </c>
      <c r="G55" s="305">
        <f>'Review Comments'!F57</f>
        <v>0</v>
      </c>
      <c r="H55" s="305" t="str">
        <f>'Review Comments'!G57</f>
        <v>No</v>
      </c>
      <c r="I55" s="305" t="str">
        <f t="shared" si="5"/>
        <v/>
      </c>
      <c r="J55" s="304" t="str">
        <f>IF('Review Comments'!H57=0,"",'Review Comments'!H57)</f>
        <v>Not Attempted</v>
      </c>
      <c r="K55" s="279" t="str">
        <f>IF(I55="Required","Required",IF(ISNUMBER(MATCH(J55,Lists!$H$2:$H$9,0)),I55,""))</f>
        <v/>
      </c>
      <c r="L55" s="280" t="str">
        <f>IF(I55="Required","Required",IF(ISNUMBER(MATCH(J55,Lists!$I$2:$I$9,0)),I55,IF(ISNUMBER(MATCH(J55,Lists!$J$2:$J$9,0)),I55,"")))</f>
        <v/>
      </c>
      <c r="Q55" s="45" t="b">
        <f>IF(I55="Required",0,IF(ISNUMBER(MATCH(J55,Lists!$I$2:$I$4,0)),L55))</f>
        <v>0</v>
      </c>
      <c r="R55" s="45" t="b">
        <f>IF(I55="Required",0,IF(ISNUMBER(MATCH(J55,Lists!$K$2:$K$7,0)),L55))</f>
        <v>0</v>
      </c>
      <c r="S55" s="45" t="b">
        <f>IF(I55="Required",0,IF(ISNUMBER(MATCH(J55,Lists!$G$2:$G$4,0)),L55))</f>
        <v>0</v>
      </c>
      <c r="T55" s="45" t="b">
        <f>IF(I55="Required",0,IF(ISNUMBER(MATCH(J55,Lists!$G$7:$G$8,0)),L55))</f>
        <v>0</v>
      </c>
      <c r="U55" s="45" t="b">
        <f>IF(I55="Required",0,IF(ISNUMBER(MATCH(J55,Lists!$H$2:$H$4,0)),K55))</f>
        <v>0</v>
      </c>
      <c r="V55" s="45">
        <f t="shared" si="0"/>
        <v>0</v>
      </c>
      <c r="W55" s="45">
        <f t="shared" si="2"/>
        <v>0</v>
      </c>
    </row>
    <row r="56" spans="1:23" ht="21" customHeight="1">
      <c r="A56" s="301" t="s">
        <v>23</v>
      </c>
      <c r="B56" s="44"/>
      <c r="C56" s="828"/>
      <c r="D56" s="306" t="s">
        <v>23</v>
      </c>
      <c r="E56" s="200" t="s">
        <v>55</v>
      </c>
      <c r="F56" s="304" t="s">
        <v>416</v>
      </c>
      <c r="G56" s="305">
        <f>'Review Comments'!F58</f>
        <v>0</v>
      </c>
      <c r="H56" s="305" t="str">
        <f>'Review Comments'!G58</f>
        <v>No</v>
      </c>
      <c r="I56" s="305" t="str">
        <f t="shared" si="5"/>
        <v/>
      </c>
      <c r="J56" s="304" t="str">
        <f>IF('Review Comments'!H58=0,"",'Review Comments'!H58)</f>
        <v>Not Attempted</v>
      </c>
      <c r="K56" s="279" t="str">
        <f>IF(I56="Required","Required",IF(ISNUMBER(MATCH(J56,Lists!$H$2:$H$9,0)),I56,""))</f>
        <v/>
      </c>
      <c r="L56" s="280" t="str">
        <f>IF(I56="Required","Required",IF(ISNUMBER(MATCH(J56,Lists!$I$2:$I$9,0)),I56,IF(ISNUMBER(MATCH(J56,Lists!$J$2:$J$9,0)),I56,"")))</f>
        <v/>
      </c>
      <c r="Q56" s="45" t="b">
        <f>IF(I56="Required",0,IF(ISNUMBER(MATCH(J56,Lists!$I$2:$I$4,0)),L56))</f>
        <v>0</v>
      </c>
      <c r="R56" s="45" t="b">
        <f>IF(I56="Required",0,IF(ISNUMBER(MATCH(J56,Lists!$K$2:$K$7,0)),L56))</f>
        <v>0</v>
      </c>
      <c r="S56" s="45" t="b">
        <f>IF(I56="Required",0,IF(ISNUMBER(MATCH(J56,Lists!$G$2:$G$4,0)),L56))</f>
        <v>0</v>
      </c>
      <c r="T56" s="45" t="b">
        <f>IF(I56="Required",0,IF(ISNUMBER(MATCH(J56,Lists!$G$7:$G$8,0)),L56))</f>
        <v>0</v>
      </c>
      <c r="U56" s="45" t="b">
        <f>IF(I56="Required",0,IF(ISNUMBER(MATCH(J56,Lists!$H$2:$H$4,0)),K56))</f>
        <v>0</v>
      </c>
      <c r="V56" s="45">
        <f t="shared" si="0"/>
        <v>0</v>
      </c>
      <c r="W56" s="45">
        <f t="shared" si="2"/>
        <v>0</v>
      </c>
    </row>
    <row r="57" spans="1:23" ht="21" customHeight="1">
      <c r="A57" s="301" t="s">
        <v>23</v>
      </c>
      <c r="B57" s="44"/>
      <c r="C57" s="828"/>
      <c r="D57" s="804" t="s">
        <v>23</v>
      </c>
      <c r="E57" s="806" t="s">
        <v>56</v>
      </c>
      <c r="F57" s="304" t="s">
        <v>417</v>
      </c>
      <c r="G57" s="305">
        <f>'Review Comments'!F59</f>
        <v>1</v>
      </c>
      <c r="H57" s="305" t="str">
        <f>'Review Comments'!G59</f>
        <v>Yes</v>
      </c>
      <c r="I57" s="305">
        <f t="shared" si="5"/>
        <v>1</v>
      </c>
      <c r="J57" s="304" t="str">
        <f>IF('Review Comments'!H59=0,"",'Review Comments'!H59)</f>
        <v>Anticipated</v>
      </c>
      <c r="K57" s="279">
        <f>IF(I57="Required","Required",IF(ISNUMBER(MATCH(J57,Lists!$H$2:$H$9,0)),I57,""))</f>
        <v>1</v>
      </c>
      <c r="L57" s="280" t="str">
        <f>IF(I57="Required","Required",IF(ISNUMBER(MATCH(J57,Lists!$I$2:$I$9,0)),I57,IF(ISNUMBER(MATCH(J57,Lists!$J$2:$J$9,0)),I57,"")))</f>
        <v/>
      </c>
      <c r="Q57" s="45" t="b">
        <f>IF(I57="Required",0,IF(ISNUMBER(MATCH(J57,Lists!$I$2:$I$4,0)),L57))</f>
        <v>0</v>
      </c>
      <c r="R57" s="45" t="b">
        <f>IF(I57="Required",0,IF(ISNUMBER(MATCH(J57,Lists!$K$2:$K$7,0)),L57))</f>
        <v>0</v>
      </c>
      <c r="S57" s="45" t="b">
        <f>IF(I57="Required",0,IF(ISNUMBER(MATCH(J57,Lists!$G$2:$G$4,0)),L57))</f>
        <v>0</v>
      </c>
      <c r="T57" s="45" t="b">
        <f>IF(I57="Required",0,IF(ISNUMBER(MATCH(J57,Lists!$G$7:$G$8,0)),L57))</f>
        <v>0</v>
      </c>
      <c r="U57" s="45">
        <f>IF(I57="Required",0,IF(ISNUMBER(MATCH(J57,Lists!$H$2:$H$4,0)),K57))</f>
        <v>1</v>
      </c>
      <c r="V57" s="45">
        <f t="shared" si="0"/>
        <v>0</v>
      </c>
      <c r="W57" s="45">
        <f t="shared" si="2"/>
        <v>0</v>
      </c>
    </row>
    <row r="58" spans="1:23" ht="21" customHeight="1">
      <c r="A58" s="301" t="s">
        <v>23</v>
      </c>
      <c r="B58" s="44"/>
      <c r="C58" s="828"/>
      <c r="D58" s="804"/>
      <c r="E58" s="806"/>
      <c r="F58" s="304" t="s">
        <v>418</v>
      </c>
      <c r="G58" s="305">
        <f>'Review Comments'!F60</f>
        <v>1</v>
      </c>
      <c r="H58" s="305" t="str">
        <f>'Review Comments'!G60</f>
        <v>Yes</v>
      </c>
      <c r="I58" s="305">
        <f t="shared" si="5"/>
        <v>1</v>
      </c>
      <c r="J58" s="304" t="str">
        <f>IF('Review Comments'!H60=0,"",'Review Comments'!H60)</f>
        <v>Anticipated</v>
      </c>
      <c r="K58" s="279">
        <f>IF(I58="Required","Required",IF(ISNUMBER(MATCH(J58,Lists!$H$2:$H$9,0)),I58,""))</f>
        <v>1</v>
      </c>
      <c r="L58" s="280" t="str">
        <f>IF(I58="Required","Required",IF(ISNUMBER(MATCH(J58,Lists!$I$2:$I$9,0)),I58,IF(ISNUMBER(MATCH(J58,Lists!$J$2:$J$9,0)),I58,"")))</f>
        <v/>
      </c>
      <c r="Q58" s="45" t="b">
        <f>IF(I58="Required",0,IF(ISNUMBER(MATCH(J58,Lists!$I$2:$I$4,0)),L58))</f>
        <v>0</v>
      </c>
      <c r="R58" s="45" t="b">
        <f>IF(I58="Required",0,IF(ISNUMBER(MATCH(J58,Lists!$K$2:$K$7,0)),L58))</f>
        <v>0</v>
      </c>
      <c r="S58" s="45" t="b">
        <f>IF(I58="Required",0,IF(ISNUMBER(MATCH(J58,Lists!$G$2:$G$4,0)),L58))</f>
        <v>0</v>
      </c>
      <c r="T58" s="45" t="b">
        <f>IF(I58="Required",0,IF(ISNUMBER(MATCH(J58,Lists!$G$7:$G$8,0)),L58))</f>
        <v>0</v>
      </c>
      <c r="U58" s="45">
        <f>IF(I58="Required",0,IF(ISNUMBER(MATCH(J58,Lists!$H$2:$H$4,0)),K58))</f>
        <v>1</v>
      </c>
      <c r="V58" s="45">
        <f t="shared" si="0"/>
        <v>0</v>
      </c>
      <c r="W58" s="45">
        <f t="shared" si="2"/>
        <v>0</v>
      </c>
    </row>
    <row r="59" spans="1:23" ht="21" customHeight="1">
      <c r="A59" s="301" t="s">
        <v>23</v>
      </c>
      <c r="B59" s="44"/>
      <c r="C59" s="828"/>
      <c r="D59" s="804"/>
      <c r="E59" s="806"/>
      <c r="F59" s="304" t="s">
        <v>419</v>
      </c>
      <c r="G59" s="305">
        <f>'Review Comments'!F61</f>
        <v>1</v>
      </c>
      <c r="H59" s="305" t="str">
        <f>'Review Comments'!G61</f>
        <v>Yes</v>
      </c>
      <c r="I59" s="305">
        <f t="shared" si="5"/>
        <v>1</v>
      </c>
      <c r="J59" s="304" t="str">
        <f>IF('Review Comments'!H61=0,"",'Review Comments'!H61)</f>
        <v>Anticipated</v>
      </c>
      <c r="K59" s="279">
        <f>IF(I59="Required","Required",IF(ISNUMBER(MATCH(J59,Lists!$H$2:$H$9,0)),I59,""))</f>
        <v>1</v>
      </c>
      <c r="L59" s="280" t="str">
        <f>IF(I59="Required","Required",IF(ISNUMBER(MATCH(J59,Lists!$I$2:$I$9,0)),I59,IF(ISNUMBER(MATCH(J59,Lists!$J$2:$J$9,0)),I59,"")))</f>
        <v/>
      </c>
      <c r="Q59" s="45" t="b">
        <f>IF(I59="Required",0,IF(ISNUMBER(MATCH(J59,Lists!$I$2:$I$4,0)),L59))</f>
        <v>0</v>
      </c>
      <c r="R59" s="45" t="b">
        <f>IF(I59="Required",0,IF(ISNUMBER(MATCH(J59,Lists!$K$2:$K$7,0)),L59))</f>
        <v>0</v>
      </c>
      <c r="S59" s="45" t="b">
        <f>IF(I59="Required",0,IF(ISNUMBER(MATCH(J59,Lists!$G$2:$G$4,0)),L59))</f>
        <v>0</v>
      </c>
      <c r="T59" s="45" t="b">
        <f>IF(I59="Required",0,IF(ISNUMBER(MATCH(J59,Lists!$G$7:$G$8,0)),L59))</f>
        <v>0</v>
      </c>
      <c r="U59" s="45">
        <f>IF(I59="Required",0,IF(ISNUMBER(MATCH(J59,Lists!$H$2:$H$4,0)),K59))</f>
        <v>1</v>
      </c>
      <c r="V59" s="45">
        <f t="shared" si="0"/>
        <v>0</v>
      </c>
      <c r="W59" s="45">
        <f t="shared" si="2"/>
        <v>0</v>
      </c>
    </row>
    <row r="60" spans="1:23" ht="21" customHeight="1">
      <c r="A60" s="301" t="s">
        <v>23</v>
      </c>
      <c r="B60" s="44"/>
      <c r="C60" s="828"/>
      <c r="D60" s="804" t="s">
        <v>23</v>
      </c>
      <c r="E60" s="806" t="s">
        <v>57</v>
      </c>
      <c r="F60" s="304" t="s">
        <v>420</v>
      </c>
      <c r="G60" s="305">
        <f>'Review Comments'!F62</f>
        <v>1</v>
      </c>
      <c r="H60" s="305" t="str">
        <f>'Review Comments'!G62</f>
        <v>Yes</v>
      </c>
      <c r="I60" s="305">
        <f t="shared" si="5"/>
        <v>1</v>
      </c>
      <c r="J60" s="304" t="str">
        <f>IF('Review Comments'!H62=0,"",'Review Comments'!H62)</f>
        <v>Anticipated</v>
      </c>
      <c r="K60" s="279">
        <f>IF(I60="Required","Required",IF(ISNUMBER(MATCH(J60,Lists!$H$2:$H$9,0)),I60,""))</f>
        <v>1</v>
      </c>
      <c r="L60" s="280" t="str">
        <f>IF(I60="Required","Required",IF(ISNUMBER(MATCH(J60,Lists!$I$2:$I$9,0)),I60,IF(ISNUMBER(MATCH(J60,Lists!$J$2:$J$9,0)),I60,"")))</f>
        <v/>
      </c>
      <c r="Q60" s="45" t="b">
        <f>IF(I60="Required",0,IF(ISNUMBER(MATCH(J60,Lists!$I$2:$I$4,0)),L60))</f>
        <v>0</v>
      </c>
      <c r="R60" s="45" t="b">
        <f>IF(I60="Required",0,IF(ISNUMBER(MATCH(J60,Lists!$K$2:$K$7,0)),L60))</f>
        <v>0</v>
      </c>
      <c r="S60" s="45" t="b">
        <f>IF(I60="Required",0,IF(ISNUMBER(MATCH(J60,Lists!$G$2:$G$4,0)),L60))</f>
        <v>0</v>
      </c>
      <c r="T60" s="45" t="b">
        <f>IF(I60="Required",0,IF(ISNUMBER(MATCH(J60,Lists!$G$7:$G$8,0)),L60))</f>
        <v>0</v>
      </c>
      <c r="U60" s="45">
        <f>IF(I60="Required",0,IF(ISNUMBER(MATCH(J60,Lists!$H$2:$H$4,0)),K60))</f>
        <v>1</v>
      </c>
      <c r="V60" s="45">
        <f t="shared" si="0"/>
        <v>0</v>
      </c>
      <c r="W60" s="45">
        <f t="shared" si="2"/>
        <v>0</v>
      </c>
    </row>
    <row r="61" spans="1:23" ht="23.4" thickBot="1">
      <c r="A61" s="301" t="s">
        <v>23</v>
      </c>
      <c r="B61" s="44"/>
      <c r="C61" s="828"/>
      <c r="D61" s="804"/>
      <c r="E61" s="806"/>
      <c r="F61" s="304" t="s">
        <v>421</v>
      </c>
      <c r="G61" s="305">
        <f>'Review Comments'!F63</f>
        <v>1</v>
      </c>
      <c r="H61" s="305" t="str">
        <f>'Review Comments'!G63</f>
        <v>Yes</v>
      </c>
      <c r="I61" s="305">
        <f t="shared" ref="I61:I62" si="6">IF(H61="Yes",G61,IF(H61="Required","Required",""))</f>
        <v>1</v>
      </c>
      <c r="J61" s="304" t="str">
        <f>IF('Review Comments'!H63=0,"",'Review Comments'!H63)</f>
        <v>Anticipated</v>
      </c>
      <c r="K61" s="279">
        <f>IF(I61="Required","Required",IF(ISNUMBER(MATCH(J61,Lists!$H$2:$H$9,0)),I61,""))</f>
        <v>1</v>
      </c>
      <c r="L61" s="280" t="str">
        <f>IF(I61="Required","Required",IF(ISNUMBER(MATCH(J61,Lists!$I$2:$I$9,0)),I61,IF(ISNUMBER(MATCH(J61,Lists!$J$2:$J$9,0)),I61,"")))</f>
        <v/>
      </c>
      <c r="N61" s="185" t="s">
        <v>729</v>
      </c>
      <c r="O61" s="52"/>
      <c r="Q61" s="45" t="b">
        <f>IF(I61="Required",0,IF(ISNUMBER(MATCH(J61,Lists!$I$2:$I$4,0)),L61))</f>
        <v>0</v>
      </c>
      <c r="R61" s="45" t="b">
        <f>IF(I61="Required",0,IF(ISNUMBER(MATCH(J61,Lists!$K$2:$K$7,0)),L61))</f>
        <v>0</v>
      </c>
      <c r="S61" s="45" t="b">
        <f>IF(I61="Required",0,IF(ISNUMBER(MATCH(J61,Lists!$G$2:$G$4,0)),L61))</f>
        <v>0</v>
      </c>
      <c r="T61" s="45" t="b">
        <f>IF(I61="Required",0,IF(ISNUMBER(MATCH(J61,Lists!$G$7:$G$8,0)),L61))</f>
        <v>0</v>
      </c>
      <c r="U61" s="45">
        <f>IF(I61="Required",0,IF(ISNUMBER(MATCH(J61,Lists!$H$2:$H$4,0)),K61))</f>
        <v>1</v>
      </c>
      <c r="V61" s="45">
        <f t="shared" si="0"/>
        <v>0</v>
      </c>
      <c r="W61" s="45">
        <f t="shared" si="2"/>
        <v>0</v>
      </c>
    </row>
    <row r="62" spans="1:23" ht="18" hidden="1" thickBot="1">
      <c r="A62" s="301" t="s">
        <v>23</v>
      </c>
      <c r="B62" s="44"/>
      <c r="C62" s="828"/>
      <c r="D62" s="307" t="s">
        <v>23</v>
      </c>
      <c r="E62" s="184" t="s">
        <v>359</v>
      </c>
      <c r="F62" s="308" t="s">
        <v>422</v>
      </c>
      <c r="G62" s="309">
        <f>'Review Comments'!F64</f>
        <v>0</v>
      </c>
      <c r="H62" s="309">
        <f>'Review Comments'!G64</f>
        <v>0</v>
      </c>
      <c r="I62" s="310" t="str">
        <f t="shared" si="6"/>
        <v/>
      </c>
      <c r="J62" s="311" t="str">
        <f>IF('Review Comments'!H64=0,"",'Review Comments'!H64)</f>
        <v/>
      </c>
      <c r="K62" s="312" t="str">
        <f>IF(I62="Required","Required",IF(ISNUMBER(MATCH(J62,Lists!$H$2:$H$9,0)),I62,""))</f>
        <v/>
      </c>
      <c r="L62" s="313" t="str">
        <f>IF(I62="Required","Required",IF(ISNUMBER(MATCH(J62,Lists!$I$2:$I$9,0)),I62,IF(ISNUMBER(MATCH(J62,Lists!$J$2:$J$9,0)),I62,"")))</f>
        <v/>
      </c>
      <c r="Q62" s="45" t="b">
        <f>IF(I62="Required",0,IF(ISNUMBER(MATCH(J62,Lists!$I$2:$I$4,0)),L62))</f>
        <v>0</v>
      </c>
      <c r="R62" s="45" t="b">
        <f>IF(I62="Required",0,IF(ISNUMBER(MATCH(J62,Lists!$K$2:$K$7,0)),L62))</f>
        <v>0</v>
      </c>
      <c r="S62" s="45" t="b">
        <f>IF(I62="Required",0,IF(ISNUMBER(MATCH(J62,Lists!$G$2:$G$4,0)),L62))</f>
        <v>0</v>
      </c>
      <c r="T62" s="45" t="b">
        <f>IF(I62="Required",0,IF(ISNUMBER(MATCH(J62,Lists!$G$7:$G$8,0)),L62))</f>
        <v>0</v>
      </c>
      <c r="U62" s="45" t="b">
        <f>IF(I62="Required",0,IF(ISNUMBER(MATCH(J62,Lists!$H$2:$H$4,0)),K62))</f>
        <v>0</v>
      </c>
      <c r="V62" s="45">
        <f t="shared" si="0"/>
        <v>0</v>
      </c>
      <c r="W62" s="45">
        <f t="shared" si="2"/>
        <v>0</v>
      </c>
    </row>
    <row r="63" spans="1:23" s="175" customFormat="1" ht="17.399999999999999">
      <c r="A63" s="301"/>
      <c r="B63" s="174"/>
      <c r="C63" s="314"/>
      <c r="D63" s="315"/>
      <c r="E63" s="316"/>
      <c r="F63" s="317"/>
      <c r="G63" s="318">
        <f>SUM(G42:G62)</f>
        <v>6</v>
      </c>
      <c r="H63" s="315"/>
      <c r="I63" s="319">
        <f>SUM(I42:I62)</f>
        <v>6</v>
      </c>
      <c r="J63" s="320"/>
      <c r="K63" s="319">
        <f>SUM(K42:K62)</f>
        <v>6</v>
      </c>
      <c r="L63" s="321">
        <f>SUM(L42:L62)</f>
        <v>0</v>
      </c>
      <c r="Q63" s="175" t="b">
        <f>IF(I63="Required",0,IF(ISNUMBER(MATCH(J63,Lists!$I$2:$I$4,0)),L63))</f>
        <v>0</v>
      </c>
      <c r="R63" s="175" t="b">
        <f>IF(I63="Required",0,IF(ISNUMBER(MATCH(J63,Lists!$K$2:$K$7,0)),L63))</f>
        <v>0</v>
      </c>
      <c r="S63" s="175" t="b">
        <f>IF(I63="Required",0,IF(ISNUMBER(MATCH(J63,Lists!$G$2:$G$4,0)),L63))</f>
        <v>0</v>
      </c>
      <c r="T63" s="175" t="b">
        <f>IF(I63="Required",0,IF(ISNUMBER(MATCH(J63,Lists!$G$7:$G$8,0)),L63))</f>
        <v>0</v>
      </c>
      <c r="U63" s="175" t="b">
        <f>IF(I63="Required",0,IF(ISNUMBER(MATCH(J63,Lists!$H$2:$H$4,0)),K63))</f>
        <v>0</v>
      </c>
      <c r="V63" s="175">
        <f t="shared" si="0"/>
        <v>0</v>
      </c>
      <c r="W63" s="45">
        <f t="shared" si="2"/>
        <v>0</v>
      </c>
    </row>
    <row r="64" spans="1:23" ht="6.6" customHeight="1" thickBot="1">
      <c r="A64" s="294"/>
      <c r="B64" s="44"/>
      <c r="C64" s="295"/>
      <c r="D64" s="294"/>
      <c r="E64" s="296"/>
      <c r="F64" s="297"/>
      <c r="G64" s="298"/>
      <c r="H64" s="298"/>
      <c r="I64" s="298"/>
      <c r="J64" s="299"/>
      <c r="K64" s="298"/>
      <c r="L64" s="300"/>
      <c r="Q64" s="45" t="b">
        <f>IF(I64="Required",0,IF(ISNUMBER(MATCH(J64,Lists!$I$2:$I$4,0)),L64))</f>
        <v>0</v>
      </c>
      <c r="R64" s="45" t="b">
        <f>IF(I64="Required",0,IF(ISNUMBER(MATCH(J64,Lists!$K$2:$K$7,0)),L64))</f>
        <v>0</v>
      </c>
      <c r="S64" s="45" t="b">
        <f>IF(I64="Required",0,IF(ISNUMBER(MATCH(J64,Lists!$G$2:$G$4,0)),L64))</f>
        <v>0</v>
      </c>
      <c r="T64" s="45" t="b">
        <f>IF(I64="Required",0,IF(ISNUMBER(MATCH(J64,Lists!$G$7:$G$8,0)),L64))</f>
        <v>0</v>
      </c>
      <c r="U64" s="45" t="b">
        <f>IF(I64="Required",0,IF(ISNUMBER(MATCH(J64,Lists!$H$2:$H$4,0)),K64))</f>
        <v>0</v>
      </c>
      <c r="V64" s="45">
        <f t="shared" si="0"/>
        <v>0</v>
      </c>
      <c r="W64" s="45">
        <f t="shared" si="2"/>
        <v>0</v>
      </c>
    </row>
    <row r="65" spans="1:23" ht="21" customHeight="1">
      <c r="A65" s="301" t="s">
        <v>8</v>
      </c>
      <c r="B65" s="44"/>
      <c r="C65" s="842" t="s">
        <v>58</v>
      </c>
      <c r="D65" s="803" t="s">
        <v>8</v>
      </c>
      <c r="E65" s="805" t="s">
        <v>59</v>
      </c>
      <c r="F65" s="302" t="s">
        <v>60</v>
      </c>
      <c r="G65" s="303">
        <f>'Review Comments'!F70</f>
        <v>0</v>
      </c>
      <c r="H65" s="303" t="str">
        <f>'Review Comments'!G70</f>
        <v>Required</v>
      </c>
      <c r="I65" s="303" t="str">
        <f t="shared" ref="I65:I80" si="7">IF(H65="Yes",G65,IF(H65="Required","Required",""))</f>
        <v>Required</v>
      </c>
      <c r="J65" s="322" t="str">
        <f>IF('Review Comments'!H70=0,"",'Review Comments'!H70)</f>
        <v>Anticipated</v>
      </c>
      <c r="K65" s="275" t="str">
        <f>IF(I65="Required","Required",IF(ISNUMBER(MATCH(J65,Lists!$H$2:$H$9,0)),I65,""))</f>
        <v>Required</v>
      </c>
      <c r="L65" s="276" t="str">
        <f>IF(I65="Required","Required",IF(ISNUMBER(MATCH(J65,Lists!$I$2:$I$9,0)),I65,IF(ISNUMBER(MATCH(J65,Lists!$J$2:$J$9,0)),I65,"")))</f>
        <v>Required</v>
      </c>
      <c r="Q65" s="45">
        <f>IF(I65="Required",0,IF(ISNUMBER(MATCH(J65,Lists!$I$2:$I$4,0)),L65))</f>
        <v>0</v>
      </c>
      <c r="R65" s="45">
        <f>IF(I65="Required",0,IF(ISNUMBER(MATCH(J65,Lists!$K$2:$K$7,0)),L65))</f>
        <v>0</v>
      </c>
      <c r="S65" s="45">
        <f>IF(I65="Required",0,IF(ISNUMBER(MATCH(J65,Lists!$G$2:$G$4,0)),L65))</f>
        <v>0</v>
      </c>
      <c r="T65" s="45">
        <f>IF(I65="Required",0,IF(ISNUMBER(MATCH(J65,Lists!$G$7:$G$8,0)),L65))</f>
        <v>0</v>
      </c>
      <c r="U65" s="45">
        <f>IF(I65="Required",0,IF(ISNUMBER(MATCH(J65,Lists!$H$2:$H$4,0)),K65))</f>
        <v>0</v>
      </c>
      <c r="V65" s="45">
        <f t="shared" si="0"/>
        <v>0</v>
      </c>
      <c r="W65" s="45">
        <f t="shared" si="2"/>
        <v>0</v>
      </c>
    </row>
    <row r="66" spans="1:23" ht="21" customHeight="1">
      <c r="A66" s="301" t="s">
        <v>8</v>
      </c>
      <c r="B66" s="44"/>
      <c r="C66" s="843"/>
      <c r="D66" s="804"/>
      <c r="E66" s="806"/>
      <c r="F66" s="304" t="s">
        <v>61</v>
      </c>
      <c r="G66" s="305">
        <f>'Review Comments'!F71</f>
        <v>0</v>
      </c>
      <c r="H66" s="305" t="str">
        <f>'Review Comments'!G71</f>
        <v>Required</v>
      </c>
      <c r="I66" s="305" t="str">
        <f t="shared" si="7"/>
        <v>Required</v>
      </c>
      <c r="J66" s="323" t="str">
        <f>IF('Review Comments'!H71=0,"",'Review Comments'!H71)</f>
        <v>Anticipated</v>
      </c>
      <c r="K66" s="279" t="str">
        <f>IF(I66="Required","Required",IF(ISNUMBER(MATCH(J66,Lists!$H$2:$H$9,0)),I66,""))</f>
        <v>Required</v>
      </c>
      <c r="L66" s="280" t="str">
        <f>IF(I66="Required","Required",IF(ISNUMBER(MATCH(J66,Lists!$I$2:$I$9,0)),I66,IF(ISNUMBER(MATCH(J66,Lists!$J$2:$J$9,0)),I66,"")))</f>
        <v>Required</v>
      </c>
      <c r="Q66" s="45">
        <f>IF(I66="Required",0,IF(ISNUMBER(MATCH(J66,Lists!$I$2:$I$4,0)),L66))</f>
        <v>0</v>
      </c>
      <c r="R66" s="45">
        <f>IF(I66="Required",0,IF(ISNUMBER(MATCH(J66,Lists!$K$2:$K$7,0)),L66))</f>
        <v>0</v>
      </c>
      <c r="S66" s="45">
        <f>IF(I66="Required",0,IF(ISNUMBER(MATCH(J66,Lists!$G$2:$G$4,0)),L66))</f>
        <v>0</v>
      </c>
      <c r="T66" s="45">
        <f>IF(I66="Required",0,IF(ISNUMBER(MATCH(J66,Lists!$G$7:$G$8,0)),L66))</f>
        <v>0</v>
      </c>
      <c r="U66" s="45">
        <f>IF(I66="Required",0,IF(ISNUMBER(MATCH(J66,Lists!$H$2:$H$4,0)),K66))</f>
        <v>0</v>
      </c>
      <c r="V66" s="45">
        <f t="shared" si="0"/>
        <v>0</v>
      </c>
      <c r="W66" s="45">
        <f t="shared" si="2"/>
        <v>0</v>
      </c>
    </row>
    <row r="67" spans="1:23" ht="21" customHeight="1">
      <c r="A67" s="301" t="s">
        <v>8</v>
      </c>
      <c r="B67" s="44"/>
      <c r="C67" s="843"/>
      <c r="D67" s="804" t="s">
        <v>8</v>
      </c>
      <c r="E67" s="806" t="s">
        <v>62</v>
      </c>
      <c r="F67" s="304" t="s">
        <v>63</v>
      </c>
      <c r="G67" s="305">
        <f>'Review Comments'!F72</f>
        <v>0</v>
      </c>
      <c r="H67" s="305" t="str">
        <f>'Review Comments'!G72</f>
        <v>Required</v>
      </c>
      <c r="I67" s="305" t="str">
        <f t="shared" si="7"/>
        <v>Required</v>
      </c>
      <c r="J67" s="323" t="str">
        <f>IF('Review Comments'!H72=0,"",'Review Comments'!H72)</f>
        <v>Anticipated</v>
      </c>
      <c r="K67" s="279" t="str">
        <f>IF(I67="Required","Required",IF(ISNUMBER(MATCH(J67,Lists!$H$2:$H$9,0)),I67,""))</f>
        <v>Required</v>
      </c>
      <c r="L67" s="280" t="str">
        <f>IF(I67="Required","Required",IF(ISNUMBER(MATCH(J67,Lists!$I$2:$I$9,0)),I67,IF(ISNUMBER(MATCH(J67,Lists!$J$2:$J$9,0)),I67,"")))</f>
        <v>Required</v>
      </c>
      <c r="Q67" s="45">
        <f>IF(I67="Required",0,IF(ISNUMBER(MATCH(J67,Lists!$I$2:$I$4,0)),L67))</f>
        <v>0</v>
      </c>
      <c r="R67" s="45">
        <f>IF(I67="Required",0,IF(ISNUMBER(MATCH(J67,Lists!$K$2:$K$7,0)),L67))</f>
        <v>0</v>
      </c>
      <c r="S67" s="45">
        <f>IF(I67="Required",0,IF(ISNUMBER(MATCH(J67,Lists!$G$2:$G$4,0)),L67))</f>
        <v>0</v>
      </c>
      <c r="T67" s="45">
        <f>IF(I67="Required",0,IF(ISNUMBER(MATCH(J67,Lists!$G$7:$G$8,0)),L67))</f>
        <v>0</v>
      </c>
      <c r="U67" s="45">
        <f>IF(I67="Required",0,IF(ISNUMBER(MATCH(J67,Lists!$H$2:$H$4,0)),K67))</f>
        <v>0</v>
      </c>
      <c r="V67" s="45">
        <f t="shared" si="0"/>
        <v>0</v>
      </c>
      <c r="W67" s="45">
        <f t="shared" si="2"/>
        <v>0</v>
      </c>
    </row>
    <row r="68" spans="1:23" ht="21" customHeight="1">
      <c r="A68" s="301" t="s">
        <v>8</v>
      </c>
      <c r="B68" s="44"/>
      <c r="C68" s="843"/>
      <c r="D68" s="804"/>
      <c r="E68" s="806"/>
      <c r="F68" s="304" t="s">
        <v>64</v>
      </c>
      <c r="G68" s="305">
        <f>'Review Comments'!F73</f>
        <v>0</v>
      </c>
      <c r="H68" s="305" t="str">
        <f>'Review Comments'!G73</f>
        <v>Required</v>
      </c>
      <c r="I68" s="305" t="str">
        <f t="shared" si="7"/>
        <v>Required</v>
      </c>
      <c r="J68" s="323" t="str">
        <f>IF('Review Comments'!H73=0,"",'Review Comments'!H73)</f>
        <v>Anticipated</v>
      </c>
      <c r="K68" s="279" t="str">
        <f>IF(I68="Required","Required",IF(ISNUMBER(MATCH(J68,Lists!$H$2:$H$9,0)),I68,""))</f>
        <v>Required</v>
      </c>
      <c r="L68" s="280" t="str">
        <f>IF(I68="Required","Required",IF(ISNUMBER(MATCH(J68,Lists!$I$2:$I$9,0)),I68,IF(ISNUMBER(MATCH(J68,Lists!$J$2:$J$9,0)),I68,"")))</f>
        <v>Required</v>
      </c>
      <c r="Q68" s="45">
        <f>IF(I68="Required",0,IF(ISNUMBER(MATCH(J68,Lists!$I$2:$I$4,0)),L68))</f>
        <v>0</v>
      </c>
      <c r="R68" s="45">
        <f>IF(I68="Required",0,IF(ISNUMBER(MATCH(J68,Lists!$K$2:$K$7,0)),L68))</f>
        <v>0</v>
      </c>
      <c r="S68" s="45">
        <f>IF(I68="Required",0,IF(ISNUMBER(MATCH(J68,Lists!$G$2:$G$4,0)),L68))</f>
        <v>0</v>
      </c>
      <c r="T68" s="45">
        <f>IF(I68="Required",0,IF(ISNUMBER(MATCH(J68,Lists!$G$7:$G$8,0)),L68))</f>
        <v>0</v>
      </c>
      <c r="U68" s="45">
        <f>IF(I68="Required",0,IF(ISNUMBER(MATCH(J68,Lists!$H$2:$H$4,0)),K68))</f>
        <v>0</v>
      </c>
      <c r="V68" s="45">
        <f t="shared" si="0"/>
        <v>0</v>
      </c>
      <c r="W68" s="45">
        <f t="shared" si="2"/>
        <v>0</v>
      </c>
    </row>
    <row r="69" spans="1:23" ht="21" customHeight="1">
      <c r="A69" s="301" t="s">
        <v>8</v>
      </c>
      <c r="B69" s="44"/>
      <c r="C69" s="843"/>
      <c r="D69" s="804"/>
      <c r="E69" s="806"/>
      <c r="F69" s="304" t="s">
        <v>65</v>
      </c>
      <c r="G69" s="305">
        <f>'Review Comments'!F74</f>
        <v>0</v>
      </c>
      <c r="H69" s="305" t="str">
        <f>'Review Comments'!G74</f>
        <v>Required</v>
      </c>
      <c r="I69" s="305" t="str">
        <f t="shared" si="7"/>
        <v>Required</v>
      </c>
      <c r="J69" s="323" t="str">
        <f>IF('Review Comments'!H74=0,"",'Review Comments'!H74)</f>
        <v>Anticipated</v>
      </c>
      <c r="K69" s="279" t="str">
        <f>IF(I69="Required","Required",IF(ISNUMBER(MATCH(J69,Lists!$H$2:$H$9,0)),I69,""))</f>
        <v>Required</v>
      </c>
      <c r="L69" s="280" t="str">
        <f>IF(I69="Required","Required",IF(ISNUMBER(MATCH(J69,Lists!$I$2:$I$9,0)),I69,IF(ISNUMBER(MATCH(J69,Lists!$J$2:$J$9,0)),I69,"")))</f>
        <v>Required</v>
      </c>
      <c r="Q69" s="45">
        <f>IF(I69="Required",0,IF(ISNUMBER(MATCH(J69,Lists!$I$2:$I$4,0)),L69))</f>
        <v>0</v>
      </c>
      <c r="R69" s="45">
        <f>IF(I69="Required",0,IF(ISNUMBER(MATCH(J69,Lists!$K$2:$K$7,0)),L69))</f>
        <v>0</v>
      </c>
      <c r="S69" s="45">
        <f>IF(I69="Required",0,IF(ISNUMBER(MATCH(J69,Lists!$G$2:$G$4,0)),L69))</f>
        <v>0</v>
      </c>
      <c r="T69" s="45">
        <f>IF(I69="Required",0,IF(ISNUMBER(MATCH(J69,Lists!$G$7:$G$8,0)),L69))</f>
        <v>0</v>
      </c>
      <c r="U69" s="45">
        <f>IF(I69="Required",0,IF(ISNUMBER(MATCH(J69,Lists!$H$2:$H$4,0)),K69))</f>
        <v>0</v>
      </c>
      <c r="V69" s="45">
        <f t="shared" si="0"/>
        <v>0</v>
      </c>
      <c r="W69" s="45">
        <f t="shared" si="2"/>
        <v>0</v>
      </c>
    </row>
    <row r="70" spans="1:23" ht="21" customHeight="1">
      <c r="A70" s="301" t="s">
        <v>23</v>
      </c>
      <c r="B70" s="44"/>
      <c r="C70" s="843"/>
      <c r="D70" s="804" t="s">
        <v>23</v>
      </c>
      <c r="E70" s="806" t="s">
        <v>66</v>
      </c>
      <c r="F70" s="304" t="s">
        <v>423</v>
      </c>
      <c r="G70" s="305">
        <f>'Review Comments'!F75</f>
        <v>0</v>
      </c>
      <c r="H70" s="305" t="str">
        <f>'Review Comments'!G75</f>
        <v>No</v>
      </c>
      <c r="I70" s="305" t="str">
        <f t="shared" si="7"/>
        <v/>
      </c>
      <c r="J70" s="323" t="str">
        <f>IF('Review Comments'!H75=0,"",'Review Comments'!H75)</f>
        <v>Not Attempted</v>
      </c>
      <c r="K70" s="279" t="str">
        <f>IF(I70="Required","Required",IF(ISNUMBER(MATCH(J70,Lists!$H$2:$H$9,0)),I70,""))</f>
        <v/>
      </c>
      <c r="L70" s="280" t="str">
        <f>IF(I70="Required","Required",IF(ISNUMBER(MATCH(J70,Lists!$I$2:$I$9,0)),I70,IF(ISNUMBER(MATCH(J70,Lists!$J$2:$J$9,0)),I70,"")))</f>
        <v/>
      </c>
      <c r="Q70" s="45" t="b">
        <f>IF(I70="Required",0,IF(ISNUMBER(MATCH(J70,Lists!$I$2:$I$4,0)),L70))</f>
        <v>0</v>
      </c>
      <c r="R70" s="45" t="b">
        <f>IF(I70="Required",0,IF(ISNUMBER(MATCH(J70,Lists!$K$2:$K$7,0)),L70))</f>
        <v>0</v>
      </c>
      <c r="S70" s="45" t="b">
        <f>IF(I70="Required",0,IF(ISNUMBER(MATCH(J70,Lists!$G$2:$G$4,0)),L70))</f>
        <v>0</v>
      </c>
      <c r="T70" s="45" t="b">
        <f>IF(I70="Required",0,IF(ISNUMBER(MATCH(J70,Lists!$G$7:$G$8,0)),L70))</f>
        <v>0</v>
      </c>
      <c r="U70" s="45" t="b">
        <f>IF(I70="Required",0,IF(ISNUMBER(MATCH(J70,Lists!$H$2:$H$4,0)),K70))</f>
        <v>0</v>
      </c>
      <c r="V70" s="45">
        <f t="shared" si="0"/>
        <v>0</v>
      </c>
      <c r="W70" s="45">
        <f t="shared" si="2"/>
        <v>0</v>
      </c>
    </row>
    <row r="71" spans="1:23" ht="21" customHeight="1">
      <c r="A71" s="301" t="s">
        <v>23</v>
      </c>
      <c r="B71" s="44"/>
      <c r="C71" s="843"/>
      <c r="D71" s="804"/>
      <c r="E71" s="806"/>
      <c r="F71" s="304" t="s">
        <v>424</v>
      </c>
      <c r="G71" s="305">
        <f>'Review Comments'!F76</f>
        <v>0</v>
      </c>
      <c r="H71" s="305" t="str">
        <f>'Review Comments'!G76</f>
        <v>No</v>
      </c>
      <c r="I71" s="305" t="str">
        <f t="shared" si="7"/>
        <v/>
      </c>
      <c r="J71" s="323" t="str">
        <f>IF('Review Comments'!H76=0,"",'Review Comments'!H76)</f>
        <v>Not Attempted</v>
      </c>
      <c r="K71" s="279" t="str">
        <f>IF(I71="Required","Required",IF(ISNUMBER(MATCH(J71,Lists!$H$2:$H$9,0)),I71,""))</f>
        <v/>
      </c>
      <c r="L71" s="280" t="str">
        <f>IF(I71="Required","Required",IF(ISNUMBER(MATCH(J71,Lists!$I$2:$I$9,0)),I71,IF(ISNUMBER(MATCH(J71,Lists!$J$2:$J$9,0)),I71,"")))</f>
        <v/>
      </c>
      <c r="Q71" s="45" t="b">
        <f>IF(I71="Required",0,IF(ISNUMBER(MATCH(J71,Lists!$I$2:$I$4,0)),L71))</f>
        <v>0</v>
      </c>
      <c r="R71" s="45" t="b">
        <f>IF(I71="Required",0,IF(ISNUMBER(MATCH(J71,Lists!$K$2:$K$7,0)),L71))</f>
        <v>0</v>
      </c>
      <c r="S71" s="45" t="b">
        <f>IF(I71="Required",0,IF(ISNUMBER(MATCH(J71,Lists!$G$2:$G$4,0)),L71))</f>
        <v>0</v>
      </c>
      <c r="T71" s="45" t="b">
        <f>IF(I71="Required",0,IF(ISNUMBER(MATCH(J71,Lists!$G$7:$G$8,0)),L71))</f>
        <v>0</v>
      </c>
      <c r="U71" s="45" t="b">
        <f>IF(I71="Required",0,IF(ISNUMBER(MATCH(J71,Lists!$H$2:$H$4,0)),K71))</f>
        <v>0</v>
      </c>
      <c r="V71" s="45">
        <f t="shared" si="0"/>
        <v>0</v>
      </c>
      <c r="W71" s="45">
        <f t="shared" si="2"/>
        <v>0</v>
      </c>
    </row>
    <row r="72" spans="1:23" ht="21" customHeight="1">
      <c r="A72" s="301" t="s">
        <v>23</v>
      </c>
      <c r="B72" s="44"/>
      <c r="C72" s="843"/>
      <c r="D72" s="804"/>
      <c r="E72" s="806"/>
      <c r="F72" s="304" t="s">
        <v>425</v>
      </c>
      <c r="G72" s="305">
        <f>'Review Comments'!F77</f>
        <v>0</v>
      </c>
      <c r="H72" s="305" t="str">
        <f>'Review Comments'!G77</f>
        <v>No</v>
      </c>
      <c r="I72" s="305" t="str">
        <f t="shared" si="7"/>
        <v/>
      </c>
      <c r="J72" s="323" t="str">
        <f>IF('Review Comments'!H77=0,"",'Review Comments'!H77)</f>
        <v>Not Attempted</v>
      </c>
      <c r="K72" s="279" t="str">
        <f>IF(I72="Required","Required",IF(ISNUMBER(MATCH(J72,Lists!$H$2:$H$9,0)),I72,""))</f>
        <v/>
      </c>
      <c r="L72" s="280" t="str">
        <f>IF(I72="Required","Required",IF(ISNUMBER(MATCH(J72,Lists!$I$2:$I$9,0)),I72,IF(ISNUMBER(MATCH(J72,Lists!$J$2:$J$9,0)),I72,"")))</f>
        <v/>
      </c>
      <c r="Q72" s="45" t="b">
        <f>IF(I72="Required",0,IF(ISNUMBER(MATCH(J72,Lists!$I$2:$I$4,0)),L72))</f>
        <v>0</v>
      </c>
      <c r="R72" s="45" t="b">
        <f>IF(I72="Required",0,IF(ISNUMBER(MATCH(J72,Lists!$K$2:$K$7,0)),L72))</f>
        <v>0</v>
      </c>
      <c r="S72" s="45" t="b">
        <f>IF(I72="Required",0,IF(ISNUMBER(MATCH(J72,Lists!$G$2:$G$4,0)),L72))</f>
        <v>0</v>
      </c>
      <c r="T72" s="45" t="b">
        <f>IF(I72="Required",0,IF(ISNUMBER(MATCH(J72,Lists!$G$7:$G$8,0)),L72))</f>
        <v>0</v>
      </c>
      <c r="U72" s="45" t="b">
        <f>IF(I72="Required",0,IF(ISNUMBER(MATCH(J72,Lists!$H$2:$H$4,0)),K72))</f>
        <v>0</v>
      </c>
      <c r="V72" s="45">
        <f t="shared" si="0"/>
        <v>0</v>
      </c>
      <c r="W72" s="45">
        <f t="shared" si="2"/>
        <v>0</v>
      </c>
    </row>
    <row r="73" spans="1:23" ht="21" customHeight="1">
      <c r="A73" s="301" t="s">
        <v>23</v>
      </c>
      <c r="B73" s="44"/>
      <c r="C73" s="843"/>
      <c r="D73" s="804" t="s">
        <v>23</v>
      </c>
      <c r="E73" s="806" t="s">
        <v>67</v>
      </c>
      <c r="F73" s="304" t="s">
        <v>426</v>
      </c>
      <c r="G73" s="305">
        <f>'Review Comments'!F78</f>
        <v>1</v>
      </c>
      <c r="H73" s="305" t="str">
        <f>'Review Comments'!G78</f>
        <v>Yes</v>
      </c>
      <c r="I73" s="305">
        <f t="shared" si="7"/>
        <v>1</v>
      </c>
      <c r="J73" s="323" t="str">
        <f>IF('Review Comments'!H78=0,"",'Review Comments'!H78)</f>
        <v>Anticipated</v>
      </c>
      <c r="K73" s="279">
        <f>IF(I73="Required","Required",IF(ISNUMBER(MATCH(J73,Lists!$H$2:$H$9,0)),I73,""))</f>
        <v>1</v>
      </c>
      <c r="L73" s="280" t="str">
        <f>IF(I73="Required","Required",IF(ISNUMBER(MATCH(J73,Lists!$I$2:$I$9,0)),I73,IF(ISNUMBER(MATCH(J73,Lists!$J$2:$J$9,0)),I73,"")))</f>
        <v/>
      </c>
      <c r="Q73" s="45" t="b">
        <f>IF(I73="Required",0,IF(ISNUMBER(MATCH(J73,Lists!$I$2:$I$4,0)),L73))</f>
        <v>0</v>
      </c>
      <c r="R73" s="45" t="b">
        <f>IF(I73="Required",0,IF(ISNUMBER(MATCH(J73,Lists!$K$2:$K$7,0)),L73))</f>
        <v>0</v>
      </c>
      <c r="S73" s="45" t="b">
        <f>IF(I73="Required",0,IF(ISNUMBER(MATCH(J73,Lists!$G$2:$G$4,0)),L73))</f>
        <v>0</v>
      </c>
      <c r="T73" s="45" t="b">
        <f>IF(I73="Required",0,IF(ISNUMBER(MATCH(J73,Lists!$G$7:$G$8,0)),L73))</f>
        <v>0</v>
      </c>
      <c r="U73" s="45">
        <f>IF(I73="Required",0,IF(ISNUMBER(MATCH(J73,Lists!$H$2:$H$4,0)),K73))</f>
        <v>1</v>
      </c>
      <c r="V73" s="45">
        <f t="shared" si="0"/>
        <v>0</v>
      </c>
      <c r="W73" s="45">
        <f t="shared" si="2"/>
        <v>0</v>
      </c>
    </row>
    <row r="74" spans="1:23" ht="21" customHeight="1">
      <c r="A74" s="301" t="s">
        <v>23</v>
      </c>
      <c r="B74" s="44"/>
      <c r="C74" s="843"/>
      <c r="D74" s="804"/>
      <c r="E74" s="806"/>
      <c r="F74" s="304" t="s">
        <v>427</v>
      </c>
      <c r="G74" s="305">
        <f>'Review Comments'!F79</f>
        <v>0</v>
      </c>
      <c r="H74" s="305" t="str">
        <f>'Review Comments'!G79</f>
        <v>No</v>
      </c>
      <c r="I74" s="305" t="str">
        <f t="shared" si="7"/>
        <v/>
      </c>
      <c r="J74" s="323" t="str">
        <f>IF('Review Comments'!H79=0,"",'Review Comments'!H79)</f>
        <v>Not Attempted</v>
      </c>
      <c r="K74" s="279" t="str">
        <f>IF(I74="Required","Required",IF(ISNUMBER(MATCH(J74,Lists!$H$2:$H$9,0)),I74,""))</f>
        <v/>
      </c>
      <c r="L74" s="280" t="str">
        <f>IF(I74="Required","Required",IF(ISNUMBER(MATCH(J74,Lists!$I$2:$I$9,0)),I74,IF(ISNUMBER(MATCH(J74,Lists!$J$2:$J$9,0)),I74,"")))</f>
        <v/>
      </c>
      <c r="Q74" s="45" t="b">
        <f>IF(I74="Required",0,IF(ISNUMBER(MATCH(J74,Lists!$I$2:$I$4,0)),L74))</f>
        <v>0</v>
      </c>
      <c r="R74" s="45" t="b">
        <f>IF(I74="Required",0,IF(ISNUMBER(MATCH(J74,Lists!$K$2:$K$7,0)),L74))</f>
        <v>0</v>
      </c>
      <c r="S74" s="45" t="b">
        <f>IF(I74="Required",0,IF(ISNUMBER(MATCH(J74,Lists!$G$2:$G$4,0)),L74))</f>
        <v>0</v>
      </c>
      <c r="T74" s="45" t="b">
        <f>IF(I74="Required",0,IF(ISNUMBER(MATCH(J74,Lists!$G$7:$G$8,0)),L74))</f>
        <v>0</v>
      </c>
      <c r="U74" s="45" t="b">
        <f>IF(I74="Required",0,IF(ISNUMBER(MATCH(J74,Lists!$H$2:$H$4,0)),K74))</f>
        <v>0</v>
      </c>
      <c r="V74" s="45">
        <f t="shared" si="0"/>
        <v>0</v>
      </c>
      <c r="W74" s="45">
        <f t="shared" si="2"/>
        <v>0</v>
      </c>
    </row>
    <row r="75" spans="1:23" ht="21" customHeight="1">
      <c r="A75" s="301" t="s">
        <v>23</v>
      </c>
      <c r="B75" s="44"/>
      <c r="C75" s="843"/>
      <c r="D75" s="306" t="s">
        <v>23</v>
      </c>
      <c r="E75" s="200" t="s">
        <v>68</v>
      </c>
      <c r="F75" s="304" t="s">
        <v>428</v>
      </c>
      <c r="G75" s="305">
        <f>'Review Comments'!F80</f>
        <v>0</v>
      </c>
      <c r="H75" s="305" t="str">
        <f>'Review Comments'!G80</f>
        <v>No</v>
      </c>
      <c r="I75" s="305" t="str">
        <f t="shared" si="7"/>
        <v/>
      </c>
      <c r="J75" s="323" t="str">
        <f>IF('Review Comments'!H80=0,"",'Review Comments'!H80)</f>
        <v>Not Attempted</v>
      </c>
      <c r="K75" s="279" t="str">
        <f>IF(I75="Required","Required",IF(ISNUMBER(MATCH(J75,Lists!$H$2:$H$9,0)),I75,""))</f>
        <v/>
      </c>
      <c r="L75" s="280" t="str">
        <f>IF(I75="Required","Required",IF(ISNUMBER(MATCH(J75,Lists!$I$2:$I$9,0)),I75,IF(ISNUMBER(MATCH(J75,Lists!$J$2:$J$9,0)),I75,"")))</f>
        <v/>
      </c>
      <c r="Q75" s="45" t="b">
        <f>IF(I75="Required",0,IF(ISNUMBER(MATCH(J75,Lists!$I$2:$I$4,0)),L75))</f>
        <v>0</v>
      </c>
      <c r="R75" s="45" t="b">
        <f>IF(I75="Required",0,IF(ISNUMBER(MATCH(J75,Lists!$K$2:$K$7,0)),L75))</f>
        <v>0</v>
      </c>
      <c r="S75" s="45" t="b">
        <f>IF(I75="Required",0,IF(ISNUMBER(MATCH(J75,Lists!$G$2:$G$4,0)),L75))</f>
        <v>0</v>
      </c>
      <c r="T75" s="45" t="b">
        <f>IF(I75="Required",0,IF(ISNUMBER(MATCH(J75,Lists!$G$7:$G$8,0)),L75))</f>
        <v>0</v>
      </c>
      <c r="U75" s="45" t="b">
        <f>IF(I75="Required",0,IF(ISNUMBER(MATCH(J75,Lists!$H$2:$H$4,0)),K75))</f>
        <v>0</v>
      </c>
      <c r="V75" s="45">
        <f t="shared" ref="V75:V140" si="8">IF(A75="P",IF(IFERROR(SEARCH("Pending Documentation",J75),0)&gt;0,IF(I75="Required",1,I75),0),0)</f>
        <v>0</v>
      </c>
      <c r="W75" s="45">
        <f t="shared" si="2"/>
        <v>0</v>
      </c>
    </row>
    <row r="76" spans="1:23" ht="21" customHeight="1">
      <c r="A76" s="301" t="s">
        <v>23</v>
      </c>
      <c r="B76" s="44"/>
      <c r="C76" s="843"/>
      <c r="D76" s="306" t="s">
        <v>23</v>
      </c>
      <c r="E76" s="200" t="s">
        <v>69</v>
      </c>
      <c r="F76" s="304" t="s">
        <v>429</v>
      </c>
      <c r="G76" s="305">
        <f>'Review Comments'!F81</f>
        <v>0</v>
      </c>
      <c r="H76" s="305" t="str">
        <f>'Review Comments'!G81</f>
        <v>No</v>
      </c>
      <c r="I76" s="305" t="str">
        <f t="shared" si="7"/>
        <v/>
      </c>
      <c r="J76" s="323" t="str">
        <f>IF('Review Comments'!H81=0,"",'Review Comments'!H81)</f>
        <v>Not Attempted</v>
      </c>
      <c r="K76" s="279" t="str">
        <f>IF(I76="Required","Required",IF(ISNUMBER(MATCH(J76,Lists!$H$2:$H$9,0)),I76,""))</f>
        <v/>
      </c>
      <c r="L76" s="280" t="str">
        <f>IF(I76="Required","Required",IF(ISNUMBER(MATCH(J76,Lists!$I$2:$I$9,0)),I76,IF(ISNUMBER(MATCH(J76,Lists!$J$2:$J$9,0)),I76,"")))</f>
        <v/>
      </c>
      <c r="Q76" s="45" t="b">
        <f>IF(I76="Required",0,IF(ISNUMBER(MATCH(J76,Lists!$I$2:$I$4,0)),L76))</f>
        <v>0</v>
      </c>
      <c r="R76" s="45" t="b">
        <f>IF(I76="Required",0,IF(ISNUMBER(MATCH(J76,Lists!$K$2:$K$7,0)),L76))</f>
        <v>0</v>
      </c>
      <c r="S76" s="45" t="b">
        <f>IF(I76="Required",0,IF(ISNUMBER(MATCH(J76,Lists!$G$2:$G$4,0)),L76))</f>
        <v>0</v>
      </c>
      <c r="T76" s="45" t="b">
        <f>IF(I76="Required",0,IF(ISNUMBER(MATCH(J76,Lists!$G$7:$G$8,0)),L76))</f>
        <v>0</v>
      </c>
      <c r="U76" s="45" t="b">
        <f>IF(I76="Required",0,IF(ISNUMBER(MATCH(J76,Lists!$H$2:$H$4,0)),K76))</f>
        <v>0</v>
      </c>
      <c r="V76" s="45">
        <f t="shared" si="8"/>
        <v>0</v>
      </c>
      <c r="W76" s="45">
        <f t="shared" ref="W76:W141" si="9">IF(A76="P",IF(IFERROR(SEARCH("Pending On-site Assessment",J76),0)&gt;0,IF(I76="Required",1,I76),0),0)</f>
        <v>0</v>
      </c>
    </row>
    <row r="77" spans="1:23" ht="21" customHeight="1">
      <c r="A77" s="301" t="s">
        <v>23</v>
      </c>
      <c r="B77" s="44"/>
      <c r="C77" s="843"/>
      <c r="D77" s="306" t="s">
        <v>23</v>
      </c>
      <c r="E77" s="200" t="s">
        <v>70</v>
      </c>
      <c r="F77" s="304" t="s">
        <v>430</v>
      </c>
      <c r="G77" s="305">
        <f>'Review Comments'!F82</f>
        <v>1</v>
      </c>
      <c r="H77" s="305" t="str">
        <f>'Review Comments'!G82</f>
        <v>Yes</v>
      </c>
      <c r="I77" s="305">
        <f t="shared" si="7"/>
        <v>1</v>
      </c>
      <c r="J77" s="323" t="str">
        <f>IF('Review Comments'!H82=0,"",'Review Comments'!H82)</f>
        <v>Anticipated</v>
      </c>
      <c r="K77" s="279">
        <f>IF(I77="Required","Required",IF(ISNUMBER(MATCH(J77,Lists!$H$2:$H$9,0)),I77,""))</f>
        <v>1</v>
      </c>
      <c r="L77" s="280" t="str">
        <f>IF(I77="Required","Required",IF(ISNUMBER(MATCH(J77,Lists!$I$2:$I$9,0)),I77,IF(ISNUMBER(MATCH(J77,Lists!$J$2:$J$9,0)),I77,"")))</f>
        <v/>
      </c>
      <c r="Q77" s="45" t="b">
        <f>IF(I77="Required",0,IF(ISNUMBER(MATCH(J77,Lists!$I$2:$I$4,0)),L77))</f>
        <v>0</v>
      </c>
      <c r="R77" s="45" t="b">
        <f>IF(I77="Required",0,IF(ISNUMBER(MATCH(J77,Lists!$K$2:$K$7,0)),L77))</f>
        <v>0</v>
      </c>
      <c r="S77" s="45" t="b">
        <f>IF(I77="Required",0,IF(ISNUMBER(MATCH(J77,Lists!$G$2:$G$4,0)),L77))</f>
        <v>0</v>
      </c>
      <c r="T77" s="45" t="b">
        <f>IF(I77="Required",0,IF(ISNUMBER(MATCH(J77,Lists!$G$7:$G$8,0)),L77))</f>
        <v>0</v>
      </c>
      <c r="U77" s="45">
        <f>IF(I77="Required",0,IF(ISNUMBER(MATCH(J77,Lists!$H$2:$H$4,0)),K77))</f>
        <v>1</v>
      </c>
      <c r="V77" s="45">
        <f t="shared" si="8"/>
        <v>0</v>
      </c>
      <c r="W77" s="45">
        <f t="shared" si="9"/>
        <v>0</v>
      </c>
    </row>
    <row r="78" spans="1:23" ht="21" customHeight="1">
      <c r="A78" s="301" t="s">
        <v>23</v>
      </c>
      <c r="B78" s="44"/>
      <c r="C78" s="843"/>
      <c r="D78" s="804" t="s">
        <v>23</v>
      </c>
      <c r="E78" s="806" t="s">
        <v>71</v>
      </c>
      <c r="F78" s="304" t="s">
        <v>431</v>
      </c>
      <c r="G78" s="305">
        <f>'Review Comments'!F83</f>
        <v>1</v>
      </c>
      <c r="H78" s="305" t="str">
        <f>'Review Comments'!G83</f>
        <v>Yes</v>
      </c>
      <c r="I78" s="305">
        <f t="shared" si="7"/>
        <v>1</v>
      </c>
      <c r="J78" s="323" t="str">
        <f>IF('Review Comments'!H83=0,"",'Review Comments'!H83)</f>
        <v>Anticipated</v>
      </c>
      <c r="K78" s="279">
        <f>IF(I78="Required","Required",IF(ISNUMBER(MATCH(J78,Lists!$H$2:$H$9,0)),I78,""))</f>
        <v>1</v>
      </c>
      <c r="L78" s="280" t="str">
        <f>IF(I78="Required","Required",IF(ISNUMBER(MATCH(J78,Lists!$I$2:$I$9,0)),I78,IF(ISNUMBER(MATCH(J78,Lists!$J$2:$J$9,0)),I78,"")))</f>
        <v/>
      </c>
      <c r="Q78" s="45" t="b">
        <f>IF(I78="Required",0,IF(ISNUMBER(MATCH(J78,Lists!$I$2:$I$4,0)),L78))</f>
        <v>0</v>
      </c>
      <c r="R78" s="45" t="b">
        <f>IF(I78="Required",0,IF(ISNUMBER(MATCH(J78,Lists!$K$2:$K$7,0)),L78))</f>
        <v>0</v>
      </c>
      <c r="S78" s="45" t="b">
        <f>IF(I78="Required",0,IF(ISNUMBER(MATCH(J78,Lists!$G$2:$G$4,0)),L78))</f>
        <v>0</v>
      </c>
      <c r="T78" s="45" t="b">
        <f>IF(I78="Required",0,IF(ISNUMBER(MATCH(J78,Lists!$G$7:$G$8,0)),L78))</f>
        <v>0</v>
      </c>
      <c r="U78" s="45">
        <f>IF(I78="Required",0,IF(ISNUMBER(MATCH(J78,Lists!$H$2:$H$4,0)),K78))</f>
        <v>1</v>
      </c>
      <c r="V78" s="45">
        <f t="shared" si="8"/>
        <v>0</v>
      </c>
      <c r="W78" s="45">
        <f t="shared" si="9"/>
        <v>0</v>
      </c>
    </row>
    <row r="79" spans="1:23" ht="21" customHeight="1">
      <c r="A79" s="301" t="s">
        <v>23</v>
      </c>
      <c r="B79" s="44"/>
      <c r="C79" s="843"/>
      <c r="D79" s="804"/>
      <c r="E79" s="806"/>
      <c r="F79" s="304" t="s">
        <v>432</v>
      </c>
      <c r="G79" s="305">
        <f>'Review Comments'!F84</f>
        <v>1</v>
      </c>
      <c r="H79" s="305" t="str">
        <f>'Review Comments'!G84</f>
        <v>Yes</v>
      </c>
      <c r="I79" s="305">
        <f t="shared" si="7"/>
        <v>1</v>
      </c>
      <c r="J79" s="323" t="str">
        <f>IF('Review Comments'!H84=0,"",'Review Comments'!H84)</f>
        <v>Anticipated</v>
      </c>
      <c r="K79" s="279">
        <f>IF(I79="Required","Required",IF(ISNUMBER(MATCH(J79,Lists!$H$2:$H$9,0)),I79,""))</f>
        <v>1</v>
      </c>
      <c r="L79" s="280" t="str">
        <f>IF(I79="Required","Required",IF(ISNUMBER(MATCH(J79,Lists!$I$2:$I$9,0)),I79,IF(ISNUMBER(MATCH(J79,Lists!$J$2:$J$9,0)),I79,"")))</f>
        <v/>
      </c>
      <c r="Q79" s="45" t="b">
        <f>IF(I79="Required",0,IF(ISNUMBER(MATCH(J79,Lists!$I$2:$I$4,0)),L79))</f>
        <v>0</v>
      </c>
      <c r="R79" s="45" t="b">
        <f>IF(I79="Required",0,IF(ISNUMBER(MATCH(J79,Lists!$K$2:$K$7,0)),L79))</f>
        <v>0</v>
      </c>
      <c r="S79" s="45" t="b">
        <f>IF(I79="Required",0,IF(ISNUMBER(MATCH(J79,Lists!$G$2:$G$4,0)),L79))</f>
        <v>0</v>
      </c>
      <c r="T79" s="45" t="b">
        <f>IF(I79="Required",0,IF(ISNUMBER(MATCH(J79,Lists!$G$7:$G$8,0)),L79))</f>
        <v>0</v>
      </c>
      <c r="U79" s="45">
        <f>IF(I79="Required",0,IF(ISNUMBER(MATCH(J79,Lists!$H$2:$H$4,0)),K79))</f>
        <v>1</v>
      </c>
      <c r="V79" s="45">
        <f t="shared" si="8"/>
        <v>0</v>
      </c>
      <c r="W79" s="45">
        <f t="shared" si="9"/>
        <v>0</v>
      </c>
    </row>
    <row r="80" spans="1:23" ht="21" customHeight="1">
      <c r="A80" s="301" t="s">
        <v>23</v>
      </c>
      <c r="B80" s="44"/>
      <c r="C80" s="843"/>
      <c r="D80" s="804" t="s">
        <v>23</v>
      </c>
      <c r="E80" s="806" t="s">
        <v>72</v>
      </c>
      <c r="F80" s="304" t="s">
        <v>433</v>
      </c>
      <c r="G80" s="305">
        <f>'Review Comments'!F85</f>
        <v>0</v>
      </c>
      <c r="H80" s="305" t="str">
        <f>'Review Comments'!G85</f>
        <v>No</v>
      </c>
      <c r="I80" s="305" t="str">
        <f t="shared" si="7"/>
        <v/>
      </c>
      <c r="J80" s="323" t="str">
        <f>IF('Review Comments'!H85=0,"",'Review Comments'!H85)</f>
        <v>Not Attempted</v>
      </c>
      <c r="K80" s="279" t="str">
        <f>IF(I80="Required","Required",IF(ISNUMBER(MATCH(J80,Lists!$H$2:$H$9,0)),I80,""))</f>
        <v/>
      </c>
      <c r="L80" s="280" t="str">
        <f>IF(I80="Required","Required",IF(ISNUMBER(MATCH(J80,Lists!$I$2:$I$9,0)),I80,IF(ISNUMBER(MATCH(J80,Lists!$J$2:$J$9,0)),I80,"")))</f>
        <v/>
      </c>
      <c r="Q80" s="45" t="b">
        <f>IF(I80="Required",0,IF(ISNUMBER(MATCH(J80,Lists!$I$2:$I$4,0)),L80))</f>
        <v>0</v>
      </c>
      <c r="R80" s="45" t="b">
        <f>IF(I80="Required",0,IF(ISNUMBER(MATCH(J80,Lists!$K$2:$K$7,0)),L80))</f>
        <v>0</v>
      </c>
      <c r="S80" s="45" t="b">
        <f>IF(I80="Required",0,IF(ISNUMBER(MATCH(J80,Lists!$G$2:$G$4,0)),L80))</f>
        <v>0</v>
      </c>
      <c r="T80" s="45" t="b">
        <f>IF(I80="Required",0,IF(ISNUMBER(MATCH(J80,Lists!$G$7:$G$8,0)),L80))</f>
        <v>0</v>
      </c>
      <c r="U80" s="45" t="b">
        <f>IF(I80="Required",0,IF(ISNUMBER(MATCH(J80,Lists!$H$2:$H$4,0)),K80))</f>
        <v>0</v>
      </c>
      <c r="V80" s="45">
        <f t="shared" si="8"/>
        <v>0</v>
      </c>
      <c r="W80" s="45">
        <f t="shared" si="9"/>
        <v>0</v>
      </c>
    </row>
    <row r="81" spans="1:23" ht="21" customHeight="1">
      <c r="A81" s="301" t="s">
        <v>23</v>
      </c>
      <c r="B81" s="44"/>
      <c r="C81" s="843"/>
      <c r="D81" s="804"/>
      <c r="E81" s="806"/>
      <c r="F81" s="304" t="s">
        <v>434</v>
      </c>
      <c r="G81" s="305">
        <f>'Review Comments'!F86</f>
        <v>0</v>
      </c>
      <c r="H81" s="305" t="str">
        <f>'Review Comments'!G86</f>
        <v>No</v>
      </c>
      <c r="I81" s="305" t="str">
        <f t="shared" ref="I81:I87" si="10">IF(H81="Yes",G81,IF(H81="Required","Required",""))</f>
        <v/>
      </c>
      <c r="J81" s="323" t="str">
        <f>IF('Review Comments'!H86=0,"",'Review Comments'!H86)</f>
        <v>Not Attempted</v>
      </c>
      <c r="K81" s="279" t="str">
        <f>IF(I81="Required","Required",IF(ISNUMBER(MATCH(J81,Lists!$H$2:$H$9,0)),I81,""))</f>
        <v/>
      </c>
      <c r="L81" s="280" t="str">
        <f>IF(I81="Required","Required",IF(ISNUMBER(MATCH(J81,Lists!$I$2:$I$9,0)),I81,IF(ISNUMBER(MATCH(J81,Lists!$J$2:$J$9,0)),I81,"")))</f>
        <v/>
      </c>
      <c r="Q81" s="45" t="b">
        <f>IF(I81="Required",0,IF(ISNUMBER(MATCH(J81,Lists!$I$2:$I$4,0)),L81))</f>
        <v>0</v>
      </c>
      <c r="R81" s="45" t="b">
        <f>IF(I81="Required",0,IF(ISNUMBER(MATCH(J81,Lists!$K$2:$K$7,0)),L81))</f>
        <v>0</v>
      </c>
      <c r="S81" s="45" t="b">
        <f>IF(I81="Required",0,IF(ISNUMBER(MATCH(J81,Lists!$G$2:$G$4,0)),L81))</f>
        <v>0</v>
      </c>
      <c r="T81" s="45" t="b">
        <f>IF(I81="Required",0,IF(ISNUMBER(MATCH(J81,Lists!$G$7:$G$8,0)),L81))</f>
        <v>0</v>
      </c>
      <c r="U81" s="45" t="b">
        <f>IF(I81="Required",0,IF(ISNUMBER(MATCH(J81,Lists!$H$2:$H$4,0)),K81))</f>
        <v>0</v>
      </c>
      <c r="V81" s="45">
        <f t="shared" si="8"/>
        <v>0</v>
      </c>
      <c r="W81" s="45">
        <f t="shared" si="9"/>
        <v>0</v>
      </c>
    </row>
    <row r="82" spans="1:23" ht="21" customHeight="1">
      <c r="A82" s="301" t="s">
        <v>23</v>
      </c>
      <c r="B82" s="44"/>
      <c r="C82" s="843"/>
      <c r="D82" s="306" t="s">
        <v>23</v>
      </c>
      <c r="E82" s="200" t="s">
        <v>73</v>
      </c>
      <c r="F82" s="304" t="s">
        <v>435</v>
      </c>
      <c r="G82" s="305">
        <f>'Review Comments'!F87</f>
        <v>1</v>
      </c>
      <c r="H82" s="305" t="str">
        <f>'Review Comments'!G87</f>
        <v>Yes</v>
      </c>
      <c r="I82" s="305">
        <f t="shared" si="10"/>
        <v>1</v>
      </c>
      <c r="J82" s="323" t="str">
        <f>IF('Review Comments'!H87=0,"",'Review Comments'!H87)</f>
        <v>Anticipated</v>
      </c>
      <c r="K82" s="279">
        <f>IF(I82="Required","Required",IF(ISNUMBER(MATCH(J82,Lists!$H$2:$H$9,0)),I82,""))</f>
        <v>1</v>
      </c>
      <c r="L82" s="280" t="str">
        <f>IF(I82="Required","Required",IF(ISNUMBER(MATCH(J82,Lists!$I$2:$I$9,0)),I82,IF(ISNUMBER(MATCH(J82,Lists!$J$2:$J$9,0)),I82,"")))</f>
        <v/>
      </c>
      <c r="Q82" s="45" t="b">
        <f>IF(I82="Required",0,IF(ISNUMBER(MATCH(J82,Lists!$I$2:$I$4,0)),L82))</f>
        <v>0</v>
      </c>
      <c r="R82" s="45" t="b">
        <f>IF(I82="Required",0,IF(ISNUMBER(MATCH(J82,Lists!$K$2:$K$7,0)),L82))</f>
        <v>0</v>
      </c>
      <c r="S82" s="45" t="b">
        <f>IF(I82="Required",0,IF(ISNUMBER(MATCH(J82,Lists!$G$2:$G$4,0)),L82))</f>
        <v>0</v>
      </c>
      <c r="T82" s="45" t="b">
        <f>IF(I82="Required",0,IF(ISNUMBER(MATCH(J82,Lists!$G$7:$G$8,0)),L82))</f>
        <v>0</v>
      </c>
      <c r="U82" s="45">
        <f>IF(I82="Required",0,IF(ISNUMBER(MATCH(J82,Lists!$H$2:$H$4,0)),K82))</f>
        <v>1</v>
      </c>
      <c r="V82" s="45">
        <f t="shared" si="8"/>
        <v>0</v>
      </c>
      <c r="W82" s="45">
        <f t="shared" si="9"/>
        <v>0</v>
      </c>
    </row>
    <row r="83" spans="1:23" ht="21" customHeight="1">
      <c r="A83" s="301" t="s">
        <v>23</v>
      </c>
      <c r="B83" s="44"/>
      <c r="C83" s="843"/>
      <c r="D83" s="306" t="s">
        <v>23</v>
      </c>
      <c r="E83" s="200" t="s">
        <v>74</v>
      </c>
      <c r="F83" s="304" t="s">
        <v>436</v>
      </c>
      <c r="G83" s="305">
        <f>'Review Comments'!F88</f>
        <v>0</v>
      </c>
      <c r="H83" s="305" t="str">
        <f>'Review Comments'!G88</f>
        <v>No</v>
      </c>
      <c r="I83" s="305" t="str">
        <f t="shared" si="10"/>
        <v/>
      </c>
      <c r="J83" s="323" t="str">
        <f>IF('Review Comments'!H88=0,"",'Review Comments'!H88)</f>
        <v>Not Attempted</v>
      </c>
      <c r="K83" s="279" t="str">
        <f>IF(I83="Required","Required",IF(ISNUMBER(MATCH(J83,Lists!$H$2:$H$9,0)),I83,""))</f>
        <v/>
      </c>
      <c r="L83" s="280" t="str">
        <f>IF(I83="Required","Required",IF(ISNUMBER(MATCH(J83,Lists!$I$2:$I$9,0)),I83,IF(ISNUMBER(MATCH(J83,Lists!$J$2:$J$9,0)),I83,"")))</f>
        <v/>
      </c>
      <c r="Q83" s="45" t="b">
        <f>IF(I83="Required",0,IF(ISNUMBER(MATCH(J83,Lists!$I$2:$I$4,0)),L83))</f>
        <v>0</v>
      </c>
      <c r="R83" s="45" t="b">
        <f>IF(I83="Required",0,IF(ISNUMBER(MATCH(J83,Lists!$K$2:$K$7,0)),L83))</f>
        <v>0</v>
      </c>
      <c r="S83" s="45" t="b">
        <f>IF(I83="Required",0,IF(ISNUMBER(MATCH(J83,Lists!$G$2:$G$4,0)),L83))</f>
        <v>0</v>
      </c>
      <c r="T83" s="45" t="b">
        <f>IF(I83="Required",0,IF(ISNUMBER(MATCH(J83,Lists!$G$7:$G$8,0)),L83))</f>
        <v>0</v>
      </c>
      <c r="U83" s="45" t="b">
        <f>IF(I83="Required",0,IF(ISNUMBER(MATCH(J83,Lists!$H$2:$H$4,0)),K83))</f>
        <v>0</v>
      </c>
      <c r="V83" s="45">
        <f t="shared" si="8"/>
        <v>0</v>
      </c>
      <c r="W83" s="45">
        <f t="shared" si="9"/>
        <v>0</v>
      </c>
    </row>
    <row r="84" spans="1:23" ht="21" customHeight="1">
      <c r="A84" s="301" t="s">
        <v>23</v>
      </c>
      <c r="B84" s="44"/>
      <c r="C84" s="843"/>
      <c r="D84" s="804" t="s">
        <v>23</v>
      </c>
      <c r="E84" s="806" t="s">
        <v>75</v>
      </c>
      <c r="F84" s="304" t="s">
        <v>437</v>
      </c>
      <c r="G84" s="305">
        <f>'Review Comments'!F89</f>
        <v>0</v>
      </c>
      <c r="H84" s="305" t="str">
        <f>'Review Comments'!G89</f>
        <v>No</v>
      </c>
      <c r="I84" s="305" t="str">
        <f t="shared" si="10"/>
        <v/>
      </c>
      <c r="J84" s="323" t="str">
        <f>IF('Review Comments'!H89=0,"",'Review Comments'!H89)</f>
        <v>Not Attempted</v>
      </c>
      <c r="K84" s="279" t="str">
        <f>IF(I84="Required","Required",IF(ISNUMBER(MATCH(J84,Lists!$H$2:$H$9,0)),I84,""))</f>
        <v/>
      </c>
      <c r="L84" s="280" t="str">
        <f>IF(I84="Required","Required",IF(ISNUMBER(MATCH(J84,Lists!$I$2:$I$9,0)),I84,IF(ISNUMBER(MATCH(J84,Lists!$J$2:$J$9,0)),I84,"")))</f>
        <v/>
      </c>
      <c r="Q84" s="45" t="b">
        <f>IF(I84="Required",0,IF(ISNUMBER(MATCH(J84,Lists!$I$2:$I$4,0)),L84))</f>
        <v>0</v>
      </c>
      <c r="R84" s="45" t="b">
        <f>IF(I84="Required",0,IF(ISNUMBER(MATCH(J84,Lists!$K$2:$K$7,0)),L84))</f>
        <v>0</v>
      </c>
      <c r="S84" s="45" t="b">
        <f>IF(I84="Required",0,IF(ISNUMBER(MATCH(J84,Lists!$G$2:$G$4,0)),L84))</f>
        <v>0</v>
      </c>
      <c r="T84" s="45" t="b">
        <f>IF(I84="Required",0,IF(ISNUMBER(MATCH(J84,Lists!$G$7:$G$8,0)),L84))</f>
        <v>0</v>
      </c>
      <c r="U84" s="45" t="b">
        <f>IF(I84="Required",0,IF(ISNUMBER(MATCH(J84,Lists!$H$2:$H$4,0)),K84))</f>
        <v>0</v>
      </c>
      <c r="V84" s="45">
        <f t="shared" si="8"/>
        <v>0</v>
      </c>
      <c r="W84" s="45">
        <f t="shared" si="9"/>
        <v>0</v>
      </c>
    </row>
    <row r="85" spans="1:23" ht="21" customHeight="1">
      <c r="A85" s="301" t="s">
        <v>23</v>
      </c>
      <c r="B85" s="44"/>
      <c r="C85" s="843"/>
      <c r="D85" s="804"/>
      <c r="E85" s="806"/>
      <c r="F85" s="304" t="s">
        <v>438</v>
      </c>
      <c r="G85" s="305">
        <f>'Review Comments'!F90</f>
        <v>0</v>
      </c>
      <c r="H85" s="305" t="str">
        <f>'Review Comments'!G90</f>
        <v>No</v>
      </c>
      <c r="I85" s="305" t="str">
        <f t="shared" si="10"/>
        <v/>
      </c>
      <c r="J85" s="323" t="str">
        <f>IF('Review Comments'!H90=0,"",'Review Comments'!H90)</f>
        <v>Not Attempted</v>
      </c>
      <c r="K85" s="279" t="str">
        <f>IF(I85="Required","Required",IF(ISNUMBER(MATCH(J85,Lists!$H$2:$H$9,0)),I85,""))</f>
        <v/>
      </c>
      <c r="L85" s="280" t="str">
        <f>IF(I85="Required","Required",IF(ISNUMBER(MATCH(J85,Lists!$I$2:$I$9,0)),I85,IF(ISNUMBER(MATCH(J85,Lists!$J$2:$J$9,0)),I85,"")))</f>
        <v/>
      </c>
      <c r="Q85" s="45" t="b">
        <f>IF(I85="Required",0,IF(ISNUMBER(MATCH(J85,Lists!$I$2:$I$4,0)),L85))</f>
        <v>0</v>
      </c>
      <c r="R85" s="45" t="b">
        <f>IF(I85="Required",0,IF(ISNUMBER(MATCH(J85,Lists!$K$2:$K$7,0)),L85))</f>
        <v>0</v>
      </c>
      <c r="S85" s="45" t="b">
        <f>IF(I85="Required",0,IF(ISNUMBER(MATCH(J85,Lists!$G$2:$G$4,0)),L85))</f>
        <v>0</v>
      </c>
      <c r="T85" s="45" t="b">
        <f>IF(I85="Required",0,IF(ISNUMBER(MATCH(J85,Lists!$G$7:$G$8,0)),L85))</f>
        <v>0</v>
      </c>
      <c r="U85" s="45" t="b">
        <f>IF(I85="Required",0,IF(ISNUMBER(MATCH(J85,Lists!$H$2:$H$4,0)),K85))</f>
        <v>0</v>
      </c>
      <c r="V85" s="45">
        <f t="shared" si="8"/>
        <v>0</v>
      </c>
      <c r="W85" s="45">
        <f t="shared" si="9"/>
        <v>0</v>
      </c>
    </row>
    <row r="86" spans="1:23" ht="21" customHeight="1" thickBot="1">
      <c r="A86" s="301" t="s">
        <v>23</v>
      </c>
      <c r="B86" s="44"/>
      <c r="C86" s="843"/>
      <c r="D86" s="306" t="s">
        <v>23</v>
      </c>
      <c r="E86" s="200" t="s">
        <v>76</v>
      </c>
      <c r="F86" s="304" t="s">
        <v>439</v>
      </c>
      <c r="G86" s="305">
        <f>'Review Comments'!F91</f>
        <v>0</v>
      </c>
      <c r="H86" s="305" t="str">
        <f>'Review Comments'!G91</f>
        <v>No</v>
      </c>
      <c r="I86" s="305" t="str">
        <f t="shared" si="10"/>
        <v/>
      </c>
      <c r="J86" s="323" t="str">
        <f>IF('Review Comments'!H91=0,"",'Review Comments'!H91)</f>
        <v>Not Attempted</v>
      </c>
      <c r="K86" s="279" t="str">
        <f>IF(I86="Required","Required",IF(ISNUMBER(MATCH(J86,Lists!$H$2:$H$9,0)),I86,""))</f>
        <v/>
      </c>
      <c r="L86" s="280" t="str">
        <f>IF(I86="Required","Required",IF(ISNUMBER(MATCH(J86,Lists!$I$2:$I$9,0)),I86,IF(ISNUMBER(MATCH(J86,Lists!$J$2:$J$9,0)),I86,"")))</f>
        <v/>
      </c>
      <c r="N86" s="185" t="s">
        <v>730</v>
      </c>
      <c r="Q86" s="45" t="b">
        <f>IF(I86="Required",0,IF(ISNUMBER(MATCH(J86,Lists!$I$2:$I$4,0)),L86))</f>
        <v>0</v>
      </c>
      <c r="R86" s="45" t="b">
        <f>IF(I86="Required",0,IF(ISNUMBER(MATCH(J86,Lists!$K$2:$K$7,0)),L86))</f>
        <v>0</v>
      </c>
      <c r="S86" s="45" t="b">
        <f>IF(I86="Required",0,IF(ISNUMBER(MATCH(J86,Lists!$G$2:$G$4,0)),L86))</f>
        <v>0</v>
      </c>
      <c r="T86" s="45" t="b">
        <f>IF(I86="Required",0,IF(ISNUMBER(MATCH(J86,Lists!$G$7:$G$8,0)),L86))</f>
        <v>0</v>
      </c>
      <c r="U86" s="45" t="b">
        <f>IF(I86="Required",0,IF(ISNUMBER(MATCH(J86,Lists!$H$2:$H$4,0)),K86))</f>
        <v>0</v>
      </c>
      <c r="V86" s="45">
        <f t="shared" si="8"/>
        <v>0</v>
      </c>
      <c r="W86" s="45">
        <f t="shared" si="9"/>
        <v>0</v>
      </c>
    </row>
    <row r="87" spans="1:23" ht="21" hidden="1" customHeight="1" thickBot="1">
      <c r="A87" s="301" t="s">
        <v>23</v>
      </c>
      <c r="B87" s="44"/>
      <c r="C87" s="843"/>
      <c r="D87" s="307" t="s">
        <v>23</v>
      </c>
      <c r="E87" s="184" t="s">
        <v>509</v>
      </c>
      <c r="F87" s="308" t="s">
        <v>461</v>
      </c>
      <c r="G87" s="309">
        <f>'Review Comments'!F92</f>
        <v>0</v>
      </c>
      <c r="H87" s="309">
        <f>'Review Comments'!G92</f>
        <v>0</v>
      </c>
      <c r="I87" s="310" t="str">
        <f t="shared" si="10"/>
        <v/>
      </c>
      <c r="J87" s="311" t="str">
        <f>IF('Review Comments'!H92=0,"",'Review Comments'!H92)</f>
        <v/>
      </c>
      <c r="K87" s="312" t="str">
        <f>IF(I87="Required","Required",IF(ISNUMBER(MATCH(J87,Lists!$H$2:$H$9,0)),I87,""))</f>
        <v/>
      </c>
      <c r="L87" s="313" t="str">
        <f>IF(I87="Required","Required",IF(ISNUMBER(MATCH(J87,Lists!$I$2:$I$9,0)),I87,IF(ISNUMBER(MATCH(J87,Lists!$J$2:$J$9,0)),I87,"")))</f>
        <v/>
      </c>
      <c r="O87" s="52"/>
      <c r="Q87" s="45" t="b">
        <f>IF(I87="Required",0,IF(ISNUMBER(MATCH(J87,Lists!$I$2:$I$4,0)),L87))</f>
        <v>0</v>
      </c>
      <c r="R87" s="45" t="b">
        <f>IF(I87="Required",0,IF(ISNUMBER(MATCH(J87,Lists!$K$2:$K$7,0)),L87))</f>
        <v>0</v>
      </c>
      <c r="S87" s="45" t="b">
        <f>IF(I87="Required",0,IF(ISNUMBER(MATCH(J87,Lists!$G$2:$G$4,0)),L87))</f>
        <v>0</v>
      </c>
      <c r="T87" s="45" t="b">
        <f>IF(I87="Required",0,IF(ISNUMBER(MATCH(J87,Lists!$G$7:$G$8,0)),L87))</f>
        <v>0</v>
      </c>
      <c r="U87" s="45" t="b">
        <f>IF(I87="Required",0,IF(ISNUMBER(MATCH(J87,Lists!$H$2:$H$4,0)),K87))</f>
        <v>0</v>
      </c>
      <c r="V87" s="45">
        <f t="shared" si="8"/>
        <v>0</v>
      </c>
      <c r="W87" s="45">
        <f t="shared" si="9"/>
        <v>0</v>
      </c>
    </row>
    <row r="88" spans="1:23" s="175" customFormat="1" ht="16.2" customHeight="1">
      <c r="A88" s="324"/>
      <c r="B88" s="174"/>
      <c r="C88" s="325"/>
      <c r="D88" s="326"/>
      <c r="E88" s="327"/>
      <c r="F88" s="328"/>
      <c r="G88" s="329">
        <f>SUM(G65:G87)</f>
        <v>5</v>
      </c>
      <c r="H88" s="326"/>
      <c r="I88" s="330">
        <f>SUM(I65:I87)</f>
        <v>5</v>
      </c>
      <c r="J88" s="331"/>
      <c r="K88" s="330">
        <f>SUM(K65:K87)</f>
        <v>5</v>
      </c>
      <c r="L88" s="332">
        <f>SUM(L65:L87)</f>
        <v>0</v>
      </c>
      <c r="Q88" s="175" t="b">
        <f>IF(I88="Required",0,IF(ISNUMBER(MATCH(J88,Lists!$I$2:$I$4,0)),L88))</f>
        <v>0</v>
      </c>
      <c r="R88" s="175" t="b">
        <f>IF(I88="Required",0,IF(ISNUMBER(MATCH(J88,Lists!$K$2:$K$7,0)),L88))</f>
        <v>0</v>
      </c>
      <c r="S88" s="175" t="b">
        <f>IF(I88="Required",0,IF(ISNUMBER(MATCH(J88,Lists!$G$2:$G$4,0)),L88))</f>
        <v>0</v>
      </c>
      <c r="T88" s="175" t="b">
        <f>IF(I88="Required",0,IF(ISNUMBER(MATCH(J88,Lists!$G$7:$G$8,0)),L88))</f>
        <v>0</v>
      </c>
      <c r="U88" s="175" t="b">
        <f>IF(I88="Required",0,IF(ISNUMBER(MATCH(J88,Lists!$H$2:$H$4,0)),K88))</f>
        <v>0</v>
      </c>
      <c r="V88" s="175">
        <f t="shared" si="8"/>
        <v>0</v>
      </c>
      <c r="W88" s="45">
        <f t="shared" si="9"/>
        <v>0</v>
      </c>
    </row>
    <row r="89" spans="1:23" ht="6.6" customHeight="1" thickBot="1">
      <c r="A89" s="294"/>
      <c r="B89" s="44"/>
      <c r="C89" s="295"/>
      <c r="D89" s="294"/>
      <c r="E89" s="296"/>
      <c r="F89" s="297"/>
      <c r="G89" s="298"/>
      <c r="H89" s="298"/>
      <c r="I89" s="298"/>
      <c r="J89" s="299"/>
      <c r="K89" s="298"/>
      <c r="L89" s="300"/>
      <c r="Q89" s="45" t="b">
        <f>IF(I89="Required",0,IF(ISNUMBER(MATCH(J89,Lists!$I$2:$I$4,0)),L89))</f>
        <v>0</v>
      </c>
      <c r="R89" s="45" t="b">
        <f>IF(I89="Required",0,IF(ISNUMBER(MATCH(J89,Lists!$K$2:$K$7,0)),L89))</f>
        <v>0</v>
      </c>
      <c r="S89" s="45" t="b">
        <f>IF(I89="Required",0,IF(ISNUMBER(MATCH(J89,Lists!$G$2:$G$4,0)),L89))</f>
        <v>0</v>
      </c>
      <c r="T89" s="45" t="b">
        <f>IF(I89="Required",0,IF(ISNUMBER(MATCH(J89,Lists!$G$7:$G$8,0)),L89))</f>
        <v>0</v>
      </c>
      <c r="U89" s="45" t="b">
        <f>IF(I89="Required",0,IF(ISNUMBER(MATCH(J89,Lists!$H$2:$H$4,0)),K89))</f>
        <v>0</v>
      </c>
      <c r="V89" s="45">
        <f t="shared" si="8"/>
        <v>0</v>
      </c>
      <c r="W89" s="45">
        <f t="shared" si="9"/>
        <v>0</v>
      </c>
    </row>
    <row r="90" spans="1:23" ht="21" customHeight="1">
      <c r="A90" s="301" t="s">
        <v>8</v>
      </c>
      <c r="B90" s="44"/>
      <c r="C90" s="834" t="s">
        <v>77</v>
      </c>
      <c r="D90" s="803" t="s">
        <v>8</v>
      </c>
      <c r="E90" s="805" t="s">
        <v>78</v>
      </c>
      <c r="F90" s="302" t="s">
        <v>79</v>
      </c>
      <c r="G90" s="303">
        <f>'Review Comments'!F98</f>
        <v>0</v>
      </c>
      <c r="H90" s="303" t="str">
        <f>'Review Comments'!G98</f>
        <v>Required</v>
      </c>
      <c r="I90" s="303" t="str">
        <f t="shared" ref="I90:I103" si="11">IF(H90="Yes",G90,IF(H90="Required","Required",""))</f>
        <v>Required</v>
      </c>
      <c r="J90" s="322" t="str">
        <f>IF('Review Comments'!H98=0,"",'Review Comments'!H98)</f>
        <v>Anticipated</v>
      </c>
      <c r="K90" s="275" t="str">
        <f>IF(I90="Required","Required",IF(ISNUMBER(MATCH(J90,Lists!$H$2:$H$9,0)),I90,""))</f>
        <v>Required</v>
      </c>
      <c r="L90" s="276" t="str">
        <f>IF(I90="Required","Required",IF(ISNUMBER(MATCH(J90,Lists!$I$2:$I$9,0)),I90,IF(ISNUMBER(MATCH(J90,Lists!$J$2:$J$9,0)),I90,"")))</f>
        <v>Required</v>
      </c>
      <c r="Q90" s="45">
        <f>IF(I90="Required",0,IF(ISNUMBER(MATCH(J90,Lists!$I$2:$I$4,0)),L90))</f>
        <v>0</v>
      </c>
      <c r="R90" s="45">
        <f>IF(I90="Required",0,IF(ISNUMBER(MATCH(J90,Lists!$K$2:$K$7,0)),L90))</f>
        <v>0</v>
      </c>
      <c r="S90" s="45">
        <f>IF(I90="Required",0,IF(ISNUMBER(MATCH(J90,Lists!$G$2:$G$4,0)),L90))</f>
        <v>0</v>
      </c>
      <c r="T90" s="45">
        <f>IF(I90="Required",0,IF(ISNUMBER(MATCH(J90,Lists!$G$7:$G$8,0)),L90))</f>
        <v>0</v>
      </c>
      <c r="U90" s="45">
        <f>IF(I90="Required",0,IF(ISNUMBER(MATCH(J90,Lists!$H$2:$H$4,0)),K90))</f>
        <v>0</v>
      </c>
      <c r="V90" s="45">
        <f t="shared" si="8"/>
        <v>0</v>
      </c>
      <c r="W90" s="45">
        <f t="shared" si="9"/>
        <v>0</v>
      </c>
    </row>
    <row r="91" spans="1:23" ht="21" customHeight="1">
      <c r="A91" s="301" t="s">
        <v>8</v>
      </c>
      <c r="B91" s="44"/>
      <c r="C91" s="835"/>
      <c r="D91" s="804"/>
      <c r="E91" s="806"/>
      <c r="F91" s="304" t="s">
        <v>80</v>
      </c>
      <c r="G91" s="305">
        <f>'Review Comments'!F99</f>
        <v>0</v>
      </c>
      <c r="H91" s="305" t="str">
        <f>'Review Comments'!G99</f>
        <v>Required</v>
      </c>
      <c r="I91" s="305" t="str">
        <f t="shared" si="11"/>
        <v>Required</v>
      </c>
      <c r="J91" s="323" t="str">
        <f>IF('Review Comments'!H99=0,"",'Review Comments'!H99)</f>
        <v>Anticipated</v>
      </c>
      <c r="K91" s="279" t="str">
        <f>IF(I91="Required","Required",IF(ISNUMBER(MATCH(J91,Lists!$H$2:$H$9,0)),I91,""))</f>
        <v>Required</v>
      </c>
      <c r="L91" s="280" t="str">
        <f>IF(I91="Required","Required",IF(ISNUMBER(MATCH(J91,Lists!$I$2:$I$9,0)),I91,IF(ISNUMBER(MATCH(J91,Lists!$J$2:$J$9,0)),I91,"")))</f>
        <v>Required</v>
      </c>
      <c r="Q91" s="45">
        <f>IF(I91="Required",0,IF(ISNUMBER(MATCH(J91,Lists!$I$2:$I$4,0)),L91))</f>
        <v>0</v>
      </c>
      <c r="R91" s="45">
        <f>IF(I91="Required",0,IF(ISNUMBER(MATCH(J91,Lists!$K$2:$K$7,0)),L91))</f>
        <v>0</v>
      </c>
      <c r="S91" s="45">
        <f>IF(I91="Required",0,IF(ISNUMBER(MATCH(J91,Lists!$G$2:$G$4,0)),L91))</f>
        <v>0</v>
      </c>
      <c r="T91" s="45">
        <f>IF(I91="Required",0,IF(ISNUMBER(MATCH(J91,Lists!$G$7:$G$8,0)),L91))</f>
        <v>0</v>
      </c>
      <c r="U91" s="45">
        <f>IF(I91="Required",0,IF(ISNUMBER(MATCH(J91,Lists!$H$2:$H$4,0)),K91))</f>
        <v>0</v>
      </c>
      <c r="V91" s="45">
        <f t="shared" si="8"/>
        <v>0</v>
      </c>
      <c r="W91" s="45">
        <f t="shared" si="9"/>
        <v>0</v>
      </c>
    </row>
    <row r="92" spans="1:23" ht="21" customHeight="1">
      <c r="A92" s="301" t="s">
        <v>8</v>
      </c>
      <c r="B92" s="44"/>
      <c r="C92" s="835"/>
      <c r="D92" s="306" t="s">
        <v>8</v>
      </c>
      <c r="E92" s="200" t="s">
        <v>81</v>
      </c>
      <c r="F92" s="304" t="s">
        <v>82</v>
      </c>
      <c r="G92" s="305">
        <f>'Review Comments'!F100</f>
        <v>0</v>
      </c>
      <c r="H92" s="305" t="str">
        <f>'Review Comments'!G100</f>
        <v>Required</v>
      </c>
      <c r="I92" s="305" t="str">
        <f t="shared" si="11"/>
        <v>Required</v>
      </c>
      <c r="J92" s="323" t="str">
        <f>IF('Review Comments'!H100=0,"",'Review Comments'!H100)</f>
        <v>Anticipated</v>
      </c>
      <c r="K92" s="279" t="str">
        <f>IF(I92="Required","Required",IF(ISNUMBER(MATCH(J92,Lists!$H$2:$H$9,0)),I92,""))</f>
        <v>Required</v>
      </c>
      <c r="L92" s="280" t="str">
        <f>IF(I92="Required","Required",IF(ISNUMBER(MATCH(J92,Lists!$I$2:$I$9,0)),I92,IF(ISNUMBER(MATCH(J92,Lists!$J$2:$J$9,0)),I92,"")))</f>
        <v>Required</v>
      </c>
      <c r="Q92" s="45">
        <f>IF(I92="Required",0,IF(ISNUMBER(MATCH(J92,Lists!$I$2:$I$4,0)),L92))</f>
        <v>0</v>
      </c>
      <c r="R92" s="45">
        <f>IF(I92="Required",0,IF(ISNUMBER(MATCH(J92,Lists!$K$2:$K$7,0)),L92))</f>
        <v>0</v>
      </c>
      <c r="S92" s="45">
        <f>IF(I92="Required",0,IF(ISNUMBER(MATCH(J92,Lists!$G$2:$G$4,0)),L92))</f>
        <v>0</v>
      </c>
      <c r="T92" s="45">
        <f>IF(I92="Required",0,IF(ISNUMBER(MATCH(J92,Lists!$G$7:$G$8,0)),L92))</f>
        <v>0</v>
      </c>
      <c r="U92" s="45">
        <f>IF(I92="Required",0,IF(ISNUMBER(MATCH(J92,Lists!$H$2:$H$4,0)),K92))</f>
        <v>0</v>
      </c>
      <c r="V92" s="45">
        <f t="shared" si="8"/>
        <v>0</v>
      </c>
      <c r="W92" s="45">
        <f t="shared" si="9"/>
        <v>0</v>
      </c>
    </row>
    <row r="93" spans="1:23" ht="21" customHeight="1">
      <c r="A93" s="301" t="s">
        <v>23</v>
      </c>
      <c r="B93" s="44"/>
      <c r="C93" s="835"/>
      <c r="D93" s="306" t="s">
        <v>23</v>
      </c>
      <c r="E93" s="200" t="s">
        <v>83</v>
      </c>
      <c r="F93" s="304" t="s">
        <v>84</v>
      </c>
      <c r="G93" s="305">
        <f>'Review Comments'!F101</f>
        <v>0</v>
      </c>
      <c r="H93" s="305" t="str">
        <f>'Review Comments'!G101</f>
        <v>No</v>
      </c>
      <c r="I93" s="305" t="str">
        <f t="shared" si="11"/>
        <v/>
      </c>
      <c r="J93" s="323" t="str">
        <f>IF('Review Comments'!H101=0,"",'Review Comments'!H101)</f>
        <v>Not Attempted</v>
      </c>
      <c r="K93" s="279" t="str">
        <f>IF(I93="Required","Required",IF(ISNUMBER(MATCH(J93,Lists!$H$2:$H$9,0)),I93,""))</f>
        <v/>
      </c>
      <c r="L93" s="280" t="str">
        <f>IF(I93="Required","Required",IF(ISNUMBER(MATCH(J93,Lists!$I$2:$I$9,0)),I93,IF(ISNUMBER(MATCH(J93,Lists!$J$2:$J$9,0)),I93,"")))</f>
        <v/>
      </c>
      <c r="Q93" s="45" t="b">
        <f>IF(I93="Required",0,IF(ISNUMBER(MATCH(J93,Lists!$I$2:$I$4,0)),L93))</f>
        <v>0</v>
      </c>
      <c r="R93" s="45" t="b">
        <f>IF(I93="Required",0,IF(ISNUMBER(MATCH(J93,Lists!$K$2:$K$7,0)),L93))</f>
        <v>0</v>
      </c>
      <c r="S93" s="45" t="b">
        <f>IF(I93="Required",0,IF(ISNUMBER(MATCH(J93,Lists!$G$2:$G$4,0)),L93))</f>
        <v>0</v>
      </c>
      <c r="T93" s="45" t="b">
        <f>IF(I93="Required",0,IF(ISNUMBER(MATCH(J93,Lists!$G$7:$G$8,0)),L93))</f>
        <v>0</v>
      </c>
      <c r="U93" s="45" t="b">
        <f>IF(I93="Required",0,IF(ISNUMBER(MATCH(J93,Lists!$H$2:$H$4,0)),K93))</f>
        <v>0</v>
      </c>
      <c r="V93" s="45">
        <f t="shared" si="8"/>
        <v>0</v>
      </c>
      <c r="W93" s="45">
        <f t="shared" si="9"/>
        <v>0</v>
      </c>
    </row>
    <row r="94" spans="1:23" ht="21" customHeight="1">
      <c r="A94" s="301" t="s">
        <v>23</v>
      </c>
      <c r="B94" s="44"/>
      <c r="C94" s="835"/>
      <c r="D94" s="804" t="s">
        <v>23</v>
      </c>
      <c r="E94" s="806" t="s">
        <v>85</v>
      </c>
      <c r="F94" s="304" t="s">
        <v>86</v>
      </c>
      <c r="G94" s="305">
        <f>'Review Comments'!F102</f>
        <v>0</v>
      </c>
      <c r="H94" s="305" t="str">
        <f>'Review Comments'!G102</f>
        <v>No</v>
      </c>
      <c r="I94" s="305" t="str">
        <f t="shared" si="11"/>
        <v/>
      </c>
      <c r="J94" s="323" t="str">
        <f>IF('Review Comments'!H102=0,"",'Review Comments'!H102)</f>
        <v>Not Attempted</v>
      </c>
      <c r="K94" s="279" t="str">
        <f>IF(I94="Required","Required",IF(ISNUMBER(MATCH(J94,Lists!$H$2:$H$9,0)),I94,""))</f>
        <v/>
      </c>
      <c r="L94" s="280" t="str">
        <f>IF(I94="Required","Required",IF(ISNUMBER(MATCH(J94,Lists!$I$2:$I$9,0)),I94,IF(ISNUMBER(MATCH(J94,Lists!$J$2:$J$9,0)),I94,"")))</f>
        <v/>
      </c>
      <c r="Q94" s="45" t="b">
        <f>IF(I94="Required",0,IF(ISNUMBER(MATCH(J94,Lists!$I$2:$I$4,0)),L94))</f>
        <v>0</v>
      </c>
      <c r="R94" s="45" t="b">
        <f>IF(I94="Required",0,IF(ISNUMBER(MATCH(J94,Lists!$K$2:$K$7,0)),L94))</f>
        <v>0</v>
      </c>
      <c r="S94" s="45" t="b">
        <f>IF(I94="Required",0,IF(ISNUMBER(MATCH(J94,Lists!$G$2:$G$4,0)),L94))</f>
        <v>0</v>
      </c>
      <c r="T94" s="45" t="b">
        <f>IF(I94="Required",0,IF(ISNUMBER(MATCH(J94,Lists!$G$7:$G$8,0)),L94))</f>
        <v>0</v>
      </c>
      <c r="U94" s="45" t="b">
        <f>IF(I94="Required",0,IF(ISNUMBER(MATCH(J94,Lists!$H$2:$H$4,0)),K94))</f>
        <v>0</v>
      </c>
      <c r="V94" s="45">
        <f t="shared" si="8"/>
        <v>0</v>
      </c>
      <c r="W94" s="45">
        <f t="shared" si="9"/>
        <v>0</v>
      </c>
    </row>
    <row r="95" spans="1:23" ht="21" customHeight="1">
      <c r="A95" s="301" t="s">
        <v>23</v>
      </c>
      <c r="B95" s="44"/>
      <c r="C95" s="835"/>
      <c r="D95" s="804"/>
      <c r="E95" s="806"/>
      <c r="F95" s="304" t="s">
        <v>87</v>
      </c>
      <c r="G95" s="305">
        <f>'Review Comments'!F103</f>
        <v>2</v>
      </c>
      <c r="H95" s="305" t="str">
        <f>'Review Comments'!G103</f>
        <v>Yes</v>
      </c>
      <c r="I95" s="305">
        <f t="shared" si="11"/>
        <v>2</v>
      </c>
      <c r="J95" s="323" t="str">
        <f>IF('Review Comments'!H103=0,"",'Review Comments'!H103)</f>
        <v>Anticipated</v>
      </c>
      <c r="K95" s="279">
        <f>IF(I95="Required","Required",IF(ISNUMBER(MATCH(J95,Lists!$H$2:$H$9,0)),I95,""))</f>
        <v>2</v>
      </c>
      <c r="L95" s="280" t="str">
        <f>IF(I95="Required","Required",IF(ISNUMBER(MATCH(J95,Lists!$I$2:$I$9,0)),I95,IF(ISNUMBER(MATCH(J95,Lists!$J$2:$J$9,0)),I95,"")))</f>
        <v/>
      </c>
      <c r="Q95" s="45" t="b">
        <f>IF(I95="Required",0,IF(ISNUMBER(MATCH(J95,Lists!$I$2:$I$4,0)),L95))</f>
        <v>0</v>
      </c>
      <c r="R95" s="45" t="b">
        <f>IF(I95="Required",0,IF(ISNUMBER(MATCH(J95,Lists!$K$2:$K$7,0)),L95))</f>
        <v>0</v>
      </c>
      <c r="S95" s="45" t="b">
        <f>IF(I95="Required",0,IF(ISNUMBER(MATCH(J95,Lists!$G$2:$G$4,0)),L95))</f>
        <v>0</v>
      </c>
      <c r="T95" s="45" t="b">
        <f>IF(I95="Required",0,IF(ISNUMBER(MATCH(J95,Lists!$G$7:$G$8,0)),L95))</f>
        <v>0</v>
      </c>
      <c r="U95" s="45">
        <f>IF(I95="Required",0,IF(ISNUMBER(MATCH(J95,Lists!$H$2:$H$4,0)),K95))</f>
        <v>2</v>
      </c>
      <c r="V95" s="45">
        <f t="shared" si="8"/>
        <v>0</v>
      </c>
      <c r="W95" s="45">
        <f t="shared" si="9"/>
        <v>0</v>
      </c>
    </row>
    <row r="96" spans="1:23" ht="21" customHeight="1">
      <c r="A96" s="301" t="s">
        <v>23</v>
      </c>
      <c r="B96" s="44"/>
      <c r="C96" s="835"/>
      <c r="D96" s="804" t="s">
        <v>23</v>
      </c>
      <c r="E96" s="806" t="s">
        <v>88</v>
      </c>
      <c r="F96" s="304" t="s">
        <v>440</v>
      </c>
      <c r="G96" s="305">
        <f>'Review Comments'!F104</f>
        <v>1</v>
      </c>
      <c r="H96" s="305" t="str">
        <f>'Review Comments'!G104</f>
        <v>Yes</v>
      </c>
      <c r="I96" s="305">
        <f t="shared" si="11"/>
        <v>1</v>
      </c>
      <c r="J96" s="323" t="str">
        <f>IF('Review Comments'!H104=0,"",'Review Comments'!H104)</f>
        <v>Anticipated</v>
      </c>
      <c r="K96" s="279">
        <f>IF(I96="Required","Required",IF(ISNUMBER(MATCH(J96,Lists!$H$2:$H$9,0)),I96,""))</f>
        <v>1</v>
      </c>
      <c r="L96" s="280" t="str">
        <f>IF(I96="Required","Required",IF(ISNUMBER(MATCH(J96,Lists!$I$2:$I$9,0)),I96,IF(ISNUMBER(MATCH(J96,Lists!$J$2:$J$9,0)),I96,"")))</f>
        <v/>
      </c>
      <c r="Q96" s="45" t="b">
        <f>IF(I96="Required",0,IF(ISNUMBER(MATCH(J96,Lists!$I$2:$I$4,0)),L96))</f>
        <v>0</v>
      </c>
      <c r="R96" s="45" t="b">
        <f>IF(I96="Required",0,IF(ISNUMBER(MATCH(J96,Lists!$K$2:$K$7,0)),L96))</f>
        <v>0</v>
      </c>
      <c r="S96" s="45" t="b">
        <f>IF(I96="Required",0,IF(ISNUMBER(MATCH(J96,Lists!$G$2:$G$4,0)),L96))</f>
        <v>0</v>
      </c>
      <c r="T96" s="45" t="b">
        <f>IF(I96="Required",0,IF(ISNUMBER(MATCH(J96,Lists!$G$7:$G$8,0)),L96))</f>
        <v>0</v>
      </c>
      <c r="U96" s="45">
        <f>IF(I96="Required",0,IF(ISNUMBER(MATCH(J96,Lists!$H$2:$H$4,0)),K96))</f>
        <v>1</v>
      </c>
      <c r="V96" s="45">
        <f t="shared" si="8"/>
        <v>0</v>
      </c>
      <c r="W96" s="45">
        <f t="shared" si="9"/>
        <v>0</v>
      </c>
    </row>
    <row r="97" spans="1:23" ht="21" customHeight="1">
      <c r="A97" s="301" t="s">
        <v>23</v>
      </c>
      <c r="B97" s="44"/>
      <c r="C97" s="835"/>
      <c r="D97" s="804"/>
      <c r="E97" s="806"/>
      <c r="F97" s="304" t="s">
        <v>89</v>
      </c>
      <c r="G97" s="305">
        <f>'Review Comments'!F105</f>
        <v>0</v>
      </c>
      <c r="H97" s="305" t="str">
        <f>'Review Comments'!G105</f>
        <v>No</v>
      </c>
      <c r="I97" s="305" t="str">
        <f t="shared" si="11"/>
        <v/>
      </c>
      <c r="J97" s="323" t="str">
        <f>IF('Review Comments'!H105=0,"",'Review Comments'!H105)</f>
        <v>Not Attempted</v>
      </c>
      <c r="K97" s="279" t="str">
        <f>IF(I97="Required","Required",IF(ISNUMBER(MATCH(J97,Lists!$H$2:$H$9,0)),I97,""))</f>
        <v/>
      </c>
      <c r="L97" s="280" t="str">
        <f>IF(I97="Required","Required",IF(ISNUMBER(MATCH(J97,Lists!$I$2:$I$9,0)),I97,IF(ISNUMBER(MATCH(J97,Lists!$J$2:$J$9,0)),I97,"")))</f>
        <v/>
      </c>
      <c r="Q97" s="45" t="b">
        <f>IF(I97="Required",0,IF(ISNUMBER(MATCH(J97,Lists!$I$2:$I$4,0)),L97))</f>
        <v>0</v>
      </c>
      <c r="R97" s="45" t="b">
        <f>IF(I97="Required",0,IF(ISNUMBER(MATCH(J97,Lists!$K$2:$K$7,0)),L97))</f>
        <v>0</v>
      </c>
      <c r="S97" s="45" t="b">
        <f>IF(I97="Required",0,IF(ISNUMBER(MATCH(J97,Lists!$G$2:$G$4,0)),L97))</f>
        <v>0</v>
      </c>
      <c r="T97" s="45" t="b">
        <f>IF(I97="Required",0,IF(ISNUMBER(MATCH(J97,Lists!$G$7:$G$8,0)),L97))</f>
        <v>0</v>
      </c>
      <c r="U97" s="45" t="b">
        <f>IF(I97="Required",0,IF(ISNUMBER(MATCH(J97,Lists!$H$2:$H$4,0)),K97))</f>
        <v>0</v>
      </c>
      <c r="V97" s="45">
        <f t="shared" si="8"/>
        <v>0</v>
      </c>
      <c r="W97" s="45">
        <f t="shared" si="9"/>
        <v>0</v>
      </c>
    </row>
    <row r="98" spans="1:23" ht="21" customHeight="1">
      <c r="A98" s="301" t="s">
        <v>23</v>
      </c>
      <c r="B98" s="44"/>
      <c r="C98" s="835"/>
      <c r="D98" s="804"/>
      <c r="E98" s="806"/>
      <c r="F98" s="304" t="s">
        <v>441</v>
      </c>
      <c r="G98" s="305">
        <f>'Review Comments'!F106</f>
        <v>0</v>
      </c>
      <c r="H98" s="305" t="str">
        <f>'Review Comments'!G106</f>
        <v>No</v>
      </c>
      <c r="I98" s="305" t="str">
        <f t="shared" si="11"/>
        <v/>
      </c>
      <c r="J98" s="323" t="str">
        <f>IF('Review Comments'!H106=0,"",'Review Comments'!H106)</f>
        <v>Not Attempted</v>
      </c>
      <c r="K98" s="279" t="str">
        <f>IF(I98="Required","Required",IF(ISNUMBER(MATCH(J98,Lists!$H$2:$H$9,0)),I98,""))</f>
        <v/>
      </c>
      <c r="L98" s="280" t="str">
        <f>IF(I98="Required","Required",IF(ISNUMBER(MATCH(J98,Lists!$I$2:$I$9,0)),I98,IF(ISNUMBER(MATCH(J98,Lists!$J$2:$J$9,0)),I98,"")))</f>
        <v/>
      </c>
      <c r="Q98" s="45" t="b">
        <f>IF(I98="Required",0,IF(ISNUMBER(MATCH(J98,Lists!$I$2:$I$4,0)),L98))</f>
        <v>0</v>
      </c>
      <c r="R98" s="45" t="b">
        <f>IF(I98="Required",0,IF(ISNUMBER(MATCH(J98,Lists!$K$2:$K$7,0)),L98))</f>
        <v>0</v>
      </c>
      <c r="S98" s="45" t="b">
        <f>IF(I98="Required",0,IF(ISNUMBER(MATCH(J98,Lists!$G$2:$G$4,0)),L98))</f>
        <v>0</v>
      </c>
      <c r="T98" s="45" t="b">
        <f>IF(I98="Required",0,IF(ISNUMBER(MATCH(J98,Lists!$G$7:$G$8,0)),L98))</f>
        <v>0</v>
      </c>
      <c r="U98" s="45" t="b">
        <f>IF(I98="Required",0,IF(ISNUMBER(MATCH(J98,Lists!$H$2:$H$4,0)),K98))</f>
        <v>0</v>
      </c>
      <c r="V98" s="45">
        <f t="shared" si="8"/>
        <v>0</v>
      </c>
      <c r="W98" s="45">
        <f t="shared" si="9"/>
        <v>0</v>
      </c>
    </row>
    <row r="99" spans="1:23" ht="21" customHeight="1">
      <c r="A99" s="301" t="s">
        <v>23</v>
      </c>
      <c r="B99" s="44"/>
      <c r="C99" s="835"/>
      <c r="D99" s="306" t="s">
        <v>23</v>
      </c>
      <c r="E99" s="200" t="s">
        <v>90</v>
      </c>
      <c r="F99" s="304" t="s">
        <v>442</v>
      </c>
      <c r="G99" s="305">
        <f>'Review Comments'!F107</f>
        <v>0</v>
      </c>
      <c r="H99" s="305" t="str">
        <f>'Review Comments'!G107</f>
        <v>No</v>
      </c>
      <c r="I99" s="305" t="str">
        <f t="shared" si="11"/>
        <v/>
      </c>
      <c r="J99" s="323" t="str">
        <f>IF('Review Comments'!H107=0,"",'Review Comments'!H107)</f>
        <v>Not Attempted</v>
      </c>
      <c r="K99" s="279" t="str">
        <f>IF(I99="Required","Required",IF(ISNUMBER(MATCH(J99,Lists!$H$2:$H$9,0)),I99,""))</f>
        <v/>
      </c>
      <c r="L99" s="280" t="str">
        <f>IF(I99="Required","Required",IF(ISNUMBER(MATCH(J99,Lists!$I$2:$I$9,0)),I99,IF(ISNUMBER(MATCH(J99,Lists!$J$2:$J$9,0)),I99,"")))</f>
        <v/>
      </c>
      <c r="Q99" s="45" t="b">
        <f>IF(I99="Required",0,IF(ISNUMBER(MATCH(J99,Lists!$I$2:$I$4,0)),L99))</f>
        <v>0</v>
      </c>
      <c r="R99" s="45" t="b">
        <f>IF(I99="Required",0,IF(ISNUMBER(MATCH(J99,Lists!$K$2:$K$7,0)),L99))</f>
        <v>0</v>
      </c>
      <c r="S99" s="45" t="b">
        <f>IF(I99="Required",0,IF(ISNUMBER(MATCH(J99,Lists!$G$2:$G$4,0)),L99))</f>
        <v>0</v>
      </c>
      <c r="T99" s="45" t="b">
        <f>IF(I99="Required",0,IF(ISNUMBER(MATCH(J99,Lists!$G$7:$G$8,0)),L99))</f>
        <v>0</v>
      </c>
      <c r="U99" s="45" t="b">
        <f>IF(I99="Required",0,IF(ISNUMBER(MATCH(J99,Lists!$H$2:$H$4,0)),K99))</f>
        <v>0</v>
      </c>
      <c r="V99" s="45">
        <f t="shared" si="8"/>
        <v>0</v>
      </c>
      <c r="W99" s="45">
        <f t="shared" si="9"/>
        <v>0</v>
      </c>
    </row>
    <row r="100" spans="1:23" ht="21" customHeight="1">
      <c r="A100" s="301" t="s">
        <v>23</v>
      </c>
      <c r="B100" s="44"/>
      <c r="C100" s="835"/>
      <c r="D100" s="804" t="s">
        <v>23</v>
      </c>
      <c r="E100" s="806" t="s">
        <v>91</v>
      </c>
      <c r="F100" s="304" t="s">
        <v>443</v>
      </c>
      <c r="G100" s="305">
        <f>'Review Comments'!F108</f>
        <v>0</v>
      </c>
      <c r="H100" s="305" t="str">
        <f>'Review Comments'!G108</f>
        <v>No</v>
      </c>
      <c r="I100" s="305" t="str">
        <f t="shared" si="11"/>
        <v/>
      </c>
      <c r="J100" s="323" t="str">
        <f>IF('Review Comments'!H108=0,"",'Review Comments'!H108)</f>
        <v>Not Attempted</v>
      </c>
      <c r="K100" s="279" t="str">
        <f>IF(I100="Required","Required",IF(ISNUMBER(MATCH(J100,Lists!$H$2:$H$9,0)),I100,""))</f>
        <v/>
      </c>
      <c r="L100" s="280" t="str">
        <f>IF(I100="Required","Required",IF(ISNUMBER(MATCH(J100,Lists!$I$2:$I$9,0)),I100,IF(ISNUMBER(MATCH(J100,Lists!$J$2:$J$9,0)),I100,"")))</f>
        <v/>
      </c>
      <c r="Q100" s="45" t="b">
        <f>IF(I100="Required",0,IF(ISNUMBER(MATCH(J100,Lists!$I$2:$I$4,0)),L100))</f>
        <v>0</v>
      </c>
      <c r="R100" s="45" t="b">
        <f>IF(I100="Required",0,IF(ISNUMBER(MATCH(J100,Lists!$K$2:$K$7,0)),L100))</f>
        <v>0</v>
      </c>
      <c r="S100" s="45" t="b">
        <f>IF(I100="Required",0,IF(ISNUMBER(MATCH(J100,Lists!$G$2:$G$4,0)),L100))</f>
        <v>0</v>
      </c>
      <c r="T100" s="45" t="b">
        <f>IF(I100="Required",0,IF(ISNUMBER(MATCH(J100,Lists!$G$7:$G$8,0)),L100))</f>
        <v>0</v>
      </c>
      <c r="U100" s="45" t="b">
        <f>IF(I100="Required",0,IF(ISNUMBER(MATCH(J100,Lists!$H$2:$H$4,0)),K100))</f>
        <v>0</v>
      </c>
      <c r="V100" s="45">
        <f t="shared" si="8"/>
        <v>0</v>
      </c>
      <c r="W100" s="45">
        <f t="shared" si="9"/>
        <v>0</v>
      </c>
    </row>
    <row r="101" spans="1:23" ht="21" customHeight="1">
      <c r="A101" s="301" t="s">
        <v>23</v>
      </c>
      <c r="B101" s="44"/>
      <c r="C101" s="835"/>
      <c r="D101" s="804"/>
      <c r="E101" s="806"/>
      <c r="F101" s="304" t="s">
        <v>444</v>
      </c>
      <c r="G101" s="305">
        <f>'Review Comments'!F109</f>
        <v>0</v>
      </c>
      <c r="H101" s="305" t="str">
        <f>'Review Comments'!G109</f>
        <v>No</v>
      </c>
      <c r="I101" s="305" t="str">
        <f t="shared" si="11"/>
        <v/>
      </c>
      <c r="J101" s="323" t="str">
        <f>IF('Review Comments'!H109=0,"",'Review Comments'!H109)</f>
        <v>Not Attempted</v>
      </c>
      <c r="K101" s="279" t="str">
        <f>IF(I101="Required","Required",IF(ISNUMBER(MATCH(J101,Lists!$H$2:$H$9,0)),I101,""))</f>
        <v/>
      </c>
      <c r="L101" s="280" t="str">
        <f>IF(I101="Required","Required",IF(ISNUMBER(MATCH(J101,Lists!$I$2:$I$9,0)),I101,IF(ISNUMBER(MATCH(J101,Lists!$J$2:$J$9,0)),I101,"")))</f>
        <v/>
      </c>
      <c r="Q101" s="45" t="b">
        <f>IF(I101="Required",0,IF(ISNUMBER(MATCH(J101,Lists!$I$2:$I$4,0)),L101))</f>
        <v>0</v>
      </c>
      <c r="R101" s="45" t="b">
        <f>IF(I101="Required",0,IF(ISNUMBER(MATCH(J101,Lists!$K$2:$K$7,0)),L101))</f>
        <v>0</v>
      </c>
      <c r="S101" s="45" t="b">
        <f>IF(I101="Required",0,IF(ISNUMBER(MATCH(J101,Lists!$G$2:$G$4,0)),L101))</f>
        <v>0</v>
      </c>
      <c r="T101" s="45" t="b">
        <f>IF(I101="Required",0,IF(ISNUMBER(MATCH(J101,Lists!$G$7:$G$8,0)),L101))</f>
        <v>0</v>
      </c>
      <c r="U101" s="45" t="b">
        <f>IF(I101="Required",0,IF(ISNUMBER(MATCH(J101,Lists!$H$2:$H$4,0)),K101))</f>
        <v>0</v>
      </c>
      <c r="V101" s="45">
        <f t="shared" si="8"/>
        <v>0</v>
      </c>
      <c r="W101" s="45">
        <f t="shared" si="9"/>
        <v>0</v>
      </c>
    </row>
    <row r="102" spans="1:23" ht="21" customHeight="1">
      <c r="A102" s="301" t="s">
        <v>23</v>
      </c>
      <c r="B102" s="44"/>
      <c r="C102" s="835"/>
      <c r="D102" s="804" t="s">
        <v>23</v>
      </c>
      <c r="E102" s="806" t="s">
        <v>92</v>
      </c>
      <c r="F102" s="304" t="s">
        <v>445</v>
      </c>
      <c r="G102" s="305">
        <f>'Review Comments'!F110</f>
        <v>0</v>
      </c>
      <c r="H102" s="305" t="str">
        <f>'Review Comments'!G110</f>
        <v>No</v>
      </c>
      <c r="I102" s="305" t="str">
        <f t="shared" si="11"/>
        <v/>
      </c>
      <c r="J102" s="323" t="str">
        <f>IF('Review Comments'!H110=0,"",'Review Comments'!H110)</f>
        <v>Not Attempted</v>
      </c>
      <c r="K102" s="279" t="str">
        <f>IF(I102="Required","Required",IF(ISNUMBER(MATCH(J102,Lists!$H$2:$H$9,0)),I102,""))</f>
        <v/>
      </c>
      <c r="L102" s="280" t="str">
        <f>IF(I102="Required","Required",IF(ISNUMBER(MATCH(J102,Lists!$I$2:$I$9,0)),I102,IF(ISNUMBER(MATCH(J102,Lists!$J$2:$J$9,0)),I102,"")))</f>
        <v/>
      </c>
      <c r="Q102" s="45" t="b">
        <f>IF(I102="Required",0,IF(ISNUMBER(MATCH(J102,Lists!$I$2:$I$4,0)),L102))</f>
        <v>0</v>
      </c>
      <c r="R102" s="45" t="b">
        <f>IF(I102="Required",0,IF(ISNUMBER(MATCH(J102,Lists!$K$2:$K$7,0)),L102))</f>
        <v>0</v>
      </c>
      <c r="S102" s="45" t="b">
        <f>IF(I102="Required",0,IF(ISNUMBER(MATCH(J102,Lists!$G$2:$G$4,0)),L102))</f>
        <v>0</v>
      </c>
      <c r="T102" s="45" t="b">
        <f>IF(I102="Required",0,IF(ISNUMBER(MATCH(J102,Lists!$G$7:$G$8,0)),L102))</f>
        <v>0</v>
      </c>
      <c r="U102" s="45" t="b">
        <f>IF(I102="Required",0,IF(ISNUMBER(MATCH(J102,Lists!$H$2:$H$4,0)),K102))</f>
        <v>0</v>
      </c>
      <c r="V102" s="45">
        <f t="shared" si="8"/>
        <v>0</v>
      </c>
      <c r="W102" s="45">
        <f t="shared" si="9"/>
        <v>0</v>
      </c>
    </row>
    <row r="103" spans="1:23" ht="21" customHeight="1" thickBot="1">
      <c r="A103" s="301" t="s">
        <v>23</v>
      </c>
      <c r="B103" s="44"/>
      <c r="C103" s="835"/>
      <c r="D103" s="838"/>
      <c r="E103" s="839"/>
      <c r="F103" s="333" t="s">
        <v>446</v>
      </c>
      <c r="G103" s="309">
        <f>'Review Comments'!F111</f>
        <v>1</v>
      </c>
      <c r="H103" s="309" t="str">
        <f>'Review Comments'!G111</f>
        <v>Yes</v>
      </c>
      <c r="I103" s="309">
        <f t="shared" si="11"/>
        <v>1</v>
      </c>
      <c r="J103" s="334" t="str">
        <f>IF('Review Comments'!H111=0,"",'Review Comments'!H111)</f>
        <v>Anticipated</v>
      </c>
      <c r="K103" s="284">
        <f>IF(I103="Required","Required",IF(ISNUMBER(MATCH(J103,Lists!$H$2:$H$9,0)),I103,""))</f>
        <v>1</v>
      </c>
      <c r="L103" s="285" t="str">
        <f>IF(I103="Required","Required",IF(ISNUMBER(MATCH(J103,Lists!$I$2:$I$9,0)),I103,IF(ISNUMBER(MATCH(J103,Lists!$J$2:$J$9,0)),I103,"")))</f>
        <v/>
      </c>
      <c r="Q103" s="45" t="b">
        <f>IF(I103="Required",0,IF(ISNUMBER(MATCH(J103,Lists!$I$2:$I$4,0)),L103))</f>
        <v>0</v>
      </c>
      <c r="R103" s="45" t="b">
        <f>IF(I103="Required",0,IF(ISNUMBER(MATCH(J103,Lists!$K$2:$K$7,0)),L103))</f>
        <v>0</v>
      </c>
      <c r="S103" s="45" t="b">
        <f>IF(I103="Required",0,IF(ISNUMBER(MATCH(J103,Lists!$G$2:$G$4,0)),L103))</f>
        <v>0</v>
      </c>
      <c r="T103" s="45" t="b">
        <f>IF(I103="Required",0,IF(ISNUMBER(MATCH(J103,Lists!$G$7:$G$8,0)),L103))</f>
        <v>0</v>
      </c>
      <c r="U103" s="45">
        <f>IF(I103="Required",0,IF(ISNUMBER(MATCH(J103,Lists!$H$2:$H$4,0)),K103))</f>
        <v>1</v>
      </c>
      <c r="V103" s="45">
        <f t="shared" si="8"/>
        <v>0</v>
      </c>
      <c r="W103" s="45">
        <f t="shared" si="9"/>
        <v>0</v>
      </c>
    </row>
    <row r="104" spans="1:23" s="175" customFormat="1" ht="16.2" customHeight="1">
      <c r="A104" s="335"/>
      <c r="B104" s="174"/>
      <c r="C104" s="336"/>
      <c r="D104" s="337"/>
      <c r="E104" s="338"/>
      <c r="F104" s="339"/>
      <c r="G104" s="340">
        <f>SUM(G90:G103)</f>
        <v>4</v>
      </c>
      <c r="H104" s="337"/>
      <c r="I104" s="341">
        <f>SUM(I90:I103)</f>
        <v>4</v>
      </c>
      <c r="J104" s="342"/>
      <c r="K104" s="341">
        <f>SUM(K90:K103)</f>
        <v>4</v>
      </c>
      <c r="L104" s="343">
        <f>SUM(L90:L103)</f>
        <v>0</v>
      </c>
      <c r="Q104" s="175" t="b">
        <f>IF(I104="Required",0,IF(ISNUMBER(MATCH(J104,Lists!$I$2:$I$4,0)),L104))</f>
        <v>0</v>
      </c>
      <c r="R104" s="175" t="b">
        <f>IF(I104="Required",0,IF(ISNUMBER(MATCH(J104,Lists!$K$2:$K$7,0)),L104))</f>
        <v>0</v>
      </c>
      <c r="S104" s="175" t="b">
        <f>IF(I104="Required",0,IF(ISNUMBER(MATCH(J104,Lists!$G$2:$G$4,0)),L104))</f>
        <v>0</v>
      </c>
      <c r="T104" s="175" t="b">
        <f>IF(I104="Required",0,IF(ISNUMBER(MATCH(J104,Lists!$G$7:$G$8,0)),L104))</f>
        <v>0</v>
      </c>
      <c r="U104" s="175" t="b">
        <f>IF(I104="Required",0,IF(ISNUMBER(MATCH(J104,Lists!$H$2:$H$4,0)),K104))</f>
        <v>0</v>
      </c>
      <c r="V104" s="175">
        <f t="shared" si="8"/>
        <v>0</v>
      </c>
      <c r="W104" s="45">
        <f t="shared" si="9"/>
        <v>0</v>
      </c>
    </row>
    <row r="105" spans="1:23" ht="6.6" customHeight="1" thickBot="1">
      <c r="A105" s="294"/>
      <c r="B105" s="44"/>
      <c r="C105" s="295"/>
      <c r="D105" s="294"/>
      <c r="E105" s="296"/>
      <c r="F105" s="297"/>
      <c r="G105" s="298"/>
      <c r="H105" s="298"/>
      <c r="I105" s="298"/>
      <c r="J105" s="299"/>
      <c r="K105" s="298"/>
      <c r="L105" s="300"/>
      <c r="Q105" s="45" t="b">
        <f>IF(I105="Required",0,IF(ISNUMBER(MATCH(J105,Lists!$I$2:$I$4,0)),L105))</f>
        <v>0</v>
      </c>
      <c r="R105" s="45" t="b">
        <f>IF(I105="Required",0,IF(ISNUMBER(MATCH(J105,Lists!$K$2:$K$7,0)),L105))</f>
        <v>0</v>
      </c>
      <c r="S105" s="45" t="b">
        <f>IF(I105="Required",0,IF(ISNUMBER(MATCH(J105,Lists!$G$2:$G$4,0)),L105))</f>
        <v>0</v>
      </c>
      <c r="T105" s="45" t="b">
        <f>IF(I105="Required",0,IF(ISNUMBER(MATCH(J105,Lists!$G$7:$G$8,0)),L105))</f>
        <v>0</v>
      </c>
      <c r="U105" s="45" t="b">
        <f>IF(I105="Required",0,IF(ISNUMBER(MATCH(J105,Lists!$H$2:$H$4,0)),K105))</f>
        <v>0</v>
      </c>
      <c r="V105" s="45">
        <f t="shared" si="8"/>
        <v>0</v>
      </c>
      <c r="W105" s="45">
        <f t="shared" si="9"/>
        <v>0</v>
      </c>
    </row>
    <row r="106" spans="1:23" ht="21" customHeight="1">
      <c r="A106" s="301" t="s">
        <v>8</v>
      </c>
      <c r="B106" s="44"/>
      <c r="C106" s="816" t="s">
        <v>93</v>
      </c>
      <c r="D106" s="344" t="s">
        <v>8</v>
      </c>
      <c r="E106" s="199" t="s">
        <v>94</v>
      </c>
      <c r="F106" s="302" t="s">
        <v>95</v>
      </c>
      <c r="G106" s="303">
        <f>'Review Comments'!F117</f>
        <v>0</v>
      </c>
      <c r="H106" s="303" t="str">
        <f>'Review Comments'!G117</f>
        <v>Required</v>
      </c>
      <c r="I106" s="303" t="str">
        <f t="shared" ref="I106:I134" si="12">IF(H106="Yes",G106,IF(H106="Required","Required",""))</f>
        <v>Required</v>
      </c>
      <c r="J106" s="322" t="str">
        <f>IF('Review Comments'!H117=0,"",'Review Comments'!H117)</f>
        <v>Anticipated</v>
      </c>
      <c r="K106" s="275" t="str">
        <f>IF(I106="Required","Required",IF(ISNUMBER(MATCH(J106,Lists!$H$2:$H$9,0)),I106,""))</f>
        <v>Required</v>
      </c>
      <c r="L106" s="276" t="str">
        <f>IF(I106="Required","Required",IF(ISNUMBER(MATCH(J106,Lists!$I$2:$I$9,0)),I106,IF(ISNUMBER(MATCH(J106,Lists!$J$2:$J$9,0)),I106,"")))</f>
        <v>Required</v>
      </c>
      <c r="Q106" s="45">
        <f>IF(I106="Required",0,IF(ISNUMBER(MATCH(J106,Lists!$I$2:$I$4,0)),L106))</f>
        <v>0</v>
      </c>
      <c r="R106" s="45">
        <f>IF(I106="Required",0,IF(ISNUMBER(MATCH(J106,Lists!$K$2:$K$7,0)),L106))</f>
        <v>0</v>
      </c>
      <c r="S106" s="45">
        <f>IF(I106="Required",0,IF(ISNUMBER(MATCH(J106,Lists!$G$2:$G$4,0)),L106))</f>
        <v>0</v>
      </c>
      <c r="T106" s="45">
        <f>IF(I106="Required",0,IF(ISNUMBER(MATCH(J106,Lists!$G$7:$G$8,0)),L106))</f>
        <v>0</v>
      </c>
      <c r="U106" s="45">
        <f>IF(I106="Required",0,IF(ISNUMBER(MATCH(J106,Lists!$H$2:$H$4,0)),K106))</f>
        <v>0</v>
      </c>
      <c r="V106" s="45">
        <f t="shared" si="8"/>
        <v>0</v>
      </c>
      <c r="W106" s="45">
        <f t="shared" si="9"/>
        <v>0</v>
      </c>
    </row>
    <row r="107" spans="1:23" ht="21" customHeight="1">
      <c r="A107" s="301" t="s">
        <v>8</v>
      </c>
      <c r="B107" s="44"/>
      <c r="C107" s="817"/>
      <c r="D107" s="804" t="s">
        <v>8</v>
      </c>
      <c r="E107" s="806" t="s">
        <v>96</v>
      </c>
      <c r="F107" s="304" t="s">
        <v>97</v>
      </c>
      <c r="G107" s="305">
        <f>'Review Comments'!F118</f>
        <v>0</v>
      </c>
      <c r="H107" s="305" t="str">
        <f>'Review Comments'!G118</f>
        <v>Required</v>
      </c>
      <c r="I107" s="305" t="str">
        <f t="shared" si="12"/>
        <v>Required</v>
      </c>
      <c r="J107" s="323" t="str">
        <f>IF('Review Comments'!H118=0,"",'Review Comments'!H118)</f>
        <v>Anticipated</v>
      </c>
      <c r="K107" s="279" t="str">
        <f>IF(I107="Required","Required",IF(ISNUMBER(MATCH(J107,Lists!$H$2:$H$9,0)),I107,""))</f>
        <v>Required</v>
      </c>
      <c r="L107" s="280" t="str">
        <f>IF(I107="Required","Required",IF(ISNUMBER(MATCH(J107,Lists!$I$2:$I$9,0)),I107,IF(ISNUMBER(MATCH(J107,Lists!$J$2:$J$9,0)),I107,"")))</f>
        <v>Required</v>
      </c>
      <c r="Q107" s="45">
        <f>IF(I107="Required",0,IF(ISNUMBER(MATCH(J107,Lists!$I$2:$I$4,0)),L107))</f>
        <v>0</v>
      </c>
      <c r="R107" s="45">
        <f>IF(I107="Required",0,IF(ISNUMBER(MATCH(J107,Lists!$K$2:$K$7,0)),L107))</f>
        <v>0</v>
      </c>
      <c r="S107" s="45">
        <f>IF(I107="Required",0,IF(ISNUMBER(MATCH(J107,Lists!$G$2:$G$4,0)),L107))</f>
        <v>0</v>
      </c>
      <c r="T107" s="45">
        <f>IF(I107="Required",0,IF(ISNUMBER(MATCH(J107,Lists!$G$7:$G$8,0)),L107))</f>
        <v>0</v>
      </c>
      <c r="U107" s="45">
        <f>IF(I107="Required",0,IF(ISNUMBER(MATCH(J107,Lists!$H$2:$H$4,0)),K107))</f>
        <v>0</v>
      </c>
      <c r="V107" s="45">
        <f t="shared" si="8"/>
        <v>0</v>
      </c>
      <c r="W107" s="45">
        <f t="shared" si="9"/>
        <v>0</v>
      </c>
    </row>
    <row r="108" spans="1:23" ht="21" customHeight="1">
      <c r="A108" s="301" t="s">
        <v>8</v>
      </c>
      <c r="B108" s="44"/>
      <c r="C108" s="817"/>
      <c r="D108" s="804"/>
      <c r="E108" s="806"/>
      <c r="F108" s="304" t="s">
        <v>98</v>
      </c>
      <c r="G108" s="305">
        <f>'Review Comments'!F119</f>
        <v>0</v>
      </c>
      <c r="H108" s="305" t="str">
        <f>'Review Comments'!G119</f>
        <v>Required</v>
      </c>
      <c r="I108" s="305" t="str">
        <f t="shared" si="12"/>
        <v>Required</v>
      </c>
      <c r="J108" s="323" t="str">
        <f>IF('Review Comments'!H119=0,"",'Review Comments'!H119)</f>
        <v>Anticipated</v>
      </c>
      <c r="K108" s="279" t="str">
        <f>IF(I108="Required","Required",IF(ISNUMBER(MATCH(J108,Lists!$H$2:$H$9,0)),I108,""))</f>
        <v>Required</v>
      </c>
      <c r="L108" s="280" t="str">
        <f>IF(I108="Required","Required",IF(ISNUMBER(MATCH(J108,Lists!$I$2:$I$9,0)),I108,IF(ISNUMBER(MATCH(J108,Lists!$J$2:$J$9,0)),I108,"")))</f>
        <v>Required</v>
      </c>
      <c r="Q108" s="45">
        <f>IF(I108="Required",0,IF(ISNUMBER(MATCH(J108,Lists!$I$2:$I$4,0)),L108))</f>
        <v>0</v>
      </c>
      <c r="R108" s="45">
        <f>IF(I108="Required",0,IF(ISNUMBER(MATCH(J108,Lists!$K$2:$K$7,0)),L108))</f>
        <v>0</v>
      </c>
      <c r="S108" s="45">
        <f>IF(I108="Required",0,IF(ISNUMBER(MATCH(J108,Lists!$G$2:$G$4,0)),L108))</f>
        <v>0</v>
      </c>
      <c r="T108" s="45">
        <f>IF(I108="Required",0,IF(ISNUMBER(MATCH(J108,Lists!$G$7:$G$8,0)),L108))</f>
        <v>0</v>
      </c>
      <c r="U108" s="45">
        <f>IF(I108="Required",0,IF(ISNUMBER(MATCH(J108,Lists!$H$2:$H$4,0)),K108))</f>
        <v>0</v>
      </c>
      <c r="V108" s="45">
        <f t="shared" si="8"/>
        <v>0</v>
      </c>
      <c r="W108" s="45">
        <f t="shared" si="9"/>
        <v>0</v>
      </c>
    </row>
    <row r="109" spans="1:23" ht="21" customHeight="1">
      <c r="A109" s="301" t="s">
        <v>8</v>
      </c>
      <c r="B109" s="44"/>
      <c r="C109" s="817"/>
      <c r="D109" s="804"/>
      <c r="E109" s="806"/>
      <c r="F109" s="304" t="s">
        <v>99</v>
      </c>
      <c r="G109" s="305">
        <f>'Review Comments'!F120</f>
        <v>0</v>
      </c>
      <c r="H109" s="305" t="str">
        <f>'Review Comments'!G120</f>
        <v>Required</v>
      </c>
      <c r="I109" s="305" t="str">
        <f t="shared" si="12"/>
        <v>Required</v>
      </c>
      <c r="J109" s="323" t="str">
        <f>IF('Review Comments'!H120=0,"",'Review Comments'!H120)</f>
        <v>Anticipated</v>
      </c>
      <c r="K109" s="279" t="str">
        <f>IF(I109="Required","Required",IF(ISNUMBER(MATCH(J109,Lists!$H$2:$H$9,0)),I109,""))</f>
        <v>Required</v>
      </c>
      <c r="L109" s="280" t="str">
        <f>IF(I109="Required","Required",IF(ISNUMBER(MATCH(J109,Lists!$I$2:$I$9,0)),I109,IF(ISNUMBER(MATCH(J109,Lists!$J$2:$J$9,0)),I109,"")))</f>
        <v>Required</v>
      </c>
      <c r="Q109" s="45">
        <f>IF(I109="Required",0,IF(ISNUMBER(MATCH(J109,Lists!$I$2:$I$4,0)),L109))</f>
        <v>0</v>
      </c>
      <c r="R109" s="45">
        <f>IF(I109="Required",0,IF(ISNUMBER(MATCH(J109,Lists!$K$2:$K$7,0)),L109))</f>
        <v>0</v>
      </c>
      <c r="S109" s="45">
        <f>IF(I109="Required",0,IF(ISNUMBER(MATCH(J109,Lists!$G$2:$G$4,0)),L109))</f>
        <v>0</v>
      </c>
      <c r="T109" s="45">
        <f>IF(I109="Required",0,IF(ISNUMBER(MATCH(J109,Lists!$G$7:$G$8,0)),L109))</f>
        <v>0</v>
      </c>
      <c r="U109" s="45">
        <f>IF(I109="Required",0,IF(ISNUMBER(MATCH(J109,Lists!$H$2:$H$4,0)),K109))</f>
        <v>0</v>
      </c>
      <c r="V109" s="45">
        <f t="shared" si="8"/>
        <v>0</v>
      </c>
      <c r="W109" s="45">
        <f t="shared" si="9"/>
        <v>0</v>
      </c>
    </row>
    <row r="110" spans="1:23" ht="21" customHeight="1">
      <c r="A110" s="301" t="s">
        <v>8</v>
      </c>
      <c r="B110" s="44"/>
      <c r="C110" s="817"/>
      <c r="D110" s="804"/>
      <c r="E110" s="806"/>
      <c r="F110" s="304" t="s">
        <v>100</v>
      </c>
      <c r="G110" s="305">
        <f>'Review Comments'!F121</f>
        <v>0</v>
      </c>
      <c r="H110" s="305" t="str">
        <f>'Review Comments'!G121</f>
        <v>Required</v>
      </c>
      <c r="I110" s="305" t="str">
        <f t="shared" si="12"/>
        <v>Required</v>
      </c>
      <c r="J110" s="323" t="str">
        <f>IF('Review Comments'!H121=0,"",'Review Comments'!H121)</f>
        <v>Anticipated</v>
      </c>
      <c r="K110" s="279" t="str">
        <f>IF(I110="Required","Required",IF(ISNUMBER(MATCH(J110,Lists!$H$2:$H$9,0)),I110,""))</f>
        <v>Required</v>
      </c>
      <c r="L110" s="280" t="str">
        <f>IF(I110="Required","Required",IF(ISNUMBER(MATCH(J110,Lists!$I$2:$I$9,0)),I110,IF(ISNUMBER(MATCH(J110,Lists!$J$2:$J$9,0)),I110,"")))</f>
        <v>Required</v>
      </c>
      <c r="Q110" s="45">
        <f>IF(I110="Required",0,IF(ISNUMBER(MATCH(J110,Lists!$I$2:$I$4,0)),L110))</f>
        <v>0</v>
      </c>
      <c r="R110" s="45">
        <f>IF(I110="Required",0,IF(ISNUMBER(MATCH(J110,Lists!$K$2:$K$7,0)),L110))</f>
        <v>0</v>
      </c>
      <c r="S110" s="45">
        <f>IF(I110="Required",0,IF(ISNUMBER(MATCH(J110,Lists!$G$2:$G$4,0)),L110))</f>
        <v>0</v>
      </c>
      <c r="T110" s="45">
        <f>IF(I110="Required",0,IF(ISNUMBER(MATCH(J110,Lists!$G$7:$G$8,0)),L110))</f>
        <v>0</v>
      </c>
      <c r="U110" s="45">
        <f>IF(I110="Required",0,IF(ISNUMBER(MATCH(J110,Lists!$H$2:$H$4,0)),K110))</f>
        <v>0</v>
      </c>
      <c r="V110" s="45">
        <f t="shared" si="8"/>
        <v>0</v>
      </c>
      <c r="W110" s="45">
        <f t="shared" si="9"/>
        <v>0</v>
      </c>
    </row>
    <row r="111" spans="1:23" ht="21" customHeight="1">
      <c r="A111" s="301" t="s">
        <v>8</v>
      </c>
      <c r="B111" s="44"/>
      <c r="C111" s="817"/>
      <c r="D111" s="804"/>
      <c r="E111" s="806"/>
      <c r="F111" s="304" t="s">
        <v>101</v>
      </c>
      <c r="G111" s="305">
        <f>'Review Comments'!F122</f>
        <v>0</v>
      </c>
      <c r="H111" s="305" t="str">
        <f>'Review Comments'!G122</f>
        <v>Required</v>
      </c>
      <c r="I111" s="305" t="str">
        <f t="shared" si="12"/>
        <v>Required</v>
      </c>
      <c r="J111" s="323" t="str">
        <f>IF('Review Comments'!H122=0,"",'Review Comments'!H122)</f>
        <v>Anticipated</v>
      </c>
      <c r="K111" s="279" t="str">
        <f>IF(I111="Required","Required",IF(ISNUMBER(MATCH(J111,Lists!$H$2:$H$9,0)),I111,""))</f>
        <v>Required</v>
      </c>
      <c r="L111" s="280" t="str">
        <f>IF(I111="Required","Required",IF(ISNUMBER(MATCH(J111,Lists!$I$2:$I$9,0)),I111,IF(ISNUMBER(MATCH(J111,Lists!$J$2:$J$9,0)),I111,"")))</f>
        <v>Required</v>
      </c>
      <c r="Q111" s="45">
        <f>IF(I111="Required",0,IF(ISNUMBER(MATCH(J111,Lists!$I$2:$I$4,0)),L111))</f>
        <v>0</v>
      </c>
      <c r="R111" s="45">
        <f>IF(I111="Required",0,IF(ISNUMBER(MATCH(J111,Lists!$K$2:$K$7,0)),L111))</f>
        <v>0</v>
      </c>
      <c r="S111" s="45">
        <f>IF(I111="Required",0,IF(ISNUMBER(MATCH(J111,Lists!$G$2:$G$4,0)),L111))</f>
        <v>0</v>
      </c>
      <c r="T111" s="45">
        <f>IF(I111="Required",0,IF(ISNUMBER(MATCH(J111,Lists!$G$7:$G$8,0)),L111))</f>
        <v>0</v>
      </c>
      <c r="U111" s="45">
        <f>IF(I111="Required",0,IF(ISNUMBER(MATCH(J111,Lists!$H$2:$H$4,0)),K111))</f>
        <v>0</v>
      </c>
      <c r="V111" s="45">
        <f t="shared" si="8"/>
        <v>0</v>
      </c>
      <c r="W111" s="45">
        <f t="shared" si="9"/>
        <v>0</v>
      </c>
    </row>
    <row r="112" spans="1:23" ht="21" customHeight="1">
      <c r="A112" s="301" t="s">
        <v>23</v>
      </c>
      <c r="B112" s="44"/>
      <c r="C112" s="817"/>
      <c r="D112" s="804" t="s">
        <v>23</v>
      </c>
      <c r="E112" s="806" t="s">
        <v>102</v>
      </c>
      <c r="F112" s="304" t="s">
        <v>447</v>
      </c>
      <c r="G112" s="305">
        <f>'Review Comments'!F123</f>
        <v>1</v>
      </c>
      <c r="H112" s="305" t="str">
        <f>'Review Comments'!G123</f>
        <v>Yes</v>
      </c>
      <c r="I112" s="305">
        <f t="shared" si="12"/>
        <v>1</v>
      </c>
      <c r="J112" s="323" t="str">
        <f>IF('Review Comments'!H123=0,"",'Review Comments'!H123)</f>
        <v>Anticipated</v>
      </c>
      <c r="K112" s="279">
        <f>IF(I112="Required","Required",IF(ISNUMBER(MATCH(J112,Lists!$H$2:$H$9,0)),I112,""))</f>
        <v>1</v>
      </c>
      <c r="L112" s="280" t="str">
        <f>IF(I112="Required","Required",IF(ISNUMBER(MATCH(J112,Lists!$I$2:$I$9,0)),I112,IF(ISNUMBER(MATCH(J112,Lists!$J$2:$J$9,0)),I112,"")))</f>
        <v/>
      </c>
      <c r="Q112" s="45" t="b">
        <f>IF(I112="Required",0,IF(ISNUMBER(MATCH(J112,Lists!$I$2:$I$4,0)),L112))</f>
        <v>0</v>
      </c>
      <c r="R112" s="45" t="b">
        <f>IF(I112="Required",0,IF(ISNUMBER(MATCH(J112,Lists!$K$2:$K$7,0)),L112))</f>
        <v>0</v>
      </c>
      <c r="S112" s="45" t="b">
        <f>IF(I112="Required",0,IF(ISNUMBER(MATCH(J112,Lists!$G$2:$G$4,0)),L112))</f>
        <v>0</v>
      </c>
      <c r="T112" s="45" t="b">
        <f>IF(I112="Required",0,IF(ISNUMBER(MATCH(J112,Lists!$G$7:$G$8,0)),L112))</f>
        <v>0</v>
      </c>
      <c r="U112" s="45">
        <f>IF(I112="Required",0,IF(ISNUMBER(MATCH(J112,Lists!$H$2:$H$4,0)),K112))</f>
        <v>1</v>
      </c>
      <c r="V112" s="45">
        <f t="shared" si="8"/>
        <v>0</v>
      </c>
      <c r="W112" s="45">
        <f t="shared" si="9"/>
        <v>0</v>
      </c>
    </row>
    <row r="113" spans="1:23" ht="21" customHeight="1">
      <c r="A113" s="301" t="s">
        <v>23</v>
      </c>
      <c r="B113" s="44"/>
      <c r="C113" s="817"/>
      <c r="D113" s="804"/>
      <c r="E113" s="806"/>
      <c r="F113" s="304" t="s">
        <v>448</v>
      </c>
      <c r="G113" s="305">
        <f>'Review Comments'!F124</f>
        <v>1</v>
      </c>
      <c r="H113" s="305" t="str">
        <f>'Review Comments'!G124</f>
        <v>Yes</v>
      </c>
      <c r="I113" s="305">
        <f t="shared" si="12"/>
        <v>1</v>
      </c>
      <c r="J113" s="323" t="str">
        <f>IF('Review Comments'!H124=0,"",'Review Comments'!H124)</f>
        <v>Anticipated</v>
      </c>
      <c r="K113" s="279">
        <f>IF(I113="Required","Required",IF(ISNUMBER(MATCH(J113,Lists!$H$2:$H$9,0)),I113,""))</f>
        <v>1</v>
      </c>
      <c r="L113" s="280" t="str">
        <f>IF(I113="Required","Required",IF(ISNUMBER(MATCH(J113,Lists!$I$2:$I$9,0)),I113,IF(ISNUMBER(MATCH(J113,Lists!$J$2:$J$9,0)),I113,"")))</f>
        <v/>
      </c>
      <c r="Q113" s="45" t="b">
        <f>IF(I113="Required",0,IF(ISNUMBER(MATCH(J113,Lists!$I$2:$I$4,0)),L113))</f>
        <v>0</v>
      </c>
      <c r="R113" s="45" t="b">
        <f>IF(I113="Required",0,IF(ISNUMBER(MATCH(J113,Lists!$K$2:$K$7,0)),L113))</f>
        <v>0</v>
      </c>
      <c r="S113" s="45" t="b">
        <f>IF(I113="Required",0,IF(ISNUMBER(MATCH(J113,Lists!$G$2:$G$4,0)),L113))</f>
        <v>0</v>
      </c>
      <c r="T113" s="45" t="b">
        <f>IF(I113="Required",0,IF(ISNUMBER(MATCH(J113,Lists!$G$7:$G$8,0)),L113))</f>
        <v>0</v>
      </c>
      <c r="U113" s="45">
        <f>IF(I113="Required",0,IF(ISNUMBER(MATCH(J113,Lists!$H$2:$H$4,0)),K113))</f>
        <v>1</v>
      </c>
      <c r="V113" s="45">
        <f t="shared" si="8"/>
        <v>0</v>
      </c>
      <c r="W113" s="45">
        <f t="shared" si="9"/>
        <v>0</v>
      </c>
    </row>
    <row r="114" spans="1:23" ht="21" customHeight="1">
      <c r="A114" s="301" t="s">
        <v>23</v>
      </c>
      <c r="B114" s="44"/>
      <c r="C114" s="817"/>
      <c r="D114" s="804"/>
      <c r="E114" s="806"/>
      <c r="F114" s="304" t="s">
        <v>449</v>
      </c>
      <c r="G114" s="305">
        <f>'Review Comments'!F125</f>
        <v>0</v>
      </c>
      <c r="H114" s="305" t="str">
        <f>'Review Comments'!G125</f>
        <v>No</v>
      </c>
      <c r="I114" s="305" t="str">
        <f t="shared" si="12"/>
        <v/>
      </c>
      <c r="J114" s="323" t="str">
        <f>IF('Review Comments'!H125=0,"",'Review Comments'!H125)</f>
        <v>Not Attempted</v>
      </c>
      <c r="K114" s="279" t="str">
        <f>IF(I114="Required","Required",IF(ISNUMBER(MATCH(J114,Lists!$H$2:$H$9,0)),I114,""))</f>
        <v/>
      </c>
      <c r="L114" s="280" t="str">
        <f>IF(I114="Required","Required",IF(ISNUMBER(MATCH(J114,Lists!$I$2:$I$9,0)),I114,IF(ISNUMBER(MATCH(J114,Lists!$J$2:$J$9,0)),I114,"")))</f>
        <v/>
      </c>
      <c r="Q114" s="45" t="b">
        <f>IF(I114="Required",0,IF(ISNUMBER(MATCH(J114,Lists!$I$2:$I$4,0)),L114))</f>
        <v>0</v>
      </c>
      <c r="R114" s="45" t="b">
        <f>IF(I114="Required",0,IF(ISNUMBER(MATCH(J114,Lists!$K$2:$K$7,0)),L114))</f>
        <v>0</v>
      </c>
      <c r="S114" s="45" t="b">
        <f>IF(I114="Required",0,IF(ISNUMBER(MATCH(J114,Lists!$G$2:$G$4,0)),L114))</f>
        <v>0</v>
      </c>
      <c r="T114" s="45" t="b">
        <f>IF(I114="Required",0,IF(ISNUMBER(MATCH(J114,Lists!$G$7:$G$8,0)),L114))</f>
        <v>0</v>
      </c>
      <c r="U114" s="45" t="b">
        <f>IF(I114="Required",0,IF(ISNUMBER(MATCH(J114,Lists!$H$2:$H$4,0)),K114))</f>
        <v>0</v>
      </c>
      <c r="V114" s="45">
        <f t="shared" si="8"/>
        <v>0</v>
      </c>
      <c r="W114" s="45">
        <f t="shared" si="9"/>
        <v>0</v>
      </c>
    </row>
    <row r="115" spans="1:23" ht="21" customHeight="1">
      <c r="A115" s="301" t="s">
        <v>23</v>
      </c>
      <c r="B115" s="44"/>
      <c r="C115" s="817"/>
      <c r="D115" s="804" t="s">
        <v>23</v>
      </c>
      <c r="E115" s="806" t="s">
        <v>103</v>
      </c>
      <c r="F115" s="304" t="s">
        <v>104</v>
      </c>
      <c r="G115" s="305">
        <f>'Review Comments'!F126</f>
        <v>2</v>
      </c>
      <c r="H115" s="305" t="str">
        <f>'Review Comments'!G126</f>
        <v>Yes</v>
      </c>
      <c r="I115" s="305">
        <f t="shared" si="12"/>
        <v>2</v>
      </c>
      <c r="J115" s="323" t="str">
        <f>IF('Review Comments'!H126=0,"",'Review Comments'!H126)</f>
        <v>Anticipated</v>
      </c>
      <c r="K115" s="279">
        <f>IF(I115="Required","Required",IF(ISNUMBER(MATCH(J115,Lists!$H$2:$H$9,0)),I115,""))</f>
        <v>2</v>
      </c>
      <c r="L115" s="280" t="str">
        <f>IF(I115="Required","Required",IF(ISNUMBER(MATCH(J115,Lists!$I$2:$I$9,0)),I115,IF(ISNUMBER(MATCH(J115,Lists!$J$2:$J$9,0)),I115,"")))</f>
        <v/>
      </c>
      <c r="Q115" s="45" t="b">
        <f>IF(I115="Required",0,IF(ISNUMBER(MATCH(J115,Lists!$I$2:$I$4,0)),L115))</f>
        <v>0</v>
      </c>
      <c r="R115" s="45" t="b">
        <f>IF(I115="Required",0,IF(ISNUMBER(MATCH(J115,Lists!$K$2:$K$7,0)),L115))</f>
        <v>0</v>
      </c>
      <c r="S115" s="45" t="b">
        <f>IF(I115="Required",0,IF(ISNUMBER(MATCH(J115,Lists!$G$2:$G$4,0)),L115))</f>
        <v>0</v>
      </c>
      <c r="T115" s="45" t="b">
        <f>IF(I115="Required",0,IF(ISNUMBER(MATCH(J115,Lists!$G$7:$G$8,0)),L115))</f>
        <v>0</v>
      </c>
      <c r="U115" s="45">
        <f>IF(I115="Required",0,IF(ISNUMBER(MATCH(J115,Lists!$H$2:$H$4,0)),K115))</f>
        <v>2</v>
      </c>
      <c r="V115" s="45">
        <f t="shared" si="8"/>
        <v>0</v>
      </c>
      <c r="W115" s="45">
        <f t="shared" si="9"/>
        <v>0</v>
      </c>
    </row>
    <row r="116" spans="1:23" ht="21" customHeight="1">
      <c r="A116" s="301" t="s">
        <v>23</v>
      </c>
      <c r="B116" s="44"/>
      <c r="C116" s="817"/>
      <c r="D116" s="804"/>
      <c r="E116" s="806"/>
      <c r="F116" s="304" t="s">
        <v>105</v>
      </c>
      <c r="G116" s="305">
        <f>'Review Comments'!F127</f>
        <v>0</v>
      </c>
      <c r="H116" s="305" t="str">
        <f>'Review Comments'!G127</f>
        <v>No</v>
      </c>
      <c r="I116" s="305" t="str">
        <f t="shared" si="12"/>
        <v/>
      </c>
      <c r="J116" s="323" t="str">
        <f>IF('Review Comments'!H127=0,"",'Review Comments'!H127)</f>
        <v>Not Attempted</v>
      </c>
      <c r="K116" s="279" t="str">
        <f>IF(I116="Required","Required",IF(ISNUMBER(MATCH(J116,Lists!$H$2:$H$9,0)),I116,""))</f>
        <v/>
      </c>
      <c r="L116" s="280" t="str">
        <f>IF(I116="Required","Required",IF(ISNUMBER(MATCH(J116,Lists!$I$2:$I$9,0)),I116,IF(ISNUMBER(MATCH(J116,Lists!$J$2:$J$9,0)),I116,"")))</f>
        <v/>
      </c>
      <c r="Q116" s="45" t="b">
        <f>IF(I116="Required",0,IF(ISNUMBER(MATCH(J116,Lists!$I$2:$I$4,0)),L116))</f>
        <v>0</v>
      </c>
      <c r="R116" s="45" t="b">
        <f>IF(I116="Required",0,IF(ISNUMBER(MATCH(J116,Lists!$K$2:$K$7,0)),L116))</f>
        <v>0</v>
      </c>
      <c r="S116" s="45" t="b">
        <f>IF(I116="Required",0,IF(ISNUMBER(MATCH(J116,Lists!$G$2:$G$4,0)),L116))</f>
        <v>0</v>
      </c>
      <c r="T116" s="45" t="b">
        <f>IF(I116="Required",0,IF(ISNUMBER(MATCH(J116,Lists!$G$7:$G$8,0)),L116))</f>
        <v>0</v>
      </c>
      <c r="U116" s="45" t="b">
        <f>IF(I116="Required",0,IF(ISNUMBER(MATCH(J116,Lists!$H$2:$H$4,0)),K116))</f>
        <v>0</v>
      </c>
      <c r="V116" s="45">
        <f t="shared" si="8"/>
        <v>0</v>
      </c>
      <c r="W116" s="45">
        <f t="shared" si="9"/>
        <v>0</v>
      </c>
    </row>
    <row r="117" spans="1:23" ht="21" customHeight="1">
      <c r="A117" s="301" t="s">
        <v>23</v>
      </c>
      <c r="B117" s="44"/>
      <c r="C117" s="817"/>
      <c r="D117" s="804" t="s">
        <v>23</v>
      </c>
      <c r="E117" s="806" t="s">
        <v>106</v>
      </c>
      <c r="F117" s="304" t="s">
        <v>107</v>
      </c>
      <c r="G117" s="305">
        <f>'Review Comments'!F128</f>
        <v>2</v>
      </c>
      <c r="H117" s="305" t="str">
        <f>'Review Comments'!G128</f>
        <v>Yes</v>
      </c>
      <c r="I117" s="305">
        <f t="shared" si="12"/>
        <v>2</v>
      </c>
      <c r="J117" s="323" t="str">
        <f>IF('Review Comments'!H128=0,"",'Review Comments'!H128)</f>
        <v>Anticipated</v>
      </c>
      <c r="K117" s="279">
        <f>IF(I117="Required","Required",IF(ISNUMBER(MATCH(J117,Lists!$H$2:$H$9,0)),I117,""))</f>
        <v>2</v>
      </c>
      <c r="L117" s="280" t="str">
        <f>IF(I117="Required","Required",IF(ISNUMBER(MATCH(J117,Lists!$I$2:$I$9,0)),I117,IF(ISNUMBER(MATCH(J117,Lists!$J$2:$J$9,0)),I117,"")))</f>
        <v/>
      </c>
      <c r="Q117" s="45" t="b">
        <f>IF(I117="Required",0,IF(ISNUMBER(MATCH(J117,Lists!$I$2:$I$4,0)),L117))</f>
        <v>0</v>
      </c>
      <c r="R117" s="45" t="b">
        <f>IF(I117="Required",0,IF(ISNUMBER(MATCH(J117,Lists!$K$2:$K$7,0)),L117))</f>
        <v>0</v>
      </c>
      <c r="S117" s="45" t="b">
        <f>IF(I117="Required",0,IF(ISNUMBER(MATCH(J117,Lists!$G$2:$G$4,0)),L117))</f>
        <v>0</v>
      </c>
      <c r="T117" s="45" t="b">
        <f>IF(I117="Required",0,IF(ISNUMBER(MATCH(J117,Lists!$G$7:$G$8,0)),L117))</f>
        <v>0</v>
      </c>
      <c r="U117" s="45">
        <f>IF(I117="Required",0,IF(ISNUMBER(MATCH(J117,Lists!$H$2:$H$4,0)),K117))</f>
        <v>2</v>
      </c>
      <c r="V117" s="45">
        <f t="shared" si="8"/>
        <v>0</v>
      </c>
      <c r="W117" s="45">
        <f t="shared" si="9"/>
        <v>0</v>
      </c>
    </row>
    <row r="118" spans="1:23" ht="21" customHeight="1">
      <c r="A118" s="301" t="s">
        <v>23</v>
      </c>
      <c r="B118" s="44"/>
      <c r="C118" s="817"/>
      <c r="D118" s="804"/>
      <c r="E118" s="806"/>
      <c r="F118" s="304" t="s">
        <v>108</v>
      </c>
      <c r="G118" s="305">
        <f>'Review Comments'!F129</f>
        <v>1</v>
      </c>
      <c r="H118" s="305" t="str">
        <f>'Review Comments'!G129</f>
        <v>Yes</v>
      </c>
      <c r="I118" s="305">
        <f t="shared" si="12"/>
        <v>1</v>
      </c>
      <c r="J118" s="323" t="str">
        <f>IF('Review Comments'!H129=0,"",'Review Comments'!H129)</f>
        <v>Anticipated</v>
      </c>
      <c r="K118" s="279">
        <f>IF(I118="Required","Required",IF(ISNUMBER(MATCH(J118,Lists!$H$2:$H$9,0)),I118,""))</f>
        <v>1</v>
      </c>
      <c r="L118" s="280" t="str">
        <f>IF(I118="Required","Required",IF(ISNUMBER(MATCH(J118,Lists!$I$2:$I$9,0)),I118,IF(ISNUMBER(MATCH(J118,Lists!$J$2:$J$9,0)),I118,"")))</f>
        <v/>
      </c>
      <c r="Q118" s="45" t="b">
        <f>IF(I118="Required",0,IF(ISNUMBER(MATCH(J118,Lists!$I$2:$I$4,0)),L118))</f>
        <v>0</v>
      </c>
      <c r="R118" s="45" t="b">
        <f>IF(I118="Required",0,IF(ISNUMBER(MATCH(J118,Lists!$K$2:$K$7,0)),L118))</f>
        <v>0</v>
      </c>
      <c r="S118" s="45" t="b">
        <f>IF(I118="Required",0,IF(ISNUMBER(MATCH(J118,Lists!$G$2:$G$4,0)),L118))</f>
        <v>0</v>
      </c>
      <c r="T118" s="45" t="b">
        <f>IF(I118="Required",0,IF(ISNUMBER(MATCH(J118,Lists!$G$7:$G$8,0)),L118))</f>
        <v>0</v>
      </c>
      <c r="U118" s="45">
        <f>IF(I118="Required",0,IF(ISNUMBER(MATCH(J118,Lists!$H$2:$H$4,0)),K118))</f>
        <v>1</v>
      </c>
      <c r="V118" s="45">
        <f t="shared" si="8"/>
        <v>0</v>
      </c>
      <c r="W118" s="45">
        <f t="shared" si="9"/>
        <v>0</v>
      </c>
    </row>
    <row r="119" spans="1:23" ht="21" customHeight="1">
      <c r="A119" s="301" t="s">
        <v>23</v>
      </c>
      <c r="B119" s="44"/>
      <c r="C119" s="817"/>
      <c r="D119" s="804"/>
      <c r="E119" s="806"/>
      <c r="F119" s="304" t="s">
        <v>109</v>
      </c>
      <c r="G119" s="305">
        <f>'Review Comments'!F130</f>
        <v>0</v>
      </c>
      <c r="H119" s="305" t="str">
        <f>'Review Comments'!G130</f>
        <v>No</v>
      </c>
      <c r="I119" s="305" t="str">
        <f t="shared" si="12"/>
        <v/>
      </c>
      <c r="J119" s="323" t="str">
        <f>IF('Review Comments'!H130=0,"",'Review Comments'!H130)</f>
        <v>Not Attempted</v>
      </c>
      <c r="K119" s="279" t="str">
        <f>IF(I119="Required","Required",IF(ISNUMBER(MATCH(J119,Lists!$H$2:$H$9,0)),I119,""))</f>
        <v/>
      </c>
      <c r="L119" s="280" t="str">
        <f>IF(I119="Required","Required",IF(ISNUMBER(MATCH(J119,Lists!$I$2:$I$9,0)),I119,IF(ISNUMBER(MATCH(J119,Lists!$J$2:$J$9,0)),I119,"")))</f>
        <v/>
      </c>
      <c r="Q119" s="45" t="b">
        <f>IF(I119="Required",0,IF(ISNUMBER(MATCH(J119,Lists!$I$2:$I$4,0)),L119))</f>
        <v>0</v>
      </c>
      <c r="R119" s="45" t="b">
        <f>IF(I119="Required",0,IF(ISNUMBER(MATCH(J119,Lists!$K$2:$K$7,0)),L119))</f>
        <v>0</v>
      </c>
      <c r="S119" s="45" t="b">
        <f>IF(I119="Required",0,IF(ISNUMBER(MATCH(J119,Lists!$G$2:$G$4,0)),L119))</f>
        <v>0</v>
      </c>
      <c r="T119" s="45" t="b">
        <f>IF(I119="Required",0,IF(ISNUMBER(MATCH(J119,Lists!$G$7:$G$8,0)),L119))</f>
        <v>0</v>
      </c>
      <c r="U119" s="45" t="b">
        <f>IF(I119="Required",0,IF(ISNUMBER(MATCH(J119,Lists!$H$2:$H$4,0)),K119))</f>
        <v>0</v>
      </c>
      <c r="V119" s="45">
        <f t="shared" si="8"/>
        <v>0</v>
      </c>
      <c r="W119" s="45">
        <f t="shared" si="9"/>
        <v>0</v>
      </c>
    </row>
    <row r="120" spans="1:23" ht="21" customHeight="1">
      <c r="A120" s="301" t="s">
        <v>23</v>
      </c>
      <c r="B120" s="44"/>
      <c r="C120" s="817"/>
      <c r="D120" s="804"/>
      <c r="E120" s="806"/>
      <c r="F120" s="304" t="s">
        <v>110</v>
      </c>
      <c r="G120" s="305">
        <f>'Review Comments'!F131</f>
        <v>0</v>
      </c>
      <c r="H120" s="305" t="str">
        <f>'Review Comments'!G131</f>
        <v>No</v>
      </c>
      <c r="I120" s="305" t="str">
        <f t="shared" si="12"/>
        <v/>
      </c>
      <c r="J120" s="323" t="str">
        <f>IF('Review Comments'!H131=0,"",'Review Comments'!H131)</f>
        <v>Not Attempted</v>
      </c>
      <c r="K120" s="279" t="str">
        <f>IF(I120="Required","Required",IF(ISNUMBER(MATCH(J120,Lists!$H$2:$H$9,0)),I120,""))</f>
        <v/>
      </c>
      <c r="L120" s="280" t="str">
        <f>IF(I120="Required","Required",IF(ISNUMBER(MATCH(J120,Lists!$I$2:$I$9,0)),I120,IF(ISNUMBER(MATCH(J120,Lists!$J$2:$J$9,0)),I120,"")))</f>
        <v/>
      </c>
      <c r="Q120" s="45" t="b">
        <f>IF(I120="Required",0,IF(ISNUMBER(MATCH(J120,Lists!$I$2:$I$4,0)),L120))</f>
        <v>0</v>
      </c>
      <c r="R120" s="45" t="b">
        <f>IF(I120="Required",0,IF(ISNUMBER(MATCH(J120,Lists!$K$2:$K$7,0)),L120))</f>
        <v>0</v>
      </c>
      <c r="S120" s="45" t="b">
        <f>IF(I120="Required",0,IF(ISNUMBER(MATCH(J120,Lists!$G$2:$G$4,0)),L120))</f>
        <v>0</v>
      </c>
      <c r="T120" s="45" t="b">
        <f>IF(I120="Required",0,IF(ISNUMBER(MATCH(J120,Lists!$G$7:$G$8,0)),L120))</f>
        <v>0</v>
      </c>
      <c r="U120" s="45" t="b">
        <f>IF(I120="Required",0,IF(ISNUMBER(MATCH(J120,Lists!$H$2:$H$4,0)),K120))</f>
        <v>0</v>
      </c>
      <c r="V120" s="45">
        <f t="shared" si="8"/>
        <v>0</v>
      </c>
      <c r="W120" s="45">
        <f t="shared" si="9"/>
        <v>0</v>
      </c>
    </row>
    <row r="121" spans="1:23" ht="21" customHeight="1">
      <c r="A121" s="301" t="s">
        <v>23</v>
      </c>
      <c r="B121" s="44"/>
      <c r="C121" s="817"/>
      <c r="D121" s="804" t="s">
        <v>23</v>
      </c>
      <c r="E121" s="806" t="s">
        <v>111</v>
      </c>
      <c r="F121" s="304" t="s">
        <v>473</v>
      </c>
      <c r="G121" s="305">
        <f>'Review Comments'!F132</f>
        <v>0</v>
      </c>
      <c r="H121" s="305" t="str">
        <f>'Review Comments'!G132</f>
        <v>No</v>
      </c>
      <c r="I121" s="305" t="str">
        <f t="shared" si="12"/>
        <v/>
      </c>
      <c r="J121" s="323" t="str">
        <f>IF('Review Comments'!H132=0,"",'Review Comments'!H132)</f>
        <v>Not Attempted</v>
      </c>
      <c r="K121" s="279" t="str">
        <f>IF(I121="Required","Required",IF(ISNUMBER(MATCH(J121,Lists!$H$2:$H$9,0)),I121,""))</f>
        <v/>
      </c>
      <c r="L121" s="280" t="str">
        <f>IF(I121="Required","Required",IF(ISNUMBER(MATCH(J121,Lists!$I$2:$I$9,0)),I121,IF(ISNUMBER(MATCH(J121,Lists!$J$2:$J$9,0)),I121,"")))</f>
        <v/>
      </c>
      <c r="Q121" s="45" t="b">
        <f>IF(I121="Required",0,IF(ISNUMBER(MATCH(J121,Lists!$I$2:$I$4,0)),L121))</f>
        <v>0</v>
      </c>
      <c r="R121" s="45" t="b">
        <f>IF(I121="Required",0,IF(ISNUMBER(MATCH(J121,Lists!$K$2:$K$7,0)),L121))</f>
        <v>0</v>
      </c>
      <c r="S121" s="45" t="b">
        <f>IF(I121="Required",0,IF(ISNUMBER(MATCH(J121,Lists!$G$2:$G$4,0)),L121))</f>
        <v>0</v>
      </c>
      <c r="T121" s="45" t="b">
        <f>IF(I121="Required",0,IF(ISNUMBER(MATCH(J121,Lists!$G$7:$G$8,0)),L121))</f>
        <v>0</v>
      </c>
      <c r="U121" s="45" t="b">
        <f>IF(I121="Required",0,IF(ISNUMBER(MATCH(J121,Lists!$H$2:$H$4,0)),K121))</f>
        <v>0</v>
      </c>
      <c r="V121" s="45">
        <f t="shared" si="8"/>
        <v>0</v>
      </c>
      <c r="W121" s="45">
        <f t="shared" si="9"/>
        <v>0</v>
      </c>
    </row>
    <row r="122" spans="1:23" ht="21" customHeight="1">
      <c r="A122" s="301" t="s">
        <v>23</v>
      </c>
      <c r="B122" s="44"/>
      <c r="C122" s="817"/>
      <c r="D122" s="804"/>
      <c r="E122" s="806"/>
      <c r="F122" s="304" t="s">
        <v>474</v>
      </c>
      <c r="G122" s="305">
        <f>'Review Comments'!F133</f>
        <v>0</v>
      </c>
      <c r="H122" s="305" t="str">
        <f>'Review Comments'!G133</f>
        <v>No</v>
      </c>
      <c r="I122" s="305" t="str">
        <f t="shared" si="12"/>
        <v/>
      </c>
      <c r="J122" s="323" t="str">
        <f>IF('Review Comments'!H133=0,"",'Review Comments'!H133)</f>
        <v>Not Attempted</v>
      </c>
      <c r="K122" s="279" t="str">
        <f>IF(I122="Required","Required",IF(ISNUMBER(MATCH(J122,Lists!$H$2:$H$9,0)),I122,""))</f>
        <v/>
      </c>
      <c r="L122" s="280" t="str">
        <f>IF(I122="Required","Required",IF(ISNUMBER(MATCH(J122,Lists!$I$2:$I$9,0)),I122,IF(ISNUMBER(MATCH(J122,Lists!$J$2:$J$9,0)),I122,"")))</f>
        <v/>
      </c>
      <c r="Q122" s="45" t="b">
        <f>IF(I122="Required",0,IF(ISNUMBER(MATCH(J122,Lists!$I$2:$I$4,0)),L122))</f>
        <v>0</v>
      </c>
      <c r="R122" s="45" t="b">
        <f>IF(I122="Required",0,IF(ISNUMBER(MATCH(J122,Lists!$K$2:$K$7,0)),L122))</f>
        <v>0</v>
      </c>
      <c r="S122" s="45" t="b">
        <f>IF(I122="Required",0,IF(ISNUMBER(MATCH(J122,Lists!$G$2:$G$4,0)),L122))</f>
        <v>0</v>
      </c>
      <c r="T122" s="45" t="b">
        <f>IF(I122="Required",0,IF(ISNUMBER(MATCH(J122,Lists!$G$7:$G$8,0)),L122))</f>
        <v>0</v>
      </c>
      <c r="U122" s="45" t="b">
        <f>IF(I122="Required",0,IF(ISNUMBER(MATCH(J122,Lists!$H$2:$H$4,0)),K122))</f>
        <v>0</v>
      </c>
      <c r="V122" s="45">
        <f t="shared" si="8"/>
        <v>0</v>
      </c>
      <c r="W122" s="45">
        <f t="shared" si="9"/>
        <v>0</v>
      </c>
    </row>
    <row r="123" spans="1:23" ht="21" customHeight="1">
      <c r="A123" s="301" t="s">
        <v>23</v>
      </c>
      <c r="B123" s="44"/>
      <c r="C123" s="817"/>
      <c r="D123" s="306" t="s">
        <v>23</v>
      </c>
      <c r="E123" s="200" t="s">
        <v>112</v>
      </c>
      <c r="F123" s="304" t="s">
        <v>475</v>
      </c>
      <c r="G123" s="305">
        <f>'Review Comments'!F134</f>
        <v>2</v>
      </c>
      <c r="H123" s="305" t="str">
        <f>'Review Comments'!G134</f>
        <v>Yes</v>
      </c>
      <c r="I123" s="305">
        <f t="shared" si="12"/>
        <v>2</v>
      </c>
      <c r="J123" s="323" t="str">
        <f>IF('Review Comments'!H134=0,"",'Review Comments'!H134)</f>
        <v>Anticipated</v>
      </c>
      <c r="K123" s="279">
        <f>IF(I123="Required","Required",IF(ISNUMBER(MATCH(J123,Lists!$H$2:$H$9,0)),I123,""))</f>
        <v>2</v>
      </c>
      <c r="L123" s="280" t="str">
        <f>IF(I123="Required","Required",IF(ISNUMBER(MATCH(J123,Lists!$I$2:$I$9,0)),I123,IF(ISNUMBER(MATCH(J123,Lists!$J$2:$J$9,0)),I123,"")))</f>
        <v/>
      </c>
      <c r="Q123" s="45" t="b">
        <f>IF(I123="Required",0,IF(ISNUMBER(MATCH(J123,Lists!$I$2:$I$4,0)),L123))</f>
        <v>0</v>
      </c>
      <c r="R123" s="45" t="b">
        <f>IF(I123="Required",0,IF(ISNUMBER(MATCH(J123,Lists!$K$2:$K$7,0)),L123))</f>
        <v>0</v>
      </c>
      <c r="S123" s="45" t="b">
        <f>IF(I123="Required",0,IF(ISNUMBER(MATCH(J123,Lists!$G$2:$G$4,0)),L123))</f>
        <v>0</v>
      </c>
      <c r="T123" s="45" t="b">
        <f>IF(I123="Required",0,IF(ISNUMBER(MATCH(J123,Lists!$G$7:$G$8,0)),L123))</f>
        <v>0</v>
      </c>
      <c r="U123" s="45">
        <f>IF(I123="Required",0,IF(ISNUMBER(MATCH(J123,Lists!$H$2:$H$4,0)),K123))</f>
        <v>2</v>
      </c>
      <c r="V123" s="45">
        <f t="shared" si="8"/>
        <v>0</v>
      </c>
      <c r="W123" s="45">
        <f t="shared" si="9"/>
        <v>0</v>
      </c>
    </row>
    <row r="124" spans="1:23" ht="21" customHeight="1">
      <c r="A124" s="301" t="s">
        <v>23</v>
      </c>
      <c r="B124" s="44"/>
      <c r="C124" s="817"/>
      <c r="D124" s="804" t="s">
        <v>23</v>
      </c>
      <c r="E124" s="806" t="s">
        <v>113</v>
      </c>
      <c r="F124" s="304" t="s">
        <v>476</v>
      </c>
      <c r="G124" s="305">
        <f>'Review Comments'!F135</f>
        <v>0</v>
      </c>
      <c r="H124" s="305" t="str">
        <f>'Review Comments'!G135</f>
        <v>No</v>
      </c>
      <c r="I124" s="305" t="str">
        <f t="shared" si="12"/>
        <v/>
      </c>
      <c r="J124" s="323" t="str">
        <f>IF('Review Comments'!H135=0,"",'Review Comments'!H135)</f>
        <v>Withdrawn</v>
      </c>
      <c r="K124" s="279" t="str">
        <f>IF(I124="Required","Required",IF(ISNUMBER(MATCH(J124,Lists!$H$2:$H$9,0)),I124,""))</f>
        <v/>
      </c>
      <c r="L124" s="280" t="str">
        <f>IF(I124="Required","Required",IF(ISNUMBER(MATCH(J124,Lists!$I$2:$I$9,0)),I124,IF(ISNUMBER(MATCH(J124,Lists!$J$2:$J$9,0)),I124,"")))</f>
        <v/>
      </c>
      <c r="Q124" s="45" t="b">
        <f>IF(I124="Required",0,IF(ISNUMBER(MATCH(J124,Lists!$I$2:$I$4,0)),L124))</f>
        <v>0</v>
      </c>
      <c r="R124" s="45" t="b">
        <f>IF(I124="Required",0,IF(ISNUMBER(MATCH(J124,Lists!$K$2:$K$7,0)),L124))</f>
        <v>0</v>
      </c>
      <c r="S124" s="45" t="b">
        <f>IF(I124="Required",0,IF(ISNUMBER(MATCH(J124,Lists!$G$2:$G$4,0)),L124))</f>
        <v>0</v>
      </c>
      <c r="T124" s="45" t="b">
        <f>IF(I124="Required",0,IF(ISNUMBER(MATCH(J124,Lists!$G$7:$G$8,0)),L124))</f>
        <v>0</v>
      </c>
      <c r="U124" s="45" t="b">
        <f>IF(I124="Required",0,IF(ISNUMBER(MATCH(J124,Lists!$H$2:$H$4,0)),K124))</f>
        <v>0</v>
      </c>
      <c r="V124" s="45">
        <f t="shared" si="8"/>
        <v>0</v>
      </c>
      <c r="W124" s="45">
        <f t="shared" si="9"/>
        <v>0</v>
      </c>
    </row>
    <row r="125" spans="1:23" ht="21" customHeight="1">
      <c r="A125" s="301" t="s">
        <v>23</v>
      </c>
      <c r="B125" s="44"/>
      <c r="C125" s="817"/>
      <c r="D125" s="804"/>
      <c r="E125" s="806"/>
      <c r="F125" s="304" t="s">
        <v>477</v>
      </c>
      <c r="G125" s="305">
        <f>'Review Comments'!F136</f>
        <v>0</v>
      </c>
      <c r="H125" s="305" t="str">
        <f>'Review Comments'!G136</f>
        <v>No</v>
      </c>
      <c r="I125" s="305" t="str">
        <f t="shared" si="12"/>
        <v/>
      </c>
      <c r="J125" s="323" t="str">
        <f>IF('Review Comments'!H136=0,"",'Review Comments'!H136)</f>
        <v>Not Attempted</v>
      </c>
      <c r="K125" s="279" t="str">
        <f>IF(I125="Required","Required",IF(ISNUMBER(MATCH(J125,Lists!$H$2:$H$9,0)),I125,""))</f>
        <v/>
      </c>
      <c r="L125" s="280" t="str">
        <f>IF(I125="Required","Required",IF(ISNUMBER(MATCH(J125,Lists!$I$2:$I$9,0)),I125,IF(ISNUMBER(MATCH(J125,Lists!$J$2:$J$9,0)),I125,"")))</f>
        <v/>
      </c>
      <c r="Q125" s="45" t="b">
        <f>IF(I125="Required",0,IF(ISNUMBER(MATCH(J125,Lists!$I$2:$I$4,0)),L125))</f>
        <v>0</v>
      </c>
      <c r="R125" s="45" t="b">
        <f>IF(I125="Required",0,IF(ISNUMBER(MATCH(J125,Lists!$K$2:$K$7,0)),L125))</f>
        <v>0</v>
      </c>
      <c r="S125" s="45" t="b">
        <f>IF(I125="Required",0,IF(ISNUMBER(MATCH(J125,Lists!$G$2:$G$4,0)),L125))</f>
        <v>0</v>
      </c>
      <c r="T125" s="45" t="b">
        <f>IF(I125="Required",0,IF(ISNUMBER(MATCH(J125,Lists!$G$7:$G$8,0)),L125))</f>
        <v>0</v>
      </c>
      <c r="U125" s="45" t="b">
        <f>IF(I125="Required",0,IF(ISNUMBER(MATCH(J125,Lists!$H$2:$H$4,0)),K125))</f>
        <v>0</v>
      </c>
      <c r="V125" s="45">
        <f t="shared" si="8"/>
        <v>0</v>
      </c>
      <c r="W125" s="45">
        <f t="shared" si="9"/>
        <v>0</v>
      </c>
    </row>
    <row r="126" spans="1:23" ht="21" customHeight="1">
      <c r="A126" s="301" t="s">
        <v>23</v>
      </c>
      <c r="B126" s="44"/>
      <c r="C126" s="817"/>
      <c r="D126" s="804"/>
      <c r="E126" s="806"/>
      <c r="F126" s="304" t="s">
        <v>478</v>
      </c>
      <c r="G126" s="305">
        <f>'Review Comments'!F137</f>
        <v>1</v>
      </c>
      <c r="H126" s="305" t="str">
        <f>'Review Comments'!G137</f>
        <v>Yes</v>
      </c>
      <c r="I126" s="305">
        <f t="shared" si="12"/>
        <v>1</v>
      </c>
      <c r="J126" s="323" t="str">
        <f>IF('Review Comments'!H137=0,"",'Review Comments'!H137)</f>
        <v>Anticipated</v>
      </c>
      <c r="K126" s="279">
        <f>IF(I126="Required","Required",IF(ISNUMBER(MATCH(J126,Lists!$H$2:$H$9,0)),I126,""))</f>
        <v>1</v>
      </c>
      <c r="L126" s="280" t="str">
        <f>IF(I126="Required","Required",IF(ISNUMBER(MATCH(J126,Lists!$I$2:$I$9,0)),I126,IF(ISNUMBER(MATCH(J126,Lists!$J$2:$J$9,0)),I126,"")))</f>
        <v/>
      </c>
      <c r="Q126" s="45" t="b">
        <f>IF(I126="Required",0,IF(ISNUMBER(MATCH(J126,Lists!$I$2:$I$4,0)),L126))</f>
        <v>0</v>
      </c>
      <c r="R126" s="45" t="b">
        <f>IF(I126="Required",0,IF(ISNUMBER(MATCH(J126,Lists!$K$2:$K$7,0)),L126))</f>
        <v>0</v>
      </c>
      <c r="S126" s="45" t="b">
        <f>IF(I126="Required",0,IF(ISNUMBER(MATCH(J126,Lists!$G$2:$G$4,0)),L126))</f>
        <v>0</v>
      </c>
      <c r="T126" s="45" t="b">
        <f>IF(I126="Required",0,IF(ISNUMBER(MATCH(J126,Lists!$G$7:$G$8,0)),L126))</f>
        <v>0</v>
      </c>
      <c r="U126" s="45">
        <f>IF(I126="Required",0,IF(ISNUMBER(MATCH(J126,Lists!$H$2:$H$4,0)),K126))</f>
        <v>1</v>
      </c>
      <c r="V126" s="45">
        <f t="shared" si="8"/>
        <v>0</v>
      </c>
      <c r="W126" s="45">
        <f t="shared" si="9"/>
        <v>0</v>
      </c>
    </row>
    <row r="127" spans="1:23" ht="21" customHeight="1">
      <c r="A127" s="301" t="s">
        <v>23</v>
      </c>
      <c r="B127" s="44"/>
      <c r="C127" s="817"/>
      <c r="D127" s="804" t="s">
        <v>23</v>
      </c>
      <c r="E127" s="806" t="s">
        <v>114</v>
      </c>
      <c r="F127" s="304" t="s">
        <v>479</v>
      </c>
      <c r="G127" s="305">
        <f>'Review Comments'!F138</f>
        <v>0</v>
      </c>
      <c r="H127" s="305" t="str">
        <f>'Review Comments'!G138</f>
        <v>No</v>
      </c>
      <c r="I127" s="305" t="str">
        <f t="shared" si="12"/>
        <v/>
      </c>
      <c r="J127" s="323" t="str">
        <f>IF('Review Comments'!H138=0,"",'Review Comments'!H138)</f>
        <v>Not Attempted</v>
      </c>
      <c r="K127" s="279" t="str">
        <f>IF(I127="Required","Required",IF(ISNUMBER(MATCH(J127,Lists!$H$2:$H$9,0)),I127,""))</f>
        <v/>
      </c>
      <c r="L127" s="280" t="str">
        <f>IF(I127="Required","Required",IF(ISNUMBER(MATCH(J127,Lists!$I$2:$I$9,0)),I127,IF(ISNUMBER(MATCH(J127,Lists!$J$2:$J$9,0)),I127,"")))</f>
        <v/>
      </c>
      <c r="Q127" s="45" t="b">
        <f>IF(I127="Required",0,IF(ISNUMBER(MATCH(J127,Lists!$I$2:$I$4,0)),L127))</f>
        <v>0</v>
      </c>
      <c r="R127" s="45" t="b">
        <f>IF(I127="Required",0,IF(ISNUMBER(MATCH(J127,Lists!$K$2:$K$7,0)),L127))</f>
        <v>0</v>
      </c>
      <c r="S127" s="45" t="b">
        <f>IF(I127="Required",0,IF(ISNUMBER(MATCH(J127,Lists!$G$2:$G$4,0)),L127))</f>
        <v>0</v>
      </c>
      <c r="T127" s="45" t="b">
        <f>IF(I127="Required",0,IF(ISNUMBER(MATCH(J127,Lists!$G$7:$G$8,0)),L127))</f>
        <v>0</v>
      </c>
      <c r="U127" s="45" t="b">
        <f>IF(I127="Required",0,IF(ISNUMBER(MATCH(J127,Lists!$H$2:$H$4,0)),K127))</f>
        <v>0</v>
      </c>
      <c r="V127" s="45">
        <f t="shared" si="8"/>
        <v>0</v>
      </c>
      <c r="W127" s="45">
        <f t="shared" si="9"/>
        <v>0</v>
      </c>
    </row>
    <row r="128" spans="1:23" ht="21" customHeight="1">
      <c r="A128" s="301" t="s">
        <v>23</v>
      </c>
      <c r="B128" s="44"/>
      <c r="C128" s="817"/>
      <c r="D128" s="804"/>
      <c r="E128" s="806"/>
      <c r="F128" s="304" t="s">
        <v>480</v>
      </c>
      <c r="G128" s="305">
        <f>'Review Comments'!F139</f>
        <v>1</v>
      </c>
      <c r="H128" s="305" t="str">
        <f>'Review Comments'!G139</f>
        <v>Yes</v>
      </c>
      <c r="I128" s="305">
        <f t="shared" si="12"/>
        <v>1</v>
      </c>
      <c r="J128" s="323" t="str">
        <f>IF('Review Comments'!H139=0,"",'Review Comments'!H139)</f>
        <v>Anticipated</v>
      </c>
      <c r="K128" s="279">
        <f>IF(I128="Required","Required",IF(ISNUMBER(MATCH(J128,Lists!$H$2:$H$9,0)),I128,""))</f>
        <v>1</v>
      </c>
      <c r="L128" s="280" t="str">
        <f>IF(I128="Required","Required",IF(ISNUMBER(MATCH(J128,Lists!$I$2:$I$9,0)),I128,IF(ISNUMBER(MATCH(J128,Lists!$J$2:$J$9,0)),I128,"")))</f>
        <v/>
      </c>
      <c r="Q128" s="45" t="b">
        <f>IF(I128="Required",0,IF(ISNUMBER(MATCH(J128,Lists!$I$2:$I$4,0)),L128))</f>
        <v>0</v>
      </c>
      <c r="R128" s="45" t="b">
        <f>IF(I128="Required",0,IF(ISNUMBER(MATCH(J128,Lists!$K$2:$K$7,0)),L128))</f>
        <v>0</v>
      </c>
      <c r="S128" s="45" t="b">
        <f>IF(I128="Required",0,IF(ISNUMBER(MATCH(J128,Lists!$G$2:$G$4,0)),L128))</f>
        <v>0</v>
      </c>
      <c r="T128" s="45" t="b">
        <f>IF(I128="Required",0,IF(ISNUMBER(MATCH(J128,Lists!$G$7:$G$8,0)),L128))</f>
        <v>0</v>
      </c>
      <c r="U128" s="45">
        <f>IF(I128="Required",0,IF(ISNUMBER(MATCH(J128,Lists!$H$2:$H$4,0)),K128))</f>
        <v>1</v>
      </c>
      <c r="V128" s="45">
        <f t="shared" si="8"/>
        <v>0</v>
      </c>
      <c r="W128" s="45">
        <f t="shared" si="9"/>
        <v>0</v>
      </c>
    </row>
    <row r="129" spans="1:23" ht="21" customHeight="1">
      <c r="A129" s="301" t="s">
        <v>23</v>
      </c>
      <c r="B129" s="44"/>
      <c r="C129" s="817"/>
      <c r="D129" s="807" t="s">
        <v>23</v>
      </c>
      <c r="E129" s="809" t="s">
        <v>115</v>
      </c>
      <c r="F129" s="304" t="s">
        <v>481</v>
      </c>
      <c r="G129" s="305">
        <f>'Review Comments'!F140</f>
        <v>0</v>
      </c>
      <c r="H129" s="305" t="str">
        <f>'Review Comments'!G140</f>
        <v>No</v>
      </c>
      <c r="I129" s="305" t="str">
        <f t="shared" si="12"/>
        <v/>
      </c>
      <c r="J129" s="323" t="str">
        <f>IF('Review Comments'!H140=0,"",'Review Comments'!H140)</f>
        <v>Not Attempted</v>
      </c>
      <c r="K129" s="279" t="str">
        <f>IF(I129="Required","Required",IF(ISNUMBER(MATCH(J129,Lists!$H$2:$H$9,0)),I129,""))</f>
        <v/>
      </c>
      <c r="L129" s="280" t="str">
        <f>IF(I129="Required","Required",IF(ISNUMBER(MATCH(J129,Lists!$I$2:$I$9,0)),I129,IF(ISNUMBER(MATCH(J129,Lists!$J$2:$J$9,0)),I129,"")))</f>
        <v/>
      </c>
      <c r="N129" s="185" t="s">
        <v>1049</v>
      </c>
      <c r="Q129" s="45" t="b">
        <f>IF(I129="Required",0,IF(ISNUMBER(MATCH(J129,Lists!$I$2:$I$4,0)),L129))</f>
        <v>0</v>
      </c>
      <c r="R129" s="45" t="b">
        <f>IF(I129="Required",0,IF(ISNUMBER(MATCH(J129,Lists!$K$2:$K$7,0)),L129))</f>
        <v>0</v>
      </c>
      <c r="S129" s="45" t="b">
        <f>IF(I129="Required",0,IF(ISNUMBER(MATCH(J129,Lists!$G$2:$G$4,0)),L129))</f>
        <v>0</v>
      </c>
      <c r="T129" s="45" t="b">
        <f>IF(I129="Required",0,IF(ISNUMBER(MATCH(J129,Lists!$G$7:$G$8,0)),L129))</f>
        <v>0</v>
      </c>
      <c r="U129" s="45" t="b">
        <f>IF(I129="Required",0,IF(ISNUMBER(MATCH(J129,Lists!$H$2:$H$4,0)),K129))</f>
        <v>0</v>
      </c>
      <c r="V129" s="45">
        <f t="shared" si="8"/>
        <v>0</v>
      </c>
      <c r="W129" s="45">
        <f t="shared" si="9"/>
        <v>0</v>
      </c>
    </row>
    <row r="130" spans="1:23" ht="21" hidden="1" customHeight="1">
      <c r="A130" s="301" t="s">
        <v>23</v>
      </c>
      <c r="B130" s="44"/>
      <c r="C130" s="817"/>
      <c r="D130" s="818"/>
      <c r="E130" s="819"/>
      <c r="F130" s="304" t="s">
        <v>1048</v>
      </c>
      <c r="G130" s="305">
        <f>'Review Comments'!F141</f>
        <v>0</v>
      </c>
      <c r="H130" s="305">
        <f>'Review Comments'!G141</f>
        <v>0</v>
      </c>
      <c r="I130" s="305" t="str">
        <f t="shared" ref="I130:I133" si="13">IF(H130="Yes",G130,IF(H130="Required","Required",""))</f>
        <v/>
      </c>
      <c r="J130" s="323" t="str">
        <f>IF('Review Comments'!H141=0,"",'Review Comments'!H141)</f>
        <v/>
      </c>
      <c r="K130" s="279" t="str">
        <f>IF(I130="Required","Required",IF(ISNUMBER(MATCH(J130,Lists!$H$2:$H$9,0)),I130,""))</f>
        <v/>
      </c>
      <c r="L130" s="280" t="str">
        <f>IF(I130="Required","Required",IF(ISNUMBER(MATCH(J130,Lists!$I$2:$I$9,0)),I130,IF(ISNUMBER(MATCH(J130,Lists!$J$2:$J$9,0)),I130,"")))</f>
        <v/>
      </c>
      <c r="Q130" s="45" t="b">
        <f>IF(I130="Required",0,IF(ISNUMBER(MATCH(J130,Lists!$I$2:$I$4,0)),L130))</f>
        <v>0</v>
      </c>
      <c r="R130" s="45" t="b">
        <f>IF(I130="Required",0,IF(ISNUMBER(MATCH(J130,Lists!$K$2:$K$7,0)),L130))</f>
        <v>0</v>
      </c>
      <c r="S130" s="45" t="b">
        <f>IF(I130="Required",0,IF(ISNUMBER(MATCH(J130,Lists!$G$2:$G$4,0)),L130))</f>
        <v>0</v>
      </c>
      <c r="T130" s="45" t="b">
        <f>IF(I130="Required",0,IF(ISNUMBER(MATCH(J130,Lists!$G$7:$G$8,0)),L130))</f>
        <v>0</v>
      </c>
      <c r="U130" s="45" t="b">
        <f>IF(I130="Required",0,IF(ISNUMBER(MATCH(J130,Lists!$H$2:$H$4,0)),K130))</f>
        <v>0</v>
      </c>
      <c r="V130" s="45">
        <f t="shared" ref="V130" si="14">IF(A130="P",IF(IFERROR(SEARCH("Pending Documentation",J130),0)&gt;0,IF(I130="Required",1,I130),0),0)</f>
        <v>0</v>
      </c>
      <c r="W130" s="45">
        <f t="shared" ref="W130" si="15">IF(A130="P",IF(IFERROR(SEARCH("Pending On-site Assessment",J130),0)&gt;0,IF(I130="Required",1,I130),0),0)</f>
        <v>0</v>
      </c>
    </row>
    <row r="131" spans="1:23" ht="21" hidden="1" customHeight="1">
      <c r="A131" s="301" t="s">
        <v>23</v>
      </c>
      <c r="B131" s="44"/>
      <c r="C131" s="817"/>
      <c r="D131" s="808"/>
      <c r="E131" s="810"/>
      <c r="F131" s="304" t="s">
        <v>1045</v>
      </c>
      <c r="G131" s="305">
        <f>'Review Comments'!F142</f>
        <v>0</v>
      </c>
      <c r="H131" s="305">
        <f>'Review Comments'!G142</f>
        <v>0</v>
      </c>
      <c r="I131" s="305" t="str">
        <f t="shared" si="13"/>
        <v/>
      </c>
      <c r="J131" s="323" t="str">
        <f>IF('Review Comments'!H142=0,"",'Review Comments'!H142)</f>
        <v/>
      </c>
      <c r="K131" s="279" t="str">
        <f>IF(I131="Required","Required",IF(ISNUMBER(MATCH(J131,Lists!$H$2:$H$9,0)),I131,""))</f>
        <v/>
      </c>
      <c r="L131" s="280" t="str">
        <f>IF(I131="Required","Required",IF(ISNUMBER(MATCH(J131,Lists!$I$2:$I$9,0)),I131,IF(ISNUMBER(MATCH(J131,Lists!$J$2:$J$9,0)),I131,"")))</f>
        <v/>
      </c>
      <c r="Q131" s="45" t="b">
        <f>IF(I131="Required",0,IF(ISNUMBER(MATCH(J131,Lists!$I$2:$I$4,0)),L131))</f>
        <v>0</v>
      </c>
      <c r="R131" s="45" t="b">
        <f>IF(I131="Required",0,IF(ISNUMBER(MATCH(J131,Lists!$K$2:$K$7,0)),L131))</f>
        <v>0</v>
      </c>
      <c r="S131" s="45" t="b">
        <f>IF(I131="Required",0,IF(ISNUMBER(MATCH(J131,Lists!$G$2:$G$4,0)),L131))</f>
        <v>0</v>
      </c>
      <c r="T131" s="45" t="b">
        <f>IF(I131="Required",0,IF(ISNUMBER(MATCH(J131,Lists!$G$7:$G$8,0)),L131))</f>
        <v>0</v>
      </c>
      <c r="U131" s="45" t="b">
        <f>IF(I131="Required",0,IF(ISNUMBER(MATCH(J131,Lists!$H$2:$H$4,0)),K131))</f>
        <v>0</v>
      </c>
      <c r="V131" s="45">
        <f t="shared" ref="V131" si="16">IF(A131="P",IF(IFERROR(SEARCH("Pending Documentation",J131),0)&gt;0,IF(I131="Required",1,I131),0),0)</f>
        <v>0</v>
      </c>
      <c r="W131" s="45">
        <f t="shared" ref="W131" si="17">IF(A131="P",IF(IFERROR(SEARCH("Pending On-site Assessment",J131),0)&gt;0,IF(I131="Required",1,I131),0),0)</f>
        <v>0</v>
      </c>
    </row>
    <row r="132" spans="1:23" ht="21" customHeight="1">
      <c r="A132" s="301" t="s">
        <v>23</v>
      </c>
      <c r="B132" s="44"/>
      <c r="C132" s="817"/>
      <c r="D132" s="804" t="s">
        <v>23</v>
      </c>
      <c r="E132" s="806" t="s">
        <v>116</v>
      </c>
      <c r="F132" s="304" t="s">
        <v>482</v>
      </c>
      <c r="G132" s="305">
        <f>'Review Comments'!F143</f>
        <v>0</v>
      </c>
      <c r="H132" s="305" t="str">
        <f>'Review Comments'!G143</f>
        <v>No</v>
      </c>
      <c r="I132" s="305" t="str">
        <f t="shared" si="13"/>
        <v/>
      </c>
      <c r="J132" s="323" t="str">
        <f>IF('Review Comments'!H143=0,"",'Review Comments'!H143)</f>
        <v>Not Attempted</v>
      </c>
      <c r="K132" s="279" t="str">
        <f>IF(I132="Required","Required",IF(ISNUMBER(MATCH(J132,Lists!$H$2:$H$9,0)),I132,""))</f>
        <v/>
      </c>
      <c r="L132" s="280" t="str">
        <f>IF(I132="Required","Required",IF(ISNUMBER(MATCH(J132,Lists!$I$2:$I$9,0)),I132,IF(ISNUMBER(MATCH(J132,Lists!$J$2:$J$9,0)),I132,"")))</f>
        <v/>
      </c>
      <c r="Q132" s="45" t="b">
        <f>IF(I132="Required",0,IF(ISNUMBER(MATCH(J132,Lists!$I$2:$I$4,0)),L132))</f>
        <v>0</v>
      </c>
      <c r="R132" s="45" t="b">
        <f>IF(I132="Required",0,IF(ISNUMBER(MATCH(J132,Lists!$K$2:$K$7,0)),L132))</f>
        <v>0</v>
      </c>
      <c r="S132" s="45" t="b">
        <f>IF(I132="Required",0,IF(ISNUMBER(MATCH(J132,Lists!$G$2:$G$4,0)),L132))</f>
        <v>0</v>
      </c>
      <c r="T132" s="45" t="b">
        <f>IF(I132="Required",0,IF(ISNUMBER(MATCH(J132,Lists!$G$7:$G$8,0)),L132))</f>
        <v>0</v>
      </c>
      <c r="U132" s="45" t="b">
        <f>IF(I132="Required",0,IF(ISNUMBER(MATCH(J132,Lists!$H$2:$H$4,0)),K132))</f>
        <v>0</v>
      </c>
      <c r="V132" s="45">
        <f t="shared" si="8"/>
        <v>0</v>
      </c>
      <c r="W132" s="45">
        <f t="shared" si="9"/>
        <v>0</v>
      </c>
    </row>
    <row r="133" spans="1:23" ht="21" customHeight="1">
      <c r="A133" s="301" t="s">
        <v>23</v>
      </c>
      <c r="B133" s="44"/>
      <c r="C133" s="817"/>
      <c r="D133" s="804"/>
      <c r="E133" s="806"/>
      <c r="F133" s="304" t="s">
        <v>483</v>
      </c>
      <c r="G133" s="305">
        <f>'Review Comments'!F144</f>
        <v>0</v>
      </c>
      <c r="H133" s="305" t="str">
        <f>'Review Comments'!G144</f>
        <v>No</v>
      </c>
      <c r="I133" s="305" t="str">
        <f t="shared" si="13"/>
        <v/>
      </c>
      <c r="J133" s="323" t="str">
        <f>IF('Review Comments'!H144=0,"",'Review Comments'!H144)</f>
        <v>Not Attempted</v>
      </c>
      <c r="K133" s="279" t="str">
        <f>IF(I133="Required","Required",IF(ISNUMBER(MATCH(J133,Lists!$H$2:$H$9,0)),I133,""))</f>
        <v/>
      </c>
      <c r="L133" s="280" t="str">
        <f>IF(I133="Required","Required",IF(ISNUMBER(MATCH(J133,Lists!$I$2:$I$9,0)),I133,IF(ISNUMBER(MATCH(J133,Lists!$J$2:$J$9,0)),I133,"")))</f>
        <v/>
      </c>
      <c r="Q133" s="45" t="b">
        <f>IF(I133="Required",0,IF(ISNUMBER(MATCH(J133,Lists!$I$2:$I$4,0)),L133))</f>
        <v>0</v>
      </c>
      <c r="R133" s="45" t="b">
        <f>IF(I133="Required",0,IF(ISNUMBER(MATCH(J133,Lists!$K$2:$K$7,0)),L133))</f>
        <v>0</v>
      </c>
      <c r="S133" s="45" t="b">
        <f>IF(I133="Required",0,IF(ISNUMBER(MATCH(J133,Lists!$G$2:$G$4,0)),L133))</f>
        <v>0</v>
      </c>
      <c r="T133" s="45" t="b">
        <f>IF(I133="Required",0,IF(ISNUMBER(MATCH(J133,Lists!$G$7:$G$8,0)),L133))</f>
        <v>0</v>
      </c>
      <c r="U133" s="45" t="b">
        <f>IF(I133="Required",0,IF(ISNUMBER(MATCH(J133,Lists!$H$2:$H$4,0)),K133))</f>
        <v>0</v>
      </c>
      <c r="V133" s="45">
        <f t="shared" si="8"/>
        <v>0</v>
      </c>
      <c r="W133" s="45">
        <f t="shared" si="9"/>
        <v>0</v>
      </c>
    </row>
    <row r="134" spans="1:23" ht="21" customHeight="1" thickBot="1">
      <c r="A134" s="301" t="s">
        <v>23</v>
      </c>
      <c r="B134" s="44"/>
      <c r="C134" s="817"/>
      <c r="D134" s="345" t="s">
        <v>23</v>
      </c>
      <c r="E134" s="204" t="s">
        <v>117</v>
      </c>
      <c r="F134" s="333" t="s">
        <v>484</v>
      </c>
      <c r="G134" s="309">
        <f>'Review Comments'!F145</f>
        <v>1</v>
      </c>
      <c r="H134" s="309" t="str">
        <f>'Review Comments'!G145</f>
        <v>Yes</v>
      </c>
      <c r="I134" s="309">
        <f t="shared" si="12"/>
        <v>1</v>
      </c>
      <c r="J134" s="334" t="str">
        <f>IF('Review Comments'!H145=0,"",'Review Comments'!H145)</f>
        <v>Anticipated</v>
      </c>
      <c r="K134" s="284">
        <f>IF(I134="Required","Required",IF(ISNUMBER(MATCH(J134,Lists!$H$2:$H$9,0)),I134,""))</f>
        <v>1</v>
      </c>
      <c r="L134" s="285" t="str">
        <f>IF(I134="Required","Required",IF(ISNUMBER(MATCH(J134,Lists!$I$2:$I$9,0)),I134,IF(ISNUMBER(MATCH(J134,Lists!$J$2:$J$9,0)),I134,"")))</f>
        <v/>
      </c>
      <c r="Q134" s="45" t="b">
        <f>IF(I134="Required",0,IF(ISNUMBER(MATCH(J134,Lists!$I$2:$I$4,0)),L134))</f>
        <v>0</v>
      </c>
      <c r="R134" s="45" t="b">
        <f>IF(I134="Required",0,IF(ISNUMBER(MATCH(J134,Lists!$K$2:$K$7,0)),L134))</f>
        <v>0</v>
      </c>
      <c r="S134" s="45" t="b">
        <f>IF(I134="Required",0,IF(ISNUMBER(MATCH(J134,Lists!$G$2:$G$4,0)),L134))</f>
        <v>0</v>
      </c>
      <c r="T134" s="45" t="b">
        <f>IF(I134="Required",0,IF(ISNUMBER(MATCH(J134,Lists!$G$7:$G$8,0)),L134))</f>
        <v>0</v>
      </c>
      <c r="U134" s="45">
        <f>IF(I134="Required",0,IF(ISNUMBER(MATCH(J134,Lists!$H$2:$H$4,0)),K134))</f>
        <v>1</v>
      </c>
      <c r="V134" s="45">
        <f t="shared" si="8"/>
        <v>0</v>
      </c>
      <c r="W134" s="45">
        <f t="shared" si="9"/>
        <v>0</v>
      </c>
    </row>
    <row r="135" spans="1:23" s="175" customFormat="1" ht="16.2" customHeight="1">
      <c r="A135" s="346"/>
      <c r="B135" s="174"/>
      <c r="C135" s="347"/>
      <c r="D135" s="348"/>
      <c r="E135" s="349"/>
      <c r="F135" s="350"/>
      <c r="G135" s="351">
        <f>SUM(G106:G134)</f>
        <v>12</v>
      </c>
      <c r="H135" s="348"/>
      <c r="I135" s="352">
        <f>(SUM(I106:I134))</f>
        <v>12</v>
      </c>
      <c r="J135" s="353"/>
      <c r="K135" s="352">
        <f>SUM(K106:K134)</f>
        <v>12</v>
      </c>
      <c r="L135" s="354">
        <f>SUM(L106:L134)</f>
        <v>0</v>
      </c>
      <c r="Q135" s="175" t="b">
        <f>IF(I135="Required",0,IF(ISNUMBER(MATCH(J135,Lists!$I$2:$I$4,0)),L135))</f>
        <v>0</v>
      </c>
      <c r="R135" s="175" t="b">
        <f>IF(I135="Required",0,IF(ISNUMBER(MATCH(J135,Lists!$K$2:$K$7,0)),L135))</f>
        <v>0</v>
      </c>
      <c r="S135" s="175" t="b">
        <f>IF(I135="Required",0,IF(ISNUMBER(MATCH(J135,Lists!$G$2:$G$4,0)),L135))</f>
        <v>0</v>
      </c>
      <c r="T135" s="175" t="b">
        <f>IF(I135="Required",0,IF(ISNUMBER(MATCH(J135,Lists!$G$7:$G$8,0)),L135))</f>
        <v>0</v>
      </c>
      <c r="U135" s="175" t="b">
        <f>IF(I135="Required",0,IF(ISNUMBER(MATCH(J135,Lists!$H$2:$H$4,0)),K135))</f>
        <v>0</v>
      </c>
      <c r="V135" s="175">
        <f t="shared" si="8"/>
        <v>0</v>
      </c>
      <c r="W135" s="45">
        <f t="shared" si="9"/>
        <v>0</v>
      </c>
    </row>
    <row r="136" spans="1:23" ht="6.6" customHeight="1" thickBot="1">
      <c r="A136" s="294"/>
      <c r="B136" s="44"/>
      <c r="C136" s="363"/>
      <c r="D136" s="364"/>
      <c r="E136" s="365"/>
      <c r="F136" s="366"/>
      <c r="G136" s="367"/>
      <c r="H136" s="367"/>
      <c r="I136" s="367"/>
      <c r="J136" s="368"/>
      <c r="K136" s="367"/>
      <c r="L136" s="369"/>
      <c r="Q136" s="45" t="b">
        <f>IF(I136="Required",0,IF(ISNUMBER(MATCH(J136,Lists!$I$2:$I$4,0)),L136))</f>
        <v>0</v>
      </c>
      <c r="R136" s="45" t="b">
        <f>IF(I136="Required",0,IF(ISNUMBER(MATCH(J136,Lists!$K$2:$K$7,0)),L136))</f>
        <v>0</v>
      </c>
      <c r="S136" s="45" t="b">
        <f>IF(I136="Required",0,IF(ISNUMBER(MATCH(J136,Lists!$G$2:$G$4,0)),L136))</f>
        <v>0</v>
      </c>
      <c r="T136" s="45" t="b">
        <f>IF(I136="Required",0,IF(ISNUMBER(MATCH(J136,Lists!$G$7:$G$8,0)),L136))</f>
        <v>0</v>
      </c>
      <c r="U136" s="45" t="b">
        <f>IF(I136="Required",0,IF(ISNUMBER(MATCH(J136,Lists!$H$2:$H$4,0)),K136))</f>
        <v>0</v>
      </c>
      <c r="V136" s="45">
        <f t="shared" si="8"/>
        <v>0</v>
      </c>
      <c r="W136" s="45">
        <f t="shared" si="9"/>
        <v>0</v>
      </c>
    </row>
    <row r="137" spans="1:23" ht="21" customHeight="1">
      <c r="A137" s="301" t="s">
        <v>8</v>
      </c>
      <c r="B137" s="44"/>
      <c r="C137" s="820" t="s">
        <v>118</v>
      </c>
      <c r="D137" s="803" t="s">
        <v>8</v>
      </c>
      <c r="E137" s="805" t="s">
        <v>119</v>
      </c>
      <c r="F137" s="302" t="s">
        <v>120</v>
      </c>
      <c r="G137" s="303">
        <f>'Review Comments'!F151</f>
        <v>0</v>
      </c>
      <c r="H137" s="303" t="str">
        <f>'Review Comments'!G151</f>
        <v>Required</v>
      </c>
      <c r="I137" s="303" t="str">
        <f t="shared" ref="I137:I144" si="18">IF(H137="Yes",G137,IF(H137="Required","Required",""))</f>
        <v>Required</v>
      </c>
      <c r="J137" s="322" t="str">
        <f>IF('Review Comments'!H151=0,"",'Review Comments'!H151)</f>
        <v>Anticipated</v>
      </c>
      <c r="K137" s="275" t="str">
        <f>IF(I137="Required","Required",IF(ISNUMBER(MATCH(J137,Lists!$H$2:$H$9,0)),I137,""))</f>
        <v>Required</v>
      </c>
      <c r="L137" s="276" t="str">
        <f>IF(I137="Required","Required",IF(ISNUMBER(MATCH(J137,Lists!$I$2:$I$9,0)),I137,IF(ISNUMBER(MATCH(J137,Lists!$J$2:$J$9,0)),I137,"")))</f>
        <v>Required</v>
      </c>
      <c r="Q137" s="45">
        <f>IF(I137="Required",0,IF(ISNUMBER(MATCH(J137,Lists!$I$2:$I$4,0)),L137))</f>
        <v>0</v>
      </c>
      <c r="R137" s="45">
        <f>IF(I137="Required",0,IF(ISNUMBER(MATCH(J137,Lists!$K$2:$K$7,0)),L137))</f>
        <v>0</v>
      </c>
      <c r="S137" s="45">
        <f>IF(I137="Required",0,IF(ISNUMBER(MATCH(J137,Lists!$G$2:$G$4,0)),L137))</f>
        <v>0</v>
      </c>
      <c r="T137" s="45">
        <f>IF(I137="Required",0,IF(ISNUMBER(MATCH(J137,Lists!$G$7:$G$8,0)),L137))</f>
        <v>0</v>
      </c>
      <c r="U137" s="45">
        <f>IF(I137="Required",0,IF(ISNUMBER(MATCH(J137,Lists!$H$2:$H$4,0)),K137))</f>
        <v>0</v>
      </c>
      <c r="V137" s="45">
        <f t="shared" si="8"/>
        <v>0</v>
      </c>
      <c r="W137" s="45">
        <f t="shared" si="9"/>
        <v>0</v>
      </c>
    </row>
    <row r="138" spans="1:23" ht="21" customHeight="1">
      <c r="A138" s="301" t="s">
        <v>8</v>
      </c>
      <c r="B138" s="44"/>
      <c r="C138" s="821"/>
      <c r="D138" s="804"/>
      <c r="E138" s="806"/>
      <c r="F138" s="304" t="s">
        <v>121</v>
      </c>
      <c r="G138" s="305">
        <f>'Review Comments'!F152</f>
        <v>0</v>
      </c>
      <c r="H138" s="305" t="str">
        <f>'Review Comments'!G152</f>
        <v>Required</v>
      </c>
      <c r="I138" s="305" t="str">
        <f t="shared" si="18"/>
        <v>Required</v>
      </c>
      <c r="J138" s="323" t="str">
        <f>IF('Review Comments'!H152=0,"",'Review Comments'!H152)</f>
        <v>Anticipated</v>
      </c>
      <c r="K138" s="279" t="str">
        <f>IF(I138="Required","Required",IF(ISNUMBER(MATCH(J138,Lists!$H$2:$H$9,0)),I138,""))</f>
        <v>Required</v>
      </c>
      <c r="L138" s="280" t="str">
        <f>IF(I138="Required","Required",IF(ISNUMBER(MATCH(J138,Lists!$I$2:$I$9,0)),I138,IF(ISNUMBER(MATCH(J138,Lists!$J$2:$J$9,0)),I138,"")))</f>
        <v>Required</v>
      </c>
      <c r="Q138" s="45">
        <f>IF(I138="Required",0,IF(ISNUMBER(MATCH(J138,Lists!$I$2:$I$4,0)),L138))</f>
        <v>0</v>
      </c>
      <c r="R138" s="45">
        <f>IF(I138="Required",0,IF(ISNUMBER(MATCH(J138,Lists!$K$2:$K$7,0)),L138))</f>
        <v>0</v>
      </c>
      <c r="S138" s="45">
        <f>IF(I138="Required",0,IF(ISNUMBER(MATCH(J138,Lists!$G$2:$G$4,0)),L138))</f>
        <v>0</v>
      </c>
      <c r="T138" s="45">
        <f>IF(I138="Required",0,IF(ISNUMBER(MATCH(J138,Lists!$G$7:$G$8,0)),L138))</f>
        <v>0</v>
      </c>
      <c r="U138" s="45">
        <f>IF(I138="Required",0,IF(ISNUMBER(MATCH(J138,Lists!$H$2:$H$4,0)),K138))</f>
        <v>0</v>
      </c>
      <c r="V138" s="45">
        <f t="shared" si="8"/>
        <v>0</v>
      </c>
      <c r="W138" s="45">
        <f t="shared" si="9"/>
        <v>0</v>
      </c>
    </row>
    <row r="139" spans="1:23" ht="21" customHeight="1">
      <c r="A139" s="301" t="s">
        <v>23</v>
      </c>
      <c r="B139" s="44"/>
      <c r="C139" s="821"/>
      <c r="D139" s="804" t="s">
        <v>23</v>
      </c>
      <c r="E139" s="806" t="s">
        <v>122</v>
      </c>
      <c r="F139" s="304" t="s">
        <v>450</v>
      </c>
      <c r="G139" s="305">
        <f>'Review Comments'!F153</f>
        <v>1</v>
      </c>
      <c r="H139" s="305" t="str">
        <f>'Review Comments'!G153</f>
        <v>Yes</v>
      </c>
      <c r="I139" s="305">
        <f t="shared" si="18"/>
        <v>1</v>
      </c>
      <c r="J139" s="323" t="str">
        <f>IF('Review Comments'!H153=0,"",'Review Comments'!H153)</f>
        <v>Anticipated</v>
      </c>
      <c r="K139" s="279">
        <f>IF(I139="Required","Required",IF(ISNUMBER(MATCH(J139,Lists!$H$2:$H$9,0)),I139,""))</f>
        <v>1</v>
      </c>
      <c r="L139" s="280" t="str">
        <f>IF(I139="Required","Required",IF(ISNUMBER(MATCH(J139,Lists!$I$2:$I$9,0)),I139,IF(ISNUMBER(MATCH(J139,Lists!$J$2:$J$9,0)),I139,"")))</f>
        <v/>
      </c>
      <c r="Q139" s="45" t="b">
        <f>IF(I139="Required",0,IF(ISNUMBER(MATCH(J139,Lists!$I$2:$I$4,0)),L139))</f>
        <v>0</v>
      </c>
      <c r="R139" s="45" t="b">
        <f>IF(I139="Required",0,IF(ISNUMBER(MATCH(J139,Lists!$K$2:$K$7,0)),L139))</f>
        <v>0</v>
      </c>
      <c r="S139" s="45" t="b">
        <f>IF(I139="Required",0,IF(ISNUMBER(MATCH(J139,Lists!$G$2:$G$4,0)),L139))</f>
        <v>0</v>
      </c>
      <c r="T139" s="45" t="b">
        <f>IF(I139="Required",0,IF(ISNUMBER(MATCH(J139,Lists!$G$7:$G$8,0)),L139))</f>
        <v>0</v>
      </c>
      <c r="U139" s="45">
        <f>IF(I139="Required",0,IF(ISNUMBER(MATCH(J139,Lists!$H$2:$H$4,0)),K139))</f>
        <v>1</v>
      </c>
      <c r="V139" s="45">
        <f t="shared" si="8"/>
        <v>0</v>
      </c>
      <c r="W139" s="45">
        <f t="shared" si="9"/>
        <v>0</v>
      </c>
    </row>
    <row r="140" spans="1:23" ht="21" customHeight="1">
      <c r="A140" s="301" t="s">
        <v>23</v>
      </c>
      <c r="B140" s="44"/>
      <c r="C140" s="821"/>
      <c r="D140" s="804"/>
      <c r="E140" s="806"/>
      <c r="F140" s="304" t="s">
        <v>123</v>
      </c>
      <c r="G140" s="305">
        <f>'Review Comments'!F154</f>
        <v>2</v>
      </c>
      <c r="H140" s="305" t="str">
        <f>'Review Comments'!G154</f>
        <v>Yes</v>
      </c>
      <c r="I140" s="305">
        <f t="shared" si="18"/>
        <v>2</v>
      </c>
      <c r="J140" s="323" t="str">
        <f>IF('Review Comments'!H154=0,"",'Review Comments'!H154)</f>
        <v>Anticipated</v>
      </c>
      <c r="K140" s="279">
        <f>IF(I140="Required","Required",IF(ISNUMBER(MATCH(J140,Lists!$H$2:$H$9,0)),I140,""))</f>
        <v>2</v>
      </c>
      <c r="L140" s="280" t="str">
        <f>IF(I140="Required","Required",IF(ISNUMBER(MATCH(J140,Lists!$I$2:$I$9,0)),I140,IF(ISNUMBER(MATCH(J140,Lists!$J$2:$J$9,0)),I140,"")))</f>
        <v/>
      </c>
      <c r="Q140" s="45" t="b">
        <f>IF(I140="Required",0,IF(ISNUMBER(MATCH(J140,Lists!$I$2:$I$4,0)),L140))</f>
        <v>0</v>
      </c>
      <c r="R140" s="45" t="b">
        <f>IF(I140="Required",0,IF(ISNUMBER(MATCH(J140,Lists!$K$2:$K$7,0)),L140))</f>
        <v>0</v>
      </c>
      <c r="S140" s="45" t="b">
        <f>IF(I140="Required",0,IF(ISNUMBER(MATCH(J140,Lists!$G$2:$G$4,0)),L140))</f>
        <v>0</v>
      </c>
      <c r="T140" s="45" t="b">
        <f>IF(I140="Required",0,IF(ISNUMBER(MATCH(J140,Lists!$G$7:$G$8,0)),L140))</f>
        <v>0</v>
      </c>
      <c r="U140" s="45">
        <f>IF(I140="Required",0,IF(ISNUMBER(MATCH(J140,Lists!$H$2:$H$4,0)),K140))</f>
        <v>2</v>
      </c>
      <c r="V140" s="45">
        <f t="shared" si="8"/>
        <v>0</v>
      </c>
      <c r="W140" s="45">
        <f t="shared" si="9"/>
        <v>0</v>
      </c>
    </row>
    <row r="141" spans="1:23" ht="21" customHeight="1">
      <c r="A141" s="301" t="s">
        <v>23</v>
      </c>
      <c r="B141" s="44"/>
      <c r="C141" s="821"/>
      <c r="D141" s="804" t="s">
        <v>23</v>
      </c>
      <c r="E141" s="806" t="s">
        <v>124</v>
      </c>
      <c r="F141" s="304" t="s">
        <v>125</v>
      </c>
      <c r="G141" s="305">
        <f>'Review Comments'!F155</f>
        <v>0</v>
      </c>
      <c r="H141" s="305" t="str">
        <f>'Review Comments'!G155</f>
        <v>No</v>
      </c>
      <c r="I141" s="305" t="str">
        <f t="shared" si="18"/>
        <v/>
      </c>
      <c r="J141" s="323" t="str">
        <f>IF('Review Comments'!H155=0,"",'Review Comments'!H155)</f>
        <v>Not Attempted</v>
      </c>
      <c r="K141" s="279" t="str">
        <f>IF(I141="Required","Required",IF(ISNUMBER(MATCH(J141,Lists!$H$2:$H$9,0)),I141,""))</f>
        <v/>
      </c>
      <c r="L141" s="280" t="str">
        <f>IF(I141="Required","Required",IF(ISNUMBER(MATCH(J141,Lists!$I$2:$I$9,0)),I141,IF(ISNUMBER(MATCH(J141,Lists!$J$2:$J$9,0)),I141,"")))</f>
        <v/>
      </c>
      <c r="Q141" s="45" t="b">
        <f>IF(I141="Required",0,IF(ISNUMBER(MATCH(J141,Lists!$I$2:$I$4,0)),L141))</f>
        <v>0</v>
      </c>
      <c r="R141" s="45" t="b">
        <f>IF(I141="Required",0,IF(ISNUMBER(MATCH(J141,Lists!$K$2:$K$7,0)),L141))</f>
        <v>0</v>
      </c>
      <c r="S141" s="45" t="b">
        <f>IF(I141="Required",0,IF(ISNUMBER(MATCH(J141,Lists!$G$2:$G$4,0)),L141))</f>
        <v>0</v>
      </c>
      <c r="T141" s="45" t="b">
        <f>IF(I141="Required",0,IF(ISNUMBER(MATCH(J141,Lists!$G$7:$G$8,0)),L141))</f>
        <v>0</v>
      </c>
      <c r="U141" s="45" t="b">
        <f>IF(I141="Required",0,IF(ISNUMBER(MATCH(J141,Lists!$H$2:$H$4,0)),K141))</f>
        <v>0</v>
      </c>
      <c r="V141" s="45">
        <f t="shared" ref="V141:V204" si="19">IF(A141="P",IF(IFERROR(SEARCH("Pending Documentation",J141),0)&gt;0,IF(I141="Required",1,I141),0),0)</f>
        <v>0</v>
      </c>
      <c r="W141" s="45">
        <f t="shared" si="9"/>
        <v>0</v>
      </c>
    </row>
    <row r="142" spans="1:23" ht="21" customHeight="1">
      <c r="A142" s="301" t="s">
        <v>23</v>
      </c>
      <c r="B142" s="44"/>
      <c r="C142" s="821"/>
      <c r="D142" s="804"/>
      <c r="E142" s="806"/>
      <c r="F142" s="304" t="s">
        <v>451</v>
      </c>
      <c r="G142" s="305">
        <f>'Review Comments'!F156</f>
        <v>0</v>
      </c>
      <c r="H142" s="305" t="str">
        <f>'Review Comments'!G156</f>
        <v>No</v>
      </c>
      <c r="I142" s="305" t="str">
        <f t="shared" si="18"/>
        <v/>
      </c>
      <c r="J142" s="323" t="str">
        <f>IF('Review Comments'!H156=0,"",'Review Comments'!H156)</f>
        <v>Not Attempted</v>
      </c>
      <c r="K142" s="279" t="str">
        <f>IF(I142="Required","Required",IF(ISNUMBER(MATCH(J142,Lists!$H$2:$H$9,0)),I142,""))</f>
        <v/>
      </c>
      <c r="L142" s="280" t="str">
        <f>IF(I142="Required","Required",IF(ISNUMBER(MATCH(J142,Lists!$I$2:$I$9,0)),I142,IF(ISNUMBER(MATCH(J142,Lists!$J$2:$J$9,0)),I142,"")))</f>
        <v/>
      </c>
      <c r="Q142" s="45" t="b">
        <f>IF(I142="Required",0,IF(ISNUMBER(MATCH(J142,Lists!$I$2:$I$4,0)),L142))</f>
        <v>0</v>
      </c>
      <c r="R142" s="45" t="b">
        <f>IF(I142="Required",0,IF(ISNUMBER(MATCH(J142,Lists!$K$2:$K$7,0)),L142))</f>
        <v>0</v>
      </c>
      <c r="S142" s="45" t="b">
        <f>IF(I142="Required",0,IF(ISNUMBER(MATCH(J142,Lists!$G$2:$G$4,0)),L142))</f>
        <v>0</v>
      </c>
      <c r="T142" s="45" t="b">
        <f>IF(I142="Required",0,IF(ISNUMBER(MATCH(J142,Lists!$G$7:$G$8,0)),L142))</f>
        <v>0</v>
      </c>
      <c r="U142" s="45" t="b">
        <f>IF(I142="Required",0,IF(ISNUMBER(MATCH(J142,Lists!$H$2:$H$4,0)),K142))</f>
        <v>0</v>
      </c>
      <c r="V142" s="45">
        <f t="shared" si="19"/>
        <v>0</v>
      </c>
      <c r="W142" s="45">
        <f t="shared" ref="W142:W205" si="20">IF(A142="P",IF(IFERROR(SEARCH("Pending On-site Assessment",J142),0)&gt;0,IF(I142="Required",1,I142),0),0)</f>
        <v>0</v>
      </c>
    </row>
    <row r="143" spans="1:23" ht="21" customHeight="1">
      <c r="A143" s="301" t="s">
        <v>23</v>
      </c>
      <c r="B143" s="44"/>
      <c r="C143" s="821"/>
      <c r="D143" s="804" t="s">
        <v>23</v>
      </c>
      <c r="E143" s="806" t="s">
        <v>126</v>
      </c>
      <c r="F143" s="304" t="s">
        <v>127</v>
      </c>
      <c r="G143" s="305">
        <f>'Review Comments'!F157</f>
        <v>2</v>
      </c>
      <c r="H143" s="305" t="str">
        <f>'Review Comments'!G157</f>
        <v>Yes</v>
      </c>
      <c r="I143" s="305">
        <f t="shared" si="18"/>
        <v>2</v>
      </c>
      <c r="J143" s="323" t="str">
        <f>IF('Review Comments'!H157=0,"",'Review Comments'!H157)</f>
        <v>Anticipated</v>
      </c>
      <c r="K143" s="279">
        <f>IF(I143="Required","Required",IF(ISNUMBER(MATCH(J143,Lists!$H$2:$H$9,0)),I143,""))</f>
        <v>2</v>
      </c>
      <c r="L143" s="280" t="str">
        <f>IF(I143="Required","Required",IF(ISNUMBER(MATCH(J143,Lists!$I$2:$I$9,0)),I143,IF(ISNUMBER(MATCH(J143,Lists!$J$2:$J$9,0)),I143,"")))</f>
        <v/>
      </c>
      <c r="Q143" s="45" t="b">
        <f>IF(I143="Required",0,IF(ISNUMBER(MATCH(J143,Lists!$I$2:$I$4,0)),L143))</f>
        <v>0</v>
      </c>
      <c r="R143" s="45" t="b">
        <f>IF(I143="Required",0,IF(ISNUMBER(MATCH(J143,Lists!$K$2:$K$7,0)),L143))</f>
        <v>0</v>
      </c>
      <c r="S143" s="45" t="b">
        <f>IF(I143="Required",0,IF(ISNUMBER(MATCH(J143,Lists!$G$2:$G$4,0)),L143))</f>
        <v>0</v>
      </c>
      <c r="T143" s="45" t="b">
        <f>IF(I143="Required",0,IF(ISNUMBER(MATCH(J143,Lists!$G$7:$G$8,0)),L143))</f>
        <v>0</v>
      </c>
      <c r="U143" s="45">
        <f>IF(I143="Required",0,IF(ISNUMBER(MATCH(J143,Lists!$H$2:$H$4,0)),K143))</f>
        <v>2</v>
      </c>
      <c r="V143" s="45">
        <f t="shared" si="19"/>
        <v>0</v>
      </c>
      <c r="W143" s="45">
        <f t="shared" si="20"/>
        <v>0</v>
      </c>
    </row>
    <row r="144" spans="1:23" ht="21" customHeight="1">
      <c r="A144" s="301" t="s">
        <v>23</v>
      </c>
      <c r="B144" s="44"/>
      <c r="C144" s="821"/>
      <c r="D144" s="804"/>
      <c r="E144" s="806"/>
      <c r="F144" s="304" t="s">
        <v>452</v>
      </c>
      <c r="G144" s="305">
        <f>'Review Comments'!F158</f>
        <v>0</v>
      </c>
      <c r="H144" s="305" t="str">
        <f>'Review Comments'!G158</f>
        <v>No</v>
      </c>
      <c r="I144" s="305" t="str">
        <f t="shared" si="18"/>
        <v/>
      </c>
      <c r="J144" s="323" t="str">
        <f>IF('Review Comments'!H158=0,"",'Review Comments'!H158)</f>
        <v>Not Attempted</v>
      </c>
      <c r="K144" s="279" t="str">
        <f>IF(I144="Required","Required",IF(ISNUMBER(MATCH(J144,Lists!$H$2:$H$9,0)),I144,""))</f>
        <v/>
      </c>
      <c r="L144" s="280" t="str">
        <f>IF(I144="Required","Required",IF(ISNUMBER(MATCH(J144,Lists!$I$2:$I$9,0)),I144,IF(ISNUMBER(MATCH(J144,Lists!$J$2:$J$9,0)),I144,"")))</f>
        <v/>
      </c>
      <c r="Q144" s="45" t="b">
        <f>IF(I144="Required",0,IF(ISNUMBER(MATCH(J144,Lists!$I$2:$I$4,0)),L144))</f>
        <v>0</v>
      </c>
      <c r="R144" s="45" t="b">
        <f>IF(I144="Required",0,IF(ISNUMBER(MATCH(J144,Lists!$K$2:$K$7,0)),L144))</f>
        <v>0</v>
      </c>
      <c r="S144" s="45" t="b">
        <f>IF(I144="Required",0,IF(ISNUMBER(MATCH(J144,Lists!$G$2:$G$4,0)),L144))</f>
        <v>0</v>
      </c>
      <c r="T144" s="45" t="b">
        <f>IF(I144="Required",0,IF(ISNUMBER(MATCH(J144,Lists!$G$7:$G$8,0)),L144))</f>
        <v>0</v>
      </c>
      <c r="U144" s="45" t="b">
        <f>IF(I144="Required",0,IF(ISNUMBER(MATCH(J144,Lists!$H$2:$H$4,0)),K144))</f>
        <v>0</v>
      </c>
      <c r="V144" s="45">
        <f t="shared" si="19"/>
        <v>0</v>
      </c>
      <c r="W144" s="45">
        <f t="shared" si="20"/>
        <v>0</v>
      </c>
    </row>
    <row r="145" spans="1:23" ht="21" customHeight="1">
      <c r="A145" s="301" t="s">
        <v>23</v>
      </c>
      <c r="B145" s="44"/>
      <c r="C145" s="821"/>
      <c r="D145" s="804" t="s">
        <v>23</v>
      </c>
      <c r="E145" s="806" t="s">
        <v>128</v>
      </c>
      <c r="F145" s="304" t="s">
        <v>453</v>
      </c>
      <c r="G145" s="305">
        <f>'Review Comments'!F159</f>
        <v>0</v>
      </c>
      <c r="H145" s="305" t="str">
        <f>'Review Comments'!G159</f>
        <v>No</v>
      </c>
      <c r="I145" s="305" t="str">
        <f t="shared" ref="I145" si="21">IF(H145="Yes",G145,IF(H145="Required","Required",""))</f>
        <v/>
      </c>
      <c r="J145" s="323" t="str">
        <f>IF('Review Comments'!H159=0,"",'Review Comments'!H159)</f>
        <v>Not Attempted</v>
      </c>
      <c r="K145" s="279" t="str">
        <f>IF(I145="Required","Required",IF(ISNUMBER(MATCH(J145,Lists!$H$2:$H$9,0)),I145,""))</f>
        <v/>
      </c>
      <c r="L145" s="280" t="str">
        <f>IF(I145="Required","Required",IF(ISNUMBER(MATCH(J145,Lists!$I$2:$I$9,0)),I145,IF(ISNUMBER(MATCH(J145,Lists!$J$2:$J$9,0)),I145,"")))</f>
        <v/>
      </c>
      <c r="Q145" s="45" t="b">
        <f>IF(I145="Required",0,IF(ISNUMBER(MATCH(J145,Lists!$I$2:$I$4,0)),L145))</f>
        <v>0</v>
      </c>
      <c r="R145" s="45" t="b">
        <f>IF(I145="Required",0,IF(ISNUMBER(MATCH(J145,Lists!$K$2:$K$7,0)),L145))</f>
        <v>0</v>
      </c>
      <c r="S145" s="45" t="b">
        <f>IF(I145="Required",0,IF(ISNUMBER(MATCH(J145,Lists!$G$2:$G$4,0)),L145))</f>
        <v>0</v>
      </c>
      <c r="T145" s="45" t="b">
        <f>IF(I145="Required",0,IF(ISNUMBER(MATCH(J145,Lists!$G$7:$G$8,0)),L145))</f>
        <v>0</v>
      </c>
      <c r="U145" s="45" t="b">
        <f>IF(I145="Required",0,IF(ISNUMBER(MATCH(J145,Lists!$H$2:$H$4,0)),K145))</f>
        <v>0</v>
      </c>
      <c r="V145" s="45">
        <f t="shared" si="19"/>
        <v>0</v>
      </c>
      <c r="W145" s="45">
        <f t="shared" si="20"/>
        <v>0</v>
      </c>
    </row>
    <row r="146" spans="1:23" ht="21" customHeight="1">
      <c r="A146" s="301" t="s">
        <v>23</v>
      </c>
      <c r="B146" s="44"/>
      <c r="C146" s="821"/>
      <c r="D146" s="804"/>
      <c r="E146" s="806"/>
      <c r="F146" s="304" t="s">
        <v>454</v>
      </c>
      <c r="G146" s="305">
        <f>'Review Comments'!F160</f>
        <v>1</v>
      </c>
      <c r="H146" s="305" t="str">
        <f>'Review Comments'!G160</f>
        <v>Yes</v>
      </c>
      <c r="I146" s="305">
        <f t="shared" ref="I146:I152" si="22">IF(H146="Yes",G146,IF(H146="Required","Required",""))</f>
        <v>1</v>
      </c>
      <c r="J146" s="323" t="str">
        <f>IF('Review Comments'!H160=0,"",'Review Comments'!H160)</f>
        <v>Anticipated</v>
      </c>
      <c r="K146" s="279">
        <f>IF(I146="Required","Required",IF(ISNUMBER(MATCH(J146,Lists!$H$2:$H$9,0)),I146,""))</f>
        <v>1</v>
      </c>
      <c r="L146" s="280" t="str">
        <f>IF(I146="Required","Required",IF(ISNUMBER(MATCH(J146,Lists!$I$2:$I$9,0)),I146,IF(ISNUMBER(MATCH(J146,Lists!$J$2:$J$9,0)),I146,"")))</f>
        <v/>
      </c>
      <c r="Q146" s="45" t="b">
        <f>IF(I146="Required",0,IF(ISNUMBER(MATCH(J146,Lists!$I$2:$I$4,0)),L146))</f>
        <v>0</v>
      </c>
      <c r="R146" s="45" t="b">
        <f>IF(I146="Required",0,IF(ISNUMBER(MATCH(J146,Lists!$K$2:$K$7,0)),L146))</f>
        <v>0</v>
      </c>
      <c r="S146" s="45" t="b">
        <f>IF(I146="Required",0,IF(ISNUMBER(MATCH(J146,Lists!$G$2:$G$4,0)),L146))</f>
        <v>0</v>
      </c>
      <c r="T146" s="45" t="b">
        <f>IF(I146="Required",0,IF(ISNUMBER(MATCH(J146,Lists!$G$7:$G$8,0)),L146))</f>
        <v>0</v>
      </c>
      <c r="U146" s="45">
        <f>IF(I146="Required",0,IF(ISNUMBER(MATCH(J146,Lists!$H$2:$H$4,0)),K146))</f>
        <v>1</v>
      </c>
      <c r="V146" s="45">
        <f t="shared" si="19"/>
        <v>0</v>
      </c>
      <c r="W146" s="45">
        <f t="shared" si="20"/>
        <v>0</v>
      </c>
    </row>
    <row r="147" spans="1:23" ht="21" customHeight="1">
      <c r="A147" s="301" t="s">
        <v>23</v>
      </c>
      <c r="B147" s="44"/>
      <c r="C147" s="821"/>
      <c r="D147" s="306" t="s">
        <v>23</v>
      </c>
      <c r="E147" s="200" t="s">
        <v>129</v>
      </c>
      <c r="F147" s="304" t="s">
        <v>455</v>
      </c>
      <c r="G147" s="305">
        <f>'Review Comments'!F161</f>
        <v>0</v>
      </c>
      <c r="H147" s="305" t="str">
        <f>'Review Comments'!G161</f>
        <v>No</v>
      </c>
      <c r="I147" s="305" t="str">
        <f t="shared" si="22"/>
        <v/>
      </c>
      <c r="J147" s="323" t="str">
        <f>IF('Review Comments'!H161=0,"",'Review Comments'!H161)</f>
        <v>Not Attempted</v>
      </c>
      <c r="K147" s="279" t="str">
        <f>IF(I147="Required","Required",IF(ISNUMBER(MATCH(J147,Lists!$H$2:$H$9,0)),I147,""))</f>
        <v/>
      </c>
      <c r="L147" s="280" t="str">
        <f>IF(I147="Required","Required",IF(ISNUMBER(MATCH(J147,Lists!$I$2:$I$9,0)),I147,IF(ISNUMBER(MATCH(J147,Lists!$J$2:$J$9,0)),I147,"")))</f>
        <v/>
      </c>
      <c r="Q147" s="45" t="b">
        <f>IF(I147="Required",0,IF(ISNUMBER(MATCH(J147,Lists!$I$2:$I$4,0)),L147))</f>
        <v>0</v>
      </c>
      <c r="R147" s="45" t="b">
        <f>IF(I147="Required",0,IF(ISNUMBER(MATCH(J147,Lists!$K$2:$K$7,0)),L147))</f>
        <v>0</v>
      </c>
      <c r="S147" s="45" t="b">
        <f>IF(I147="Required",0,IF(ISNUMBER(MATCH(J147,Lists!$G$2:$G$4,0)),L147))</f>
        <v>0</v>
      </c>
      <c r="T147" s="45" t="b">
        <f>IF(I147="Required",0,IF(ISNUMBER(MATCH(J147,Lists!$G$7:$G$8,0)),L147))</f>
        <v>0</v>
      </c>
      <c r="U147" s="45" t="b">
        <f>IF(I147="Required",0,IF(ISNUMBER(MATCH(J147,Lists!$H$2:$H$4,0)),K147))</f>
        <v>0</v>
      </c>
      <c r="V147" s="45">
        <f t="shared" si="19"/>
        <v>0</v>
      </c>
      <c r="W147" s="45">
        <f t="shared" si="20"/>
        <v>0</v>
      </c>
    </row>
    <row r="148" spans="1:23" ht="21" customHeight="1" thickBot="1">
      <c r="A148" s="301" t="s">
        <v>23</v>
      </c>
      <c r="B148" s="44"/>
      <c r="C148" s="821"/>
      <c r="D148" s="306" t="s">
        <v>23</v>
      </c>
      <c r="E148" s="200" t="s">
        <v>130</v>
      </c>
      <c r="F148" s="304" t="s">
        <v>456</v>
      </c>
      <c r="G148" s="305">
        <f>'Review Comments'!F162</f>
        <v>0</v>
      </c>
      <c r="H148" s="305" t="str">
        <f>'Review Comments'!G162</f>
        <v>No</v>
      </c>
      <c r="I148" s="305" t="str">
        <f t="shared" si="22"/>
        <v/>
      </c>
      <c r="J148" s="323" t="str">
        <f>IF('Review Comments'!H162=0,"",'Review Comments'!H162)</f>
        <v>Not Attempted</v>
      </c>
      <c r="K148" s="279" t="str">
        <f>IF(I148="Required","Required",IF(ISNUMBER(MATCH(J148,Lists!$H$2:$H$9,0)),I148,""))</f>
        <v/>
      </c>
      <c r="L148" s="280" t="str">
        <f>IF(I148="Required","Required",IF(ISNUMBER(MATCH(J148,Lists!$I$2:$I$9,0)),I148,IF(ISNUMBER(MATCH(J148,Lists!$J$2:$J$9,0)),I148,"")))</f>
        <v/>
      </c>
      <c r="N148" s="185" t="s">
        <v>731</v>
      </c>
      <c r="O148" s="52"/>
      <c r="Q148" s="45" t="b">
        <f>IF(I148="Required",0,IF(ISNUMBER(MATCH(J148,Lists!$I$2:$I$4,0)),L148))</f>
        <v>0</v>
      </c>
      <c r="R148" s="45" t="b">
        <f>IF(I148="Required",0,IF(ISNUMBER(MATCH(J148,Lists!$K$2:$K$7,0)),L148))</f>
        <v>0</v>
      </c>
      <c r="S148" s="45" t="b">
        <f>IF(I148="Required",0,IF(ISNUMBER(MATCH(J148,Lists!$G$2:$G$4,0)),L148))</f>
        <v>0</v>
      </c>
      <c r="T148" s="45" t="b">
        <f>IF(I148="Required",0,IF(ISNUMBER(MATCH(J148,Lists!$G$7:$G$8,0)),L148))</f>
        <v>0</v>
      </c>
      <c r="U148" s="45" t="b">
        <f>IF(I148="Required",0,IF(ISNUMBER(MATCH(J148,Lists!$H$2:$H$4,0)),K148))</f>
        <v>0</v>
      </c>
      <c r="V148" s="45">
        <f t="shared" si="19"/>
        <v>0</v>
      </c>
      <c r="W148" s="45">
        <f t="shared" si="20"/>
        <v>0</v>
      </c>
    </row>
    <row r="149" spans="1:23" ht="21" hidden="1" customHeight="1">
      <c r="A149" s="301" t="s">
        <v>23</v>
      </c>
      <c r="B149" s="44"/>
      <c r="C149" s="821"/>
      <c r="D149" s="306" t="s">
        <v>23</v>
      </c>
      <c r="E149" s="200" t="s">
        <v>462</v>
      </c>
      <c r="F149" s="304" t="s">
        <v>463</v>
      </c>
      <c r="G149" s="305">
        <f>'Review Comments'!F163</f>
        <v>0</v>
      </c>
      <c r="H149" s="305">
        <f>'Review Comments'!G163</f>
        <v>0</v>
      </c>
      <c r="I149" s="305" t="str">
        <f t="shared" si="22"/>
        <v/>
      </c>
      <c r="J149" s="323" t="str">
        <f>IF('Review Comments'!H163=0,"",'Review Comments'!H163)</f>
        <v/>
      </c>
      <c r="K149" s="279" t="str">
        <f>IF(I149="Required","Required",IF(ISNUMBER(MATCH(J149,Lists!$H$2:$H$9,0)),I149,""))</f>
        <v/>
      </c>
      <c r="L149" s="280" t="str">
        <f>IF(I149="Required","Required",IF(ISNUMBER(MATCH(J149,Lists!$I$2:$I$9,0)),I149,IF(ISNUMBER(MATCH(J149,Lists!$J$2:$J$9,0)),I149,"")))</f>
        <v/>
      </c>
      <c r="Q149" s="45" t="b">
        <f>IF(I149="Required",0,IF(ISNUMBER(MATCH(J149,Lists!$I$2:$I$4,0)),L149))</f>
        <v>0</v>
      </c>
      <c r="R149" s="45" t="b">
        <f>IF(I149="Required",0,IF(ISNUMBER(MATCH(J149,Lists!$K$2:$K$7,0)),L149))</f>
        <v>0</v>
      </c>
      <c r="S149" s="45" t="b">
        <f>IF(I149="Required",0,IF(ISNUMBER(MATCH(J149,Lists!$G$2:$G$4,0)),L149))</f>
        <v>0</v>
      </c>
      <c r="T149" s="45" t="b">
        <f>IF(I149="Required",0,IF(ISNUMBER(MATCH(J149,Lists!$G$7:$G$8,0)),L149))</f>
        <v>0</v>
      </c>
      <c r="U149" s="45" t="b">
        <f>IF(I149="Required",0,IF(ISNUMBER(MATCH(J149,Lists!$H$2:$H$4,0)),K149))</f>
        <v>0</v>
      </c>
      <c r="V149" s="45">
        <f t="shared" si="19"/>
        <v>0</v>
      </c>
      <c r="W149" s="45">
        <f t="shared" si="20"/>
        <v>0</v>
      </c>
    </row>
    <row r="150" spans="1:23" ht="21" hidden="1" customHeight="1">
      <c r="A150" s="301" t="s">
        <v>23</v>
      </c>
      <c r="B150" s="44"/>
      <c r="C150" s="821"/>
      <c r="D150" s="807" t="s">
        <v>23</v>
      </c>
      <c r="E150" s="809" t="s">
        <v>464</v>
      </c>
      <c r="F150" s="304" t="s">
        <v>465</v>
      </c>
      <c r="G150" s="305">
        <f>'Review Comments'!F164</f>
        <v>0</v>
      </c>
      <c r="H150" s="305">
        <f>'Review Comments'!G164</f>
        <v>0</v>
      </c>
      <c r="I150" s="305" t="str">
        <f t="shared" si="22"/>
        <v/>
      </c>
      <c r="J150" s="323" t="str">
        <f>IF('Review Comments'!H164=0,"",'Review Comments'!H164)</f>
        <v/>
      </c>
      <c r="K150" s="279" t="str">
        <f>IF(I150="Required","Required",IF(ISNUMBER(MATCH(J150,Lists!$H$2:$H$9,0)),I150,""))</f>
        <v/>
      </c>
      <c r="L150" s="280" t="str">
        <f>IF(I150="Required","Required",IF(ISNUMBER(MATCH(J150,Lists!$I$2:$I$9,0)),I150,IF(ISNUMBER(MATCH(J150,Lists!$J$2:$J$9,0)),I150,"")))</f>
        <v/>
      </c>
      <c r="Q150" s="45" t="b">
        <f>IF(I150="Required",0,IF(ISNUMBER(MATCH(J150,Lists!$I$2:$I$4,0)),L150))</f>
        <v>0</v>
      </c>
      <c r="R150" s="45" t="b">
        <f>IF(I150="Required",0,IF(ISNUMBER(MATCH(J150,Lists!$K$2:$K$7,0)),L150))</f>
        <v>0</v>
      </c>
      <c r="S150" s="45" t="b">
        <f>IF(I150="Required",0,IF(ISNUMBER(MATCH(J150,Lists!$G$2:$G$4,0)),L150))</f>
        <v>0</v>
      </c>
      <c r="T150" s="45" t="b">
        <f>IF(I150="Required",0,IF(ISNUMBER(MATCH(J150,Lists!$G$7:$G$8,0)),L150))</f>
        <v>0</v>
      </c>
      <c r="U150" s="45" t="b">
        <f>IF(I150="Required",0,IF(ISNUMBER(MATCH(J150,Lists!$H$2:$H$4,0)),K150))</f>
        <v>0</v>
      </c>
      <c r="V150" s="45">
        <f t="shared" si="19"/>
        <v>0</v>
      </c>
      <c r="W150" s="45">
        <f t="shared" si="20"/>
        <v>0</v>
      </c>
    </row>
    <row r="151" spans="1:23" ht="21" hidden="1" customHeight="1">
      <c r="A151" s="301" t="s">
        <v>23</v>
      </c>
      <c r="B151" s="44"/>
      <c r="C151" s="821"/>
      <c r="D151" s="818"/>
      <c r="E151" s="819"/>
      <c r="F151" s="304" t="s">
        <v>467</v>
      </c>
      <c r="G151" s="305">
        <f>'Review Comments'!F165</f>
        <v>0</v>
      </c>
      <c r="H151" s="305">
        <f>'Review Comments'!G165</f>
        <v>0</v>
      </c>
      <c r="I151" s="305" t="str">
        <f t="shared" si="22"/>
        <v/>
      </c>
      <c r="J151" s="323" t="str">
        <f>IF('Review Comments'!H165=0,"",'Review Comments'!H165)</f>
        <v/>
      </c>
      <c r="K151" s="279" t="str">
        <f>IF(I151="Required","Required",IF(ISNUMBER(MATCH(J151,Lists!$H$2:$H$9,0)),I151,""))</f>
        <v/>
      </c>
      <c r="L151" s="280" t="str">
        <f>IF(I151="Required","Required",IF(ISNUMBER(MATCH(J151,Lists!$I$2:$I$9,0)),I151,IF(ISNUMBER(MATCH(J151,Lists!$J$2:$J$9,0)),I151,"")))</f>
        <v/>
      </c>
      <c r="Q151" s="45" t="b">
        <f>IF(I151="Required",0,IF(ISNUMBER(MATCH(J151,Lists!$I$2:$I$4,0)),L151))</f>
        <v>0</v>
      </c>
      <c r="R151" s="45" t="b">
        <f>IF(I151="Required",0,IF(ISNUMBER(MATCH(J151,Lists!$K$2:$K$7,0)),L151))</f>
        <v>0</v>
      </c>
      <c r="S151" s="45" t="b">
        <f>IF(I151="Required",0,IF(ISNUMBER(MATCH(J151,Lists!$G$2:$G$4,0)),L151))</f>
        <v>0</v>
      </c>
      <c r="T151" s="45" t="b">
        <f>IF(I151="Required",0,IF(ISNUMBER(MATCH(J151,Lists!$G$7:$G$8,0)),L151))</f>
        <v>0</v>
      </c>
      <c r="U151" s="45" t="b">
        <f>IF(I151="Required",0,IF(ISNUMBER(MATCH(J151,Lists!$H$2:$H$4,0)),K151))</f>
        <v>0</v>
      </c>
      <c r="V151" s="45">
        <f t="shared" si="19"/>
        <v>0</v>
      </c>
      <c r="W151" s="45">
        <f t="shared" si="20"/>
        <v>0</v>
      </c>
    </row>
    <row r="152" spans="1:23" ht="21" hidden="1" customHeight="1" thickBot="1">
      <c r="A152" s="301" t="s">
        <v>23</v>
      </c>
      <c r="B152" s="44"/>
      <c r="C152" s="821"/>
      <c r="D152" s="850"/>
      <c r="E152" s="849"/>
      <c r="F152" s="333" t="s">
        <v>466</v>
      </c>
      <c r="G152" s="309">
        <f>'Review Comments'!F166</f>
        <v>0</v>
      </c>
      <c r="H152" s="309">
        <f>'Review Comments'!G166</f>
        <v>0</v>
      </c>
      <c r="I152" s="309" t="str">
        <f t="shared" si="22"/>
        <v/>
      </c>
      <c r="J152" s="334" t="str">
        <f>IF('Review Comments'!H166=0,"",'Review Comments'!H166)</f>
        <v/>
      </c>
      <c r="K152" s="284" t="str">
        <f>IF(I152="Required","Required",IF(ISNUMBER(MATCH(J152,Lists!$H$2:$H$9,0)),I152,""))</f>
        <v/>
      </c>
      <c r="L152" s="285" t="str">
        <f>IF(I152="Required","Required",IF(ISNUMBER(MATCH(J152,Lists!$I$2:$I$9,0)),I152,IF(ISNUMBER(MATCH(J152,Lists!$J$2:$J$9,0)),I152,"")))</f>
        <v/>
      </c>
      <c r="Q152" s="45" t="b">
        <f>IF(I152="Required",0,IF(ISNUMBER(MATCH(J152,Lists!$I$2:$I$4,0)),L152))</f>
        <v>0</v>
      </c>
      <c r="R152" s="45" t="b">
        <f>IF(I152="Required",0,IF(ISNUMBER(MATCH(J152,Lists!$K$2:$K$7,0)),L152))</f>
        <v>0</v>
      </c>
      <c r="S152" s="45" t="b">
        <f>IF(I152="Required",0,IF(ISNUMBER(MATCH(J152,Lists!$G$2:$G$4,0)),L152))</f>
        <v>0</v>
      </c>
      <c r="T152" s="45" t="b">
        <f>IF(I152="Required",0,IF(ISNUMBER(MATCH(J152,Lists!$G$7:$G$8,0)),L152))</f>
        <v>0</v>
      </c>
      <c r="U152" s="45" t="b">
        <f>IF(I152="Required",0,IF(ISNUMBER(MATCH(J152,Lists!$H$2:$H$4,0)),K152))</f>
        <v>0</v>
      </c>
      <c r="V152" s="45">
        <f t="shared" si="19"/>
        <v>0</v>
      </c>
      <c r="W152" s="45">
        <f t="shared" si="20"/>
        <v>0</v>
      </c>
    </row>
    <row r="153" spans="1:23" s="175" customFormat="1" ht="16.2" customHeight="1">
      <c r="A153" s="355"/>
      <c r="B153" s="174"/>
      <c r="C153" s="821"/>
      <c r="D153" s="356"/>
      <c r="E153" s="357"/>
      <c r="F153" s="358"/>
      <c r="G153" s="359">
        <f>SUM(G138:G152)</f>
        <v>6</v>
      </c>
      <c r="H153" s="356"/>
      <c r="I153" s="360">
        <f>SUM(I138:I152)</f>
        <v>6</v>
      </c>
      <c r="J153" s="361"/>
      <c r="K153" s="360">
        <f>SUM(K138:K152)</f>
        <v>6</v>
      </c>
      <c r="L153" s="362">
        <f>SUM(L138:L152)</f>
        <v>0</v>
      </c>
      <c r="Q153" s="175" t="b">
        <f>IF(I153="Required",0,IF(ISNUMBER(MATCH(J153,Lists!$I$2:$I$4,0)),L153))</f>
        <v>0</v>
      </c>
      <c r="R153" s="175" t="b">
        <f>IF(I153="Required",0,IF(ISNUMBER(MATCH(J153,Lists!$K$2:$K$7,0)),L153))</f>
        <v>0</v>
      </c>
      <c r="S153" s="175" t="b">
        <f>IF(I153="Required",0,IF(ISNUMBER(MATCH(J153,Lists!$G$2:$G$4,0)),L153))</f>
        <v>0</v>
      </c>
      <c r="T153" s="175" t="b">
        <f>IF(I153="Required",0,IF(ISNUMBER(MATCH(J153,Lists!$G$7:$G$8,0)),L153))</f>
        <v>0</v>
      </c>
      <c r="U153" s="175" t="b">
        <f>IF(I153="Required",0,IF(ISNUMBER(MATCH(J153,Lists!$H$2:$H$4,0)),K153))</f>
        <v>0</v>
      </c>
      <c r="V153" s="175">
        <f t="shared" si="19"/>
        <v>0</v>
      </c>
      <c r="W153" s="45">
        <f t="shared" si="20"/>
        <v>0</v>
      </c>
    </row>
    <row r="154" spans="1:23" ht="6.6" customHeight="1" thickBot="1">
      <c r="A154" s="294"/>
      <c r="B154" s="44"/>
      <c r="C154" s="363"/>
      <c r="D154" s="364"/>
      <c r="E154" s="365"/>
      <c r="F154" s="366"/>
      <c r="G154" s="367"/>
      <c r="H154" s="367"/>
      <c r="I154" s="367"/>
      <c r="J154" s="368"/>
      <c r="K154" s="367"/>
      <c r="L154" s="369"/>
      <c r="Q154" s="45" t="b">
        <f>IF(I154="Required",0,IF(ISNUMBER(MATCH(J154,Lists!$I$2:$I$4,0)),L154))</f>
        <v>0</v>
      </c>
      <c r="R154" s="45" t="b">
        <f>IF(I154="Required",0,IF(ISNUMBER(MATCH(J154,Lists!$K$2:$K$7,0)),L154))</f>
        <v>0</v>
      </c>
      <c r="S154" s="45" t="b">
        <f>IF(I154="Required",0,IF(ISNUMBER(MATCH(J154,Lists!$G$2:$G$4,0)),L154))</f>
        <v>0</v>
      </c>
      <c r="T154" s="45" t="b">
        <f>IF(I154="Required",0,IF(ISNUMBER(MATCH(J154,Lists!$G$7:$G$8,0)),L154))</f>
        <v>0</v>
      </c>
      <c r="U154" s="45" t="b">
        <f>IF(I154="Required",0,IF(ISNUMBER(MATCH(J154,Lists!$H$2:$H$4,0)),K154))</f>
        <v>0</v>
      </c>
      <c r="V154" s="45">
        <f t="shared" si="19"/>
        <v>0</v>
      </c>
      <c r="W154" s="45">
        <f t="shared" si="20"/>
        <v>0</v>
      </c>
    </row>
    <row r="155" spans="1:23" ht="21" customHeight="1">
      <c r="A155" s="301" t="s">
        <v>8</v>
      </c>
      <c r="B155" s="44"/>
      <c r="C155" s="852" t="s">
        <v>131</v>
      </c>
      <c r="D155" s="803" t="s">
        <v>8</v>
      </c>
      <c r="E155" s="805" t="s">
        <v>132</v>
      </c>
      <c r="F155" s="302" t="s">
        <v>133</v>
      </c>
      <c r="G155" s="303">
        <f>'Review Comments'!F172</f>
        <v>0</v>
      </c>
      <c r="H155" s="303" t="str">
        <f>'Review Comments'!G172</f>
        <v>Required</v>
      </c>
      <c r="I155" s="303" t="str">
        <f>IF(H155="Yes",G155,IF(H155="Required","Required",""))</f>
        <v>Required</v>
      </c>
      <c r="J155" s="322" t="str">
        <f>IF('Review Comments'!H172=0,"",'Review Comments'!H172)</f>
        <v>Anticipated</v>
      </c>
      <c r="K155" s="303" t="str">
        <f>IF(I155="Required","Required",IF(ISNUMBER(MATCH(J155,Lists!$H$2:$H$9,0)),I155,""))</f>
        <v>Required</v>
      </c>
      <c r="L155" s="370" t="str">
        <f>IF(I155="Required","Required",IF(ISNUMBER(MATCH(J155,Lists!$I$2:$I$9,0)),I155,IF(ISNUMBER(MATCH(J155,Lists!$J$2:$J$9,0)),I155,"")))</f>
        <v>Required</v>
      </c>
      <c r="Q155" s="45">
        <f>IF(I155="Required",0,IF(ISNUMBER(MATCH(J155,Lists!$I$2:$I$4,0)),L155))</f>
        <v>0</v>
      </c>
      <c r="R155" s="45">
        <f>IF(I155="Required",0,IF(ISNUMBER(MATCH(J155,Lists!$K$2:$K$7,0)),L155))</f>
        <v>0</v>
      </c>
      <c r="S155" s="45">
        <f>IF(I155="Required",0,IF(ISNUMBER(MATCH(J155,Lists!$G$2:$G$4,0)),L155))</f>
        <v>0</v>
      </c>
      <c r="T155" s="45">
        <f>IF(I155="Required",0,IF(ISNUMBER(MATCH(J155,Lists!$G$7:$G$8,0)),L155))</f>
        <v>0</v>
      </c>
      <c r="U155" s="45">
        <f>IF(I155="Required",0,IF(ISNUMBER(MATCH(J155,Lists!$H$2:$H$4,0)),K155))</f>
        <v>0</v>
      </c>
      <c r="V155" s="45">
        <f t="shared" si="19"/>
        <v>0</v>
      </c>
      <c r="W155" s="45">
        <f t="shared" si="20"/>
        <v>0</v>
      </c>
    </row>
    <row r="156" spans="1:23" ht="21" customHeight="1">
      <c r="A156" s="301" t="s">
        <v>8</v>
      </c>
      <c r="B156" s="44"/>
      <c r="C156" s="853"/>
      <c r="D156" s="804"/>
      <c r="E156" s="806"/>
      <c r="F156" s="304" t="s">
        <v>134</v>
      </c>
      <c r="G156" s="305">
        <f>'Review Comments'!F173</f>
        <v>0</v>
      </c>
      <c r="H156" s="305" t="str">
        <f>'Review Comments'!G173</f>
        <v>Required</v>
      </c>
      <c r="I156" s="305" t="str">
        <f t="shared" ref="I156:I160" si="23">IF(H156="Yes",G156,IF(H156="Required","Required",""))</f>
        <v>Required</v>
      </c>
      <c r="J156" s="323" t="str">
        <f>IF('Review Comments'!H173=0,"",'Review Comments'!H173)</f>
        <v>Anticipated</v>
      </c>
      <c r="K156" s="305" t="str">
        <f>IF(I156="Required","Required",IF(ISNUMBER(MATCH(J156,Lists!$H$2:$H$9,0)),I156,""))</f>
        <v>Required</v>
      </c>
      <c r="L156" s="371" t="str">
        <f>IF(I156="Required","Required",IF(ISNUMBER(MATCH(J156,Lists!$I$2:$I$9,0)),I156,IF(ISNUMBER(MATCH(J156,Lists!$J$2:$J$9,0)),I156,"")))</f>
        <v>Required</v>
      </c>
      <c r="Q156" s="45">
        <f>IF(I156="Required",0,IF(ISNUMBER(MATCH(J156,Lists!$I$2:$I$4,0)),L156))</f>
        <v>0</v>
      </c>
      <c r="R156" s="45">
        <f>IF(I156="Required",0,IF(ISNUMBER(MATCH(J156,Lists!$K$2:$K$7,0)),L156))</f>
        <v>0</v>
      </c>
      <c r="S156" s="45">
        <f>IF(I156="Required",0,IF(ISNUMBER(MATCH(J156,Lists!$G$2:$G$4,0)),L156))</f>
        <v>0</v>
      </c>
      <c r="T156" s="45">
        <f>IF(I156="Required",0,IF(ISNUMBER(MATCH(J156,Lists!$G$7:$G$8,0)),L156))</f>
        <v>0</v>
      </c>
      <c r="U156" s="45">
        <f>IF(I156="Required",0,IF(ISNUMBER(MATCH(J156,Lists!$H$2:$H$4,0)),K156))</f>
        <v>0</v>
      </c>
      <c r="V156" s="45">
        <f t="shared" si="19"/>
        <v>0</v>
      </c>
      <c r="W156" s="45">
        <f t="shared" si="20"/>
        <v>0</v>
      </c>
    </row>
    <row r="157" spans="1:23" ht="21" customHeight="1">
      <c r="A157" s="301" t="s">
        <v>8</v>
      </c>
      <c r="B157" s="44"/>
      <c r="C157" s="853"/>
      <c r="D157" s="804"/>
      <c r="E157" s="806"/>
      <c r="F157" s="304" t="s">
        <v>135</v>
      </c>
      <c r="G157" s="305">
        <f>'Review Comments'!F174</f>
        <v>0</v>
      </c>
      <c r="H157" s="305" t="str">
        <f>'Review Comments'!G174</f>
        <v>Required</v>
      </c>
      <c r="I157" s="305" t="str">
        <f t="shared" si="23"/>
        <v>Required</v>
      </c>
      <c r="J157" s="323" t="str">
        <f>IF('Review Comments'!H174=0,"",'Review Comments'!H174)</f>
        <v>Anticipated</v>
      </c>
      <c r="K157" s="305" t="str">
        <f>IF(I157="Required","Required",IF(ISNUMBER(MATCH(J157,Lists!$H$2:$H$9,0)),I157,""))</f>
        <v>Required</v>
      </c>
      <c r="L157" s="371" t="str">
        <f>IF(I157="Required","Required",IF(ISNUMBER(MATCH(J157,Lists!$I$2:$I$9,0)),I157,IF(ISNUMBER(MATCH(J157,Lists!$J$2:$J$9,0)),I157,"")))</f>
        <v>Required</v>
      </c>
      <c r="Q157" s="45">
        <f>IF(I157="Required",0,IF(ISNUMBER(MATCH(J157,Lists!$I$2:$I$4,0)),L157))</f>
        <v>0</v>
      </c>
      <c r="R157" s="45">
        <f>IF(I157="Required",0,IF(ISNUMBER(MATCH(J157,Lists!$K$2:$K$7,0)),L157))</f>
        <v>0</v>
      </c>
      <c r="S157" s="45">
        <f>IF(I157="Required",0,IF(ISNUMBER(MATCH(J157,Lists!$G$2:$G$4,0)),L157))</f>
        <v>0</v>
      </c>
      <c r="T157" s="45">
        <f>IF(I157="Required",0,IF(ISNUMBER(MATCH(J157,Lists!$G$7:$G$8,0)),L157))</f>
        <v>0</v>
      </c>
      <c r="U157" s="45">
        <f>IF(I157="Required",0,IF(ISNUMBER(MATCH(J157,Lists!$H$2:$H$4,0)),K157))</f>
        <v>0</v>
      </c>
      <c r="V157" s="45">
        <f t="shared" si="19"/>
        <v>0</v>
      </c>
      <c r="W157" s="45">
        <f t="shared" si="20"/>
        <v>0</v>
      </c>
    </row>
    <row r="158" spans="1:23" ht="21" customHeight="1">
      <c r="A158" s="301" t="s">
        <v>23</v>
      </c>
      <c r="B158" s="44"/>
      <c r="C158" s="853"/>
      <c r="D158" s="306" t="s">
        <v>23</v>
      </c>
      <c r="E158" s="200" t="s">
        <v>136</v>
      </c>
      <c r="F158" s="304" t="s">
        <v>137</v>
      </c>
      <c r="G158" s="305">
        <f>'Review Comments'!F175</f>
        <v>3</v>
      </c>
      <c r="H158" s="305" t="str">
        <f>'Review Comments'!G175</f>
        <v>Yes</v>
      </c>
      <c r="I158" s="305">
        <f t="shared" si="23"/>
        <v>3</v>
      </c>
      <c r="J158" s="323" t="str">
        <f>IF('Review Comments'!H175=0,"",'Review Comments'!H175)</f>
        <v>Anticipated</v>
      </c>
      <c r="K158" s="305">
        <f>IF(I158="Required","Required",IF(ISNUMBER(MATCH(J158,Lists!$H$2:$H$9,0)),I158,""))</f>
        <v>3</v>
      </c>
      <c r="L158" s="371" t="str">
        <f>IF(I158="Required","Required",IF(ISNUMBER(MATCH(J158,Lists!$I$2:$I$9,0)),I158,IF(ISNUMBER(MATCH(J158,Lists!$J$2:$J$9,0)),I158,"")))</f>
        <v/>
      </c>
      <c r="Q158" s="45" t="b">
        <f>IF(I158="Required",0,IF(ISNUMBER(MATCH(J158,Lists!$I$2:$I$4,0)),L158))</f>
        <v>0</v>
      </c>
      <c r="R158" s="45" t="b">
        <f>IF(I158="Required",0,IF(ISNUMBER(MATCH(J158,Lists!$K$2:$K$7,0)),L158))</f>
        <v>0</v>
      </c>
      <c r="S158" s="45" t="b">
        <f>IF(I158="Required",0,IF(ISNUMBER(MATCH(J158,Lists!$G$2:$G$4,0)),L158))</f>
        <v>0</v>
      </c>
      <c r="T158" s="45" t="b">
        <f>IF(I158="Required",0,IF(ISNUMBER(MATCH(J158,Lists!$G$7:$G$8,0)),L158))</f>
        <v>0</v>
      </c>
      <c r="U158" s="45">
        <f>IF(I158="Required",0,IF(ISNUMBER(MATCH(J158,Lists!$H$2:$H$4,0)),K158))</f>
        <v>3</v>
      </c>
      <c r="V158" s="45">
        <f t="shared" si="19"/>
        <v>0</v>
      </c>
      <c r="W158" s="45">
        <f t="shared" si="20"/>
        <v>0</v>
      </c>
    </row>
    <row r="159" spans="1:23" ht="21" customHeight="1">
      <c r="A159" s="301" t="s">
        <v>23</v>
      </c>
      <c r="B159" s="44"/>
      <c r="C159" s="853"/>
      <c r="D159" s="804" t="s">
        <v>23</v>
      </c>
      <c r="E159" s="806" t="s">
        <v>138</v>
      </c>
      <c r="F159" s="304" t="s">
        <v>139</v>
      </c>
      <c r="G159" s="305">
        <f>'Review Comments'!F176</f>
        <v>0</v>
      </c>
      <c r="H159" s="305" t="str">
        <f>'Review Comments'!G176</f>
        <v>No</v>
      </c>
      <c r="I159" s="305" t="str">
        <f t="shared" si="23"/>
        <v/>
      </c>
      <c r="J159" s="323" t="str">
        <f>IF('Review Comments'!H176=0,"",'Review Comments'!H176)</f>
        <v>Not Attempted</v>
      </c>
      <c r="K159" s="305" t="str">
        <f>IF(I159="Required","Required",IF(ISNUMBER(MATCH(J159,Lists!$H$2:$H$9,0)),I159,""))</f>
        <v/>
      </c>
      <c r="L159" s="371" t="str">
        <f>IF(I159="Required","Required",IF(ISNUMBER(MATCH(J159,Lists!$I$2:$I$9,0)),I159,IF(ISNUMBER(MATCH(J159,Lists!$J$2:$J$9,0)),I159,"")))</f>
        <v/>
      </c>
      <c r="Q159" s="45" t="b">
        <f>IF(I159="Required",0,IF(ISNUMBER(MATCH(J159,Lists!$I$2:$I$4,0)),L159))</f>
        <v>0</v>
      </c>
      <c r="R159" s="45" t="b">
        <f>IF(I159="Required",0,IF(ISNUMBER(MATCH(J159,Lists!$K$2:$K$7,0)),L159))</f>
        <v>0</v>
      </c>
      <c r="S159" s="45" t="b">
        <f>IF(I159="Required",0,IF(ISNUMBER(MATCH(J159,Lists!$G$2:$G$4,0)),L159))</f>
        <v>0</v>
      </c>
      <c r="T159" s="45" t="b">
        <f>IF(I159="Required",0,IF(ISNUMBER(MATCH(J159,Lists!$G$7:$G$8,0)),L159))</f>
        <v>0</v>
      </c>
      <c r="U159" s="45" t="b">
        <f>IF(I159="Required",0,IF(ISNUMBER(MATCH(J159,Lists!$H$2:$H$4,0)),K159))</f>
        <v>0</v>
      </c>
      <c r="V159" s="45">
        <f t="shared" si="19"/>
        <v>0</v>
      </c>
      <c r="W159" s="45">
        <f t="shared" si="20"/>
        <v>0</v>
      </c>
    </row>
    <row r="160" spans="1:23" ht="21" customHeight="1">
      <c r="A160" s="301" t="s">
        <v>23</v>
      </c>
      <c r="B160" s="44"/>
      <c r="C160" s="853"/>
      <c r="D160" s="804"/>
      <c r="E160" s="806"/>
      <c r="F160" s="304" t="s">
        <v>457</v>
      </c>
      <c r="G160" s="305">
        <f>'Review Comments'!F177</f>
        <v>0</v>
      </c>
      <c r="H160" s="305" t="str">
        <f>'Review Comments'!G177</f>
        <v>No</v>
      </c>
      <c r="I160" s="305" t="str">
        <f t="shared" si="23"/>
        <v/>
      </c>
      <c r="J160" s="323" t="str">
        <f>IF('Review Comments'!H177=0,"",'Review Comments'!H177)</f>
        <v>Not Attempted</v>
      </c>
      <c r="K160" s="305" t="str">
        <f>IF(I160="Required","Required",IF(ISNUMBER(MATCH(J160,Lists!$H$2:$H$9,0)),I160,""))</f>
        <v/>
      </c>
      <c r="L160" s="371" t="str">
        <f>IF(I160="Required","Required",IF(ISNUMBER(MATCH(J160,Lists!$I$2:$I$9,0)),I160,IF(ISNUMBER(MATCH(J160,Lists!$J$2:$J$9,0)),I160,"")))</f>
        <v/>
      </c>
      <c r="Q160" s="45" t="b">
        <f>IF(I160="Required",0,IF(ISNUMBER(MATCH(J160,Lists!$I$2:$I$4,0)),L160))</f>
        <v>0</v>
      </c>
      <c r="R160" s="45" t="b">
        <f>IF(I160="Required",0,IF(ISNUMBER(MATCH(J160,Lists!$K$2:$K$7,0)),L160))</f>
        <v>0</v>
      </c>
      <c r="S160" s="45" t="b">
        <f>IF(I160="Required",0,IF(ISNUMBER(MATCH(J160,Lists!$G$2:$G$4,0)),L160))</f>
        <v>0</v>
      </c>
      <c r="T160" s="45" t="b">
        <f>IF(I160="Required",0,IF(ISNUMBER(MATCH(J160,Lists!$G$7:$G$8,0)),L160))</f>
        <v>0</v>
      </c>
      <c r="U160" s="45" t="b">
        <f>IF(I160="Required",0,IF(ISNUMBER(MATCH(J160,Lists!$H$2:$H$4,0)),K160))</f>
        <v>0</v>
      </c>
      <c r="V160" s="45">
        <f t="shared" si="19"/>
        <v>0</v>
      </c>
      <c r="W160" s="45">
        <f t="shared" si="20"/>
        <v>0</v>
      </c>
    </row>
    <row r="161" spans="1:23" ht="21" customHeight="1">
      <c r="A161" s="301" t="s">
        <v>23</v>
      </c>
      <c r="B161" s="44"/>
      <c r="C161" s="853"/>
      <c r="D161" s="804" t="s">
        <v>23</v>
      </c>
      <c r="E161" s="806" t="s">
        <v>140</v>
      </c>
      <c r="F161" s="304" t="s">
        <v>458</v>
      </c>
      <c r="G161" s="305">
        <f>'Review Comments'!F178</f>
        <v>0</v>
      </c>
      <c r="H161" s="305" t="str">
        <f>'Review Comments'!G178</f>
        <v>No</v>
      </c>
      <c r="I161" s="305" t="str">
        <f t="shared" ref="I161:I168" si="24">IF(H161="Yes",G161,IF(H161="Required","Required",""))</f>
        <v/>
      </c>
      <c r="J161" s="323" t="str">
        <f>IF('Review Comments'!H178=0,"",'Review Comments'!H178)</f>
        <v>Not Attempted</v>
      </c>
      <c r="K161" s="305" t="str">
        <f>IF(I161="Required","Required",IF(ISNUMBER(MATCH(J161,Lists!$H$2:$H$9,0)),I161,""))</f>
        <v/>
      </c>
      <c r="L161" s="371" t="str">
        <f>IF(I161="Required","Required",IF(ISNUMBER(MATCH(J161,Lists!$I$2:$I$9,0)),I161,IF(ISNUMBER(MATCH(J161,Lists!$J$2:$J$9,0)),I161,"")))</f>
        <v/>
      </c>
      <c r="Q161" s="45" t="b">
        <f>IF(I161="Required",0,IF(ISNUMBER(MATCH(J161,Lists!$I$2:$I$4,0)),L161))</f>
        <v>0</v>
      </c>
      <c r="R161" s="45" t="b">
        <f>IF(I161="Required",0,IF(ISNUMBER(MATCH(J161,Lists!$K$2:$K$7,0)),L161))</f>
        <v>0</v>
      </c>
      <c r="S161" s="45" t="b">
        <f>IF(I161="Required",0,IF(ISNUMBER(MATCH(J161,Lists!$G$2:$G$4,0)),L161))</f>
        <v>0</v>
      </c>
      <c r="T161" s="45" t="b">
        <f>IF(I161="Required",0,IF(ISNUMBER(MATCH(J161,Lists!$G$7:$G$8,0)),L161))</f>
        <v>0</v>
      </c>
      <c r="U161" s="45" t="b">
        <f>IF(I161="Required",0,IF(ISNUMBER(MATCH(J161,Lists!$H$2:$H$4,0)),K161))</f>
        <v>0</v>
      </c>
      <c r="V161" s="45">
        <f t="shared" si="19"/>
        <v>0</v>
      </c>
      <c r="W161" s="45">
        <f t="shared" si="20"/>
        <v>0</v>
      </c>
    </row>
    <row r="162" spans="1:23" ht="21" customHeight="1">
      <c r="A162" s="301" t="s">
        <v>23</v>
      </c>
      <c r="B162" s="44"/>
      <c r="C162" s="853"/>
      <c r="D162" s="804"/>
      <c r="E162" s="806"/>
      <c r="F162" s="304" t="s">
        <v>459</v>
      </c>
      <c r="G162" s="305">
        <f>'Review Comments'!F179</f>
        <v>0</v>
      </c>
      <c r="H162" s="305" t="str">
        <f>'Review Comments'!G179</f>
        <v>No</v>
      </c>
      <c r="I162" s="305" t="str">
        <f t="shared" si="24"/>
        <v/>
      </c>
      <c r="J162" s="323" t="str">
        <f>IF('Review Comments'!H179=0,"",'Review Comments'!H179)</f>
        <v>Not Attempted</v>
      </c>
      <c r="K162" s="305" t="str">
        <f>IF(I162="Required","Required",IF(ISNUMBER(MATCH(J162,Lists!$H$2:$H$9,0)),I162,""))</f>
        <v/>
      </c>
      <c r="L162" s="371" t="str">
        <f>IF(I162="Required","Required",IF(ISNUMBER(MATCH(J162,Lists!$I$2:$I$9,0)),I162,IF(ISNUMBER(MATCH(J162,Lists!$J$2:$J$9,0)),I162,"")))</f>
        <v/>
      </c>
      <c r="Q162" s="45" t="b">
        <f>IF(I162="Required",0,IF(ISNUMBER(MATCH(J162,Lists!$I$2:$I$4,0)),L162))</f>
        <v>0</v>
      </c>
      <c r="R162" s="45" t="b">
        <f>IF(I162="Required",0,IF(ISNUMBER(MATCH(J162,Lists!$K$2:$K$7,0)),L162))</f>
        <v>0</v>
      </c>
      <c r="S162" s="45" t="b">
        <f>IF(I162="Required",0,IF(ISNUMBER(MATCH(J162,Lists!$G$2:$G$4,0)),L162))</f>
        <v>0</v>
      </c>
      <c r="T162" s="45" t="b">
        <f>IF(I162="Required",0,IF(ISNUMBER(MATCH(J162,Lists!$G$7:$G$8,0)),L162))</f>
        <v>0</v>
      </c>
      <c r="U162" s="45" t="b">
        <f>IF(I162="Required",0,IF(ISNUMBER(MATCH(J162,Lists!$H$2:$H$4,0)),K162))</f>
        <v>0</v>
      </c>
      <c r="V162" s="45">
        <f t="shared" si="19"/>
        <v>0</v>
      </c>
      <c r="W162" s="45">
        <f t="shared" si="20"/>
        <v>0</v>
      </c>
    </row>
    <row r="163" spans="1:23" ht="21" customHeight="1">
      <c r="A163" s="301" t="s">
        <v>23</v>
      </c>
      <c r="B163" s="44"/>
      <c r="C163" s="853"/>
      <c r="D163" s="804"/>
      <c r="E163" s="806"/>
      <c r="F163" s="304" t="s">
        <v>460</v>
      </c>
      <c r="G163" s="305">
        <f>'Review Comments'!F180</f>
        <v>0</v>
      </c>
      <c r="H163" s="305" t="str">
        <f>'Review Comments'!G180</f>
        <v>No</v>
      </c>
      <c r="I163" s="305" t="str">
        <f t="shared" si="24"/>
        <v/>
      </c>
      <c r="J163" s="323" t="str">
        <f>IF('Review Comments'!H180=0,"",'Review Comments'!H180)</f>
        <v>Not Attempted</v>
      </c>
      <c r="K163" s="305" t="str">
        <f>IF(I163="Required","Required",IF(ISNUMBER(MATCH(J163,Lists!$H$2:$H$9,0)),I163,""))</f>
        <v/>
      </c>
      <c r="L163" s="371" t="str">
        <f>IF(I163="Required","Required",IF(ISNUMBER(MATCH(J163,Lists!$I$2:$I$9,0)),I163,IF(ISNUMBER(MATCH(J163,Lists!$J$2:$J$9,0)),I163,"")))</f>
        <v/>
      </c>
      <c r="Q163" s="45" t="b">
        <f>IF(I163="Required",0,IF(ISNUMBER(MATCH(J163,Lists!$I$2:$I$4,0)),L163))</f>
        <v>0</v>
      </c>
      <c r="R163" s="45" t="b">
        <f>IF(I163="Required",0,IF(ISNUMBER(MATCH(J163,Lists!$K$2:$K$7,0)),L163))</f>
        <v>0</v>
      </c>
      <c r="S163" s="45" t="b">
        <f>IF(I163="Required",0,IF(ISNUMBER(MATCH(J163,Lists!$G$2:$G$4,0)),L163))</f>
        <v>0</v>
      </c>
      <c r="T163" s="45" t="b">
        <f>IF(I163="Required",0,IF(ISNUMBER(MATCH(J163,Lists!$G$7:$G$8,0)),L163))</f>
        <v>0</v>
      </c>
      <c r="U163" s="45" t="b">
        <f>IF(I163="Required",0,IF(ISNUMBER(MATCH(J163,Lists!$H$2:$H$4,0)),K163))</f>
        <v>0</v>
      </c>
      <c r="V163" s="45">
        <f t="shared" si="19"/>
        <v>0</v>
      </c>
      <c r="W163" s="45">
        <f t="shared" si="20"/>
        <v>0</v>
      </c>
    </row>
    <row r="164" spans="1:23" ht="21" customHeight="1" thickBot="1">
      <c r="A164" s="301" t="s">
        <v>23</v>
      </c>
      <c r="B164" s="44"/>
      <c r="C164" s="853"/>
      <c r="D164" s="306" t="s">
        <v>23</v>
      </c>
      <c r="E164" s="200" t="s">
        <v>141</v>
      </c>
      <c r="F164" s="304" t="s">
        <v>142</v>
      </c>
      <c r="G164" s="305">
        <f>'Review Comments'!F181</f>
        <v>0</v>
      </c>
      <c r="H164" s="305" t="str">
        <f>'Review Comments'!G181</f>
        <v>No</v>
      </c>
      <c r="I164" s="305" t="str">
        <f t="shared" si="24"/>
        <v/>
      </c>
      <c r="J164" s="323" t="str">
        <f>IF('Review Comments'!H181=0,"",'Review Comments'!H181)</f>
        <v>Not Attempted</v>
      </c>
      <c r="K164" s="279" t="str">
        <f>IF(I164="Required","Required",IF(ISNUMBER(MATCH(J164,Lists!$H$2:$H$9,0)),I164,""))</f>
        <v/>
      </c>
      <c r="L164" s="280" t="str">
        <f>IF(I164="Required","Required",IF(ISNUMBER(MATCH(J164,Lists!$I$2:$I$9,0)),I164,IF(ISNUMBER(MATCH(J164,Lists!$J$2:$J$9,0)),I164,"")))</f>
        <v/>
      </c>
      <c r="N164" s="185" t="s">
        <v>732</v>
      </c>
      <c r="O164" s="52"/>
      <c r="Q164" s="45" t="b">
        <f>IF(I164="Required",0,IF(ISNUMBER(MATCH(J164,Lists!$I$2:$I$4,0)),L164))</f>
        <v>0</v>
      </c>
      <c r="R164" s="45" t="b">
        <f>IF(I164="Required",0,IF(ISNUMBER(MATCH(J164,Lists!$K$2:$K$7,0)),L164))</f>
        <v>0</v>
      </c>
      <c r="S164" s="45" t="b">
        <f>IF(I164="Required",0,IF(ISNUMBER(MATCH(J164,Lists!$G$2:$G$4,0)),L164))</f>
        <v>0</v>
      </c>
      <c r="T164" s="45" t="b">
        <f>IF(I164="Required",0,IF(ISNUMBER(MATCH(J164,Lists!$G$7:$G$8,0)),L164))</f>
        <v>0</v>
      </c>
      <c r="U164" s="45" t="b">
        <f>IF(I164="Required",0,IF(ISNUMBER(MATCH(J164,Lists!$H$2:$H$4,0)),K164))</f>
        <v>0</v>
      </c>
      <c r="V164" s="45">
        <f t="shared" si="19"/>
        <v>0</v>
      </c>
      <c r="W164" s="45">
        <f t="shared" si="20"/>
        <v>0</v>
      </c>
    </row>
    <row r="165" spans="1:23" ht="21" hidden="1" customHeight="1">
      <c r="A165" s="301" t="s">
        <v>23</v>
      </c>
      <c r="B165" s="44"/>
      <c r="C165" s="853"/>
      <c r="D165" s="808" t="s">
        <v>23</v>
      </c>
      <c r="E165" s="810" t="s">
        <v>353</v>
      </c>
      <c r="F165" s="372" t="s">
        <v>354</v>
      </c>
      <c r="G165" s="305">
        <f>'Review Comments'!F182</f>
        <v>0</v>
      </c>
      <c r="H165" s="305">
        <f>'Review Comments'!G182</f>
        <v>0</v>
      </c>
      <c r="I165" s="373" t="str">
        <f t="shared" si="24"/>
        <v/>
      </c>
      <c r="J165" s="374" t="str">
        <f>IF('Review Comments'!H182=0,"",'Review Comments'!H182)</f>
        <v/>
      </c>
      <c r="K165" s="373" t="str">
        <f>IF(I165="Required","Required",IF(ISNUMBER(MATCH(J165,Lists!$H$2:$H$9,0)),I165,""))</f>
        <v/>
      </c>
      <c r="L165" s="375" t="str">
        <f>IF(I165="Required","Required",IF(ISNUMBER(MATCH(J165,Lists!$I$2:$I$9,0)),I165,IF(ISNUMBER(MATCH(J165,Lists!$J$2:$J$9,0)),I165,"")))</f>
        <v/>
      </c>
      <c r="Q165" s="45" t="b">
        <f>IF(I165="Required",0,IF(ISNUMBER(MATCH(J165,Lists!$I$2:$I$4,0)),L165))</f>
        <v>0</v>
      </c>
      <c r="R165" s="45" t="b">
        <f>IF(I165="Required",0,IF(ISNUMBER(MATCH(J165,Lists!$K$2:$K$7,0)),L165))</f>
        <v>0</v>
      </c>
      <c r="S165" s="45" t="b">
        <f>IF(I165="Required",0,IF(ISNUMBER(MATCH(J165,Lists!$G$2:$G$4,0)),L165))</f>
        <v>0</v>
      </c>
      <c r="T165" s="45" t="b">
        <f>IF(I165="Required",0,IF(ISNUMBER(MATCH(J165,Lists!$G$7:$G$8,0)),L165))</f>
        <v>0</v>
      </c>
      <c r="U165" s="45" t="b">
        <f>IF(I165="Required",0,IF(ISNUMBER(MATCH(J165,Lists!$H$2:$H$4,0)),K165))</f>
        <v>0</v>
      </c>
      <c r="V165" s="45">
        <f t="shared" si="19"/>
        <v>0</v>
      </c>
      <c r="W165" s="45">
        <f t="shared" si="20"/>
        <v>0</v>
      </c>
    </row>
    <row r="166" spans="1:23" ht="21" hidden="1" customHeight="1">
      <c r="A166" s="301" t="s">
        <v>23</v>
      </c>
      <c r="B166" s="44"/>
      <c r="C166" s="853"/>
      <c r="D166" s="804"/>
      <c r="E166" s="806"/>
      <c r="F166" s="304" t="s">
        <v>355</v>
      </c>
      <c r="G166" s="305">
        <f>'Review Comments'!F183</f>
        <v>0</v>
      </c>
      <c r="H166" s="305">
        <f>'Review Comments'!G183</f>
        <v>0</v>
      </c>
      <c r="I166" s="305" t="str">
        <f t="shared" si="24"/>
        <v/>
      </c>
      <c r="J166" s="323" t="str">
        <f>IF('Review Comments'!H183=0,"",'Review Comments'!H183)</f>
        <v/>
      </c>
      <c r="K166" s="305" t="str">
        <f>IF(I166="Required","Required",IF(ISNUMBER(MATCH(J166,Lists!$H$2:$H$9,0)),I166,""))</f>
        <v/>
      </c>
      <c r="L166" s="371" t="str">
        <f>IF(I166="Required","Required",IF(ISNUMBER(MATCH(J166,Lists!$I$2:$I$9,0)),I166,IF(ISNUMBER(MATCH(J166,Lists!$J$2:$J$9,0)),I166,"")))</f>
        <v/>
      </c>
      <c r="Q166" s="45" t="b">
        <f>IF(I166="Required",0,IF(ISNUMBER(MATCH(J166,Lists!$I$2:$I$4,0)),L166))</f>
        <v>0</v>
      </c>
      <c r="R166" s="45" t="b">
        <f>IF(I166="Required",0,IF(ISNUMBER(MATCH(J166,Lists!$K$2:$K$7,0)),L166))</f>
        <v>0</v>
      </c>
      <c r="S166" s="45" t="b">
        <f>IF(I166="Required",0,IF(ISNUMBER(MATCH(J166,Lists!$G$2:$G$4,0)),L166))</f>
        <v>0</v>
      </c>
      <c r="T166" s="45" t="b">
        <f>IF(I166="Required",0,IF(ISNUMBER(MATCH(J166,Lists!$G$7:$G$8,0)),L166))</f>
        <v>0</v>
      </c>
      <c r="U166" s="45" t="b">
        <f>IF(I166="Required",0,IF(ISNUMBER(MATCH(J166,Lists!$H$2:$H$4,0)),K166))</f>
        <v>0</v>
      </c>
      <c r="V166" s="45">
        <f t="shared" si="19"/>
        <v>0</v>
      </c>
      <c r="W166" s="45">
        <f t="shared" si="20"/>
        <v>0</v>
      </c>
    </row>
    <row r="167" spans="1:23" ht="21" hidden="1" customHeight="1">
      <c r="A167" s="301" t="s">
        <v>23</v>
      </c>
      <c r="B167" s="44"/>
      <c r="C167" s="853"/>
      <c r="D167" s="804" t="s">
        <v>23</v>
      </c>
      <c r="E167" s="806" t="s">
        <v>468</v>
      </c>
      <c r="F167" s="304" t="s">
        <v>470</v>
      </c>
      <c r="G167" s="305">
        <f>'Review Comments'!F184</f>
        <v>0</v>
      </c>
      <c r="H167" s="305">
        <f>'Review Comments'!G184</f>
        <v>0</v>
      </c>
      <c r="I167" s="305" t="str">
        <f t="shared" si="24"/>
        <v/>
      </c>
      <c r="J167" s="323" t="str">
        <f>IF('Review Comments'!H184=0,"",'Review Comments'!H184)</f>
        <v/>
      </c>
      <c r="K167" s="305" t="str">
        <f>IF(I167="Required","Required",IF(ISNUMBER(MATCH(J167,Lists!$H$2:$H$9,0)),I167,""))</f>
        <v/>
      </c>
      <c r="L167" s="371" t="str">
        <f>IF(I167="Required","Required",IF(ISNUMBER(MATCH(J167,Lists!$I$2:$I$9,0)),I167,IF(ISNUMBER(MATCH(J167,Lists!$J$2:$J$9,0)),I167,"")))</f>
        <v/>
      </c>
      <c r="Q167" s="45" t="b">
        <f>IF(I167="Required",0,IF(ISNUMBER(MATCH(J167,Lists!$I$2:$I$4,0)),L167))</f>
        <v>0</v>
      </c>
      <c r="R167" s="45" t="b">
        <f>IF(I167="Required",0,IF(ISNUMBER(MATCH(J167,Lists!$K$2:$K$7,0)),L167))</f>
        <v>0</v>
      </c>
      <c r="S167" s="45" t="b">
        <f>IF(I167="Required",0,IF(ISNUMBER(MATCH(J167,Lists!$G$2:$G$4,0)),L167))</f>
        <v>0</v>
      </c>
      <c r="T167" s="45" t="b">
        <f>IF(I167="Required",0,IF(ISNUMBER(MATCH(J167,Lists!$G$7:$G$8,0)),L167))</f>
        <v>0</v>
      </c>
      <c r="U167" s="45" t="b">
        <f>IF(I167="Required",0,IF(ISNUMBER(MATCH(J167,Lists!$H$2:$H$4,0)),K167))</f>
        <v>0</v>
      </c>
      <c r="V167" s="45">
        <f t="shared" si="19"/>
        <v>0</v>
      </c>
      <c r="W167" s="45">
        <f t="shared" si="20"/>
        <v>0</v>
      </c>
    </row>
    <row r="168" spans="1:23" ht="21" hidden="1" customHeight="1" thickBot="1">
      <c r="A168" s="301" t="s">
        <v>23</v>
      </c>
      <c r="B168" s="44"/>
      <c r="C168" s="853"/>
      <c r="D168" s="838"/>
      <c r="E168" s="839"/>
      <c r="F168" s="333" t="s">
        <v>469</v>
      </c>
      <c r="G168" s="309">
        <f>'Review Comments'!F185</f>
        <v>0</v>
      </c>
      <c r="H168" s="309">
        <f>'Review Comments'!G185</f>
        <v>0</v>
      </c>
      <c r="I168" s="309" t="str">
        <f t="shared" si="24"/>
        <v/>
      </c>
      <c r="J168" s="334" t="str">
        <f>IF('Review Comments'!H185=0,"",'Review Comments'!H185)</f>
        <v/>
      </c>
      <c r="K168" s="309" t="str">
        <f>IF(I168="Required","Required",IF(ISNUMBER(MATCH(J168,Lists!$H$2:$H$9,0)),I168,""))</f>
        <v/>
      </c>
      <c r="L168" s="376" t="str">
        <f>IF(I168="Required","Required",IF(ISNUMBER(MATCH(J168,Lists!$I$2:$I$9,0)),I168,IF(ISNUMBER(MATCH(J168,Lists!$J$2:$J$9,0)),I168,"")))</f>
        <v/>
      </c>
      <c r="Q168" s="45" t="b">
        <f>IF(I168="Required",0,IF(ISNUMBER(MATCH(J168,Lists!$I$2:$I$4,0)),L168))</f>
        <v>0</v>
      </c>
      <c r="R168" s="45" t="b">
        <f>IF(I168="Required",0,IF(ISNUMBER(MATCH(J168,Lists!$K$2:$K$7,0)),L168))</f>
        <v>0</v>
      </c>
      <c r="S168" s="45" t="b">
        <f>IF(I168="Required",0,IF(ISNUMBER(MATCH(J168,Lists!$G$2:$G$4,0)),L168))</f>
        <v>0</v>
      </c>
      <c r="T168" s="45" t="b">
        <f>IF(I168="Required",0,IF(ISNUMBER(MATCH(J168,Lists!$G$7:$G$8,0)),L168))</f>
        <v>0</v>
      </c>
      <c r="U168" s="45" t="b">
        <f>IF(I168="Required",0,IF(ISNUMBER(MATCH(J168,Lists!$H$2:$H$4,0)),K168))</f>
        <v>0</v>
      </c>
      <c r="V168" s="45">
        <f t="shared" si="19"/>
        <v>0</v>
      </c>
      <c r="W168" s="45">
        <f t="shared" si="20"/>
        <v>0</v>
      </c>
    </row>
    <row r="169" spans="1:23" s="175" customFormat="1" ht="16.2" customHeight="1">
      <c r="A169" s="377"/>
      <c r="B169" s="174"/>
      <c r="C169" s="378"/>
      <c r="D169" s="379"/>
      <c r="E169" s="380"/>
      <c r="F169" s="381"/>
      <c r="G169" s="382">
        <f>SUM(G155:G168)</f>
        <v>3</v>
      </c>
      <c r="H169" s="379"/>
      <c r="I169" s="383">
        <f>SUM(I155:I168)</f>
        <v>3</v>
      </c>
      <c r="J169" s="384"/>
      <c r="K169" s="383">
        <f>SUM(K155:K168)</f>
        <v>3</v>
      </c>
      <c r="L169" s="385">
        <f>SUM(L155:L168)</f>
        <v>0</v>
      </c>
      <c r="Q169" s="175" t="b">
        <f>IF(I169="Required",0,IF(ISNUMBER(MATCH(J169,Lists!$I$2:$I$4,0)),L169))</f>
        <v>0</v>
      </c>
      <c r="R169" s="175" t="b">
        <f>IF(I169="Required",0,IF(ISNUMBER(MATCH(J169,Lists!$K$2:$K$7,0)),L169))</f>
        <v>0</v>
      </c>
      <c r="S169" s="175" t="b">
        <f>IF(I169="Required",0,IF(ISNUMBER(MATCH(J169,Lists!$G$2:$G$4,0)),L169))</f>
        <v>0</v>
      </c>
      <c r="T169" s="175" t="b">
        <f>IF(I169="Required",0,IF(ISNUMBER(MATCH(J169,Lists!$G$7:$G$8,0)),L169))</f>
        <v>0</v>
      </c>
      <c r="U169" s="175" t="b">
        <f>IF(I169="Required",0,IF(ISNUMBER(MATCH(J169,Lists!$H$2:$H$4,0)),K169))</f>
        <v>0</v>
      </c>
      <c r="V169" s="175">
        <f t="shared" si="19"/>
        <v>0</v>
      </c>
      <c r="W169" s="45">
        <f t="shared" si="20"/>
        <v>0</v>
      </c>
    </row>
    <row r="170" spans="1:23" ht="6.6" customHeight="1" thickBot="1">
      <c r="A170" s="294"/>
      <c r="B170" s="44"/>
      <c r="C170" s="295"/>
      <c r="D170" s="294"/>
      <c r="E170" s="296"/>
      <c r="F170" s="297"/>
      <c r="G170" s="298"/>
      <c r="H170" s="298"/>
      <c r="I170" s="298"/>
      <c r="J170" s="299"/>
      <c r="K170" s="298"/>
      <c r="L170" s="300"/>
      <c r="Q170" s="45" t="b">
        <f>IF(I170="Required",0,IF(ISNUMBER(MATCH(J170,Lists!$I$2:$I$4,0)),L170))</f>
        <v>0</v>
      </c>
      <c r="R170" s="45" t="b">
        <f>IF(I170="Required",0,IF(ISNUMBER(MATCH(J170,Lists!$K$2:$K$7,0)),L170))</f>
        <v>0</v>
      </c>
      <c r="S170" s="45" t="b">
        <f>IF(I170="Required",0,IF(ISNUMBER(MATCH(J170,Lists!$G$2:$G$4,0)),L170))</f>
        <v>0</v>
      </c>
      <c r="T170" s="45" t="b">
        <f>IF(I170="Required",0,IF(ISNUMBER(MATCH(J170,Lists!$G$7:$G$8,0)),L170))</f>
        <v>0</v>
      </c>
      <c r="U170" s="45" t="b">
        <f>IF(I170="Required",0,IF(ISNUMBER(MATCH(J170,Lists!$H$2:$H$4,0)),K170))</f>
        <v>0</v>
      </c>
      <c r="V170" s="45">
        <f t="shared" si="19"/>
        <v>0</v>
      </c>
      <c r="W170" s="45">
        <f t="shared" si="20"/>
        <v>0</v>
      </c>
    </row>
    <row r="171" spans="1:23" ht="21" customHeight="1">
      <c r="A171" s="301" t="s">
        <v>8</v>
      </c>
      <c r="B171" s="44"/>
      <c r="C171" s="854" t="s">
        <v>143</v>
      </c>
      <c r="D171" s="803" t="s">
        <v>8</v>
      </c>
      <c r="E171" s="856" t="s">
        <v>144</v>
      </c>
      <c r="F171" s="302" t="s">
        <v>145</v>
      </c>
      <c r="G171" s="303">
        <f>'Review Comments'!F191</f>
        <v>0</v>
      </c>
      <c r="H171" s="303" t="str">
        <f>'Review Comments'!G191</f>
        <v>Required</v>
      </c>
      <c r="I171" s="303" t="str">
        <f t="shared" ref="I171:I188" si="25">IF(H171="Yes",G171,IF(H171="Required","Required",""))</f>
        <v>Required</v>
      </c>
      <c r="J171" s="322" t="str">
        <f>IF('Review Comments'!H191=0,"",'Review Comments'!H191)</f>
        <v>Anticipated</v>
      </c>
      <c r="K171" s="275" t="str">
        <f>IF(I171="Required","Required",IF(ISNUMBER(MATCH(J171,Lists!$H$2:$H$9,0)),I171,""))</f>
        <v>Required</v>
      </c>
      <c r="L171" s="276" t="str">
        <f>IF(I171="Required","Required",IF(ISNUMBER(MATCH(J171,Lists!$I$2:$I$9,0)),I171,IF(ISNUMBER(MATCH(J171,Lists!$J$2:$J$9,0)),I171,"")))</f>
        <v>Required</v>
      </c>
      <c r="Q171" s="45">
        <f>IF(I171="Required",0,IF(ISNUMBER(MATCH(J171,Lists!$I$2:$I$4,0)),L171))</f>
        <v>0</v>
      </c>
      <c r="R171" s="45">
        <f>IF(I171="Required",0,IF(ISNUMBER(MATCH(J171,Lists!$K$2:$K$7,0)),L171))</f>
        <v>0</v>
      </c>
      <c r="S171" s="45">
        <f>IF(I171="Required",0,IF(ISNUMBER(MATCH(J171,Lists!$G$2:$G$4,0)),L171))</f>
        <v>0</v>
      </c>
      <c r="T171" s="45">
        <f>IF(I171="Required",0,IF(ISNUMBER(MATCH(J171,Lists!$G$7:$G$8,0)),L171))</f>
        <v>0</v>
      </c>
      <c r="U171" s="45">
        <f>IF(I171="Required",0,IF(ISNUMBER(MATCH(J171,Lists!$H$2:$H$4,0)),K171))</f>
        <v>0</v>
      </c>
      <c r="V171" s="45">
        <f t="shared" si="19"/>
        <v>0</v>
      </c>
      <c r="W171" s="45">
        <f t="shared" si="20"/>
        <v>0</v>
      </c>
    </row>
    <row r="172" spans="1:23" ht="21" customHeight="1">
      <c r="A172" s="301" t="s">
        <v>8</v>
      </c>
      <c r="B172" s="44"/>
      <c r="C172" s="855"/>
      <c r="D172" s="804"/>
      <c r="E172" s="819"/>
      <c r="F172" s="304" t="s">
        <v>146</v>
      </c>
      <c r="G172" s="305">
        <f>'Review Comments'!F192</f>
        <v>0</v>
      </c>
      <c r="H172" s="305" t="str">
        <f>'Review Comments'!G192</f>
        <v>Required</v>
      </c>
      <c r="I172" s="305" t="str">
        <f t="shared" si="25"/>
        <v>Required</v>
      </c>
      <c r="J172" s="323" t="str">
        <f>IF('Review Comments'!H192=0,"",'Review Comments'!H192)</f>
        <v>Anticipated</v>
      </c>
      <c r="K172" s="279" t="str">
        <f>IF(I172="Required","Required",IF(ISNUMBER(MATCH(J172,Lists!$H$2:$H$9,0)),I172,""))</f>
        <v>Required</v>
      </c>
      <c r="L172" s="280" t="str">
        <f>IF(I172="Required","Required",IF(ISNUMBER(MATCH(J172,Lists!$I$2:$I$9,0)),I172,IF(ISNUMBER(MATCH(J172,Lists!$J$2:$J$9,0)),I172,"")))</f>
        <v>Required</v>
      </c>
      <c r="Q172" s="45">
        <f>IF(I172="Required",0,IF(ISNUMBER(MATCH(J172,Lists!$I$2:$I$4,0)),L172))</f>
        <v>0</v>
      </c>
      <c r="R172" s="45">
        <f>IF(I172="Required",0,IF(ISNUMBER(MATCH(J172,Lists!$K$2:$K$7,0)),L172))</f>
        <v>0</v>
      </c>
      <c r="S172" s="45">
        <f>IF(I172="Required",0,IF(ISNUMBER(MATCH(J172,Lists!$G$2:$G$4,0)),L172))</f>
        <v>0</v>
      </c>
      <c r="T172" s="45">
        <f>IF(I172="Required",0,IF(ISNUMBER(MATCH(J172,Lists!$G$7:$G$8,0)),L172))</f>
        <v>0</v>
      </c>
      <c r="U172" s="45">
        <f>IF(I172="Required",0,IF(ISNUMBER(MATCH(J172,Lists!$H$2:$H$4,0)),K172))</f>
        <v>0</v>
      </c>
      <c r="V172" s="45">
        <f t="shared" si="19"/>
        <v>0</v>
      </c>
      <c r="W172" s="45">
        <f t="shared" si="20"/>
        <v>0</v>
      </c>
    </row>
    <row r="173" spans="1:23" ht="21" customHeight="1">
      <c r="A173" s="301" t="s">
        <v>8</v>
      </c>
      <c r="B173" s="44"/>
      <c r="C173" s="855"/>
      <c r="D173" s="804"/>
      <c r="E173" s="810"/>
      <c r="F173" s="304" t="s">
        <v>147</v>
      </c>
      <c r="G173" s="305">
        <f>'Review Comments'!F193</f>
        <v>0</v>
      </c>
      <c r="H173" s="305" t="str">
        <f>'Review Comments'!G193</f>
        <v>Required</v>
      </c>
      <c r="I173" s="305" t="str">
        <f t="shared" si="25"/>
        <v>Required</v>
      </c>
      <c r="J173" s="323" t="str">
        <f>IF('Review Comments'!H193=0,"",'Review Comments'!H193)</f>
        <v>Anticipated</v>
      </c>
      <c r="K173" s="279" t="str">
        <f>IF(I173="Required","Required",IF(ISNUMBER(MATCH(J173,Lists!$H$2:$H$9,0)),I173,""))</f>
        <v>Required</v>
      </c>
      <c r="L173" s="280" t="str">
        <f>IF(I173="Required","Required",IF(ISNUMBER(MATCH(J173,Lists!$I$2:$I$9,0)),I173,IF(ISNUMBER(MATCH(J173,Lists!$J$2:$J$9,0)),I173,"")))</f>
        <v>Required</v>
      </c>
      <c r="Q173" s="45">
        <f>IF(I173="Required",0,IF(ISNUMBER(MATCH(J173,Lists!$I$2:$I$4,0)),L173))</f>
        <v>0</v>
      </c>
      <c r="R173" s="45">
        <f>IF(I173="Required",0,IF(ISNUMBER(MATCH(J173,Lists!$K$2:$K$7,0)),L173))</f>
        <v>0</v>
      </c>
      <c r="S173" s="45">
        <f>IF(I173="Required",0,IF(ISNUMBER(MATCH(J173,Lists!$G$2:$G$4,0)),L173))</f>
        <v>0</v>
      </c>
      <c r="T173" s="45">
        <f>IF(I173="Required",0,IF(ISNUMBER(MATCH(J173,Lists!$G$7:$G$8,0)),L173))</f>
        <v>0</v>
      </c>
      <c r="U173" s="45">
        <f>IF(I173="Required",0,IF(ISNUMBER(MATCH(J173,Lists!$H$2:$H$4,0)),K173))</f>
        <v>0</v>
      </c>
      <c r="V173" s="45">
        <f t="shared" si="19"/>
        <v>0</v>
      </c>
      <c r="W173" s="45">
        <f t="shared" si="20"/>
        <v>0</v>
      </c>
    </row>
    <row r="174" spans="1:23" ht="21" customHeight="1">
      <c r="A174" s="301" t="s">
        <v>8</v>
      </c>
      <c r="B174" s="44"/>
      <c r="C174" s="855"/>
      <c r="D174" s="807" t="s">
        <v>8</v>
      </c>
      <c r="E174" s="809" t="s">
        <v>148</v>
      </c>
      <c r="F174" s="304" t="s">
        <v>149</v>
      </c>
      <c r="G174" s="305">
        <f>'Review Comments'!F194</f>
        <v>0</v>
      </c>
      <c r="H174" s="305" t="str">
        <f>'Review Comments'!G194</f>
        <v>Required</v>
      </c>
      <c r="I174" s="305" t="str">
        <f t="shared" si="25"/>
        <v>Required</v>
      </c>
      <c r="J174" s="323" t="str">
        <f>IF('Review Comments'!H194=0,"",'Review Comments'!H194)</f>
        <v>Anticipated</v>
      </c>
      <c r="K174" s="279" t="str">
        <f>IF(I174="Required","Required",IF(ISNUMBER(MATCH(J174,Lists!$H$2:$H$9,0)),I174,""))</f>
        <v>Required</v>
      </c>
      <c r="L174" s="280" t="str">
        <f>IF(I174="Required","Required",IF(ISNUMBER(MATCH(J174,Lists!$I$2:$I$9,0)),I174,IF(ISNUMBER(MATCH(J174,Lists!$J$2:$J$9,0)),I174,"")))</f>
        <v>Required</v>
      </c>
      <c r="Q174" s="45">
        <f>IF(I174="Required",0,IF(ISNUMBER(MATCH(J174,Lists!$I$2:$I$4,0)),L174))</f>
        <v>0</v>
      </c>
      <c r="R174" s="45">
        <f>IF(I174="Required",0,IF(ISNUMBER(MATCH(J174,Lists!$K$2:$K$7,0)),L174))</f>
        <v>0</v>
      </c>
      <c r="S174" s="45">
        <f>IF(I174="Required",0,IF(ISNUMBER(MATCH(J174,Lists!$G$2:$G$4,0)),L174))</f>
        <v>0</v>
      </c>
      <c r="T174" s="45">
        <f>IF(I174="Required",0,IF(ISNUMBER(MATCH(J174,Lists!$G$7:$G$8,0)),L174))</f>
        <v>0</v>
      </c>
      <c r="U174" s="45">
        <f>IF(I174="Required",0,IF(ISNUMBER(MATCH(J174,Lists!$H$2:$H$4,0)),K174))</f>
        <v>0</v>
      </c>
      <c r="V174" s="45">
        <f t="shared" si="19"/>
        <v>0</v>
      </c>
      <c r="W174" s="45">
        <f t="shared" si="20"/>
        <v>0</v>
      </c>
    </row>
    <row r="175" spans="1:23" ht="21" customHeight="1">
      <c r="A175" s="301" t="s">
        <v>8</v>
      </c>
      <c r="B175" s="44"/>
      <c r="C175" s="855"/>
      <c r="D175" s="818"/>
      <c r="E175" s="819"/>
      <c r="F175" s="304" t="s">
        <v>150</v>
      </c>
      <c r="G175" s="305">
        <f>'Review Comments'!F195</f>
        <v>0</v>
      </c>
      <c r="H175" s="305" t="str">
        <f>'Review Comments'!G195</f>
        <v>Required</v>
      </c>
      <c r="I175" s="305" t="str">
        <f t="shared" si="25"/>
        <v>Required</v>
      </c>
      <c r="J175" s="323" t="str">
        <f>IF('Review Comments'!H195=0,"",'Review Comments'!H195)</f>
        <v>Anticipated</v>
      </c>
      <c r="K175" s="279" t="str">
        <f>IF(I175="Required","Required",IF(ISNUMBER(MATCH(J175,Lists!$H$2:$H$9,0)),I175,""))</f>
        <v>Required</v>
      </c>
      <c r="L175" s="280" t="str">
        <f>IF(I175="Required","Required",IF(ISNUMBER(MATCH(J175,Lists!$I$2:$I$9,0)),I175,IF(ISNUMBER(MATCH(J175,Lists!$J$2:$J$9,0)),I175,"")))</f>
        <v>Required</v>
      </c>
      <c r="Q175" s="45">
        <f>IF(I175="Required",0,IF(ISNUMBER(MATCH(J175,Lists!$I$2:$I$4,0)),L175))</f>
        <v>0</v>
      </c>
      <c r="R175" s="45">
        <f>IF(I175="Required",0,IF(ISNUMBER(MATCH(J175,Lists!$K$2:$K$7,0)),L175))</f>
        <v>0</v>
      </c>
      <c r="S175" s="45">
        <f>IF(I175="Required",0,IF(ISNUMBER(MATCH(J175,Lists!$G$2:$G$4,0)),L175))</f>
        <v>0</v>
      </c>
      <c r="T175" s="45">
        <f>IF(I175="Required",0,IF(ISNUMBER(MATCH(J175,Lists!$G$7:$G$8,0)),L175))</f>
        <v>0</v>
      </c>
      <c r="U175" s="45">
        <f>IF(I175="Required",0,IF(ISNUMBER(MATCH(J175,Lists!$H$2:$H$4,0)),K175))</f>
        <v>0</v>
      </c>
      <c r="V175" s="45">
        <f t="shared" si="19"/>
        <v>0</v>
      </c>
      <c r="W175" s="45">
        <f t="shared" si="20"/>
        <v>0</v>
      </c>
    </row>
    <row r="176" spans="1:23" ht="21" customHeight="1">
      <c r="A176" s="301" t="s">
        <v>8</v>
      </c>
      <c r="B176" s="44"/>
      <c r="C176" s="855"/>
      <c r="D176" s="808"/>
      <c r="E176" s="810"/>
      <c r="F176" s="304" t="s">
        <v>151</v>
      </c>
      <c r="G176" s="305">
        <f>'Review Comments'!F196</f>
        <v>0</v>
      </c>
      <c r="H176" s="305" t="str">
        <f>'Review Comments'!G196</f>
        <v>Required</v>
      </c>
      <c r="I176" s="305" t="str">
        <f t="shared" si="25"/>
        <v>Required</v>
      </c>
      <c r="J176" s="323" t="str">
        <f>IF('Review Comments'!H196=0,"",'Review Comments'!H196)</f>
        <v>Anticipated</v>
      </c>
      <c r="K176" s="279" t="str">
        <f>IF(I176="Required","Required",IF(ISNUMBER(MATCH(J176,Lists!$H$2:$H$9,0)),I176,""))</f>
        <v>Required</v>
      </c>
      <c r="L176" s="280" t="str">
        <f>IF(I176="Required","Required",IF(ISNUMBER(MATCH(J176,Lists!$I$2:$I$9,0)),I176,IF(ISNUMBER(MATCH(J176,Lists!$J$2:$J$9,0)),I176,"")))</f>
        <v>Required</v>
      </c>
      <c r="Q176" s="45">
        <f>IF(I176="Required",0,IF(ISNUMBER(MATCH(J176,Lists!$I$2:$I$4,0)),L176))</f>
        <v>0</v>
      </c>
      <c r="R176" s="45">
        <f>IF(I176="Required",0,IF(ISNUMBER(MATCH(J176,Lists!$K$2:$K$7,0)),L176))</f>
        <v>0</v>
      </c>
      <c r="S176" s="45">
        <f>IF(I176="Required",0,IF(ISNUMBER(MATCH(J176,Lists!$G$2:$G$4,0)),L176))</f>
        <v>0</v>
      </c>
      <c r="T176" s="45">
        <f>IF(I176="Required",0,IF(ISNUMBER(MATCH(J176,Lists!$G$7:$G$8,0)),L176))</f>
        <v>0</v>
      </c>
      <c r="U176" s="45">
        <f>IF(I176="Required",0,IF(ISNUMBER(MATCH(J176,Lists!$H$2:$H$4,0)),K176))</f>
        <v>0</v>
      </c>
      <c r="V176" s="45">
        <f t="shared" si="19"/>
        <v>0</v>
      </c>
      <c r="W176" s="45">
        <f t="shared" si="20"/>
        <v>0</v>
      </c>
    </row>
    <row r="177" spans="1:23" ht="21" customHeight="1">
      <c r="A177" s="301" t="s">
        <v>8</v>
      </c>
      <c r="B177" s="44"/>
      <c r="C177" s="855"/>
      <c r="D177" s="807" t="s">
        <v>8</v>
      </c>
      <c r="E177" s="809" t="s">
        <v>152</v>
      </c>
      <c r="F177" s="304" t="s">
        <v>153</v>
      </c>
      <c r="G177" s="305">
        <f>'Review Comments'!F197</f>
        <v>0</v>
      </c>
      <c r="H177" s="305" t="str">
        <f>'Review Comments'!G197</f>
        <v>Required</v>
      </c>
      <c r="I177" s="305" t="str">
        <f t="shared" si="25"/>
        <v>Required</v>
      </c>
      <c r="J177" s="323" t="str">
        <f>IF('Review Comments'!H197=0,"",'Review Comments'!H197)</f>
        <v>Anticipated</v>
      </c>
      <c r="K177" s="279" t="str">
        <f>IF(I177="Required","Required",IF(ISNUMBER(MATCH(J177,Lists!$H$2:$H$9,0)),I177,""))</f>
        <v>Required</v>
      </c>
      <c r="L177" s="280" t="str">
        <f>IF(I177="Required","Required",IF(ISNUMBER(MATCH(J177,Lists!$I$2:$I$9,0)),I177,IF(ISNUMBER(MATCH(J177,Lists!$J$2:$J$9,0)),I177,"")))</f>
        <v>Required</v>
      </c>
      <c r="Q177" s="45">
        <f>IF(I177="Required",0,IF(ISNUMBER(MATCH(J177,Lists!$I$2:$I$4,0)),L177))</f>
        <v>0</v>
      </c>
      <c r="R177" s="45">
        <f>IF(I177="Required",0,IF(ISNUMBER(MATCH(J177,Lists!$K$2:$K$7,0)),L177))</f>
        <v>0</v>
      </c>
      <c r="S177" s="45">
        <f>IF(I177="Required",0,IF(ISNUMBER(MATCH(J177,Lists!$G$2:$G$4,0)),L177))</f>
        <v>0</v>
      </c>
      <c r="T177" s="45">
        <f>IF(I177="Required",0,IF(ISNUMBER(MATCH(J177,Lists!$G$7:$G$8,0)),L177))</f>
        <v>0</v>
      </c>
      <c r="U177" s="45">
        <f>IF(I177="Required",0,IF(ISNUMBER(MATCH(J177,Lists!$H$2:$H$4,0)),K177))</f>
        <v>0</v>
      </c>
      <c r="V177" s="45">
        <f t="shared" si="19"/>
        <v>0</v>
      </c>
      <c r="W177" s="45">
        <f t="shared" si="20"/>
        <v>0</v>
      </c>
    </row>
    <row r="178" spans="1:23" ht="21" customHeight="1">
      <c r="A178" s="301" t="s">
        <v>8</v>
      </c>
      <c r="B178" s="44"/>
      <c r="C178" s="855"/>
      <c r="D178" s="808"/>
      <c r="E178" s="810"/>
      <c r="F178" s="304" t="s">
        <v>154</v>
      </c>
      <c r="G178" s="305">
        <f>'Review Comments'!F198</f>
        <v>0</v>
      </c>
      <c r="H178" s="305" t="str">
        <f>'Review Comments'!G198</f>
        <v>Required</v>
      </c>
      <c r="I178" s="305" t="str">
        <f t="shared" si="25"/>
        <v>Required</v>
      </c>
      <c r="J178" s="323" t="str">
        <f>IF('Review Comments'!H198=0,"",'Review Comments'!H198)</f>
        <v>Anticipated</v>
      </c>
      <c r="K178" s="279" t="str">
        <f>IF(I178="Required","Required",IF(ISNUMBER(MATCH(J178,Lists!$H$2:$H$9,0)),I178,""))</f>
        <v>Required</v>
      </c>
      <c r="L178" s="280" t="str">
        <f>IF(I178="Required","Required",IF(ISNUMBER(MATCH(J178,Lists!$I$2:$I$9,0)),I178,IF(ISNUMBER(MATCH(J178,Lists!$J$2:$J$9,0)),I178,"")))</f>
        <v>Required</v>
      </c>
      <c r="Q178" s="45">
        <f>IF(I178="Required",0,IF(ISNUMBER(MATCH(J178,Lists!$I$2:$I$4,0)),L178))</f>
        <v>0</v>
      </c>
      <c r="R178" s="45">
        <f>IF(I178="Required",0,IF(ISNUMBER(MATCH(J178,Lists!$K$2:$K$7,0)),L178))</f>
        <v>0</v>
      </c>
      <c r="S178" s="45">
        <f>IF(I178="Required",0,IF(ISNUMBER(MATCH(J178,Lists!$G$2:$G$4,0)),L178))</f>
        <v>0</v>
      </c>
      <c r="T178" s="45">
        <f>IF(I178="Required",0,IF(ISNUMBER(MATCH(J178,Lists!$G$7:$G$8,0)),L178))</f>
        <v>0</v>
      </c>
      <c r="U178" s="45">
        <f>IF(I178="Required",0,IF(ISNUMBER(MATCH(J178,Lists!$H$2:$H$4,0)),K178))</f>
        <v>0</v>
      </c>
      <c r="V178" s="45">
        <f t="shared" si="19"/>
        <v>0</v>
      </c>
      <c r="W178" s="45">
        <f t="shared" si="20"/>
        <v>0</v>
      </c>
    </row>
    <row r="179" spans="1:23" ht="21" customHeight="1">
      <c r="A179" s="301" t="s">
        <v>23</v>
      </c>
      <c r="B179" s="44"/>
      <c r="C179" s="855"/>
      <c r="D179" s="306" t="s">
        <v>23</v>
      </c>
      <c r="E179" s="200" t="s">
        <v>155</v>
      </c>
      <c r="F179" s="304" t="s">
        <v>485</v>
      </c>
      <c r="G179" s="305">
        <f>'Review Comments'!F199</f>
        <v>1</v>
      </c>
      <c r="H179" s="305" t="str">
        <f>'Review Comments'!G199</f>
        <v>Yes</v>
      </c>
      <c r="I179" s="305">
        <f t="shared" si="25"/>
        <v>1</v>
      </c>
      <c r="J179" s="323" t="str">
        <f>IF('Review Comments'!H199=0,"",'Review Comments'!H199)</f>
        <v>Anticipated</v>
      </c>
      <c r="K179" s="279">
        <f>IF(I179="Required","Required",IF(ISNUMBER(MATCH(J179,Lists!$H$2:$H$9,0)),I179,""))</f>
        <v>1</v>
      </c>
      <c r="L179" s="280" t="str">
        <f>IF(I179="Required","Required",IF(ISNUMBER(MATCH(J179,Lists!$I$2:$I$9,0)),I179,IF(ISNUMBER(MATCH(J179,Lists!$J$2:$J$9,0)),I179,"")))</f>
        <v/>
      </c>
      <c r="Q179" s="45" t="b">
        <f>IF(I179="Required",0,IF(ISNUMBER(MATCH(J179,Lists!$I$2:$I$4,0)),L179))</f>
        <v>0</v>
      </c>
      <c r="R179" s="45" t="b">
        <f>IF(I179="Required",0,IF(ISNUMBER(MATCH(J179,Lists!$K$2:$K$7,0)),L179))</f>
        <v>0</v>
      </c>
      <c r="S179" s="45" t="b">
        <f>IF(I179="Required",0,IF(ISNUMBER(MATCH(J179,Lists!$G$2:$G$4,0)),L179))</f>
        <v>0</v>
      </c>
      <c r="T179" s="45" t="b">
        <f>IF(I179="Required",0,IF(ISNUMBER(MATCH(J179,Lists!$G$7:$G$8,0)),L179))</f>
        <v>0</v>
      </c>
      <c r="U179" s="45">
        <f>IF(I179="Required",0,IF(ISNUMBER(MATCH(J179,Lists!$H$2:$H$4,0)),K179))</f>
        <v>1</v>
      </c>
      <c r="V179" s="45">
        <f t="shared" si="19"/>
        <v>0</v>
      </c>
      <c r="W179" s="45">
        <f t="shared" si="20"/>
        <v>0</v>
      </c>
    </row>
    <row r="180" spans="1:23" ht="21" customHeight="1">
      <c r="A180" s="301" t="s">
        <v>23</v>
      </c>
      <c r="B180" s="44"/>
      <c r="C180" s="855"/>
      <c r="D180" s="306" t="s">
        <v>23</v>
      </c>
      <c r="E180" s="200" t="s">
        <v>156</v>
      </c>
      <c r="F180" s="304" t="s">
        <v>486</v>
      </c>
      <c r="G180" s="305">
        <f>'Review Comments'!F200</f>
        <v>0</v>
      </c>
      <c r="H180" s="305" t="str">
        <f>'Review Comments'!G200</f>
        <v>No</v>
      </c>
      <c r="I180" s="305" t="str">
        <f t="shared" si="25"/>
        <v/>
      </c>
      <c r="J180" s="323" t="str">
        <f>IF('Review Comments'!H200=0,"",'Review Comments'!H200)</f>
        <v>Not Attempted</v>
      </c>
      <c r="K180" s="279" t="str">
        <f>IF(I180="Required","Required",IF(ISNUMBER(MATCH(J180,Lists!$H$2:$H$9,0)),I180,""))</f>
        <v/>
      </c>
      <c r="L180" s="280" t="str">
        <f>IF(I180="Required","Required",IF(ISNUMBER(MATCH(J180,Lists!$I$2:$I$9,0)),I180,IF(ISNUMBER(MATCH(J180,Lists!$J$2:$J$9,0)),I180,"")))</f>
        <v/>
      </c>
      <c r="Q180" s="45" t="b">
        <f>IF(I180="Required",0,IF(ISNUMBER(MATCH(J180,Lists!$I$2:$I$4,0)),L180))</f>
        <v>0</v>
      </c>
      <c r="R180" s="45" t="b">
        <f>IF(I180="Required",0,IF(ISNUMBER(MATCH(J180,Lists!$K$2:$K$7,0)),L180))</f>
        <v>0</v>
      </c>
      <c r="S180" s="45" t="b">
        <f>IF(I180="Required",0,IF(ISNUMBER(MATCH(J180,Lists!$G$2:$G$4,0)),L180))</f>
        <v>0</v>
      </c>
      <c r="T180" s="45" t="b">
        <f>IF(I180="Required",0,IF(ISNUMBER(MATCH(J180,Lists!$G$7:$G$8,0)),L180))</f>
        <v>0</v>
      </c>
      <c r="U180" s="45" t="b">
        <f>IF(I180="Required",0,IF(ISNUMBER(MATCH(J180,Lists!$H$2:$H$4,0)),K180))</f>
        <v>0</v>
      </c>
      <c r="V180" s="45">
        <f t="shared" si="19"/>
        <v>0</v>
      </c>
      <c r="W180" s="45">
        <f t="shared" si="20"/>
        <v>0</v>
      </c>
    </row>
    <row r="181" spans="1:23" ht="21" customHeight="1">
      <c r="A181" s="301" t="s">
        <v>23</v>
      </c>
      <c r="B181" s="44"/>
      <c r="C181" s="855"/>
      <c r="D181" s="306" t="s">
        <v>23</v>
      </c>
      <c r="E181" s="200" t="s">
        <v>157</v>
      </c>
      <c r="F181" s="304" t="s">
        <v>487</v>
      </c>
      <c r="G181" s="305">
        <f>'Review Comments'!F201</f>
        <v>0</v>
      </c>
      <c r="H181" s="305" t="str">
        <f>'Review Comments'!G201</f>
        <v>No</v>
      </c>
      <c r="I181" s="305" t="str">
        <f t="shared" si="25"/>
        <v/>
      </c>
      <c r="J181" s="323" t="str">
        <f>IF('Review Comments'!H201=0,"",'Review Comments'!H201)</f>
        <v>Not Attempted</v>
      </c>
      <c r="K181" s="279" t="str">
        <f>IF(I181="Required","Required",IF(ISNUMBER(MATCH(J181,Lists!$H$2:$H$9,0)),I181,""))</f>
        <v/>
      </c>
      <c r="L181" s="280" t="str">
        <f>IF(I181="Required","Required",IF(ISNUMBER(MATCH(J181,Lists!$I$2:$I$9,0)),I181,IF(ISNUMBER(MATCH(J181,Lists!$J$2:$J$9,0)),I181,"")))</f>
        <v/>
      </c>
      <c r="Q181" s="45" t="b">
        <f>IF(I181="Required",0,IF(ISNUMBER(MATCH(J181,Lists!$I$2:$I$4,0)),L181))</f>
        <v>0</v>
      </c>
      <c r="R181" s="45" t="b">
        <f>IF(I181="Required",0,IF(ISNUMBER(MATCH(J181,Lists!$K$2:$K$7,0)),L181))</f>
        <v>0</v>
      </c>
      <c r="S181" s="45" t="b">
        <f>IF(I181="Required",0,IF(ISNUMBER(MATCH(J181,Lists!$G$2:$G$4,0)),L181))</f>
        <v>0</v>
      </c>
      <c r="T181" s="45" t="b">
        <f>IF(I181="Required",0,IF(ISNUMBER(MATCH(J181,Lists!$G$7:$G$8,0)),L181))</f>
        <v>0</v>
      </c>
      <c r="U181" s="45" t="b">
        <f>IF(I181="Required",0,IF(ISNUMBER(MATCH(J181,Lists!$H$2:$H$4,0)),K181))</f>
        <v>0</v>
      </c>
      <c r="V181" s="45">
        <f t="shared" si="19"/>
        <v>0</v>
      </c>
      <c r="W181" s="45">
        <f t="shared" si="20"/>
        <v>0</v>
      </c>
    </row>
    <row r="182" spans="1:23" ht="21" customHeight="1">
      <c r="A182" s="301" t="s">
        <v>23</v>
      </c>
      <c r="B182" s="44"/>
      <c r="C182" s="855"/>
      <c r="D182" s="306" t="s">
        <v>23</v>
      </c>
      <c r="E182" s="53" t="s">
        <v>158</v>
      </c>
      <c r="F182" s="304" t="s">
        <v>488</v>
      </c>
      <c r="G182" s="305">
        <f>'Review Comments'!F202</f>
        <v>1</v>
      </c>
      <c r="H182" s="305" t="str">
        <f>'Review Comments'!G202</f>
        <v>Yes</v>
      </c>
      <c r="I182" s="305">
        <f t="shared" si="25"/>
        <v>1</v>
      </c>
      <c r="J182" s="323" t="str">
        <f>IF('Review Comments'!H202=0,"",'Review Comments'!H202)</f>
        <v>Anticipated</v>
      </c>
      <c r="K182" s="279">
        <f>IF(I182="Required","Required",IF(ISNUMBER(MATCH(J182,Lists!$H$2:$H$9,0)),I182,""))</f>
        <v>1</v>
      </c>
      <c r="L182" s="280" t="str">
        <f>IF(I182="Required","Required",IF(ISNUMBER(MATCH(J182,Lists!$I$2:$I$9,0)),I182,IF(ISNUMBER(MATCH(J182,Lists!$J$2:$J$9,0)),I182,"")))</f>
        <v/>
      </c>
      <c r="Q182" s="45" t="b">
        <f>IF(I182="Required",0,IF(ISNUMBER(MATCH(J182,Lists!$I$2:$I$4,0)),L182))</f>
        <v>0</v>
      </c>
      <c r="R182" s="45" t="b">
        <f>IF(I182="Required",0,IF(ISNUMBER(MATCH(J182,Lists!$K$2:$K$7,0)),L182))</f>
        <v>0</v>
      </c>
      <c r="S182" s="45" t="b">
        <f>IF(I182="Required",0,IF(ISNUMBER(MATCH(J182,Lists!$G$2:$G$4,0)),L182))</f>
        <v>0</v>
      </c>
      <c r="T182" s="45" t="b">
        <f>IF(I182="Required",0,IF(ISNUMBER(MATCH(J182,Lists!$G$7:$G$8,0)),L182))</f>
        <v>0</v>
      </c>
      <c r="U182" s="45">
        <f>IF(I182="Required",0,IF(ISNUMBER(MATCH(J182,Lists!$H$2:$H$4,0)),K182))</f>
        <v>1</v>
      </c>
      <c r="V182" s="45">
        <f t="shared" si="19"/>
        <v>0</v>
      </c>
      <c r="W182" s="45">
        <f t="shared" si="20"/>
        <v>0</v>
      </c>
    </row>
    <row r="183" spans="1:23" ht="21" customHeight="1">
      <c r="A183" s="301" t="s">
        <v>23</v>
      </c>
      <c r="B183" s="44"/>
      <c r="C183" s="855"/>
      <c r="D183" s="306" t="s">
        <v>23</v>
      </c>
      <c r="E183" s="202" t="s">
        <v>159</v>
      </c>
      <c r="F183" s="304" t="s">
        <v>489</v>
      </c>
      <c r="G183" s="305">
        <f>'Review Comments'!F203</f>
        <v>1</v>
      </c>
      <c r="H183" s="305" t="str">
        <f>'Review Comments'!G203</f>
        <v>Yes</v>
      </c>
      <c r="I183" s="305">
        <f t="shared" si="25"/>
        <v>1</v>
      </c>
      <c r="J183" s="323" t="str">
        <f>IF('Review Comments'!H203=0,"",'Review Comments'!H203)</f>
        <v>Anticipated</v>
      </c>
      <c r="K183" s="279">
        <f>IF(I183="Required","Required",IF(ISNUMBER(MATCH(J183,Lists!$H$2:$H$9,0)),I183,""))</f>
        <v>1</v>
      </c>
      <c r="L183" s="280" t="str">
        <f>IF(I183="Required","Required",IF(ISNUMBER(MATCH(J183,Lists!$I$2:$I$9,0)),I183,IF(ISNUMBER(MATCH(J183,Lists!$J$2:$J$9,0)),I183,"")))</f>
        <v/>
      </c>
      <c r="Q183" s="45" t="b">
        <f>IF(I183="Required",0,IF(ISNUMBER(MATCH(J183,Lists!$I$2:$I$4,0)),L183))</f>
        <v>0</v>
      </c>
      <c r="R183" s="45" t="b">
        <f>IF(I183="Required",0,IF(ISNUMBER(MATCH(J183,Lists!$K$2:$K$7,0)),L183))</f>
        <v>0</v>
      </c>
      <c r="S183" s="45" t="b">
        <f>IF(I183="Required",0,IF(ISNUMBER(MATCH(J183,Lists!$G$2:$G$4,0)),L183))</f>
        <v>0</v>
      </c>
      <c r="T183" s="45" t="b">
        <f>IF(I183="Required",0,IF(ISNUMBER(MATCH(J183,Lists!$G$7:$G$8,0)),L183))</f>
        <v>0</v>
      </c>
      <c r="U183" s="45">
        <f>IF(I183="Required",0,IF(ISNUMBER(MATCH(J183,Lists!$H$2:$H$4,0)),K183))</f>
        <v>1</v>
      </c>
      <c r="V183" s="45">
        <f t="shared" si="19"/>
        <v>0</v>
      </c>
      <c r="W183" s="45">
        <f t="shared" si="20"/>
        <v>0</v>
      </c>
    </row>
    <row r="184" spans="1:23" ht="21" customHeight="1">
      <c r="A184" s="301" t="s">
        <v>23</v>
      </c>
      <c r="B184" s="44"/>
      <c r="C184" s="855"/>
      <c r="D184" s="807" t="s">
        <v>23</v>
      </c>
      <c r="E184" s="813" t="s">
        <v>160</v>
      </c>
      <c r="F184" s="304" t="s">
        <v>490</v>
      </c>
      <c r="G184" s="305">
        <f>'Review Comments'!F204</f>
        <v>1</v>
      </c>
      <c r="H184" s="305" t="str">
        <f>'Review Comments'!G204</f>
        <v>Yes</v>
      </c>
      <c r="I184" s="305">
        <f t="shared" si="25"/>
        <v>1</v>
      </c>
      <c r="J184" s="323" t="str">
        <f>IF('Review Comments'!H204=0,"",'Review Comments'!H204)</f>
        <v>Anticipated</v>
      </c>
      <c r="K184" s="279">
        <f>IF(I184="Required","Required",IF(ISNUMBER(MATCH(J184,Lists!$H$2:$H$9,0)),I184,""))</f>
        <v>1</v>
      </c>
      <c r="L184" s="280" t="str">
        <f>IF(I184="Required","Required",IF(ISNUMBER(MATCH(J184,Lists!$I$2:$I$9,0)),I184,IF(ISNUMBER(MATCH(J184,Lists!$J$2:$J$9,0)),I184,"")))</f>
        <v/>
      </c>
      <c r="Q184" s="45" t="b">
        <f>IF(I184="Required",0,IF(ISNUMBER(MATCH(J184,Lists!$I$2:$I$4,0)),L184))</f>
        <v>0</v>
      </c>
      <c r="R184" s="45" t="b">
        <f>IF(I184="Required",0,IF(ISNUMBER(MATCH(J184,Lists!$K$2:$K$7,0)),L184))</f>
        <v>0</v>
      </c>
      <c r="S184" s="45" t="b">
        <f>IF(I184="Required",0,IF(ISNUMBER(MATCH(J184,Lists!$G$2:$G$4,0)),L184))</f>
        <v>0</v>
      </c>
      <c r="T184" s="45" t="b">
        <f>IF(I184="Required",0,IF(ISNUMBER(MATCH(J184,Lists!$G$7:$G$8,0)),L184))</f>
        <v>0</v>
      </c>
      <c r="U184" s="45">
        <f>IF(I184="Required",0,IF(ISNUMBER(MATCH(J184,Lists!$H$2:$H$4,0)),K184))</f>
        <v>1</v>
      </c>
      <c r="V184" s="45">
        <f t="shared" si="19"/>
        <v>0</v>
      </c>
      <c r="W184" s="45">
        <f t="shared" si="20"/>
        <v>0</v>
      </c>
    </row>
    <row r="185" spans="1:23" ht="21" customHeight="1">
      <c r="A185" s="301" t="s">
        <v>23</v>
      </c>
      <c r="B185" s="44"/>
      <c r="C185" s="855"/>
      <c r="D185" s="808"/>
      <c r="E185" s="813"/>
      <c r="F185" s="304" t="s">
        <v>491</v>
      </c>
      <c r="G185" s="305">
        <f>'Review Comments'!F205</f>
        <v>1</v>
      </c>
      <c r="H185" s="305" t="str">
        <f>'Review Comments'!G205</f>
        <v>Yes</v>
      </c>
      <c r="I185" s="305">
        <f t="shared" si="25"/>
        <v>1</v>
      </c>
      <c r="J185" s="323" t="str">
        <f>IF('Review Comments'!H205=0,"",'Review Comments'!H205)</f>
        <v>Anticipated</v>
      </c>
      <c r="K185" s="279">
        <f>IF(I185="Required","Required",IF(ISNUMBER(MATCH(J185,Lists!$H$2:$H$9,0)),I185,""))</f>
        <v>1</v>
      </c>
      <c r="L185" s="280" t="str">
        <f>IF(I185="Required","Required",IF(ISNUMBER(MATCH(J185,Lists!$I$2:$I$9,0)),I185,IF(ISNUMBER(MATCH(J185,Lists!$J$2:$J$9,0)),I185,"")))</f>
        <v/>
      </c>
      <c r="Q185" s="45" t="b">
        <f>IF(I185="Required",0,IF(ISNUMBER(MATCH(J185,Lists!$I$2:$I$4,0)),L185))</f>
        <v>0</v>
      </c>
      <c r="R185" s="45" t="b">
        <f>IF(I185="Required",0,IF(ISNUMBER(MATCH(J185,Lists!$K$2:$K$7,0)),L185))</f>
        <v>0</v>
      </c>
      <c r="S185" s="45" t="b">
        <f>IF(I185="Required",0,IF(ISNUMBER(MATCH(J185,Lists!$G$2:$G$4,0)),L185))</f>
        <v>0</v>
      </c>
      <c r="T185" s="45" t="b">
        <f>IF(I185="Required",0,IF(ISNUMBER(MATCH(J185,Lists!$G$7:$G$8,0)),L185))</f>
        <v>0</v>
      </c>
      <c r="U185" s="45">
        <f>IF(I185="Required",0,IF(ISNUMBER(MATCH(J185,Lists!$H$2:$H$4,0)),K185))</f>
        <v>1</v>
      </c>
      <c r="V185" s="45">
        <f t="shared" si="19"/>
        <v>0</v>
      </c>
      <c r="W185" s="45">
        <f t="shared" si="20"/>
        <v>0</v>
      </c>
    </row>
    <row r="186" spans="1:23" ht="21" customHeight="1">
      <c r="A186" s="301" t="s">
        <v>23</v>
      </c>
      <c r="B186" s="44"/>
      <c r="C186" s="855"/>
      <c r="D186" s="807" t="s">
        <v>23</v>
      </c>
      <c r="E186" s="813" t="s">
        <v>161</v>
      </c>
      <c r="F186" s="304" t="s">
        <v>492</v>
      </c>
      <c r="G186" s="305">
        <f>'Review Comments'!F206</f>
        <v>0</v>
      </c>
      <c r="H186" s="305" t="str">
        <f>'Review Comments'!G206</f>
        <v>No</v>
      </c>
      <c r="I186" s="305" t="str">
        <f t="shared" si="25"/>
        <v/>
      </c>
      <c r="J186" s="323" t="str">
        <f>IF('Review Comments'!H206=0,"",'Review Comments'!H206)</f>
        <v>Not Attempted</v>
      </c>
      <c r="K186" s="279" t="str">
        <f>IF(I186="Required","Required",IF(ISNUMBER(MATCH(J186,Lists!$H$2:$H$9,0)),I186,""))</f>
        <v/>
      </c>
      <c r="L186" s="280" t="str">
        <f>IF(I186="Required","Required",IF(ISNUMBER(MATCH(J186,Lists!$I$2:$I$9,0)),I186,IF(ISNUMBER(MATCH(J186,Lists!$J$2:$J$9,0)),I186,"")))</f>
        <v/>
      </c>
      <c r="Q186" s="45" t="b">
        <f>IF(I186="Required",0,IF(ISNUMBER(MATCH(J186,Lists!$I$2:$I$4,0)),L186))</f>
        <v>0</v>
      </c>
      <c r="R186" s="45" t="b">
        <f>IF(I186="Required",0,IF(ISNUMBER(MATCH(J186,Lists!$K$2:$K$7,0)),L186))</f>
        <v>0</v>
      </c>
      <c r="S186" s="45" t="b">
        <f>IF(I186="Required",0,IF(ISNUMBER(MATCH(J186,Lists!$G$2:$G$4,0)),L186))</f>
        <v>0</v>
      </c>
      <c r="T186" s="45" t="b">
        <f>IF(I186="Required",0,IF(ISNUMBER(MATCH(J186,Lists!$G$7:$G$8,0)),L186))</f>
        <v>0</v>
      </c>
      <c r="U186" s="45" t="b">
        <f>IF(I186="Required",0,IF(ISNUMBER(MATCH(J186,Lists!$H$2:$H$4,0)),K186))</f>
        <v>0</v>
      </c>
      <c r="V186" s="45">
        <f t="shared" si="19"/>
        <v>0</v>
      </c>
      <c r="W186" s="45">
        <f t="shared" si="20"/>
        <v>0</v>
      </c>
    </row>
    <row r="187" spans="1:23" ht="21" customHeight="1">
      <c r="A187" s="301" t="s">
        <v>23</v>
      </c>
      <c r="B187" s="44"/>
      <c r="C187" s="855"/>
      <c r="D187" s="818"/>
      <c r="E187" s="813"/>
      <c r="F187" s="304" t="s">
        <v>493</v>
      </c>
      <c r="G187" s="305">
        <f>'Review Comments'!F207</f>
        <v>0</v>
      </c>
      <c r="H187" s="305" t="str">
        <f>'Review Comments'!G207</f>
        <v>No</v>
      </c>
      <c r="I187" s="305" t="str">
        <f t="shared" si="25"/>
        <v/>
      </c>
      <c r="J187" s="323" t="str">
        <f>IF('Review Comments'!H207=0,"",'Review Comments'!H207)</f>
        <v>Not Attempted</v>
      </c>
      <c r="K187" s="279" t="str">
        <f>IF(I187="Required","Required",IF(ISNUMBER(MATCH(J187,Lists!$H$2:$H$9,0)),I187,""))</f>
        <v/>
      </c>
      <c r="L187" s="280" t="str">
        <f>IF(I187="Required","Required",IF(ISNUMBER(MATCH(J187,Lists!$I$2:$I$9,0)),I187,IF(ISNUMBER(MATCH(J187,Lists!$J$2:$J$9,0)),I187,"")))</f>
        <v/>
      </c>
      <c r="Q187" s="45" t="b">
        <f>IF(I187="Required",0,IF(ISNUMBER(MATCH(J187,Lists!$I$2:$I$4,0)),L187))</f>
        <v>0</v>
      </c>
      <c r="R187" s="45" t="b">
        <f>IF(I187="Required",0,IF(ISNUMBER(MATCH(J187,Lists!$K$2:$K$7,0)),L187))</f>
        <v>0</v>
      </c>
      <c r="S187" s="45" t="b">
        <f>IF(I187="Required",0,IF(ISNUMBER(MATCH(J187,Lists!$G$2:$G$4,0)),L187))</f>
        <v>0</v>
      </c>
      <c r="T187" s="45" t="b">
        <f>IF(I187="Required",0,IF(ISNUMBER(MATCH(J187,Lists!$G$7:$G$8,0)),L187))</f>
        <v>0</v>
      </c>
      <c r="U187" s="45" t="b">
        <f>IF(I187="Required",0,IF(ISNUMBER(MATCH(J187,Lists!$H$2:$H$4,0)),K187))</f>
        <v>0</v>
      </c>
      <c r="V187" s="45">
        <f t="shared" si="19"/>
        <v>0</v>
      </c>
      <c r="W187" s="45">
        <f t="shared" si="20"/>
        <v>0</v>
      </c>
    </row>
    <row r="188" spans="1:23" ht="21" customHeight="1">
      <c r="A188" s="301" t="s">
        <v>23</v>
      </c>
      <c r="B188" s="44"/>
      <c r="C188" s="855"/>
      <c r="D188" s="808"/>
      <c r="E188" s="813"/>
      <c r="F188" s="304" t="s">
        <v>494</v>
      </c>
      <c r="G188" s="305">
        <f>'Review Comments'!F208</f>
        <v>0</v>
      </c>
      <c r="H188" s="305" t="str">
        <f>'Review Comments'!G208</f>
        <v>No</v>
      </c>
      <c r="I188" s="305" t="str">
        <f t="shared" si="25"/>
        <v/>
      </c>
      <c r="J188" s="323" t="str">
        <f>IF('Review Comments'!H208=0,"",'Review Comments'!H208)</f>
        <v>Not Attempted</v>
      </c>
      <c r="K188" s="279" t="str">
        <f>IF(I188="Required","Required",IF(ISNUMBER(MATCH(J188,Lists!$H$2:$H$9,0)),I188,""))</f>
        <v/>
      </c>
      <c r="L188" s="280" t="str">
        <f>IF(I188="Required","Required",IF(ISNUMBER(MATCH(J188,Lists!$I$2:$I$9,0)),I188,IF(ISNUMBER(MATCH(J188,Lists!$J$2:$J$9,0)),I188,"")))</f>
        <v/>
      </c>
      <c r="Q188" s="45" t="b">
        <f>IF(I188="Required",0,IF(ISNUMBER(MATCH(J188,Lists!$I$2:$I$4,0)),L188))</f>
        <v>0</v>
      </c>
      <c r="R188" s="45" t="b">
        <f>IF(I188="Required",0,IF(ISNUMBER(MATCH(J188,Lists!$K$2:$K$7,0)),L188))</f>
        <v>0</v>
      </c>
      <c r="S188" s="45" t="b">
        <f>IF(I188="Required",0,IF(ISNUMBER(MATCH(J188,Lists!$G$2:$G$4,0)),L188))</f>
        <v>0</v>
      </c>
      <c r="T188" s="45" t="b">
        <f>IF(I188="Required",0,IF(ISNUMBER(MATCH(J188,Lists!$G$7:$G$8,0)),L188))</f>
        <v>0</v>
      </c>
      <c r="U188" s="45" t="b">
        <f>IF(I188="Required",0,IF(ISNUMBER(MATCH(J188,Lists!$H$2:$H$4,0)),K188))</f>
        <v>0</v>
      </c>
      <c r="V188" s="45">
        <f t="shared" si="19"/>
        <v>0</v>
      </c>
      <c r="W188" s="45">
        <f t="shared" si="20"/>
        <v>0</v>
      </c>
    </row>
    <row r="189" spans="1:23" ht="21" customHeight="1">
      <c r="A189" s="301" t="s">
        <v>23</v>
      </c>
      <c r="B189" s="44"/>
      <c r="C189" s="855"/>
      <c r="D189" s="807" t="s">
        <v>23</v>
      </c>
      <c r="E189" s="813" t="s">
        <v>162</v>
      </c>
      <c r="F189" s="304" t="s">
        <v>495</v>
      </c>
      <c r="G189" s="305">
        <f>'Review Comments'!F209</f>
        <v>2</v>
      </c>
      <c r="H189" s="305" t="str">
        <f>'Review Comments'!G209</f>
        <v>Yes</v>
      </c>
      <c r="I189" s="305">
        <f t="shared" ref="I189:I196" si="26">IF(H189="Yes",G189,IF(H189="Required","Required",""))</f>
        <v>2</v>
      </c>
      <c r="J189" s="323" t="str">
        <f>IF('Review Comments'!H209=0,"",'Review Comments'!H209)</f>
        <v>Anticipated</v>
      </c>
      <c r="K189" s="279">
        <f>IF(I189="Required","Required",IF(ISNUMBER(MATCH(J189,Lists!$H$2:$H$9,0)),I189,""))</f>
        <v>2</v>
      </c>
      <c r="L189" s="280" t="str">
        <f>IF(I189="Required","Required",IF(ISNUMBER(MATCH(J189,Lists!$I$2:$I$9,0)),I189,IF(ISNUMBER(MATCH(J189,Lists!$J$2:$J$9,0)),I189,"")))</f>
        <v/>
      </c>
      <c r="Q189" s="45" t="b">
        <f>IF(I189="Required",0,IF(ISNUMBER(MATCH(J189,Lists!$I$2:$I$4,0)),L189))</f>
        <v>0</v>
      </c>
      <c r="R189" s="45" t="b">
        <f>IF(I189="Required",0,IF(ISNUMBER(MATCH(J189,Lists!$K$2:$K$7,0)),L189))</f>
        <v>0</v>
      </c>
      <c r="S189" s="45" t="b">
        <f>IF(I189="Required",0,IF(ISNUMBER(MATCH(J189,Lists!$G$2:$G$4,0)),L189))</f>
        <v>0</v>
      </c>
      <c r="T189" s="45" t="b">
        <f>IF(I189="Required",0,IF(ISNUMBER(MATCH(J189,Lists!$G$7:$G$8,0)),L189))</f>
        <v>0</v>
      </c>
      <c r="U189" s="45">
        <f>IF(I189="Required",0,IF(ISNUMBER(MATCH(J189,Lists!$H$2:$H$4,0)),K189))</f>
        <v>2</v>
      </c>
      <c r="V189" s="45">
        <f t="shared" si="19"/>
        <v>0</v>
      </c>
      <c r="W189" s="45">
        <f t="shared" si="20"/>
        <v>0</v>
      </c>
    </row>
    <row r="190" spans="1:23" ht="21" customHeight="1">
      <c r="A190" s="301" t="s">
        <v>23</v>
      </c>
      <c r="B190" s="44"/>
      <c r="C190" s="855"/>
      <c r="D190" s="808"/>
      <c r="E190" s="813"/>
      <c r="F190" s="304" t="s">
        <v>496</v>
      </c>
      <c r="G190" s="305">
        <f>'Review Comments'!F210</f>
        <v>1</v>
      </c>
      <c r="H190" s="305" t="str">
        <f>'Review Comments'!G210</f>
        <v>Yes</v>
      </c>
      <c r="I190" s="305">
        <f t="shared" si="26"/>
        <v>1</v>
      </c>
      <c r="J190" s="323" t="str">
        <f>IF('Review Comments'!H210=0,"",'Review Comments'!H210)</f>
        <v>Anticipated</v>
      </c>
      <c r="K190" s="279">
        <f>IF(I190="Required","Required",IF(ISNUMBER(MATCH(J190,Lists!$H$2:$H$9,0)),I190,""))</f>
        <v>1</v>
      </c>
      <c r="L190" s="280" t="str">
        <f>IF(I190="Required","Required",IF(ISNUMBER(MATCH(J190,Lists!$I$2:$I$9,0)),I190,IF(ISNUMBER(MATCH(J190,Lists!$J$2:$J$9,0)),I190,"")))</f>
        <v/>
      </c>
      <c r="Q190" s="45" t="b">
        <f>IF(I190="Required",0,IF(ISNUMBER(MATCH(J190,Lists!$I$2:$I$4,0)),L190))</f>
        <v>0</v>
      </c>
      <c r="R190" s="45" t="b">
        <f>IF(I190="Required",0,IF(ISNUMBER(MATCH(J190,Lists!$K$2:$K$7,0)),L190))</f>
        <v>0</v>
      </c>
      <c r="S190" s="45" t="b">
        <f>IF(I190="Required",0,IF(ISNUMBER(MATCH(J190,Lists!$G$2:$G$4,0)),L190))</f>
        <v>0</v>
      </c>
      <c r="T190" s="45" t="b">
        <f>IF(I190="Required",0,IF(ISNUMBER(MATCH(J190,Lists!$G$7:$G$8,0)),L190))</f>
        <v>0</v>
      </c>
      <c r="U190" s="45">
        <f>IF(I190="Required",0,IF(ISNUMBER(MATCH(J190,Lists!$H$2:$H$4,0)),K190))</f>
        <v>1</v>
      </c>
      <c r="V190" s="45">
        <f t="shared" si="19"/>
        <v>0</v>
      </c>
      <c r="W190" s="45">
        <f t="shared" si="20"/>
        <v>0</v>
      </c>
    </row>
    <row r="191" spans="1:23" ht="21" customHeight="1">
      <c r="A191" s="301" t="s">
        <v>23</v>
      </c>
      <c r="B191" s="44"/>
      <c r="C191" s="855"/>
      <c r="D191" s="807" t="s">
        <v>23</v>
      </c>
      <c r="E191" s="813" t="s">
        <v>163</v>
      </c>
      <c r="F191" s="304" t="s">
        <v>497</v>
      </c>
      <c r="G191" s="305">
        <f>'Review Comments'!F211</f>
        <v>2</v>
      </c>
      <c r="H191" s="305" t="str">
        <f>'Review Comments'!G211</f>
        <v>Yes</v>
      </c>
      <c r="I191" s="305">
        <f t="shared" si="26"/>
        <v>2</v>
      </c>
      <c r="J191" s="323" t="str">
        <f>IF('Review Comments'!H211=0,"",'Review Comments'!H211)</f>
        <v>Anticipated</v>
      </c>
      <c r="K191" s="279">
        <f>IF(I191="Required","Required",IF(ISNUMBER(MATCH(J191,Lists!$H$2:$H$9,0)),I191,""))</f>
        <v>2</v>
      </c>
      <c r="L191" s="280" t="str">
        <f>IF(I191="Required","Required",IF(ISNUMBER(MATCH(J191,Lists!$I$2:$I$9,0)),I191,IF(ISNUMBER(MATCH(J191,Lists!$J$2:$J$9,0)),I191,"")))</f>
        <v/>
      </c>
      <c r="Q191" s="45" t="b">
        <f>IF(I191="Required",0,IF(ISNUMBER(MATCH(J191,Lists!$I$2:$I$4,0)),L191))</f>
        <v>0</v>
      </c>
      <c r="R191" s="45" t="b">
        <f>IF(I191="Required",0,IF(ISNUMBER(MATCH(J191,Lists!$K$2:$K$7,0)),L191))</f>
        <v>0</v>
      </c>
      <c r="S191" s="45" t="b">
        <f>IF(I191="Required",0,IF(ISNUMBER(MATCH(J191,Lists!$G$2:$G$4,0)),L191))</f>
        <v>0</v>
      </c>
      <c r="T191" s="45" t="b">
        <f>IF(I191="Required",0,IF(ISNUMBER(MATCH(J191,Lists!$G$7:$G$8,0)),L191))</f>
        <v>0</v>
      </c>
      <c r="U191" s="45">
        <f>IF(I191="Required",0,IF(ISNUMBER(MATCH(J191,Lists!$H$2:$H$4,0)),K191))</f>
        <v>2</v>
      </c>
      <c r="V191" s="45">
        <f t="shared" si="19"/>
        <v>0</v>
      </c>
      <c r="W191" s="45">
        <f t="shared" si="20"/>
        <v>0</v>
      </c>
    </row>
    <row r="192" spans="1:23" ht="21" customHeight="1">
      <c r="A192" s="301" t="s">
        <v>23</v>
      </c>
      <c r="B192" s="44"/>
      <c r="C192" s="855"/>
      <c r="D192" s="808"/>
      <c r="E192" s="851"/>
      <c r="F192" s="304" t="s">
        <v>498</v>
      </c>
      <c r="G192" s="305">
        <f>'Review Comments'!F212</f>
        <v>0</v>
      </c>
      <c r="H192" s="305" t="str">
        <f>'Review Comments'!G212</f>
        <v>No</v>
      </c>
      <c r="I192" s="305" t="str">
        <f t="shared" si="26"/>
        <v/>
      </c>
      <c r="J192" s="323" t="str">
        <f>IF('Review Comments'!H212=0,"",'Review Comments'!H212)</f>
        <v>Not Attempted</v>
      </c>
      <c r="K192" s="279" t="str">
        <f>IF(I192="Required","Required",IF(ISNUMBER(MATCH(J192,Lists!$H$2:$H$9,0)),I192,""))</f>
        <v/>
      </c>
      <c r="L192" s="280" t="str">
        <f>IF(I192="Required","Required",IF(ISNUMBER(MATCH(J192,Lists!$I$2:$I$9,0)),I192,IF(ISNUMBER(MATCH(J192,Lists!$J$2:$J$9,0)),I192,"")))</f>
        <v/>
      </c>
      <c r="Q192" s="45" t="b">
        <f>IF(I192="Required",0,IF(ISNUMBER(MATCH(J192,Lists!$I$2:$I$4,0)),L192))</f>
        <v>0</v>
      </c>
      <c r="R192" s="45" t="b">
        <f>IF(I192="Required",0,IF(ISNUMBER(MATCH(J192,Lists!$K$2:$K$7,0)),L192))</f>
        <v>0</v>
      </c>
      <c r="S192" s="45" t="b">
        <f>IF(I192="Required",0,IF(ISNUMBER(MATCH(J192,Lists!$G$2:$G$4,0)),L192))</f>
        <v>0</v>
      </c>
      <c r="T192" s="45" t="b">
        <f>IF(I192="Required",0,IF(ISNUMBER(MATCH(J192,Lists!$G$7:$G$8,0)),L192))</f>
        <v>0</v>
      </c>
      <c r="U192" s="45" t="b">
        <f>IF(I192="Required",0,IF(ISNUMBER(MATCH(J192,Lists!$H$2:$H$4,0)),K192))</f>
        <v>0</v>
      </c>
      <c r="V192" s="45">
        <f t="shared" si="19"/>
        <v>0</v>
      </c>
      <c r="W192" s="45">
        <f t="shared" si="20"/>
        <v>0</v>
      </c>
    </row>
    <row r="193" spans="1:23" ht="21" customHeight="1">
      <c r="A193" s="301" t="s">
        <v>23</v>
      </c>
      <c r="B193" s="44"/>
      <c r="C193" s="855"/>
      <c r="D193" s="306" t="s">
        <v>23</v>
      </c>
      <c r="E193" s="200" t="s">
        <v>164</v>
      </c>
      <c r="F193" s="304" t="s">
        <v>499</v>
      </c>
      <c r="G193" s="305">
        <f>'Review Comments'!F213</f>
        <v>0</v>
      </c>
      <c r="H193" s="305" t="str">
        <f>'Review Comments'!G213</f>
        <v>No</v>
      </c>
      <c r="I193" s="305" t="str">
        <f t="shared" si="26"/>
        <v/>
      </c>
      <c r="J193" s="323" t="str">
        <f>IF('Review Comments'!H213=0,"",'Review Comments'!H213)</f>
        <v>Not Attempted</v>
      </c>
      <c r="K193" s="279" t="str">
        <f>IF(I193="Required","Required",IF(ISNUMBER(MATCH(J193,Lists!$H$2:$H$9,0)),I193,""))</f>
        <v/>
      </c>
      <c r="L193" s="280" t="str">
        <f>IF(I193="Required","Required",IF(ISNUMBER(MATCH(J193,Lists!$I$2:$I$9,0)),I193,IF(ISNUMBER(MATCH(J193,Lists!$J$2:$J$9,0)),I193,"")))</f>
        <v/>
      </c>
      <c r="Q193" s="45" t="b">
        <f>IF(I193="Required",0,IF(ISNUMBER(MATCH(J193,Lists!$I$2:$I$4,0)),L193))</f>
        <v>0</v>
      </c>
      <c r="R193" s="45" t="b">
        <f>IF(I193="Required",0,IF(ISNUMBER(MATCH(J193,Lists!$K$2:$K$7,0)),L193))</f>
        <v>0</v>
      </c>
      <c r="S193" s="45" t="b">
        <f>IF(I193="Required",0,IF(ISNUMBER(MATCH(J193,Lists!$G$2:$G$4,0)),L193))</f>
        <v>0</v>
      </c>
      <c r="T193" s="45" t="b">
        <f>IF(I193="Required",0,IF(ISNUMBER(MATCH(J193,Lists!$G$7:$G$8,0)),L193))</f>
        <v>0</v>
      </c>
      <c r="U193" s="45" t="b">
        <f>IF(I193="Required",0,IF(ISNUMBER(MATCH(J193,Lists!$H$2:$H$4,0)),K193))</f>
        <v>0</v>
      </c>
      <c r="V193" s="45">
        <f t="shared" si="19"/>
        <v>0</v>
      </c>
      <c r="W193" s="45">
        <f t="shared" si="20"/>
        <v>0</v>
      </c>
    </row>
    <row r="194" spans="1:23" ht="21" customHeight="1" thickBot="1">
      <c r="A194" s="301" t="s">
        <v>23</v>
      </c>
      <c r="B194" s="44"/>
      <c r="C194" s="855"/>
      <c r="D194" s="306" t="s">
        <v>23</v>
      </c>
      <c r="E194" s="200" t="s">
        <v>165</v>
      </c>
      <c r="F194" s="304" t="s">
        <v>500</v>
      </c>
      <c r="G194" s="305">
        <f>'Review Comments'!F214</f>
        <v>0</v>
      </c>
      <c r="H194" s="305" t="str">
        <f>'Review Comments'!G214</f>
        <v>No</v>
      </c>
      <c r="I194" s="305" t="str">
        <f t="shared" si="26"/>
        <v/>
      </c>
      <c r="J194" s="323" t="str">
        <f>IF('Review Comments'!H214=0,"",'Review Comments'!H214)</f>
        <v>Not Attempted</v>
      </c>
      <c r="K194" s="279" t="str">
        <f>IF(I194="Required","Required",IF(ISNUMBER(MATCH(J194,Lists!$H$2:$H$9,0)),I194,""))</f>
        <v/>
      </c>
      <c r="L194" s="280" t="str">
        <f>IF(I194="Required","Required",IF(ISNUMBER(MATCH(J194,Lists!$I$2:$I$9,0)),I194,IF(ISNUMBER(MATCH(J194,Lists!$J$2:$J$9,0)),I194,"")))</f>
        <v/>
      </c>
      <c r="N194" s="185" t="s">
        <v>733</v>
      </c>
      <c r="Q194" s="45" t="b">
        <f>IF(I194="Required",0,IF(ISNUMBER(MATCH(J194,Lists!$I$2:$I$4,0)),L194))</f>
        <v>0</v>
      </c>
      <c r="R194" s="45" t="b">
        <f>IF(I194="Required",0,IF(ISNUMBER(MATCH(J194,Lists!$K$2:$K$7,0)),L194))</f>
        <v>0</v>
      </c>
      <c r="S194" s="45" t="b">
        <f>IF(I194="Required",0,IF(ISNUMBER(MATCH(J194,Lists!$G$2:$G$4,0)),L194))</f>
        <v>0</v>
      </c>
      <c r="T194" s="45" t="b">
        <f>IF(I194="Required",0,IF(ISNUMBER(MATCH(J194,Lists!$G$7:$G$8,0)),L194))</f>
        <v>0</v>
      </c>
      <c r="U194" s="45" t="b">
        <f>IF(I194="Required",0,IF(ISNUMBER(MATCH(J194,Lists!$H$2:$H$4,0)),K194))</f>
        <v>0</v>
      </c>
      <c r="V194" s="45">
        <f t="shared" si="19"/>
        <v>0</v>
      </c>
      <c r="W194" s="45">
        <f t="shared" si="20"/>
        <v>0</v>
      </c>
    </row>
    <row r="195" spans="1:23" ht="21" hidden="1" customHeight="1">
      <c r="A195" s="301" t="s">
        <v>23</v>
      </c>
      <c r="B195" s="44"/>
      <c r="C195" s="855"/>
      <c r="D195" s="818" t="s">
        <v>23</v>
      </c>
      <c r="E195" s="819" t="s">
        <v>471</v>
      </c>
      <c r="F195" s="372" t="s">
        <v>472</v>
      </c>
      <c r="G195" s="305">
        <f>'Review Comments'!F215</f>
        <v>0</v>
      </c>
      <c r="H195" s="305">
        <f>'Review Comments'!G215</f>
        <v>0</v>
      </c>
      <c r="I195" s="373" t="str">
        <f t="shared" si="26"/>
        <v/>
      </c>
      <c r="J195" s="374" t="str">
        <f>IF('Review Comments'!H215=0,"",'Review Comments'!H215)</f>
        <v/>
      </c>
      <c r="K195" s="386" t="str">
        <f>IF(I195="Required","Required",IF(ISNUMBER(MATCH(J195,Lists!$H$2:$H$9,0)),I195,""))</f>
        <v/>
      </c>
      <c r="L195" s="387" t="str">
        <f>IF(I195="Required","Required",IF(ISNUMBER(MATCH(J195,Lists!$I$2:$I$9,0)),I195,IF(ISNUMBER(MATCH(J195,Lists!$J$2:$J$9,0)),I195,"")))</f>
        <v/>
      </c>
      <c r="N195" s="52"/>
      <c r="O195" s="52"/>
      <c r="Q195" s="45" t="b">
        <f>IF(I195="Required",0,IF(ISNUMBER(MATCH(J195,Lists!$I$2:$I$4,0)),L195))</f>
        <v>0</v>
      </c>
      <c r="R195" s="45" t="b">
        <f>IF(I195="Required",0,IF(ISNUMBER(MATCH(J195,Lists!$K$2:$K$7,0)),L195))</f>
        <v>0</v>
      </c>
      <c r="S195" s="45" t="b">
        <f>IF(I195="Required",0,IF(ISNUMBER(MATCH(J195,Lists!$G$2:$G$4,0)),L195))</f>
        <v>0</v>
      </c>
      <c r="T195" s="45" t="b">
        <f>IF(I195="Required",0,IF(ISNUMBER(MATCH(J195,Lists!$G$7:$G$8,0)),L195))</f>
        <v>0</v>
      </c>
      <c r="U195" s="45" t="b">
        <f>IF(I195="Required",0,IF(ISNUMBER(MATCH(J195,Lists!$H$2:$H$4,0)),K195))</f>
        <v>0</v>
      </c>
      <c r="V195" s="45">
        <f t="shared" si="19"/>
        <v>0</v>
      </c>
      <c r="W195" s="45">
        <f t="shared" si="20"/>
        <v>0</v>
      </c>
    </row>
    <row r="196" spans="1:23" ht="21" hidden="1" customHeight="1" thickBot="1">
      <c r="A196" s="301" t="s">
        <v>23</v>
      </c>
      <c r="B196" s="44"/>
      <c r="C196" s="855"/>
      <c r="D196" s="850"/>
      <c r="E196" s="849"/>
      <c r="F196" s="333" t="s">
        <v>1091</v>
      </c>
      <c r="G196" s="309">
        <f>'Review Comments'!F216</f>
        <v>0</v>
      </c>
      <c r="H196" s="309">
        <f>'Review Comments'!G216</f>
        <v>0</v>
      </c>
      <c r="I196" s="309" t="str">
        <f t="shared" si="26"/>
        <v/>
      </c>
      <c r="J196" s="334" t="str">
        <f>IF('Review Comments'!H216=0,"",'Review Comments'!H216)</f>
        <v/>
      </c>
      <c r="K196" s="284" t="str">
        <f>IF(I196="Required","Required",IF(ISNUMBER(MATCH(J196,Lists!$H$2:$H$9,0)),I196,""))</f>
        <v/>
      </c>
      <c r="L196" s="285" t="str">
        <f>IF(I196="Required","Required",IF(ISNUMBER(MATCH(J196,Lists!$I$2:$I$9,0)),I196,IF(ISNUMBER(MATCH(J196,Lists!$J$2:$J$9,0)),I196,"")))</f>
        <v/>
      </c>
      <c r="Q196" s="45" t="b">
        <f>IF(I196="Required",0,IF(ISNUMBER(MATCH(J196,Lists!$I$2:$I$4,0)),L196))</f>
        <v>0</v>
      </c>
      <c r="R196" s="45" t="b">
        <f>IF(I196="Required",0,IF(ISNUMBER(MATCH(J196,Lists!$K$2:$K$7,0)),L196))</f>
        <v>0</v>
      </c>
      <c r="S196" s="45" t="b">
        <f>IF(I196="Required",0,IF(ISNUMBER(MATCH(J196,Lists!$G$2:$G$4,0)),L196))</f>
        <v>0</v>
      </c>
      <c r="T196" s="45" t="b">
        <f>IF(I196="Required",0,IF(ISNUMBER(MATCH(J196,Lists!$G$7:$G$8,0)),L196))</f>
        <v>0</v>
      </c>
      <c r="U196" s="45" t="b">
        <f>IF(I196="Required",0,IF(ISNUMBER(MATCH(J196,Lists!$H$2:$H$4,0)),K196))</f>
        <v>0</v>
      </c>
      <c r="V196" s="45">
        <f t="shared" si="19"/>
        <v>0</v>
      </c>
      <c r="W196" s="45">
        <f t="shared" si="20"/>
        <v>0</v>
      </c>
    </row>
    <row r="197" spans="1:23" s="175" customFormat="1" ht="16.2" customHeight="1">
      <c r="A197" s="388"/>
      <c r="B197" s="174"/>
      <c r="C197" s="389"/>
      <c r="D197" s="390"/>
      <c r="E197" s="391"/>
      <c r="F197" s="392"/>
      <c r="G197" s="393">
        <f>SUM(G171:G196)</f>
        <v>10</v>
      </c>
      <c r="H197" s="393"/>
      <c r="I197" s="394">
        <f>SUM(I171:I196)</f>
        <v>10</v>
      </c>
      <c r="J197" s="395"/>
      <c r="K197" s="394">
        <f>SUM(K171:K196)</f>
        <v>10</v>
      </c>
      <c r="L197" s="396">
        <f>SUM(L171:L196)</f>
        <v>0</v>
      </c>
      <c r="Q197" s="175" t="b">
        <f>IF(I197="Required",0,IF(ISNUMBER(MATCH(J197,Lists!$I$2:$I$4,0)),L197))</f>
        <v>0</v>
      </c>
      <c r="R197" s="175" t="b">
        <f>IF(I197="Required",0,IF(ISNUMBER(MATCH(J197,Lists!$K$2:$K$7,0)),L197))</f>
        <v>0</v>
      </c>
      <c r="S197" s="175" t="b">
        <f>IF(I197="Required",0,IF(ISNUMBER(MATCH(J197,Lists!$G$2:$G$4,0)),L197))</f>
        <v>0</v>
      </c>
      <c r="T197" s="175" t="b">
        <f>IF(I197="Required",0,IF(ISNUMBER(MATCH(J197,Lists!$G$7:$G$8,0)),L197))</f>
        <v>0</v>
      </c>
      <c r="U197" s="175" t="b">
        <f>IF(I197="Required",0,IF(ISNUMBER(MATCH(J197,Lists!$H$2:$H$4,0)),K197))</f>
        <v>0</v>
      </c>
      <c r="V197" s="175">
        <f t="shared" si="19"/>
        <v>0</v>
      </c>
      <c r="W197" s="45">
        <f t="shared" si="20"/>
        <v>0</v>
      </c>
    </row>
    <row r="198" spans="1:23" ht="6.6" customHeight="1" thickBot="1">
      <c r="A198" s="294"/>
      <c r="B198" s="44"/>
      <c r="C198" s="295"/>
      <c r="D198" s="294"/>
      <c r="E198" s="296"/>
      <c r="F198" s="297"/>
      <c r="G198" s="298"/>
      <c r="H198" s="298"/>
      <c r="I198" s="298"/>
      <c r="J198" s="299"/>
      <c r="K198" s="298"/>
      <c r="L198" s="300"/>
      <c r="Q198" s="45" t="b">
        <f>IF(I198="Required",0,IF(ISNUMBER(MATCH(J198,Lists!$I$2:$I$4,0)),L198))</f>
        <v>0</v>
      </c>
      <c r="R198" s="45" t="b">
        <f>IF(I198="Required",0,IF(ISNUMBER(MATCH(J198,Lists!$K$2:$K$7,0)),L198))</f>
        <v>0</v>
      </c>
      <c r="S198" s="45" t="b">
        <f>IF(I198="Required",0,IF(ISNUMBER(MATCH(J198,Lists!$G$2:$G$4,0)),L198))</f>
        <v>0</v>
      </c>
      <c r="T198" s="45" t="b">
        <f>IF(I198="Required",0,IF(ISNUMBER(MATCH(J198,Lists!$G$7:$G$8,0)),L198))</f>
        <v>0</v>
      </c>
      <c r="U198" s="45" t="b">
        <f>IF(I198="Required",0,IF(ISNUMBER(MATCH(J198,Lists!$H$2:$H$4,0)),K198))</f>
        <v>0</v>
      </c>
      <c r="V198" s="45">
        <f t="shared" si="19"/>
        <v>0</v>
      </c>
      <c r="W198" s="45">
        <f t="shared" si="20"/>
        <v>0</v>
      </c>
    </row>
    <row r="199" spans="1:23" ht="21" customHeight="1">
      <c r="A199" s="272" t="s">
        <v>8</v>
      </c>
      <c r="B199" s="44"/>
      <c r="C199" s="844" t="s">
        <v>166</v>
      </c>
      <c r="D199" s="814" t="s">
        <v>8</v>
      </c>
      <c r="E199" s="815" t="s">
        <v>167</v>
      </c>
      <c r="F199" s="273" t="s">
        <v>168</v>
      </c>
      <c r="G199" s="274">
        <f>'Review Comments'!F222</f>
        <v>0</v>
      </c>
      <c r="H199" s="274" t="str">
        <f>'Review Comments'!G222</f>
        <v>Required</v>
      </c>
      <c r="I199" s="274" t="str">
        <f t="shared" ref="I199:I224" si="27">IF(H199="Yes",G199,IF(H199="Required","Required",""))</f>
        <v>Required</v>
      </c>
      <c r="J199" s="397" t="str">
        <f>IF('Review Comments'!H222=0,"",'Review Comments'!H222)</f>
        <v>Anticipated</v>
      </c>
      <c r="K199" s="275" t="str">
        <f>IF(I199="Required","Required",IF(ISNUMBER(MATCH(J199,Lists!$H$2:$H$9,0)),I199,""))</f>
        <v>Required</v>
      </c>
      <c r="L199" s="276" t="str">
        <f>IF(I199="Required","Required",IF(ISNUMBER(MATCH(J199,Lists!$I$2:$I$9,0)),I199,IF(ISNUMBER(MATCH(J199,Lists!$J$2:$J$9,0)),I199,"")))</f>
        <v>Required</v>
      </c>
      <c r="Q199" s="45">
        <f>IF(I199="Required",0,IF(ISNUMBER(MATCH(J199,Lists!$I$2:$I$4,0)),L199))</f>
        <v>0</v>
      </c>
      <c r="R199" s="45">
        <f>IF(I199="Required",0,IF(ISNUMBER(MATCH(J199,Lists!$K$2:$K$7,0)),L199))</f>
        <v>0</v>
      </c>
      <c r="S199" s="45">
        <f>IF(I199="Required",0,IF(ISNUMBER(MATCH(J199,Lists!$G$2:$G$4,0)),L199))</f>
        <v>0</v>
      </c>
      <c r="T199" s="45">
        <f>IF(I199="Required",0,IF(ISNUMBER(MATCH(J199,Lists!$G$7:$G$8,0)),L199))</f>
        <v>0</v>
      </c>
      <c r="U199" s="45">
        <f>IF(I199="Required",0,IF(ISNUMBER(MATCH(J199,Lists!$H$2:$H$4,0)),K199))</f>
        <v>0</v>
      </c>
      <c r="V199" s="45">
        <f t="shared" si="19"/>
        <v>0</v>
      </c>
      <c r="W199" s="45">
        <f t="shared" si="20"/>
        <v>0</v>
      </c>
    </row>
    <row r="200" spans="1:23" ht="21" customHeight="1">
      <c r="A200" s="272" t="s">
        <v>8</v>
      </c>
      <c r="B200" s="44"/>
      <c r="C200" s="845"/>
      <c r="D200" s="811"/>
      <c r="E200" s="812"/>
      <c r="F200" s="277" t="s">
        <v>169</v>
      </c>
      <c r="G200" s="278">
        <f>'Review Comments'!F223</f>
        <v>0</v>
      </c>
      <c r="H200" s="278" t="str">
        <f>'Review Comments'!G223</f>
        <v>Required</v>
      </c>
      <c r="I200" s="278" t="str">
        <f t="shared" si="27"/>
        <v>Required</v>
      </c>
      <c r="J200" s="398" t="str">
        <f>IF('Review Comments'!H223=0,"",'Review Comments'!H223)</f>
        <v>Anticipated</v>
      </c>
      <c r="K200" s="279" t="str">
        <f>IF(I200="Required","Required",IF(ISNUMBER(MATCH(J200,Lists!$H$2:$H$9,0)),I200,""))</f>
        <v>Required</v>
      </c>
      <c r="L200" s="280" t="str">
        <f>IF(I200="Required","Required",IF(ISNUMBER(MATCH(J200,Lists!$I$2:$I$9,0)),I200,IF(ISNUMBER(MATCH(J200,Lists!$J$2:$J$9,0)),I200,"")))</f>
        <v>Required</v>
      </c>
      <c r="Q200" s="45">
        <f>IF(I200="Required",0,IF(ISNUMBER(MATCH(J200,Lists!$I$2:$I$4,0)),L200))</f>
        <v>0</v>
      </c>
      <c r="R200" s="45">
        <f>IF(I200="Required",0,IF(ISNUMBER(MATCH(J200,Lists!$K$2:$K$7,0)),L200))</f>
        <v>0</v>
      </c>
      <c r="S200" s="45">
        <f>IF(I200="Required",0,IF(ISNUMBER(MATCH(J200,Lists!$G$2:$G$4,0)),L200))</f>
        <v>0</v>
      </c>
      <c r="T200" s="45">
        <f>IF(I200="Required",0,IF(ISNUMBER(MATCH(J200,Lists!$G$7:$G$8,0)),L200))</f>
        <v>0</v>
      </c>
      <c r="U200" s="45">
        <f>IF(I200="Required",0,IF(ISNUMBER(MATCH(J200,Lists!$H$2:$H$4,0)),K200))</f>
        <v>0</v>
      </c>
      <c r="V200" s="45">
        <f t="shared" si="19"/>
        <v>0</v>
      </c>
      <c r="W200" s="45">
        <f t="shared" si="20"/>
        <v>0</v>
      </c>
    </row>
    <row r="201" spans="1:23" ht="21" customHeight="1">
      <c r="A201" s="272" t="s">
        <v>8</v>
      </c>
      <c r="B201" s="44"/>
      <c r="C201" s="845"/>
      <c r="D201" s="281" t="s">
        <v>8</v>
      </c>
      <c r="E201" s="201" t="s">
        <v>170</v>
      </c>
      <c r="F201" s="277" t="s">
        <v>681</v>
      </c>
      <c r="G201" s="278">
        <f>'Review Comments'!F224</f>
        <v>0</v>
      </c>
      <c r="H201" s="278" t="str">
        <f>'Review Comments'!G224</f>
        <v>Required</v>
      </c>
      <c r="I201" s="278" t="str">
        <f t="shared" si="27"/>
        <v>Required</v>
      </c>
      <c r="J201" s="398" t="str">
        <f>IF('Review Comments'!H224=0,"",'Review Comments'!H224)</f>
        <v>Anticipated</v>
      </c>
      <c r="K201" s="279" t="str">
        <f>IF(I201="Required","Required",IF(ISNUMBER(MATCH(J201,Lists!$H$2:$H$9,0)),I201,""))</f>
        <v>Required</v>
      </c>
      <c r="L201" s="280" t="str">
        <f>IF(I201="Required","Required",IF(ISNUMBER(MATCH(J201,Lists!$I$2:$I$9,0)),I201,IF(ISNUMBER(MATCH(J201,Lists!$J$2:$J$9,0)),I201,"")))</f>
        <v>Required</v>
      </c>
      <c r="Q201" s="45">
        <f>IF(I201="Required",0,IF(ISNUMBER(MATCH(J201,Lists!$I$2:$I$4,0)),L201))</f>
        <v>0</v>
      </c>
      <c r="R201" s="45">
        <f>IF(I201="Required",0,IF(ISNUMBER(MATCH(J201,Lists!$K$2:$K$7,0)),L201))</f>
        <v>0</v>
      </c>
      <c r="S201" s="45">
        <f>IF(I201="Required",0,IF(ISNUMBER(MATCH(J201,Lists!$G$2:$G$4,0)),L201))</f>
        <v>0</v>
      </c>
      <c r="T201" s="45">
        <f>IF(I201="Required",0,IF(ISNUMBER(MATCH(J201,Lists!$G$7:$G$8,0)),L201))</f>
        <v>0</v>
      </c>
      <c r="U201" s="45">
        <f>IF(I201="Required",0,IF(ISNUMBER(MATCH(J201,Lists!$H$2:$H$4,0)),K201))</f>
        <v>0</v>
      </c>
      <c r="V201" s="45">
        <f t="shared" si="19"/>
        <v>0</v>
      </c>
      <c r="W201" s="45">
        <f t="shared" si="20"/>
        <v>0</v>
      </c>
    </row>
    <row r="202" spans="1:23" ht="21" customHeight="1">
      <c r="A202" s="272" t="s">
        <v>23</v>
      </c>
      <c r="B202" s="44"/>
      <c r="C202" s="845"/>
      <c r="D202" s="811" t="s">
        <v>23</v>
      </c>
      <c r="E202" s="812" t="s">
        <v>171</v>
      </c>
      <c r="F202" s="277" t="s">
        <v>682</v>
      </c>
      <c r="G202" s="278">
        <f>'Review Comments'!F225</f>
        <v>0</v>
      </c>
      <c r="H202" s="278" t="str">
        <f>'Review Comments'!G225</f>
        <v>No</v>
      </c>
      <c r="I202" s="278" t="str">
        <f t="shared" si="27"/>
        <v/>
      </c>
      <c r="J202" s="398" t="str">
        <f>IF('Review Comments'!H225=0,"",'Review Comments'!H225)</f>
        <v>Not Attempted</v>
      </c>
      <c r="K202" s="279" t="str">
        <f>IF(I202="Required","Required",IF(ISNUMBER(MATCH(J202,Lists!$H$2:$H$9,0)),I202,""))</f>
        <v/>
      </c>
      <c r="L202" s="280" t="str">
        <f>IF(I202="Required","Required",IF(ISNUMBER(MATCH(J202,Lists!$I$2:$I$9,0)),I202,IF(ISNUMBER(MATCH(J202,Lists!$J$2:$J$9,0)),I202,"")))</f>
        <v/>
      </c>
      <c r="Q202" s="45" t="b">
        <f>IF(I202="Required",0,IF(ISNUMBER(MATCH(J202,Lists!$I$2:$I$4,0)),L202))</f>
        <v>0</v>
      </c>
      <c r="R202" s="45" t="b">
        <f>IF(I202="Required",0,IF(ISNUMBER(MATCH(J202,Lists!$K$2:$K$7,0)),L202))</f>
        <v>0</v>
      </c>
      <c r="S202" s="45" t="b">
        <f>IF(I202="Required",0,IF(ISNUMBER(MATCH(J202,Lists!$G$2:$G$4,0)),L202))</f>
        <v>0</v>
      </c>
      <c r="T202" s="45" t="b">
        <f>IF(I202="Required",0,IF(ISNUMBER(MATCH(J202,Lists!$G$7:$G$8,0)),L202))</f>
        <v>0</v>
      </c>
      <c r="U202" s="45" t="b">
        <f>IF(I202="Required",0,IF(ISNUMBER(MATCH(J202,Lists!$H$2:$H$4,0)),K202))</f>
        <v>0</v>
      </c>
      <c r="V202" s="45">
        <f t="shared" si="19"/>
        <v>0</v>
      </c>
      <c r="W202" s="45">
        <f t="shared" si="20"/>
        <v>0</v>
      </c>
    </row>
    <row r="203" spans="1:23" ht="21" customHeight="1">
      <c r="A203" s="272" t="s">
        <v>23</v>
      </c>
      <c r="B203" s="44"/>
      <c r="C203" s="845"/>
      <c r="D203" s="811"/>
      <c r="E203" s="812"/>
      <c r="F203" s="277" t="s">
        <v>683</v>
      </c>
      <c r="G203" s="278">
        <f>'Review Comments'!F226</f>
        <v>0</v>
      </c>
      <c r="H203" s="278" t="str">
        <f>'Review Comments'!G226</f>
        <v>No</v>
      </c>
      <c r="I203" s="278" t="str">
        <f t="shared" ref="I203:I209" si="28">IF(H203="Yes",G203,IF(H203="Required","Required",""))</f>
        <v/>
      </c>
      <c r="J203" s="398" t="str">
        <f>IF('Review Comments'!H226=0,"",'Review Comments'!H226)</f>
        <v>Not Attempted</v>
      </c>
      <c r="K203" s="279" t="str">
        <f>IF(I203="Required","Required",IF(ISNUMBER(MATCH(J203,Lists!$H$2:$H$9,0)),I203,""))</f>
        <v/>
      </c>
      <c r="L203" s="280" t="str">
        <f>IF(I203="Required","Required",IF(ISNUMBER(MATCH(J203,Lists!$I$2:$I$9,0)),I203,IF(ISNUMBER(MATCH(J203,Lists!$J$2:$J$9,0)),I203,"")))</f>
        <v/>
      </c>
      <c r="Q203" s="45" t="b">
        <f>IF(I203="Required",0,IF(ISNUMBER(MATCH(J203,Lists!$I$2:$I$4,0)),L203))</f>
        <v>0</v>
      </c>
      <c r="R203" s="45" t="b">
        <f>IF(I203="Required",0,IF(ISNUMBER(MATCH(J203,Lists!$K$2:$K$7,0)),L203))</f>
        <v>0</v>
      </c>
      <c r="S203" s="45" t="b">
        <f>IF(I203="Required",0,IF(ISNUMBER(MATCH(J203,Lists!$G$2:$G$4,0)),L203))</f>
        <v>0</v>
      </c>
      <c r="T203" s="45" t="b">
        <f>IF(I203="Required",0,IF(ISNUMBER(MATCH(J203,Lists!$G$7:$G$8,0)),L203))</f>
        <v>0</v>
      </c>
      <c r="U203" s="45" t="b">
        <f>IF(I203="Required",0,IF(ISNUMBER(MATCH(J203,Lists!$H$2:$H$4,0)),K203))</f>
        <v>0</v>
      </c>
      <c r="V203" s="45">
        <f t="shared" si="19"/>
        <v>0</v>
      </c>
      <c r="W203" s="45">
        <f t="shared" si="20"/>
        <v>0</v>
      </c>
    </row>
    <row r="204" spans="1:23" ht="21" customHeight="1">
      <c r="A204" s="272" t="s">
        <v>23</v>
      </c>
      <c r="B204" s="44"/>
      <c r="C204" s="845"/>
      <c r="D204" s="811"/>
      <c r="E204" s="812"/>
      <c r="F204" s="277" t="s">
        <v>684</v>
      </c>
      <c r="G204" s="278">
        <f>'Review Comments'!F227</f>
        <v>0</v>
      </c>
      <c r="H204" s="278" t="str">
        <f>'Review Comments'!G227</f>
        <v>No</v>
      </c>
      <c r="I204" s="278" t="str">
        <f t="shared" si="28"/>
        <v/>
      </c>
      <c r="J204" s="398" t="str">
        <f>IF('Review Comments'!H227=0,"",'Review Comments'!H227)</f>
        <v>Not Attempted</v>
      </c>
      <c r="K204" s="279" t="str">
        <f>IF(I204="Required","Required",IF(ISNUMBER(MATCH(J204,Lists!$H$2:$H$9,0)),I204,""))</f>
        <v/>
      </c>
      <c r="L204" s="280" t="str">
        <f>IF(I204="Required","Required",IF(ISNUMBER(MATCH(J204,Lists!$I$2:$I$9,0)),I204,IF(ISNUMBER(MATCH(J204,Lists!$J$2:$J$9,0)),I204,"")))</f>
        <v/>
      </c>
      <c r="N204" s="185" t="s">
        <v>734</v>
      </c>
      <c r="O204" s="52"/>
      <c r="Q204" s="45" t="b">
        <f>IF(I204="Required",0,IF(ISNUMBER(MATCH(J204,Lists!$I$2:$I$4,0)),L204))</f>
        <v>0</v>
      </c>
      <c r="R204" s="45" t="b">
        <f>IF(I204="Required",0,IF(ISNUMBER(MATCH(J204,Lists!$K$2:$K$7,0)),L204))</f>
        <v>0</v>
      </c>
      <c r="S204" s="45" t="b">
        <f>IF(I204="Required",0,IF(ISNUMBER(MATCH(J204,Lists!$G$2:$G$4,0)),L204))</f>
        <v>0</v>
      </c>
      <c r="T204" s="45" t="b">
        <f>IF(I204="Required",0,IF(ISNUMBER(MATCH(J204,Lists!$G$7:$G$8,0)),L204))</f>
        <v>0</v>
      </c>
      <c r="U204" s="45" t="b">
        <f>IF(I204="Required",0,IF(ISNUMBER(MATCH(J204,Lists!$H$2:$H$4,0)),K204))</f>
        <v>0</v>
      </c>
      <c r="V204" s="45">
        <f t="shared" si="19"/>
        <v>0</v>
      </c>
      <c r="W204" s="45">
        <f t="shared" si="20"/>
        <v>0</v>
      </c>
    </row>
    <row r="205" spans="1:23" ht="21" hidden="1" customHeight="1">
      <c r="A205" s="272" t="s">
        <v>23</v>
      </c>
      <c r="B205" s="44"/>
      <c r="C205" s="845"/>
      <c r="D205" s="811"/>
      <c r="E205" s="812"/>
      <c r="F205" s="277" t="s">
        <v>685</v>
      </c>
      <c r="G205" s="278">
        <f>'Review Comments'!F228</f>
        <v>0</v>
      </c>
      <c r="H205" s="278">
        <f>'Review Comments'!G228</f>
        <v>0</v>
      </c>
      <c r="I205" s="278" t="str">
        <f t="shared" si="28"/>
        <v/>
      </c>
      <c r="J205" s="398" t="str">
        <f>IF('Review Comments'!H228=0,"",'Review Comments'!H228)</f>
        <v/>
      </c>
      <c r="K205" s="279" t="str">
        <f>IF(I205="Required","Required",IF(ISNUMBER(MATCH(J205,Lists!$H$2:$H$9,0)),I205,""))</f>
        <v/>
      </c>
      <c r="L205" s="280" t="str">
        <f>IF(I205="Required","Required",IF(ISNUMBER(MATCH(J205,Lists!$I$2:$I$9,0)),I205,IF(ISNUMBER(MATCH(J205,Lists!$J$2:$J$9,0)),I205,"")))</f>
        <v/>
      </c>
      <c r="Q205" s="45" t="b">
        <f>IF(I205="Required",0,IF(ISNUMBER(MATCH(J205,Lists!$I$2:$I$4,0)),L205))</f>
        <v>0</v>
      </c>
      <c r="R205" s="45" t="b">
        <f>IF(I205="Required",0,IF(ISNUMBER(MATCH(J205,Lists!$K$2:$K$7,0)),L205))</f>
        <v>0</v>
      </c>
      <c r="S205" s="45" t="b">
        <f>IF(I205="Required",0,IF(ISNUMBER(MATCH(J205,Lists!$G$2:$G$4,0)),L205))</f>
        <v>0</v>
      </c>
      <c r="T205" s="45" t="b">
        <f>IF(I205="Required",0,IF(ISNUMBER(MATCH(J205,Lists!$G$7:$G$8,0)),L205))</f>
        <v>0</v>
      </c>
      <c r="U205" s="45" t="b">
        <f>IF(I205="Required",0,IF(ISNUMBER(MATCH(J205,Lists!$H$2:$H$4,0)),K205))</f>
        <v>0</v>
      </c>
      <c r="V205" s="45">
        <f t="shared" ref="V205:V273" si="29">IF(A205="P",IF(IFERROR(SEARCH("Pending Documentation",J205),0)&gt;0,IF(I205="Required",1,I205),0),0)</f>
        <v>0</v>
      </c>
      <c r="W205" s="45">
        <f t="shared" si="20"/>
        <v>0</v>
      </c>
    </row>
    <row r="206" spans="1:23" ht="21" customHeight="1">
      <c r="A206" s="272" t="s">
        <v>23</v>
      </c>
      <c r="B206" s="44"/>
      <c r="C206" s="845"/>
      <c r="D206" s="811" t="s">
        <v>23</v>
      </c>
      <c r="E206" s="812" t="s">
        <v>172</v>
      </c>
      <c r="F206" s="277" t="s">
        <v>686</v>
      </c>
      <c r="G206" s="278">
        <f>'Review Comments'!F229</f>
        <v>0</v>
      </c>
      <c r="H206" s="278" t="str">
        <f>'Review Comments'!G229</f>
        <v>No</v>
      </c>
      <c r="I206" s="278" t="str">
        <f t="shared" si="28"/>
        <v/>
      </c>
      <c r="J206" s="398" t="str">
        <f>IF('Review Comments'!H229=0,"",'Review Comments'!H229)</f>
        <v>Not Attempted</v>
      </c>
      <c r="K206" s="279" t="str">
        <f>IF(I206="Required","Required",IF(ISNUMBER(MATCH(J206,Lists!$H$2:$H$9,0)),I206,""))</f>
        <v/>
      </c>
      <c r="L206" s="280" t="str">
        <f>IF(I206="Required","Required",IF(ISNUMBER(MATCH(J206,Lists!$I$2:$I$9,0)),I206,IF(ISNUMBER(MATCH(J206,Lists!$J$2:$J$9,0)),I206,"")))</f>
        <v/>
      </c>
      <c r="Q206" s="45" t="b">
        <f>IF(I206="Required",0,IF(ISNUMBER(MATCH(J206,Lists!$I$2:$I$4,0)),L206))</f>
        <v>0</v>
      </c>
      <c r="R206" s="45" t="b">
        <f>IF(I206="Required",0,IF(ISNUMBER(MATCH(J206,Lists!$K$2:$K$7,0)),L206))</f>
        <v>0</v>
      </c>
      <c r="S206" s="45" t="b">
        <f>IF(I206="Required",0,IF(ISNUMBER(MATCH(J206,Lists!$G$2:$G$4,0)),L206))</f>
        <v>0</v>
      </c>
      <c r="T206" s="45" t="b">
        <f>IF(I206="Required",0,IF(ISNUMBER(MATCH(J206,Lists!$G$7:$G$8,0)),L206))</f>
        <v>0</v>
      </c>
      <c r="U206" s="45" t="b">
        <f>IF(I206="Required",0,IF(ISNUMBER(MATCH(J206,Lists!$H$2:$H$4,0)),K206))</f>
        <v>0</v>
      </c>
      <c r="V206" s="45">
        <f t="shared" si="29"/>
        <v>0</v>
      </c>
      <c r="W206" s="45">
        <f t="shared" ref="W206:W270" si="30">IF(A206="P",IF(IFERROR(SEARCH("Pending On-site Assessment",J206),0)&gt;0,IF(I206="Required",1,I206),0),0)</f>
        <v>0</v>
      </c>
    </row>
    <row r="207" spans="1:23" ht="21" customHeight="1">
      <c r="A207" s="272" t="s">
        <v>23</v>
      </c>
      <c r="B207" s="44"/>
      <c r="C207" s="845"/>
      <c r="D207" s="811"/>
      <c r="E207" s="812"/>
      <c r="F207" s="277" t="s">
        <v>687</v>
      </c>
      <c r="G207" s="278">
        <f>'Review Comments'!F230</f>
        <v>0</v>
      </c>
      <c r="H207" s="278" t="str">
        <f>'Review Comments'!G230</f>
        <v>No</v>
      </c>
      <c r="I207" s="278" t="str">
        <f t="shared" si="28"/>
        <v/>
      </c>
      <c r="J207" s="398" t="str">
        <f>IF('Review Comments'!H230=0,"",'Review Comments'!H230)</f>
        <v>Not Attempted</v>
      </c>
      <c r="K207" s="279" t="str">
        <f>IF(I207="Required","Required",IF(ISNUMBER(MATCH(J207,Lists!$H$2:$H$9,0)),I207,""))</f>
        <v/>
      </c>
      <c r="L207" s="280" t="str">
        <f>IF(I207="Required","Required",IF(ISNUMBER(MATCH(J207,Lists!$I$2:$I$9,0)),I207,IF(ISNUMBER(MATCH(J207,Lists!$J$2:$J$9,0)),I207,"")))</f>
        <v/>
      </c>
      <c r="Q207" s="45" t="b">
        <f>IF(I207="Required",0,IF(ISNUMBER(MATCH(J207,Lists!$I$2:$I$4,0)),L207))</f>
        <v>0</v>
      </c>
      <c r="R207" s="45" t="b">
        <f>IF(I207="Required",0,IF(ISNUMBER(MATCH(J207,Lists!$K$2:$K$7,0)),L207))</f>
        <v>0</v>
      </c>
      <c r="S207" s="45" t="b">
        <f>IF(I207="Required",0,IF(ISNUMBER(MATCH(J207,Lists!$G$2:$G$4,0)),L207))</f>
        <v>0</v>
      </c>
      <c r="T207" s="45" t="b">
        <f>IF(I207="Required",0,IF(ISNUMBER(MATCH(J207,Lists!$G$7:$G$8,0)),L207))</f>
        <v>0</v>
      </c>
      <c r="U207" s="45" t="b">
        <f>IF(I207="Required",0,IF(ISNUMBER(MATCH(J207,Lists!$H$2:$H$4,0)),K207))</f>
        <v>0</v>
      </c>
      <c r="V207" s="45">
        <f t="shared" si="29"/>
        <v>0</v>
      </c>
      <c r="W207" s="45">
        <f t="shared" si="30"/>
        <v>0</v>
      </c>
    </row>
    <row r="208" spans="1:23" ht="21" customHeight="1">
      <c r="A208" s="272" t="s">
        <v>23</v>
      </c>
      <c r="B208" s="44"/>
      <c r="C208" s="845"/>
      <c r="D208" s="811" t="s">
        <v>23</v>
      </c>
      <c r="E208" s="812" t="s">
        <v>173</v>
      </c>
      <c r="F208" s="277" t="s">
        <v>688</v>
      </c>
      <c r="G208" s="278">
        <f>'Review Comments'!F231</f>
        <v>0</v>
      </c>
      <c r="H208" s="278" t="str">
        <f>'Review Comments'!G231</f>
        <v>No</v>
      </c>
      <c r="I208" s="278" t="str">
        <f t="shared" si="28"/>
        <v/>
      </c>
      <c r="J208" s="398" t="str">
        <f>IF('Review Comments'!H231=0,"",'Review Comments'!H231)</f>
        <v>Not Attempted</v>
      </c>
      <c r="K208" s="279" t="str">
        <f>IF(I208="Required","Required",IF(ISNUMBER(MATCH(J208,Lists!$H$2:$H$9,0)),I208,""))</f>
        <v/>
      </c>
      <c r="L208" s="280" t="str">
        <f>IF(I208="Required","Required",IF(ISNUMBER(MATCH(J208,Lists!$I$2:$I$9,0)),I208,IF(ISNUMBER(MATCH(J208,Lists!$J$2:$J$9,0)),I208,"")))</f>
        <v/>
      </c>
      <c r="Q208" s="45" t="b">
        <f>IF(I208="Required",0,IF(ISNUMBER(MATCH(J208,Lists!$I$2:$I$4,0)),L208))</f>
        <v>0</v>
      </c>
      <c r="R208" s="45" t="b">
        <f>IF(I208="Required",0,IF(ISNUMBER(MATCH(J208,Lists!$K$2:$K$7,0)),L208))</f>
        <v>0</v>
      </c>
      <c r="S208" s="45" t="b">
        <f>IF(I208="Required",0,IF(ISNUMBER(MATCH(J208,Lists!$G$2:$G$4,0)),L208))</f>
        <v>0</v>
      </c>
      <c r="T208" s="45" t="b">
        <f>IF(I208="Required",0,IF(ISNUMBER(MATCH(J208,Lists!$G$7:$G$8,0)),L208))</f>
        <v>0</v>
      </c>
      <c r="U208" s="45" t="b">
        <f>IF(I208="Required",0,IF(ISNUMBER(MATCH(J208,Lists!$H$2:$H$4,0)),K208))</f>
        <v>0</v>
      </c>
      <c r="V208" s="45">
        <f t="shared" si="29"/>
        <v>0</v>
      </c>
      <c r="W208" s="45">
        <f t="shared" si="30"/>
        <v>0</v>
      </c>
    </row>
    <row r="209" spans="1:23" ht="21" customHeight="1">
      <c r="A209" s="272" t="s">
        <v>23</v>
      </c>
      <c r="B209" s="44"/>
      <c r="C209" s="845"/>
      <c r="D209" s="811"/>
      <c r="E209" s="812"/>
      <c r="F209" s="277" t="s">
        <v>689</v>
      </c>
      <c r="G209" s="278">
        <f>'Review Comments'!F232</f>
        <v>0</v>
      </c>
      <c r="H209" s="278" t="str">
        <f>'Review Comments'!G232</f>
        <v>No</v>
      </c>
      <c r="I209" s="278" t="str">
        <f t="shared" si="28"/>
        <v/>
      </c>
      <c r="J209" s="398" t="str">
        <f>IF('Review Comments'!H232=0,"",'Review Comments'!H232)</f>
        <v>Not Attempted</v>
      </c>
      <c r="K209" s="279" t="str">
        <f>IF(I209="Required","Required",IF(ISNUMBER(MATCH(J209,Lists!$H$2:$H$9,0)),I209,""))</f>
        <v/>
      </c>
      <c r="L209" s="280" t="str">
        <f>IF(I209="Required","Required",IF(ISNUMBER(MATCH(J209,Lists!$I$2:$I$9,0)),I209,IF(ISNUMBER(MATCH(J209,Lists!$J$2:$J$9,0)),I209,"")))</f>
        <v/>
      </c>
      <c r="Q209" s="45" t="b">
        <f>IF(I209="Required",0,IF(ISNUMBER(MATCH(J209,Lists!$I$2:$I$4,0)),L209))</f>
        <v>0</v>
      </c>
      <c r="R209" s="45" t="b">
        <f>IF(I209="Required",0,IF(ISNUMBER(MATCH(J209,Lists!$K$2:$K$7,0)),L209))</f>
        <v>0</v>
      </c>
      <c r="S209" s="45" t="b">
        <f>IF(I209="Required",0,IF(ISNUMBER(MATCH(J209,Lists!$G$2:$G$4,0)),L209))</f>
        <v>0</v>
      </c>
      <c r="T209" s="45" t="b">
        <f>IF(I209="Required",0,IF(ISNUMBER(MATCH(J209,Lists!$G$7:$G$8,0)),L209))</f>
        <v>0</v>
      </c>
      <c r="U209" s="45" t="b">
        <f>IF(I209="Required",0,IF(ISNUMBER(MATCH(J209,Lists!$H$2:$H$4,0)),K209))</f>
        <v>0</v>
      </c>
      <c r="V209" s="45">
        <f t="shared" si="29"/>
        <v>0</v>
      </c>
      <c r="W209" s="45">
        <f t="shared" si="30"/>
        <v>0</v>
      </c>
    </row>
    <row r="210" spans="1:23" ht="21" customHeight="1">
      <c r="A210" s="272" t="s">
        <v>23</v>
      </c>
      <c r="B210" s="44"/>
      <c r="C210" s="845"/>
      <c r="D210" s="281" t="s">
        <v>23</v>
      </c>
      <c r="E210" s="201" t="s">
        <v>174</v>
      </c>
      <c r="F210" s="277" t="s">
        <v>690</v>
      </c>
      <c r="G210" s="278">
        <f>'Review Comments'!F233</f>
        <v>0</v>
      </c>
      <c r="H210" s="278" t="str">
        <f>'Review Comments'!G233</f>
        <v>No</v>
      </c>
      <c r="I210" s="278" t="str">
        <f t="shared" si="27"/>
        <v/>
      </c>
      <c r="J210" s="398" t="str">
        <f>IF('Review Comments'!H233=0,"",'Review Comments'!H233)</f>
        <v>Not Attempted</v>
      </c>
      <c r="K210" s="279" t="str">
        <f>IF(I210="Required","Required",IF(ISNUMBER(MATCH(J210,Lists!$H$2:$H$9,0)),I210,""))</f>
        <v/>
      </c>
      <c r="L210" s="280" t="str">
        <f>IF(I210="Required","Required",IF(ISNUMBER(MATCH(J210,Lists!$I$2:$I$9,0)),I210,IF(ISNUMBER(MATCH(J210,Lists!$J$2:$J$9,0)),I210,"")))</f>
        <v/>
      </c>
      <c r="Q210" s="45" t="b">
        <f>IF(I210="Required",0,IF(ISNUMBER(MATCH(J210,Lists!$I$2:$I$4,0)),L210))</f>
        <v>0</v>
      </c>
      <c r="R210" s="45" t="b">
        <f>IF(I210="Required",0,IF(ISNUMBER(MATCH(J210,Lists!$K$2:$K$7,0)),L210))</f>
        <v>0</v>
      </c>
      <c r="S210" s="45" t="b">
        <f>IF(I210="Required",0,IF(ISNUMBER(MATCH(J210,Lists!$G$2:$G$4,0)),L210))</f>
        <v>0</v>
      </c>
      <c r="T210" s="45" t="b">
        <f>IF(I210="Required",0,IF(ISNUMBER(MATCH(J210,Lists!$G$7:$G$8,0)),L210))</f>
        <v>0</v>
      </c>
      <c r="U210" s="45" t="b">
        <f>IF(I210="Required",0,IF(ISNUMBER(MATCH(J210,Lists!$H$2:$H$4,0)),K210))</f>
        <v>0</v>
      </c>
      <c r="V210" s="45">
        <f t="shared" si="29"/>
        <v>0</v>
      </c>
      <c r="W210" s="45">
        <f t="shared" si="30"/>
        <v>0</v>
      </c>
    </row>
    <row r="211" spans="1:23" ht="21" customHeight="1">
      <c r="A211" s="272" t="s">
        <v>23</v>
      </c>
      <c r="B211" s="44"/>
      <c r="C211" s="845"/>
      <c r="D211" s="811" t="s">
        <v>23</v>
      </c>
      <c r="E211" s="812" t="s">
        <v>175</v>
      </c>
      <c r="F211" s="277" t="s">
        <v>691</v>
      </c>
      <c r="G211" s="278">
        <f>'Review Comments'!F234</f>
        <v>0</v>
      </c>
      <c r="H211" s="278" t="str">
        <f>'Review Comments'!G234</f>
        <v>No</v>
      </c>
      <c r="I211" s="278" t="str">
        <f t="shared" si="27"/>
        <v/>
      </c>
      <c r="J211" s="398" t="str">
        <f>IF('Review Comments'!H234=0,"",'Review Comments'!H234)</f>
        <v>Not Attempted</v>
      </c>
      <c r="K211" s="279" t="str">
        <f>IF(I211="Required","Required",IF(ISNUMBER(MATCH(J211,Lists!$H$2:$H$9,0)),I211,""))</f>
        <v/>
      </c>
      <c r="L211" s="280" t="str">
        <f>IF(I211="Required","Required",IF(ISNUMBER(MATCH(J211,Lists!$I$2:$I$9,0)),I211,IF(ISNUMBER(MATCH(J211,Lists!$J$2:$J$9,0)),I211,"")))</f>
        <v/>
      </c>
      <c r="Q211" s="45" t="b">
        <f>IF(I211="Required",0,IF(ISNUMBER(MATCH(J211,Lists!$I$2:$I$4,0)),L211))</f>
        <v>0</v>
      </c>
      <c r="R211" s="45" t="b">
        <f>IF(I211="Required",0,IF(ISNUMBER(MATCH(J211,Lists!$K$2:$K$7,0)),L211))</f>
        <v>0</v>
      </c>
      <c r="S211" s="45" t="b">
        <f>IF(I211="Required",0,IF(ISNUMBER(MATCH(J211,Lists!$G$2:$G$4,0)),L211))</f>
        <v>0</v>
      </c>
      <c r="T211" s="45" t="b">
        <f>IF(I211="Required",0,IF(ISNUMBER(MATCH(J211,Lists!$G$7:$G$8,0)),L211))</f>
        <v>0</v>
      </c>
      <c r="U211" s="45" t="b">
        <f>IF(I211="Required",0,IF(ISNUMBER(MATCH(J211,Lists!$H$2:$H$4,0)),K211))</f>
        <v>0</v>
      </c>
      <c r="V211" s="45">
        <f t="shared" si="29"/>
        <v>0</v>
      </c>
      <c r="W211" s="45">
        <f t="shared" si="30"/>
        <v>0</v>
      </c>
    </row>
    <row r="212" spans="1:23" ht="21" customHeight="1">
      <c r="A212" s="272" t="s">
        <v>23</v>
      </c>
      <c r="B212" s="44"/>
      <c r="C212" s="845"/>
      <c r="D212" s="811"/>
      <c r="E212" s="812"/>
      <c r="F212" s="277" t="s">
        <v>692</v>
      </c>
      <c r="G212" s="278">
        <f>'Review Comments'!F235</f>
        <v>1</v>
      </c>
      <c r="H212" s="278" t="str">
        <f>'Review Comments'!G235</f>
        <v>Yes</v>
      </c>
      <c r="I212" s="278">
        <f t="shared" si="27"/>
        <v>1</v>
      </c>
      <c r="J212" s="398" t="str">
        <f>IF('Review Comments'!H235=0,"",'Review Comments'!H235)</f>
        <v>Anticipated</v>
      </c>
      <c r="K212" s="279">
        <f>IF(I212="Required","Required",IF(ISNUMBER(MATCH(J212,Lists!$H$2:$H$9,0)),I212,""))</f>
        <v>1</v>
      </c>
      <c r="L212" s="280" t="str">
        <f>IF(I212="Required","Required",IF(ISNUMBER(MATCH(J212,Lists!$I$2:$I$9,0)),I212,IF(ISNUMBER(MATCH(J212,Lists!$J$2:$J$9,0)),I212,"")))</f>
        <v/>
      </c>
      <c r="Q212" s="45" t="b">
        <f>IF(I212="Required",0,IF(ISNUMBER(MATCH(J212,Lists!$I$2:$I$4,0)),L212))</f>
        <v>0</v>
      </c>
      <c r="R212" s="45" t="b">
        <f>IF(I212="Required",0,IF(ISNUMBER(MATCH(J212,Lists!$K$2:$K$7,0)),L212))</f>
        <v>0</v>
      </c>
      <c r="S212" s="45" t="b">
        <f>IF(I212="Required",0,IF(ISNUMBER(MATCH(J212,Lists!$G$2:$G$4,0)),L212))</f>
        <v>0</v>
      </c>
      <c r="T212" s="45" t="b">
        <f>IF(I212="Required",0,IF(ISNUMBER(MATCH(J212,Lists!$G$7:$G$8,0)),L212))</f>
        <v>0</v>
      </c>
      <c r="U212" s="45">
        <f>IF(I212="Required",0,IF(ISNUMBER(MATCH(J212,Lists!$H$2:$H$4,0)),K212))</f>
        <v>1</v>
      </c>
      <c r="V212" s="45">
        <f t="shared" si="29"/>
        <v>0</v>
      </c>
      <c r="W212" s="45">
        <f t="shared" si="30"/>
        <v>0</v>
      </c>
    </row>
    <row r="213" spans="1:23" ht="21" customHeight="1">
      <c r="A213" s="272" t="s">
        <v>23</v>
      </c>
      <c r="B213" s="44"/>
      <c r="C213" s="845"/>
      <c r="D213" s="281" t="s">
        <v>23</v>
      </c>
      <c r="E213" s="201" t="s">
        <v>176</v>
      </c>
      <c r="F213" s="277" t="s">
        <v>693</v>
      </c>
      <c r="G213" s="278">
        <f>'Review Comments'!F236</f>
        <v>1</v>
      </c>
      <c r="H213" s="278" t="str">
        <f>'Review Comments'!G236</f>
        <v>Yes</v>
      </c>
      <c r="I213" s="278">
        <f t="shared" si="27"/>
        <v>1</v>
      </c>
      <c r="J213" s="398" t="str">
        <f>IF('Review Comments'!H236=0,"",'Review Comments'!H236)</f>
        <v>Anticipated</v>
      </c>
      <c r="K213" s="279">
        <f>IF(I213="Required","Required",IF(ISNUMBER(MATCH(J213,Lists!$H$2:$H$9,0)),I213,""))</f>
        <v>1</v>
      </c>
      <c r="L213" s="280" t="str">
        <f>IF(I213="Required","Required",IF(ISNUMBER(MATCH(J213,Lists!$I$2:$I$9,0)),I213,IF(ISNUMBER(MATCH(J213,Lists!$J$2:$J$9,0)),I213,"")))</f>
        <v/>
      </c>
      <c r="Q213" s="45" t="b">
        <f>IF(I213="Required",0,IF(ISNUMBER(MATCH(J213,Lists!$I$2:$I$4,0)),L213))</f>
        <v>0</v>
      </c>
      <c r="R213" s="45" t="b">
        <f>IF(I213="Required",0,IF(ISNUMBER(MATCH(J213,Lists!$K$2:$K$7,0)),L213))</f>
        <v>0</v>
      </c>
      <c r="S213" s="45" t="b">
        <f>IF(I213="Required",0,IF(ISNUMBER(MATCH(J213,Lists!$G$2:$G$4,0)),L213))</f>
        <v>0</v>
      </c>
      <c r="T213" s="45" t="b">
        <f>IF(I213="Required",0,IF(ISNUMBER(MATCH(J213,Lists!$G$7:$G$8,0)),L213))</f>
        <v>0</v>
      </c>
      <c r="U213" s="45">
        <f>IF(I213="Required",0,IF(ISNUMBER(MATCH(J213,Lists!$H$2:$H$4,0)),K213))</f>
        <v>1</v>
      </c>
      <c r="V213" s="45">
        <f t="shared" si="29"/>
        <v>0</v>
      </c>
      <c r="W213" s="45">
        <f t="shared" si="30"/>
        <v>0</v>
      </c>
    </row>
    <row r="214" spans="1:23" ht="21" customHeight="1">
      <c r="A214" s="272" t="s">
        <v>23</v>
      </c>
      <c r="B214" s="44"/>
      <c r="C214" s="845"/>
      <c r="D214" s="281" t="s">
        <v>23</v>
      </c>
      <c r="E214" s="201" t="s">
        <v>177</v>
      </c>
      <c r="F214" s="277" t="s">
        <v>694</v>
      </c>
      <c r="G214" s="278">
        <f>'Review Comments'!F237</f>
        <v>1</v>
      </c>
      <c r="H214" s="278" t="str">
        <f>'Review Comments'!G237</f>
        <v>Yes</v>
      </c>
      <c r="I214" s="278">
        <f t="shared" si="27"/>
        <v>1</v>
      </c>
      <c r="J214" s="398" t="str">
        <f>IF('Review Comments'!H237=0,"",'Review Comments'!H237)</f>
        <v>Anticipated</v>
      </c>
      <c r="K214" s="279">
        <f>IF(I214="Required","Required",IF(ISNUMBER(MATCH(J214,Lists!$H$2:$H$9,0)),I214,""))</f>
        <v>1</v>
      </c>
      <c r="L214" s="280" t="str">
        <f>IF(I214="Required","Required",IF(ISNUMBER(MATCH(J214,Lists!$I$2:$I$9,0)),I214,IF(ISNUMBER(MATCH(J214,Lists!$J$2:$J$9,0)),I214,"")))</f>
        <v/>
      </c>
      <c r="Q214" s="45" t="b">
        <f>IF(I214="Required",0,IF(ISNUMBER(MATCH(J214,Lists!$I$2:$I$4,0)),L214))</f>
        <v>0</v>
      </c>
      <c r="R214" s="45" t="b">
        <f>IF(I214="Required",0,IF(ISNUMBER(MATCH(J214,Lists!$K$2:$K$7,0)),L214))</f>
        <v>0</v>
      </c>
      <c r="S214" s="45" t="b">
        <f>IF(I214="Required",0,IF(ISNUMBER(MATCH(J214,Lists!$G$2:$G$4,0)),L214))</f>
        <v>0</v>
      </c>
      <c r="T214" s="45" t="b">
        <f>IF(I214="Required",0,IF(ISNUMBER(MATCH(J214,Lists!$G$7:$G$8,0)),L214))</f>
        <v>0</v>
      </c>
      <c r="U214" s="45">
        <f>IF(I214="Required",0,IF(ISNUMBER(MATCH(J214,Lists!$H$2:$H$4,0)),K214))</f>
        <v>1</v>
      </c>
      <c r="V214" s="45">
        <f t="shared" si="29"/>
        <v>0</v>
      </c>
      <c r="W214" s="45">
        <f t="shared" si="30"/>
        <v>0</v>
      </c>
    </row>
    <row r="215" spans="1:23" ht="21" customHeight="1">
      <c r="A215" s="272" t="s">
        <v>23</v>
      </c>
      <c r="B215" s="44"/>
      <c r="C215" s="845"/>
      <c r="D215" s="811" t="s">
        <v>23</v>
      </c>
      <c r="E215" s="812" t="s">
        <v>178</v>
      </c>
      <c r="F215" s="277" t="s">
        <v>695</v>
      </c>
      <c r="G215" s="278">
        <f>'Review Comments'!F238</f>
        <v>0</v>
      </c>
      <c r="H215" s="278" t="str">
        <f>'Review Comments'!G238</f>
        <v>No</v>
      </c>
      <c r="I215" s="278" t="str">
        <f t="shared" si="27"/>
        <v/>
      </c>
      <c r="J215" s="398" t="str">
        <f>IF('Review Comments'!H238=0,"",'Review Comments'!H238)</f>
        <v>Not Attempted</v>
      </c>
      <c r="K215" s="279" t="str">
        <f>IF(I215="Required","Required",IF(ISNUMBER(MATCH(J215,Lists!$H$2:$H$9,0)),I215,""))</f>
        <v/>
      </c>
      <c r="L215" s="280" t="str">
        <f>IF(I215="Required","Required",IF(ISNUMBER(MATCH(J215,Lists!$I$2:$I$9,0)),I215,IF(ISNUMBER(MATCH(J215,Lists!$J$2:$J$9,0)),I215,"")))</f>
        <v/>
      </c>
      <c r="Q215" s="45" t="b">
        <f>IF(I215="Required",0,IF(ISNUMBER(MATCH(J215,Lists!$I$2:$I$4,0)),L215))</f>
        <v>0</v>
      </c>
      <c r="R215" s="45" t="b">
        <f>IF(I215="Required",0,IF(ISNUMBER(MATCH(J215,Lists!$K$2:$K$7,0)),L215))</f>
        <v>0</v>
      </c>
      <c r="S215" s="45" t="b">
        <f>IF(I215="Required",0,IF(ISNUMBER(MATCH(J215,Lists!$G$2:$G$4,0)),L215))</f>
        <v>0</v>
      </c>
      <c r="T215" s="45" t="b">
        <f>IF(I215="Required",0,IF(ISNUMBER(MATCH(J215,Lists!$G$7:$G$8,0)),L215))</f>
        <v>0</v>
      </c>
      <c r="U215" s="45" t="b">
        <f>IF(I215="Required",0,IF(ISNUMBER(MATCH(J215,Lists!$H$2:$H$4,0)),K215))</f>
        <v>0</v>
      </c>
      <c r="V215" s="45">
        <f t="shared" si="29"/>
        <v>0</v>
      </c>
      <c r="W215" s="45">
        <f t="shared" si="30"/>
        <v>0</v>
      </c>
    </row>
    <row r="216" spans="1:23" ht="21" customHeight="1">
      <c r="A216" s="272" t="s">
        <v>23</v>
      </c>
      <c r="B216" s="44"/>
      <c r="C216" s="845"/>
      <c r="D216" s="811"/>
      <c r="E216" s="812"/>
      <c r="F216" s="277" t="s">
        <v>696</v>
      </c>
      <c r="G216" s="278">
        <f>'Review Comments'!F239</f>
        <v>0</v>
      </c>
      <c r="H216" s="278" t="str">
        <f>'Review Comments'!G239</f>
        <v>No</v>
      </c>
      <c r="I216" s="278" t="str">
        <f t="shared" si="27"/>
        <v/>
      </c>
      <c r="J216" s="398" t="str">
        <f>IF('Review Comments'!H239=0,"",'Review Comments'!H239)</f>
        <v>Not Attempted</v>
      </c>
      <c r="K216" s="279" t="str">
        <f>IF(I216="Required","Required",IF(ISNUMBER(MATCH(J216,Lists!$H$2:$H$9,0)),I216,""))</f>
        <v/>
      </c>
      <c r="L216" s="280" t="str">
        <f>IF(I216="Required","Required",IF(ISNUMBER(MATCH(J216,Lists!$I$2:$I$9,0)),I216,IF(ISNUMBER(MATCH(J216,Lists!$J$2:$J$9,0)),I216,"")))</f>
        <v/>
      </c>
      <c r="Q216" s="45" t="b">
        <f>IF(I216="Required",0,IF(ISNUMBER(MATCH(J216,Lists!$I$2:$I$4,0)),L216))</f>
        <v>0</v>
      </c>
      <c r="R216" s="45" t="b">
        <f>IF(I216="Required",0,IF(ISNUMBER(MATCH(J216,Lists!$K$2:$K$7,0)),L216))</f>
        <v>0</v>
      </c>
      <c r="S216" s="45" t="b">
        <f>IF(I216="Required",0,IF(ISNUMBER(MATCH(J216,Lists!$G$2:$G$4,0)),L216))</f>
        <v>0</v>
      </c>
      <c r="T216" s="45" t="b">
        <f>IF(I216="Required",0,IF(ISNUMBER(MATCH(J216,Lists!$G$7:$G$8,0)),L216))</f>
        <v>0</v>
      </c>
      <c r="U216" s="45" t="b">
        <f>IF(I216="Required",0,IF(ISNUMBER(MATCH(J216,Lists!$H$2:$H$4,0)),K216))</f>
        <v>0</v>
      </c>
      <c r="V216" s="45">
        <f t="shared" si="29"/>
        <v>0</v>
      </c>
      <c r="W216" s="45">
        <f t="shared" si="30"/>
        <v>0</v>
      </c>
    </row>
    <row r="217" spans="1:23" ht="21" customHeight="1">
      <c r="A217" s="272" t="s">
        <v>23</v>
      </c>
      <c r="B217" s="44"/>
      <c r="C217" s="845"/>
      <c r="D217" s="811" t="s">
        <v>23</v>
      </c>
      <c r="E217" s="812" t="s">
        <v>179</v>
      </c>
      <c r="F217" s="277" t="s">
        <v>697</v>
      </c>
      <c r="G217" s="278">
        <f>'Review Comments'!F240</f>
        <v>0</v>
      </c>
      <c r="H217" s="278" t="str">
        <f>'Review Comments'!G240</f>
        <v>No</v>
      </c>
      <c r="I217" s="278" t="str">
        <f t="shared" si="27"/>
        <v/>
      </c>
      <c r="J217" s="398" t="str">
        <f>IF('Review Comments'!H240=0,"",'Review Comments'!H240)</f>
        <v>Not Attempted</v>
      </c>
      <c r="K217" s="279" t="str">
        <f>IF(I217="Required","Required",IF(ISNUMBER(MATCH(J217,Lists!$H$2:$H$9,0)),I217,""))</f>
        <v/>
      </c>
      <c r="L217" s="280" t="str">
        <f>IF(I217="Required","Required",IF(ISNUMBER(MATCH(J217,Lists!$I$2:$I$9,0)),I217,IF(ISNUMBER(MATCH(J217,Lists!$J$2:$J$9,0)),I217,"")))</f>
        <v/>
      </c>
      <c r="Q217" s="45" t="b">
        <f>IF(I217="Required",0,IF(ISNUMBER(MATCH(J217,Lists!$I$2:$I$4,0)),L217))</f>
        <v>0</v>
      </c>
      <c r="R217" s="45" t="b">
        <f>IF(I217="Required",0,IF(ISNUMBER(MATCH(J217,Lists!$K$2:$K$7,0)),L217))</f>
        <v>0</v>
      </c>
      <c r="S217" s="45" t="b">
        <f>IF(I217="Required",0,IF(ISNUMBER(MATCH(J217,Lists!$G$2:$G$4,0)),L217))</f>
        <v>0</v>
      </c>
      <c r="T217" s="45" t="b">
        <f>IF(I217="Required",0,IF(ISNUMBER(MATCH(J217,Lists!$G$7:$G$8,0)),L217))</f>
        <v>0</v>
      </c>
      <c r="U217" s="45" t="b">
        <f>IF(I217="Required",0,IF(ISNUMBER(MATCH(J217,Lists!$H$2:$H$4,0)),K217))</f>
        <v>0</v>
      </c>
      <c r="V217" s="45">
        <f t="shared" si="29"/>
        <v>0</v>
      </c>
      <c r="W217" s="45">
        <f t="shared" si="30"/>
        <v>0</v>
      </c>
    </row>
    <row r="218" spans="1:23" ht="21" customHeight="1">
      <c r="A218" s="272" t="s">
        <v>23</v>
      </c>
      <c r="B218" s="44"/>
      <c r="C218" s="845"/>
      <c r="D218" s="811"/>
      <c r="E218" s="812"/>
      <c r="F218" s="277" t="s">
        <v>698</v>
      </c>
      <c r="G218" s="278">
        <f>'Review Comments'!F241</f>
        <v>0</v>
      </c>
      <c r="H218" s="278" t="str">
        <f>'Review Comments'!G241</f>
        <v>No</v>
      </c>
      <c r="I218" s="278" t="str">
        <f t="shared" si="27"/>
        <v/>
      </c>
      <c r="J218" s="398" t="str">
        <f>IF('Review Comments'!H241=0,"",'Review Comments'!H241)</f>
        <v>Not Attempted</v>
      </c>
      <c r="K218" s="279" t="str">
        <f>IF(I218="Required","Required",IF(ISNUMBER(MATCH(J218,Lists!$H$2:$H$9,0)),I218,""))</f>
        <v/>
      </c>
      <c r="L218" s="280" t="str">
        <f>IF(I218="Required","Required",IF(ISNUMBER(MATCH(J218,Lists!$I$2:$I$9,0)),I218,IF(ISNUMBER(MATCH(J218,Lists!$J$2:$J$9,0)),I218,"")))</f>
        <v/>
      </c>
      <c r="Q218" s="45" t="b">
        <f>IF(I218="Required",0,IF(ISNUMBER(MATCH(J218,Lists!$I$2:$I$4,0)),L218))</f>
        <v>0</v>
      </c>
      <c r="R218" s="45" t="b">
        <f>IF(I218="Required",0,IF(ISNUMBER(MATCH(J218,Lists!$K$2:$K$7,0)),L218))</f>
        <v>0</v>
      </c>
      <c r="S218" s="45" t="b">
        <f>IF(I218="Required",0,IF(ISNUMBER(MATCH(J218,Lists!$G$2:$G$4,0)),L218))</f>
        <v>0</v>
      </c>
      <c r="T218" s="45" t="b">
        <f>IF(I218="Required",0,IF(ISNUMBER(MATCH(J218,Lists!$G$7:$G$8,0)),L218))</f>
        <v>0</v>
      </c>
      <c r="U218" s="45" t="b">
        <f>IF(I218="Required",0,IF(ISNUMBER(MATCH(J218,Lists!$H$2:$H$4,0)),K218))</f>
        <v>0</v>
      </c>
      <c r="V218" s="45">
        <f t="shared" si="29"/>
        <v>0</v>
      </c>
      <c r="W218" s="45">
        <f t="shared" si="30"/>
        <v>0</v>
      </c>
    </row>
    <row r="219" spans="1:23" ht="21" customHeight="1">
      <c r="A219" s="272" t="s">
        <v>23</v>
      </c>
      <c r="B219" s="44"/>
      <c r="C219" s="845"/>
      <c r="D219" s="281" t="s">
        <v>23</v>
      </c>
      <c r="E219" s="201" t="s">
        <v>180</v>
      </c>
      <c r="F219" s="277" t="s">
        <v>699</v>
      </c>
      <c r="G219" s="278">
        <f>'Review Comments'!F242</f>
        <v>0</v>
      </c>
      <c r="H219" s="278" t="str">
        <f>'Review Comments'!G242</f>
        <v>No</v>
      </c>
      <c r="I219" s="278" t="str">
        <f t="shared" si="27"/>
        <v/>
      </c>
      <c r="J219" s="398" t="str">
        <f>IF('Review Comments'!H242=0,"",'Review Comments'!H242)</f>
        <v>Not Attempted</v>
      </c>
      <c r="K219" s="279" t="str">
        <f>IF(I219="Required","Required",IF(ISNUMBER(MATCH(J219,Lists!$H$2:$H$9,0)),I219,""))</f>
        <v/>
      </c>
      <c r="L219" s="280" t="str">
        <f>IF(I219="Required","Required",IF(ISNUMBER(MATCH(J219,Lists!$I$2:$I$9,0)),I219,IF(ISNUMBER(MATCH(J219,Lists!$J$2:$J$9,0)),I219,"")))</f>
        <v/>
      </c>
      <c r="Q219" s="45" t="b">
        <f>IF(I219="Required",0,IF(ISNUMBER(MATCH(J219,Lists!$I$2:$I$4,0)),L219))</f>
        <v>0</v>
      </c>
      <c r="R219" s="45" t="b">
        <f>IF(I219="Required",0,IF(ISNUMBER(MATCH(J219,Lists!$K$2:$K$7,0)),L219))</f>
        <v>0</v>
      </c>
      <c r="S219" s="45" t="b">
        <f>IF(I219="Required",0,IF(ISNUMBER(MATCH(J219,Lists!$G$2:$G$4,0)),L219))</f>
        <v>0</v>
      </c>
      <c r="T219" s="45" t="b">
        <f>IF(I219="Required",0,IF(ISNUMBER(MATCH(J219,Lists!$G$7:$G$8,0)),L219))</f>
        <v>0</v>
      </c>
      <c r="U219" s="45" t="b">
        <f>IF(I219="Required",0,IF(ISNUMBER(MATCH(J219,Lists!$H$2:$H$4,0)),K219))</f>
        <v>0</v>
      </c>
      <c r="V219" s="45">
        <f t="shared" si="29"/>
        <v>0</v>
      </c>
      <c r="W219" s="45">
        <f t="shared" si="30"/>
        <v>0</v>
      </c>
    </row>
    <row r="220" spans="1:23" ht="21" customHeight="1">
      <c r="A220" s="272" t="s">
        <v>23</v>
      </c>
      <c r="B220" s="44"/>
      <c r="C220" s="845"/>
      <c r="D220" s="811" t="s">
        <v>23</v>
      </c>
      <c r="E220" s="812" t="s">
        <v>181</v>
      </c>
      <c r="F220" s="277" t="s">
        <v>700</v>
      </c>
      <c r="G220" s="278">
        <f>'Review Comments'!F243</f>
        <v>1</v>
      </c>
      <c r="H220" s="278" t="str">
        <f>'Review Comments'!G243</f>
        <v>Yes</v>
      </c>
      <c r="I220" s="278">
        <f t="shared" si="27"/>
        <v>1</v>
      </c>
      <c r="J220" s="398" t="str">
        <f>IF('Review Comments'!H243=0,"",'Review Comments'!H243)</f>
        <v>Anticipated</v>
      </c>
      <c r="K220" s="279">
        <f>IF(I220="Required","Required",IF(ISNUMBER(MATCH(J220,Lists!$H$2:$H$9,0)),I220,""))</f>
        <v>1</v>
      </c>
      <c r="L220" s="280" t="str">
        <f>IF(I220="Required","Required",IF(ISNUMBER(MATCH(J220,Lists!$I$2:$I$9,0)),I220,IF(ISNUMBER(MATCH(J220,Lists!$J$2:$J$9,0)),I220,"")))</f>
        <v/>
      </c>
      <c r="Q220" s="45" t="b">
        <f>IF(I220="Required",0,IF(ISNUMBER(MATCH(J220,Lists!$I$2:$I$4,0)),L220))</f>
        <v>0</v>
      </c>
      <c r="R220" s="45" t="b">
        <f>IF(I220="Required",0,IF(ISNUMBER(MATCH(J220,Lists!$K$2:$K$7,0)),L220))</f>
        <v>0</v>
      </c>
      <c r="S220" s="45" t="b">
        <f>IF(I220="Required",0,IF(ISNUMBER(MATCH(J220,Lists!$G$2:$G$4,0)),L220))</f>
        <v>0</v>
      </c>
      <c r="T220" s="45" t="b">
        <f>IF(I220="Required",0,IF(ISNUMBER(MATCH(J220,Lists!$G$7:$G$8,0)),L220))</f>
        <v>0</v>
      </c>
      <c r="U220" s="45">
        <f>IF(I220="Required",0,IF(ISNUMBER(MATCH(J220,Lists!$H$2:$H$4,0)),K220))</f>
        <v>1</v>
      </c>
      <c r="V220" s="45">
        <f t="shared" si="29"/>
        <v>0</v>
      </c>
      <c r="W220" s="45">
        <f t="shared" si="30"/>
        <v>0</v>
      </c>
    </row>
    <row r="221" spans="1:23" ht="21" customHeight="1">
      <c r="A221" s="272" t="s">
        <v>23</v>
      </c>
      <c r="B221" s="44"/>
      <c r="C221" s="845"/>
      <c r="D221" s="811"/>
      <c r="E221" s="812"/>
      <c r="F221" s="277" t="s">
        <v>701</v>
      </c>
      <c r="G221" s="278">
        <f>'Review Comments'!F244</f>
        <v>0</v>
      </c>
      <c r="H221" s="278" t="str">
        <f>'Review Comments'!G244</f>
        <v>No</v>
      </c>
      <c r="I221" s="278" t="str">
        <f t="shared" si="27"/>
        <v/>
      </c>
      <c r="J221" s="398" t="str">
        <f>IF('Review Comments'!H244=0,"",'Review Comments'!H244)</f>
        <v>Not Attempted</v>
      </c>
      <c r="K221" s="279" t="str">
        <f>IF(I221="Required","Required",IF(ISNUMBER(MATCH(J221,Lists!$H$2:$H$9,0)),I221,""))</f>
        <v/>
      </c>
      <c r="L221" s="280" t="str">
        <f>IF(I221="Required","Required",IF(ISNUMBER(MATCH(J221,Lists!$I$2:$I$9,0)),I221,IF(ISNUMBER(MATCH(J221,Lists!$J$2:$J$9,0)),I221,"")))</f>
        <v/>
      </c>
      <c r="Q221" s="45" t="b">
        <f>IF(I221="Required",0,IF(ISNUMBER(MATCH(J221,Lists!$I$2:$I$4,0)),L221))</f>
        <v>0</v>
      </c>
      <c r="R221" s="45" t="b">
        <f>IF(I221="Required",0,IF(ISNUMBER(MATCH(J221,Lists!$K$2:$K$7,0)),L221))</f>
        <v>0</v>
      </c>
      <c r="S221" s="45" t="b">
        <f>IF(I221="Required",0,IF(ISNUMBER(MATCH(J221,Lists!$G$2:$G$4,0)),L221))</f>
        <v>0</v>
      </c>
      <c r="T221" s="45" t="b">
        <f>IF(I221="Required",0,IF(ISNUMBER(MATCH(J221,Lists!$G$7:$G$8,0)),L221))</f>
        <v>0</v>
      </c>
      <c r="U221" s="45" t="b">
        <f>IF(I221="Required",0,IF(ISNUMBER(MATCH(J221,Lists!$H$2:$H$4,0)),K221))</f>
        <v>0</v>
      </c>
      <c r="V221" s="45">
        <f t="shared" si="29"/>
        <v>0</v>
      </c>
      <c r="W221" s="45">
        <f t="shared" si="30"/>
        <v>0</v>
      </c>
    </row>
    <row r="222" spans="1:23" ht="21" customHeight="1">
      <c r="A222" s="272" t="s">
        <v>23</v>
      </c>
      <c r="B222" s="44"/>
      <c r="C222" s="845"/>
      <c r="D222" s="811" t="s">
        <v>23</v>
      </c>
      <c r="E222" s="812" t="s">
        <v>182</v>
      </c>
      <c r="F222" s="277" t="s">
        <v>702</v>
      </c>
      <c r="G222" s="278">
        <f>'Review Comments'!F245</f>
        <v>0</v>
      </c>
      <c r="H222" s="278" t="str">
        <f>'Review Comments'!G245</f>
        <v>No</v>
      </c>
      <c r="I222" s="278" t="str">
        <f t="shared" si="27"/>
        <v/>
      </c>
      <c r="J222" s="398" t="str">
        <f>IF('Review Comments'!H245=0,"",'Review Comments'!H245)</f>
        <v>Not Attempted</v>
      </c>
      <c r="K222" s="279" t="str">
        <f>IF(I222="Required","Required",IF(ISNUMBER(MATCH(J222,Lists!$H$2:$H$9,0)),I222,""))</f>
        <v/>
      </c>
      <c r="L222" s="280" t="str">
        <f>IF(I222="Required","Required",IF(ISNUMBER(MATCH(J222,Lists!$I$2:$I$9,0)),I222,IF(ISNUMBER(MATCH(J222,Lists!$J$2:$J$9,0)),I222,"")))</f>
        <v/>
      </c>
      <c r="Q222" s="45" t="b">
        <f>IF(I222="Required",0,IF(ISNUMBER(MATCH(J222,Lists!$I$2:$I$4,0)),L222))</f>
        <v>0</v>
      </c>
      <c r="R222" s="45" t="b">
        <f>IF(I222="Required",0,IF(ISNUMBER(MATCH(J222,Lists!$K$2:$K$7,0)),L222))</f>
        <v>0</v>
      </c>
      <c r="S222" s="45" t="b">
        <f>IF(I222="Required",0,IF(ISNUMBER(MATCH(J222,Lists!$G$2:$G$4,0)),L222))</f>
        <v>0</v>
      </c>
      <c r="T222" s="45" t="b">
        <f>IF(I222="Required",0,IF(ISNUMBER(MATCH(J222,Lists!$G$7:$G$8,0)),L222))</f>
        <v>0</v>
      </c>
      <c r="U222" s="45" t="b">
        <f>IF(I222="Required",0,IF(ISNUMBER(MATCH(J222,Lists!$H$2:$H$4,0)),K222))</f>
        <v>0</v>
      </c>
      <c r="V222" s="45">
        <f t="shared" si="29"/>
        <v>0</v>
      </c>
      <c r="W222" s="45">
        <f t="shared" si="30"/>
        <v>0</v>
      </c>
    </row>
    <row r="223" spans="1:23" ht="21" customHeight="1">
      <c r="A223" s="272" t="s">
        <v>23</v>
      </c>
      <c r="B223" s="44"/>
      <c r="C223" s="845"/>
      <c r="D223" s="811"/>
      <c r="E223" s="812"/>
      <c r="F223" s="277" t="s">
        <v>703</v>
      </c>
      <c r="G223" s="278">
        <f>'Review Comments'!F246</f>
        <v>0</v>
      </c>
      <c r="H223" s="278" t="str">
        <f>'Review Comments'!G246</f>
        <v>No</v>
      </c>
      <c r="I223" s="278" t="str">
        <f t="shared" si="27"/>
        <v/>
      </c>
      <c r="J223" s="398" t="str">
        <f>IF('Review Comments'!H246=0,"",'Review Comments'!H246)</f>
        <v>Not Attempted</v>
      </c>
      <c r="K223" s="279" t="str">
        <f>IF(I223="Required","Required",IF(ISNUMBER(MATCH(J223,Lists!$H$2:$H$9,0)),I223,""))</f>
        <v/>
      </c>
      <c r="L223" s="280" t="str">
        <f>IF(I223="Required","Required",IF(ISNUMBER(MATCH(J223,Lists!$I$2:$I$9,0)),I223,IF(ISNUMBER(MATCH(J223,Lists!$J$2:$J$9,0)),I223,"")))</f>
        <v/>
      </c>
      <c r="Q223" s="45" t="b">
        <f>IF(I223="Required",0,IF(ISNUMBER(MATCH(J223,Lists!$I$2:$I$4,0)),L223))</f>
        <v>0</v>
      </c>
      <c r="R223" s="45" t="b">
        <f>IF(I223="Required",0,IF(ISNUMBER(MATCH(J223,Lists!$K$2:$K$7,0)),L223))</f>
        <v>0</v>
      </c>
      <c r="S223" s="45" t="b">
        <f>IF(I223="Required",0,IF(ISNUMBER(MATCH(J223,Lists!$G$2:$G$4,0)),L223))</f>
        <v>0</v>
      </c>
      <c r="T223" s="45" t="b">
        <f>IF(I223="Required",0,IF(ISNUMBER(MATCH(J223,Lists!$G$7:$G$8,0)),L223))</f>
        <v>0</v>
      </c>
      <c r="U223" s="45" t="b">
        <f>IF(I223="Required",0,IF(ISNUMBER(MATCH(J223,Lists!$H$2:$H$4,0)),K223))</f>
        <v>0</v>
      </c>
      <c r="V223" s="45">
        <f t="shared" si="29"/>
        <v>0</v>
      </c>
      <c r="W223" s="45">
        <f t="shared" si="30"/>
        <v>0</v>
      </c>
    </row>
    <row r="224" spans="1:23" ht="21" customHeight="1" thickBot="1">
      <c r="A224" s="272" t="s">
        <v>23</v>
      </c>
      <c r="B224" s="44"/>
      <c r="C224" s="845"/>
      <c r="D224" s="399" t="s">
        <v>23</v>
      </c>
      <c r="E224" s="206" t="s">
        <v>183</v>
      </c>
      <c r="F224" s="282" t="s">
        <v>704</v>
      </c>
      <c r="G224" s="283">
        <f>'Review Comments'!F247</f>
        <v>0</v>
      </c>
      <c r="H224" s="283" t="str">
        <f>'Review Comments'!G247</f>
        <v>No</v>
      </c>
      <c r="I224" s="283" t="str">
        <f t="shared" si="27"/>
        <v/>
      </c>
      <c r="J224" s="400" t="str">
        <f>IF('Review Comments'!H247=0,"",'Review Comments'!H247)</f>
        <v>Not Attempted</v>
      </c>
      <c r="K224" s="284" t="str">
        <f>IF(I224="Required","Required",IF(ISNUMBER(MATCH(J224,Lists!$H$2:$H$9,0)),I224,""))</f>
        <v/>
      </c>
      <c r="L224" s="285" t="str">
        <f>IF(I224="Required","Required",IF(ISNUMBER(MATCH(J224,Lists!$I$2:$I$9,0)),I224,IF(ISNUMBER(MATCH(J224,Lists!$J$2:$J$9,0)),I224,"")))</f>
        <v/>
      </c>
      <c r="Q224" s="45" t="b">
        <f>IF(I224="Required",0,IF(ISNUMBER(MATCH(J224,Lists!$I$2:$I$4,0)),L224))</f>
        <v>0</v>
      </c>
      <c r="R224" s="45" t="b">
        <f>IF(I224="Required",0,IF(ISNUMBER(MATCH(J224,Lists!$K$2:$K$7,0)),L224))</f>
        <v>0</v>
      </c>
      <c r="S224" s="45" t="b">
        <f>IF(I224="Required",0,IF(ISNUMBER(MATCH(J224,Lists!$G$2:$G$4,0)),L224))</f>
        <v>0</v>
      </c>
      <c r="T224" s="45" t="b">
        <f>IF(I224="Required",0,IF(ISNUMBER(MATCH(J224,Lists!$G$7:$G$8,0)),L224))</f>
        <v>0</v>
      </c>
      <c r="U224" s="45" t="b">
        <f>IF(I224="Required",0,IF(ISNUMBER(MATCH(J224,Lists!$H$2:$H$4,0)),K224))</f>
        <v>0</v>
      </c>
      <c r="V224" s="45">
        <f t="shared" si="29"/>
        <v>0</v>
      </c>
      <c r="W224" s="45">
        <f t="shared" si="30"/>
        <v>0</v>
      </c>
    </row>
    <row r="225" spans="1:23" s="175" customFormat="1" ht="15.6">
      <c r="A225" s="401"/>
      <c r="B225" s="174"/>
      <c r="C225" s="402"/>
      <c r="D225" s="403"/>
      <c r="E225" s="404"/>
      <c r="F225" s="405"/>
      <c r="G225" s="406">
        <f>SUM(G199:G224)</f>
        <v>4</v>
      </c>
      <c r="H225" s="403"/>
      <c r="I225" s="407">
        <f>SUM(I199:I224)</f>
        <v>4</v>
      </c>
      <c r="J225" s="408"/>
      <c r="K225" s="407">
        <f>SUM(K199:K224)</f>
        <v>4</v>
      </c>
      <c r="L225" s="409">
        <f>SUM(L199:L224)</f>
        <v>0</v>
      </c>
      <c r="Q225" s="175" t="b">
        <f>IF(I225="Required",0,IF(ISNUMBER(MATCH(J225,Lists!$I$2:$I$4,0)),L225))</f>
        <v>0</v>
      </c>
      <c r="R225" s="175" t="b">
        <f>IF(I225="Required",0,IF(ISNUMBER(MATCH(J225,Lists!$K$2:$K$7,0)),L225))</f>
        <v>0</v>
      </c>
      <c r="S225" s="175" t="b">
        <f>IF(I225="Required",0,IF(ISNUMBER(MATCH(J225,Lists!$G$2:$G$4,0)),L225))</f>
        <v>0</v>
      </c>
      <c r="T225" s="175" t="b">
        <f>IF(I225="Required",0,IF(ISNUMBER(MATCH(J225,Lists!$G$7:$G$8,0)),L225))</f>
        <v>0</v>
      </c>
      <c r="U225" s="175" t="b">
        <f>IF(I225="Required",0,IF(ISNUMBER(MATCH(J225,Lists!$H$2:$H$4,0)),K225))</f>
        <v>0</v>
      </c>
      <c r="V225" s="175">
        <f t="shared" si="29"/>
        <v>0</v>
      </c>
      <c r="W225" s="45">
        <f t="shared" si="30"/>
        <v>0</v>
      </c>
    </row>
    <row r="226" spans="1:23" ht="6.6" customHeight="1" thickBot="1">
      <c r="A226" s="294"/>
      <c r="B226" s="44"/>
      <c r="C226" s="295"/>
      <c r="D226" s="294"/>
      <c r="E226" s="296"/>
      <c r="F226" s="297"/>
      <c r="G226" s="298"/>
      <c r="H226" s="298"/>
      <c r="I226" s="298"/>
      <c r="J226" s="299"/>
      <c r="K226" s="298"/>
      <c r="L226" s="300"/>
      <c r="Q226" s="45" t="b">
        <f>IF(I226="Required",0,IF(ISNUMBER(MATCH(J226,Lists!$I$2:$I$4,0)),L226))</f>
        <v>0</v>
      </c>
      <c r="R226" s="45" t="b">
        <f>IF(I226="Required",0,IF(ISNUMBER(MATCH(J226,Lists!$K$2:$K$7,0)),L226))</f>
        <v>0</v>
      </c>
      <c r="S226" s="45" t="b">
        <f>IF(I226="Required",0,IF(ISNUMBER(MATCH(J226,Lists!$G$2:$G$4,0)),L226))</f>
        <v>0</v>
      </c>
      <c r="T226" s="45" t="b">
        <f>IF(I226="Required",0,IF(ISNUMBER(MATCH(J226,Lists!$G$7:$G$8,0)),L226))</f>
        <v>0</v>
      </c>
      <c r="U226" s="45" t="b">
        <f>IF(I226="Required",0,IF(ISNUMBER(MATCH(J226,Lists!$H$2:$H$4,0)),K226))</f>
        <v>0</v>
      </c>
      <c r="V226" s="45">
        <f t="shared" si="29"/>
        <v>0</v>
      </c>
      <c r="W226" s="45">
        <f t="shared" si="30"/>
        <v>0</v>
      </c>
    </row>
    <row r="227" spans="1:23" ht="21" customHeight="1">
      <c r="A227" s="272" t="s">
        <v>8</v>
      </c>
      <c r="B227" s="44"/>
      <c r="C227" s="840" t="s">
        <v>184</v>
      </c>
      <c r="D227" s="803" t="s">
        <v>8</v>
      </c>
      <c r="E227" s="805" t="s">
        <v>185</v>
      </c>
      <c r="F227" s="302" t="s">
        <v>186</v>
      </c>
      <c r="G227" s="303">
        <f>'Review Comments'!F253</f>
        <v>0</v>
      </c>
      <c r="H227" s="303" t="str">
        <f>'Review Comments'!G253</f>
        <v>Required</v>
      </c>
      <c r="I227" s="303" t="str">
        <f t="shared" ref="I227:I245" si="31">IF(H227="Yes",G227,IF(H227="Required","Required",""))</f>
        <v>Required</v>
      </c>
      <c r="J227" s="322" t="str">
        <f>IF('Review Comments'!H253=0,"",'Review Comments'!H253)</f>
        <v>Anticipated</v>
      </c>
      <c r="K227" s="303" t="str">
        <f>IF(I227="Required","Required",IF(ISNUMBER(MATCH(J227,Lists!$H$2:$H$9,0)),I227,""))</f>
        <v>Required</v>
      </c>
      <c r="L227" s="370" t="str">
        <f>IF(I227="Required","Required",IF(ISNUMBER(MATCH(J227,Lists!$I$2:$I$9,0)),I227,IF(ISNUMBER(MATCH(J227,Lists!$J$2:$J$9,0)),I227,"")))</f>
        <v>Required</v>
      </c>
      <c r="Q227" s="45">
        <f>IF(I227="Required",0,IF(ISNUMBER(MATCH(J227,Lists!$I$2:$I$4,0)),L227))</f>
        <v>0</v>
      </c>
      <c r="R227" s="45">
        <f>IF(I227="Required",0,IF(ISNUMBER(MATCH(J227,Lists!$K$2:$K$7,0)),L227))</f>
        <v>0</v>
      </c>
      <c r="S227" s="45">
        <f>IF(I227="Required",0,IF(ISNUMBER(MATCH(J227,Lists!$G$2:$G$4,0)),L227))</f>
        <v>0</v>
      </c>
      <c r="T227" s="45">
        <f>IF(I227="Required",0,IF(ISNUMBER(MATCH(J227,Lists!$G$7:$G$8,0)),L227))</f>
        <v>0</v>
      </c>
      <c r="U227" s="45">
        <f>IF(I227="Required",0,IF(ISNUMBER(MATCH(J227,Lists!$H$2:$H$4,0)),K227))</f>
        <v>0</v>
      </c>
      <c r="V227" s="45">
        <f t="shared" si="29"/>
        <v>0</v>
      </c>
      <c r="W227" s="45">
        <f t="shared" si="30"/>
        <v>0</v>
      </c>
    </row>
    <row r="228" spans="1:23" ht="21" customHeight="1">
      <c r="A228" s="272" t="s">
        <v>8</v>
      </c>
      <c r="B228" s="44"/>
      <c r="C228" s="841"/>
      <c r="D228" s="804"/>
      <c r="E228" s="806"/>
      <c r="F228" s="304" t="s">
        <v>187</v>
      </c>
      <c r="G228" s="305">
        <f>'Review Comments'!F254</f>
        <v>0</v>
      </c>
      <c r="H228" s="305" t="str">
        <f>'Review Comments'!G254</f>
        <v>Required</v>
      </c>
      <c r="I228" s="305" t="str">
        <f t="shared" si="31"/>
        <v>Required</v>
      </c>
      <c r="J228" s="323" t="str">
        <f>IF('Review Comments'!H254=0,"",'Review Comments'!H254)</f>
        <v>Anticipated</v>
      </c>
      <c r="K228" s="305" t="str">
        <f>IF(I228="Required","Required",IF(ISNUMBER(MATCH(J228,Lists!$H$2:$H$9,0)),I228,""))</f>
        <v>Required</v>
      </c>
      <c r="L228" s="371" t="str">
        <f>IF(I228="Required","Required",IF(ISNUMBER(MATCH(J228,Lists!$I$2:$I$9,0)),I228,IF(ISNUMBER(MATCH(J228,Lists!$J$2:$J$9,0)),I228,"")))</f>
        <v>Required</v>
      </c>
      <c r="Q228" s="45">
        <f>IF(I228="Required",0,IF(ISNUMBER(MATCH(J228,Lists!$I$2:$I$4,0)),L228))</f>
        <v>0</v>
      </c>
      <c r="R228" s="45">
        <f>IF(I228="Required",0,IF(ISNUMBER(MATCH(J228,Lists!$K$2:$K$7,0)),L228))</f>
        <v>0</v>
      </c>
      <c r="S228" s="45">
        <f>IF(I228="Required",0,IF(ISNUMBER(MATCH(J228,Lists!$G$2:$G$4,0)),L228))</f>
        <v>0</v>
      </c>
      <c r="T228" s="45">
        <f>IF(I228="Required",0,IF(ISNUMBER(MATCH(J228,Lists!$G$7:$G$8,0)),L228))</f>
        <v>0</v>
      </c>
      <c r="U228" s="45">
        <f>IF(I228="Required",0,IF(ISNUMBER(MATCH(J228,Lists!$H$2:$H$4,0)),K228))</f>
        <v>0</v>
      </c>
      <c r="V228" s="45">
        <f t="shared" si="29"/>
        <v>0</v>
      </c>
      <c r="W228" s="45">
        <f t="shared" si="30"/>
        <v>0</v>
      </c>
    </row>
    <row r="229" spans="1:23" ht="21" customHeight="1">
      <c r="A229" s="272" t="s">
        <v>8</v>
      </c>
      <c r="B229" s="44"/>
      <c r="C229" s="841"/>
      <c r="D229" s="804" t="s">
        <v>8</v>
      </c>
      <c r="E229" s="806" t="s">
        <v>188</v>
      </c>
      <c r="F229" s="304" t="s">
        <v>189</v>
      </c>
      <c r="G229" s="305">
        <f>'Review Comments'!F255</f>
        <v>0</v>
      </c>
      <c r="H229" s="305" t="str">
        <f>'Review Comments'!G255</f>
        <v>Required</v>
      </c>
      <c r="I229" s="305" t="str">
        <f t="shared" si="31"/>
        <v>Required</v>
      </c>
      <c r="J229" s="323" t="str">
        <f>IF('Review Comments'!H255=0,"",'Review Comments'!H255)</f>
        <v>Anticipated</v>
      </c>
      <c r="K229" s="305" t="str">
        <f>IF(I229="Required","Required",IF(ISNUMBER(MATCH(J229,Lists!$H$2:$H$9,0)),I229,""))</f>
        <v>Required</v>
      </c>
      <c r="L229" s="371" t="str">
        <f>IF(I229="Required","Required",IF(ISNUMBER(MATCH(J229,Lists!$I$2:$I$9,0)),I229,IF(ISNUMBER(MATCH(J229,Lists!$J$2:$J$9,0)),I229,"")))</f>
        <v>Required</v>
      </c>
      <c r="Q229" s="45">
        <f>IF(I229="Required",0,IF(ISNUMBER(MATCH(J229,Lists!$I$2:$I$4,0)),L229))</f>
        <v>0</v>
      </c>
      <c r="R229" s="45">
        <f>IF(I229="Required",0,IF(ISNUMBER(MATCH(J229,Lists!$K$2:$K$7,0)),L229))</f>
        <v>0</v>
      </c>
      <c r="S229" s="45">
        <f>IF(I229="Required",0,IF(ISNUMBER(MATCH(J229,Lists!$G$2:$G$4,0)),L229))</f>
        <v>0</v>
      </c>
      <c r="T229" s="45">
        <f>IF(I229="Required",0,IF(ISNUMBER(MATCH(J229,Lists!$G$7:$G$8,0)),L229))</f>
        <v>0</v>
      </c>
      <c r="U229" s="45">
        <f>IF(I229="Required",0,IF(ISNUMBER(MATCH(J229,Lists!$H$2:$H$4,0)),K229))</f>
        <v>0</v>
      </c>
      <c r="V229" s="45">
        <f t="shared" si="29"/>
        <v>0</v>
      </c>
      <c r="W229" s="45">
        <f t="shared" si="30"/>
        <v>0</v>
      </c>
    </row>
    <row r="230" spans="1:23" ht="21" customHeight="1">
      <c r="A230" s="272" t="s">
        <v>8</v>
      </c>
      <c r="B230" s="44"/>
      <c r="C230" s="841"/>
      <c r="D230" s="804"/>
      <c r="E230" s="806"/>
      <c r="F230" s="304" t="s">
        <v>190</v>
      </c>
      <c r="G230" s="305">
        <f>'Review Comments'!F256</f>
        <v>0</v>
      </c>
      <c r="H230" s="305" t="str">
        <f>'Review Comments'!G256</f>
        <v>Required</v>
      </c>
      <c r="I230" s="305" t="str">
        <f t="shared" si="31"/>
        <v>Required</v>
      </c>
      <c r="J230" s="323" t="str">
        <f>IF('Review Comments'!H256=0,"",'Review Comments'!H256)</f>
        <v>Anticipated</v>
      </c>
      <c r="K230" s="305" t="str">
        <f>IF(I230="Required","Required",IF(ISNUMBER(MATCH(J230,Lists!$H$2:$H$9,0)),I230,""))</f>
        <v>Required</v>
      </c>
      <c r="L230" s="371" t="str">
        <f>IF(I230="Required","Required",IF(ISNUMBER(MATCH(J230,Lists!$I$2:$I$9,0)),I230,IF(ISNUMBER(MATCH(J230,Lists!$J$2:$J$9,0)),I230,"")))</f>
        <v>Required</v>
      </c>
      <c r="Q230" s="45">
        <f>IF(I230="Required",0,IF(ISNUMBER(MATCH(J230,Lists!$I$2:$I$4,0)),L230))</f>
        <v>0</v>
      </c>
      <c r="R230" s="45">
        <f>IF(I230="Required",0,IF(ISNUMBER(MATCH(J230,Lists!$K$2:$K$7,0)),L230))</f>
        <v>0</v>
      </c>
      <c r="S230" s="45">
        <f>IF(I230="Required",0,IF(ISNUMBER(MATCH(J230,Lists!$G$2:$G$4,0)),L230))</f>
        <v>0</v>
      </c>
      <c r="T230" s="45">
        <f>IF(I230="Required",0,IF(ISNUMBER(MATCH(J230,Lists!$G$7:$G$8,0)),L230))</f>
        <v>0</v>
      </c>
      <c r="U230" s="45">
        <f>IF(I230="Required",0,IF(ISNUMBER(MATCH(J230,Lists!$H$2:$H$4,0)),K230))</f>
        <v>0</v>
      </c>
      <c r="V230" s="45">
        <f t="shared" si="29"/>
        <v>0</v>
      </c>
      <c r="W230" s="45">
        <f t="shared" si="30"/>
        <v>0</v>
      </c>
    </row>
    <row r="231" spans="1:23" ht="21" customHeight="1">
      <c r="A231" s="272" t="s">
        <v>8</v>
      </c>
      <c r="B231" s="44"/>
      <c r="C231" s="841"/>
      <c r="D231" s="804"/>
      <c r="E231" s="806"/>
      <c r="F231" s="304" t="s">
        <v>191</v>
      </c>
      <c r="G231" s="305">
        <f>'Review Comments'!F257</f>
        <v>0</v>
      </c>
      <c r="H231" s="305" t="str">
        <f>'Review Comments'!G257</f>
        <v>Required</v>
      </c>
      <c r="I231" s="305" t="str">
        <f t="shared" si="31"/>
        <v>Required</v>
      </c>
      <c r="J231" s="323" t="str">
        <f>IF('Review Comments'!H257=0,"",'Review Comments'!H257)</f>
        <v>Anticipated</v>
      </c>
      <c r="K231" s="305" t="str">
        <f>IF(I231="Required","Required",IF(ISNUMBER(MATCH(J231,Lists!$H$2:$H$9,0)),I231,""))</f>
        <v>Required</v>
      </c>
      <c r="L231" s="371" t="str">
        <f>IF(I231="Required","Required",IF(ISNUMBER(MATCH(J231,Lists!$I$2:$I$9,0)),I231,IF(ISNUMBER(MATCH(J231,Lists!$J$2:$J$9,0)),I231,"")))</f>
        <v>Required</v>
      </c>
      <c r="Q231" s="45">
        <f>IF(I231="Required",0,IF(ISNUMBER(MATCH(J231,Lists!$I$2:$I$4,0)),L231))</f>
        <v>0</v>
      </c>
      <c r="R231" s="45">
        <f>IF(I231="Required",0,IF(ISNUMBER(MATCH(J231,Lists!$K$2:$K$7,0)),L231))</f>
        <v>0</v>
      </c>
      <c r="S231" s="45">
        <f>IF(I231="Required",0,IF(ISNUMBER(MATCH(J231,Lists!$G$2:$G$4,0)),L231))</f>
        <v>0</v>
      </c>
      <c r="T231" s="45">
        <f>IF(I231="Required",0,IF(ISNUMBER(MATCH(J231,Lists!$G$7:$G$8,0)),L231))</f>
        <v>0</v>
      </c>
      <c r="U231" s="45">
        <f>IF(I231="Required",0,IF(ISNUMBER(MATCH(J231,Lists!$H$2:$H$4,0)),K231))</f>
        <v>0</v>
      </c>
      <c r="V231" s="45">
        <f t="shared" si="29"/>
        <v>0</v>
      </c>
      <c r="W231" s="45">
        <f t="shared" si="30"/>
        <v>0</v>
      </c>
    </row>
    <row r="232" spans="1:23" ht="21" customHeight="1">
      <c r="A232" s="272" t="s">
        <v>8</v>
      </c>
      <c r="B232" s="44"/>
      <c r="C232" s="841"/>
      <c r="D232" s="804"/>
      <c r="E232" s="806"/>
      <c r="F232" s="304" t="s">
        <v>192</v>
      </c>
      <c r="G232" s="305">
        <f>'Review Comments'!F258</f>
        <v>0</v>
      </c>
      <c r="H232" s="305" t="str">
        <f>'Review Comments'!G258</f>
        <v>Required</v>
      </c>
      <c r="I232" s="305" t="str">
        <f t="shared" si="31"/>
        <v>Required</v>
      </c>
      <c r="J232" s="323" t="str">
        <f>IF('Review Comments'!H258=0,"",'Review Comments'!H258)</f>
        <v>Anticipated</v>
      </c>
      <c r="K232" s="305" t="str">
        <f>IF(I232="Required","Required",IF(ISNUMBER(MATCH(J232,Lists!$H$2:$H$9,0)),I232,""))</f>
        <v>Required</v>
      </c>
      <c r="L232" s="371" t="str">
        <f>IF(I232="Required","Required",IF(ISNUMBER(MATCH(J232,Lists!$I$2:$I$9,0)),I232,IF(ISNUMBER(MATCH(J232,Lists!$J$2:$J$9,0)),I232,"")))</f>
        <v>Required</v>
      </c>
      <c r="Q232" s="45">
        <f>IF(I232="Required",0,IF(ISNUMBER(MATCH(J232,Lists!$I$2:$I$4,0)),L232))</f>
        <v>0</v>
      </c>
      <c r="R232" s="45">
        <f>IF(I232="Required",0,IF(ISNUMBER(MATCH(J232,Lists!$K$2:$K$7,0)),L232))</f>
        <v>0</v>
      </c>
      <c r="S232" s="45">
        <f>IF(I232="Required",0,IF(ISNUMBER(MATCH(J232,Lists!$G$2:$G$4,0)),L232))</f>
        <v>0</v>
      </c>
      <c r="T232" s="45">
        <f>IF(I232="Required",0,IF(ISNUMBER(MATCH(J232,Lists!$G$7:$G$8,0)),L232))</f>
        <v>0</v>
      </c>
      <c r="U232" s="45">
        <f>IF(I232="Required",0,IF(ISNUMBER(MATCH(J232,Lists!$H$2:$H$4,0)),K232))</f>
        <v>0</v>
      </c>
      <c r="V232" s="45">
        <f t="shared" si="29"/>
        <v>0</v>
      </c>
      <c r="W232" s="45">
        <f t="shared" si="30"/>
        <v>0</v>
      </c>
    </row>
    <row r="233" spans="1:23" ht="21" customHeight="1">
      <c r="A233" s="272" t="s">
        <v>8</v>
      </c>
      <c r="B233" s="44"/>
      <c r="C233" s="841"/>
      <c r="D233" s="804" t="s">
        <v>8</v>
      </c>
      <c r="E233" s="806" t="s">
        <v>193</v>
      </c>
      <c r="F233" s="304" t="s">
        <v>194</v>
      </c>
      <c r="G233" s="305">
        <f>'Review Comments'!F259</f>
        <v>0</v>
      </c>
      <c r="H233" s="305" t="str">
        <f>'Review Comments'!G259</f>
        <v>Required</v>
      </c>
      <c r="I233" s="305" t="str">
        <f t="shared" si="31"/>
        <v>Required</v>
      </c>
      <c r="J233" s="323" t="str">
        <f>IF('Review Comments'!H259=0,"",'Review Comments'!H259)</f>
        <v>Anticipated</v>
      </c>
      <c r="K233" s="305" t="str">
        <f>IF(I233="Required","Required",IF(ISNUMBER(MATCH(J233,Lists!$H$2:$H$9,0)),I233,""))</f>
        <v>Required</v>
      </c>
      <c r="L233" s="371" t="str">
        <f>IF(I233="Required","Required",IF(ISNUMBER(MATCH(J233,Lists!$I$2:$I$9,0)),I233,IF(ISNUMBER(MATCH(J233,Lists!$J$2:$J$9,0)),I233,"")))</f>
        <v>Required</v>
      </c>
      <c r="Q233" s="45">
        <f>IF(I233="Required",0,IF(ISNUMBER(MATCH(J233,Lists!$I$2:$I$4,0)),L233))</f>
        <v>0</v>
      </c>
      <c r="R233" s="45">
        <f>IF(I233="Required",0,IF(ISNUMBER(MATCH(J233,Lists!$K$2:$K$7,0)),L233))</f>
        <v>0</v>
      </c>
      <c r="S233" s="45">
        <f>IF(I233="Required",0,IF(ISNUMBER(MATCH(J233,Lists!$G$2:$G$4,0)),L233))</f>
        <v>0</v>
      </c>
      <c r="T233" s="45">
        <f>IF(I233="Required",0,IF(ISNUMBER(MATCH(J233,Lists!$G$7:$G$8,0)),L233))</f>
        <v>0</v>
      </c>
      <c r="U233" s="45">
        <f>IF(I233="Required",0,IF(ISNUMBER(MATCH(J233,Lists!$H$2:$H$4,0)),K233))</f>
        <v>0</v>
      </c>
      <c r="V233" s="45">
        <f t="shared" si="29"/>
        <v>0</v>
      </c>
      <c r="W233" s="45">
        <f t="shared" si="30"/>
        <v>0</v>
      </c>
    </row>
    <row r="234" spans="1:23" ht="21" customHeight="1">
      <c r="A234" s="272" t="s">
        <v>8</v>
      </c>
      <c r="B234" s="44"/>
      <c r="C234" s="841"/>
      <c r="D234" s="804"/>
      <c r="E234" s="806"/>
      <c r="F234" s="304" t="s">
        <v>195</v>
      </c>
      <c r="G234" s="305">
        <f>'Review Comments'!F260</f>
        <v>0</v>
      </c>
      <c r="H234" s="305" t="str">
        <f>'Review Comments'!G260</f>
        <v>Required</v>
      </c>
      <c r="I234" s="305" t="str">
        <f t="shared" si="31"/>
        <v>Required</v>
      </c>
      <c r="J234" s="323" t="str">
        <f>IF('Review Comments'!H260=0,"",'Review Comments'!H260)</f>
        <v>Anticipated</v>
      </c>
      <c r="K234" s="305" t="str">
        <f>IF(I234="Required","Required",IF(ISNUMBER(MATCH(J234,Lists!$H$2:$H$9,0)),I234,""))</f>
        <v>Required</v>
      </c>
      <c r="L234" s="371" t="str">
        <f>IF(I234="Required","Required",IF(ISNUMBER(MATCH(J234,Lists!$I$2:$I$9,0)),I234,IF(ISNUMBER(MATCH(J234,Lists!$J$2:$J$9,0)),I234,"")))</f>
        <v>Required</v>
      </c>
      <c r="Q234" s="45">
        <f>IF(I234="Required",0,IF(ISNUMBER(MATCH(J234,Lists!$I$2:$I$4,0)),L234))</f>
        <v>0</v>
      </c>
      <c r="R234" s="45">
        <f>IF(I234="Required",0,IF(ISNUMBER(MATCH(J234,Lists!$K$2:$K$7,0)),L234))</f>
        <v>0</v>
      </c>
      <c r="S234" s="45">
        <f>IF(I234="Required",0,IF(ISNUMBER(MATCH(J234,Lists!$G$2:$G$4,0)),L234))</f>
        <v>0</v>
      </c>
      <c r="T234" s="45">
        <f>IF(I234="Required",0,IF(ISNUMBER(MATCH(J234,Lists!$G$7:$G$8,0)),L234))</f>
        <v>0</v>
      </c>
      <c r="U234" s="45">
        <f>IF(I234="Required",0,IF(ISNUMBER(MATCH(J234,Lists!$H$2:$H$4,0)),K234))</f>
        <v>0</v>
      </c>
      <c r="V234" s="45">
        <f t="shared" si="29"/>
        <v>0</v>
      </c>
      <c r="W234" s="45">
        <f t="shared" si="30"/>
        <v>0</v>
      </c>
    </row>
    <row r="235" spans="1:23" ht="21" customHeight="1">
      <c r="A235" s="272" t="s">
        <v>23</v>
      </c>
      <c r="B235" s="44"/>
      <c r="C235" s="841"/>
      <c r="D235" s="804" t="s">
        <v>23</v>
      </c>
      <c r="E235" s="806" t="s">
        <v>196</v>
      </c>
      <c r="F235" s="304" t="s">
        <v>648</v>
      </c>
      <c r="G235" s="305">
        <f>'Review Comments'!F261</f>
        <v>0</v>
      </c>
      <c r="H235" s="305" t="str">
        <f>'Review Comments'!G261</f>
        <v>No</v>
      </c>
      <c r="I235" s="305" t="str">
        <f t="shared" ref="I235:I244" si="32">IF(H235="Yes",G235,IF(H235="Required","Required",""))</f>
        <v/>
      </c>
      <c r="J235" s="323" t="str">
        <f>IF('Review Comments'!H261=0,"",'Review Comments'!H261)</f>
        <v>Not Attempted</v>
      </c>
      <c r="K235" s="305" t="str">
        <f>IF(I235="Required","Required",IF(ISNUMBER(MATCH(J235,Lists!$H$2:$H$9,0)),I235,""))</f>
        <v/>
      </c>
      <c r="L235" s="371" t="str">
        <f>IF(I235="Required","Required",IF(ISNUMBER(MATCH(J235,Lists!$I$2:$I$9,0)),I235,IF(ISNUMBER(MATCH(J235,Lists!$J$2:$J$9,0)),I235,"")))</f>
        <v/>
      </c>
      <c r="Q235" s="45" t="b">
        <f>IF(I235="Required",0,IF(ISNUMBER(MATCH(J235,Lists!$I$2:$I$4,0)),L235))</f>
        <v>0</v>
      </c>
      <c r="R235" s="45" t="b">
        <f>IF(I235="Required",0,IF(ISNUMBER(MATCH(J235,Lists!$K$2:$K$7,0)),L235))</f>
        <v>0</v>
      </c>
      <c r="S235" s="45" t="b">
        <f>IF(I235="Required",0,IF(ISNUMBER(MATCH(J235,Lists!$G$2:$G$4,0)),L235))</f>
        <v>0</v>
      </c>
      <c r="T235" s="45" t="b">
        <f>IF(I235="Required",0,IF(ISNUMBER(MATCH(J235,Lists!$G$7:$G$8,0)),L235))</f>
        <v>0</v>
      </c>
      <c r="U235" s="45" t="b">
        <f>IF(I235="Required",0,IF(ISNUMBER(MATCH(J235,Lists!$H$2:$H$4,0)),K235))</f>
        <v>0</v>
      </c>
      <c r="V235" s="45">
        <f t="shared" si="29"/>
        <v>0</v>
      </c>
      <c r="W235" s="45">
        <f t="shared" si="30"/>
        <v>0</v>
      </c>
    </row>
    <row r="236" spans="1:23" ht="21" customHeight="1">
      <c r="A236" s="272" t="s">
        <v>23</v>
      </c>
      <c r="B236" s="44"/>
      <c r="C236" s="841"/>
      <c r="D236" s="804"/>
      <c r="E236" s="806"/>
      <c r="F236" s="304" t="s">
        <v>649</v>
      </c>
      <c r="G236" s="305">
        <f>'Review Comments'!F262</f>
        <v>0</v>
      </c>
      <c r="H236" s="305" t="str">
        <f>'Review Comments'!G262</f>
        <v>No</v>
      </c>
      <c r="I236" s="305" t="str">
        <f t="shared" si="32"/>
        <v/>
      </c>
      <c r="J236" s="323" t="str">
        <f>IF('Review Comments'!H262=0,"",'Review Comments'!H262)</f>
        <v>Not Attempted</v>
      </c>
      <c r="K236" s="305" t="str">
        <f>IF(I236="Required","Required",IF(ISNUMBER(MATCH(J236,Lists!$H$2:$H$9,0)),I236,""))</f>
        <v/>
      </c>
      <c r="L236" s="371" t="str">
        <f>IF(I236="Required","Required",IF(ISNUMBER(MATCH(J236,Lists!$I$2:$I$9,0)),I236,IF(ISNUMBER(MATCH(J236,Lists!$J$2:$J$9,0)),I236,"")))</f>
        <v/>
      </c>
      <c r="Q236" s="45" t="b">
        <f>IF(I236="Required",0,IF(ISNUMBER(MATCH(J236,Lists!$I$2:$I$4,0)),L236))</f>
        <v>0</v>
      </c>
      <c r="R236" s="45" t="b">
        <f>IF(I236="Required",0,IF(ISNUMBER(MATCH(J236,Lists!$K$2:$K$7,0)),L236))</f>
        <v>0</v>
      </c>
      <c r="S236" s="45" t="b">
        <f>IF(I236="Required",0,IF(ISNUMBER(MATCH(J236,Lists!$G$2:$G$4,0)),L236))</f>
        <v>0</v>
      </c>
      <c r="T236" s="45" t="b">
        <f>IF(I236="Required",0,IF(ISNUMBER(MATCH(J236,Lists!$G$7:$G$8,0)),L236))</f>
        <v>0</v>
      </c>
      <c r="U236" s="45" t="b">
        <f>IF(I236="Required",0,IF(ISNUMBER(MATCH(J236,Lists!$H$2:$H$4,0)),K236))</f>
        <v>0</v>
      </c>
      <c r="V236" s="45">
        <f t="shared" si="29"/>
        <v>0</v>
      </c>
      <c r="W236" s="45">
        <f t="shared" si="30"/>
        <v>0</v>
      </c>
    </row>
    <row r="237" spans="1:23" ht="21" customHeight="1">
      <c r="A237" s="272" t="s">
        <v>23</v>
      </c>
      <c r="B237" s="44"/>
      <c r="C237" s="841"/>
      <c r="D237" s="804"/>
      <c r="E237" s="806"/>
      <c r="F237" s="304" t="s">
        <v>650</v>
      </c>
      <c r="G237" s="305">
        <f>'Review Comments'!F263</f>
        <v>0</v>
      </c>
      <c r="H237" s="305" t="str">
        <f>'Review Comments'!G263</f>
        <v>No</v>
      </c>
      <c r="I237" s="305" t="str">
        <f t="shared" si="32"/>
        <v/>
      </c>
      <c r="J237" s="323" t="str">
        <f>IF('Review Comments'!H263=0,"",'Review Comments'!H263)</f>
        <v>Not Attempted</v>
      </c>
      <c r="K237" s="305" t="str">
        <f>IF(I237="Required","Required",IF(ISNUMBER(MATCH(J237,Lists!$H$2:$H$9,0)),I237,""))</f>
        <v/>
      </c>
      <c r="L237" s="371" t="str">
        <f>IF(I237="Required","Required",IF(ISNUMBER(MATCH(J237,Lists!$I$2:$I$9,0)),I237,IF(ISNUMBER(MATCH(J237,Lists!$J$2:$J$9,0)),I237,"")))</f>
        <v/>
      </c>
      <c r="Q237" s="45" t="b">
        <f>IF(I237="Required",0,IF(ISNUMBER(MATCH(J237,Lists!$I$2:$I$4,0)),L237))</f>
        <v>0</v>
      </c>
      <c r="R237" s="45" t="b">
        <f>IF(I237="Required",0,IF(ISNUMBER(MATCH(J237,Lists!$K$2:$K$7,0)),L237))</f>
        <v>0</v>
      </c>
      <c r="S237" s="45" t="b">
        <f>IF(I237="Required",0,IF(ISNUMBER(MATCH(J237,Lists!$G$2:$G$4,0)),L237))</f>
        <v>0</v>
      </c>
      <c r="T237" s="45" t="b">
        <f>IF(I237="Required",0,IF(ISNUMBER(MATCH(J237,Lists!$G$7:$G$8,0)),L237))</f>
        <v>0</v>
      </c>
      <c r="U237" s="45" t="b">
        <f>IF(I237="Required",0,IF(ISNUMBER(MATCH(J237,Lists!$H$2:$H$4,0)),K237))</f>
        <v>0</v>
      </c>
      <c r="V237" s="45">
        <f t="shared" si="29"/>
        <v>0</v>
      </c>
      <c r="W237" s="45">
        <f t="shared" si="30"/>
        <v>0</v>
      </c>
    </row>
    <row r="238" spans="1:23" ht="21" customHeight="1">
      <c r="A238" s="272" t="s">
        <v>23</v>
      </c>
      <c r="B238" s="44"/>
      <c r="C238" s="841"/>
      <c r="D238" s="804"/>
      <c r="E238" s="806"/>
      <c r="F238" s="304" t="s">
        <v>651</v>
      </c>
      <c r="G238" s="305">
        <f>'Review Comments'!F264</f>
        <v>0</v>
      </c>
      <c r="H238" s="305" t="str">
        <f>'Review Comments'!G264</f>
        <v>No</v>
      </c>
      <c r="I238" s="305" t="str">
        <f t="shared" si="32"/>
        <v/>
      </c>
      <c r="J238" s="323" t="str">
        <f>IF('Review Comments'!H264=0,"",'Review Comments'!H264)</f>
        <v>Not Attempted</v>
      </c>
      <c r="K238" s="305" t="str">
        <f>IF(I238="Required","Required",IF(ISNUMBER(MATCH(J238,Lists!$H$2:$H$9,0)),I238,""))</f>
        <v/>
      </c>
      <c r="L238" s="371" t="str">
        <f>IF(I238="Required","Required",IF(ISNUMBER(MATCH(J238,Lists!$I$2:$I$9,0)),I238,IF(ISNUMBER(MATCH(J238,Lists!$J$2:$J$9,0)),I238,"")))</f>
        <v/>
      </c>
      <c r="Q238" s="45" t="b">
        <f>IF(I238="Required",0,IF(ISNUMBER(MATCH(J238,Lists!$I$2:$I$4,0)),L238))</f>
        <v>0</v>
      </c>
      <c r="R238" s="45" t="b">
        <f>IF(I238="Required",0,IF(ISNUMBER(MATCH(J238,Lists!$K$2:$K$7,0)),L238))</f>
        <v>0</v>
      </c>
      <c r="S238" s="45" t="b">
        <f>IF(I238="Required",0,IF(ISNUMBER(MATCH(J238,Lists!$G$2:$G$4,0)),L238))</f>
        <v>0</v>
      </c>
      <c r="T238" s="45" t="b">
        <f>IF(I238="Required",0,IF(ISNUMBER(MATCH(J238,Lists!$G$7:$G$8,0)),L238))</f>
        <v>0</v>
      </c>
      <c r="U238" s="45" t="b">
        <f>IF(I238="Required",0,IF(ISNUMBER(MATCH(J238,Lists!$H$2:$H$4,0)),K238))</f>
        <v>0</v>
      </c>
      <c r="V238" s="45">
        <f t="shared" si="29"/>
        <v>0</v>
      </c>
      <c r="W238" s="45">
        <f t="shared" si="30"/>
        <v>0</v>
      </c>
    </row>
    <row r="239" spans="1:23" ht="21" customHeight="1">
      <c r="A239" s="272" t="s">
        <v>23</v>
      </c>
      <c r="B239" s="44"/>
      <c r="C239" s="841"/>
      <c r="D239" s="804" t="s">
        <v>23</v>
      </c>
      <c r="E239" s="806" t="s">
        <v>197</v>
      </c>
      <c r="F239" s="304" t="s">
        <v>652</v>
      </c>
      <c r="G239" s="305">
        <f>'Review Comments'!F265</f>
        <v>0</v>
      </c>
      <c r="H239" s="305" t="str">
        <f>'Review Comments'!G265</f>
        <v>No</v>
      </c>
      <c r="I239" s="305" t="str">
        <f t="shared" si="32"/>
        <v/>
      </c>
      <c r="J239" s="323" t="str">
        <f>IF('Review Comments'!H265=0,"",'Review Comments'!H265)</f>
        <v>Not Attempted</v>
      </c>
      <c r="K239" s="305" t="str">
        <f>IF(I239="Required","Required",IF(ISNUMBER(MATCH(J239,Lists!$H$2:$H$9,0)),I239,""))</f>
        <v/>
      </c>
      <c r="L239" s="371" t="str">
        <f>IF(I239="Required","Required",IF(ISNUMBER(MATCH(J239,Lists!$I$2:$I$9,0)),I239,IF(ISNUMBER(MATCH(J239,Lists!$J$2:$J$9,0)),I239,"")))</f>
        <v/>
      </c>
      <c r="Q239" s="45" t="b">
        <f>IF(I239="Required",0,IF(ISNUMBER(MATCH(J239,Lists!$I$2:$I$4,0)),L239))</f>
        <v>0</v>
      </c>
      <c r="R239" s="45" t="b">
        <f>IF(I239="Required",0,IF(ISNUMBER(MATCH(J239,Lists!$K$2:$K$7,0)),L239))</f>
        <v>0</v>
      </c>
      <c r="S239" s="45" t="b">
        <f>IF(I239="Required",0,IF(ISNUMBER(MATCH(J239,Lists!$G$2:$G$4,0)),L239))</f>
        <v>0</v>
      </c>
      <c r="T239" s="45" t="b">
        <f>IF(I239="Required",0,IF(ISNUMBER(MATCH(J239,Lists!$G$7:$G$8,0)),L239))</f>
        <v>0</v>
      </c>
      <c r="U239" s="45" t="b">
        <f>IF(I239="Required",0,IF(ISNUMBER(MATCH(J239,Lists!$H$2:$H$4,0)),K239))</f>
        <v>0</v>
      </c>
      <c r="V239" s="45">
        <f t="shared" si="29"/>
        <v>0</v>
      </c>
      <c r="W239" s="45">
        <f t="shared" si="30"/>
        <v>0</v>
      </c>
    </row>
    <row r="240" spans="1:23" ht="21" customHeight="1">
      <c r="A240" s="272" t="s">
        <v>23</v>
      </c>
      <c r="B240" s="44"/>
      <c r="C240" s="841"/>
      <c r="D240" s="804"/>
      <c r="E240" s="806"/>
      <c r="F240" s="304" t="s">
        <v>653</v>
      </c>
      <c r="G240" s="305">
        <f>'Review Comments'!F266</f>
        <v>0</v>
      </c>
      <c r="H240" s="305" t="str">
        <f>'Review Comments'!G266</f>
        <v>No</v>
      </c>
      <c r="I240" s="305" t="str">
        <f t="shared" si="32"/>
        <v/>
      </c>
      <c r="J240" s="323" t="str">
        <f>IF('Review Comments'!H266=0,"",'Review Comments'!H266)</f>
        <v>Not Attempted</v>
      </c>
      <c r="K240" s="305" t="str">
        <f>IF(I240="Required","Required",IF(ISNUMBER(MATCH(J240,Lists!$H$2:$H$9,0)),I240,""))</f>
        <v/>
      </c>
      <c r="L240" s="371" t="str">
        <f>IF(I240="Required","Required",IF(ISNUMBER(MATCH(J240,Lists!$I$2:$I$9,0)),I240,IF(ISNUMBER(MATCH(J240,Lists!$J$2:$J$9,0)),I240,"")))</f>
        <v/>
      </c>
      <c r="Q240" s="45" t="b">
        <f>IF(I240="Required",0,IF(ISNUMBER(MATCH(J240,Lists!$I$2:$I$4,0)),L240))</f>
        <v>0</v>
      </c>
      <c r="R240" s="45" t="b">
        <f>IF(I240="Required",0,IF(ISNUMBER(MATCH(J240,Lists!$K$2:$K$7,0)),L240))</f>
        <v>0</v>
      </c>
      <c r="S240" s="45" t="b">
        <f>IF(I240="Required",0,IF(ISNUMBER(MATCH(J240,Lists!$G$2:$G$4,0)),L240))</f>
        <v>0</v>
      </c>
      <c r="T240" s="45" t="b">
        <f>IF(I240="Required",0,IF(ISNUMBER(MATCH(J240,Lists!$G$7:$G$8,0)),L240))</f>
        <v>0</v>
      </c>
      <c r="U240" s="45" t="b">
        <f>IF(I240="Required",0,IF(ISNUMBER(MATCH(J240,Lists!$H$2:$H$4,0)),K240))</f>
        <v>0</v>
      </c>
      <c r="V240" s="45">
        <f t="shared" si="29"/>
        <v>0</v>
      </c>
      <c r="W240" s="45">
        <f t="shared" si="30"/>
        <v>0</v>
      </c>
    </row>
    <row r="241" spans="1:23" ht="21" customHeight="1">
      <c r="A241" s="272" t="s">
        <v>23</v>
      </c>
      <c r="B241" s="44"/>
      <c r="C241" s="841"/>
      <c r="D241" s="804" t="s">
        <v>23</v>
      </c>
      <c r="E241" s="806" t="s">
        <v>198</v>
      </c>
      <c r="F241" s="304" t="s">
        <v>654</v>
      </c>
      <c r="G241" s="305">
        <f>'Review Comments'!F267</f>
        <v>0</v>
      </c>
      <c r="H241" s="305" t="str">
        <f>'Review Comments'!G267</f>
        <v>No</v>
      </c>
      <c r="I241" s="305" t="str">
        <f t="shared" si="32"/>
        <v/>
      </c>
      <c r="J241" s="323" t="str">
        <f>IF('Review Comments'!H267=0,"",'Review Comments'!H267)</f>
        <v>Not Attempted</v>
      </c>
      <c r="K241" s="305" t="str">
        <f>IF(I241="Required","Required",IF(ISNUMBER(MATCH(J241,Lists!$H$2:$H$9,0)),I241,""))</f>
        <v/>
      </c>
      <c r="L241" s="371" t="str">
        <f>IF(I241="Required","Required",IF(ISNUMBER(MATCH(J241,Lists!$I$2:$I$9,0)),I241,IF(ISNUMBER(MATCH(J241,Lists!$J$2:$J$9,0)),I241,"")))</f>
        <v/>
      </c>
      <c r="Q241" s="45" t="b">
        <f>IF(I241="Required",0,IF(ISNUMBER(MATCH(J241,Lists!$I$2:$I$4,0)),L241))</f>
        <v>0</v>
      </c>
      <c r="R241" s="45" t="b">
        <f>IF(I241="Required",0,IF(ISNUMBER(MATCH(J241,Lists!$K$2:$K$7,0)),L241))</f>
        <v>0</v>
      </c>
      <c r="S241" s="45" t="b">
        <f>IF(I241="Required",0,IF(ISNUMBER(MATCH(J241,Lists!$G$2:$G$4,0)),L241))</f>
        <v>0</v>
      </c>
      <c r="T241" s="45" t="b">
        <f>IF(I241="Required",0,IF(ISNUMBER(MATCH(J241,Lists!$G$7:$G$8,0)),L241))</f>
        <v>0</v>
      </c>
      <c r="U241" s="45" t="b">
        <f>IF(I241="Required",0,IF(ISNUMBER(MATCH(J241,Lists!$H$2:$H$4,0)),K241))</f>
        <v>0</v>
      </c>
      <c r="V241" s="45">
        <f t="shared" si="29"/>
        <v>0</v>
      </c>
      <c r="W241" s="45">
        <f t="shared" si="30"/>
        <v>0</v>
      </c>
    </row>
    <row r="242" spans="1:23" ht="21" customHeight="1">
      <c r="A242" s="272" t="s">
        <v>23</v>
      </c>
      <c r="B242" s="44"/>
      <c r="C242" s="841"/>
      <c r="D242" s="804"/>
      <c r="E242" s="806"/>
      <c r="F242" s="304" t="s">
        <v>655</v>
      </c>
      <c r="G242" s="305">
        <f>'Review Comments'!F268</f>
        <v>0</v>
      </c>
      <c r="H242" s="305" t="str">
        <f>'Review Comments'!G268</f>
        <v>No</v>
      </c>
      <c r="I242" s="305" t="str">
        <f t="shared" si="32"/>
        <v/>
      </c>
      <c r="J242" s="323" t="str">
        <f>IF('Review Comments'!H268=0,"",'Review Comments'!H268)</f>
        <v>Not Attempted</v>
      </c>
      <c r="K242" s="305" t="str">
        <f>IF(I242="Required","Required",IF(ISNUMBER(MATCH(J242,Lists!$H$2:$H$9,0)),I242,""))</f>
        <v/>
      </c>
      <c r="L242" s="371" t="str">
        <f>IF(I242="Required","Required",IF(ISNUMBER(MATCH(J242,Lists!$I$2:$I$9,0)),I242,IF(ISNUMBER(MATCH(J242,Lists!$J$2:$J$9,0)),I242,"")))</f>
        <v/>
      </c>
      <c r="Q242" s="45" t="b">
        <f>IF(I242="Required",0,IF(ISNUMBER(MATCH(J242,Lists!$I$2:$I$4,0)),L242))</f>
        <v>0</v>
      </c>
      <c r="R242" s="45" t="b">
        <f>IF(I242="Required",0,IF(ISNUMBER(MATCH(J242,Lists!$K$2:$K$7,0)),L242))</f>
        <v>0</v>
      </c>
      <c r="S242" s="45" t="b">
        <f>IF(I242="Required",0,IF(ISNUMBER(MATCH(J242,Lists!$G$2:$G$4,0)),L242))</f>
        <v>0</v>
      </c>
      <c r="T242" s="45" t="b">
        <f>IF(I242="Required",0,IF(ISNUMBER(MATCH(J242,Lists!$G$7:$G$8,0)),L242))</f>
        <v>0</v>
      </c>
      <c r="U242" s="45" t="b">
        <f>IF(I242="Required",0,IF(ISNUMBER(MATCH(J242,Lists!$H$2:$H$4,0)),K242))</f>
        <v>0</v>
      </c>
      <c r="V242" s="45">
        <f t="shared" si="29"/>
        <v>0</v>
      </c>
      <c r="W242" s="45">
        <f t="shared" si="30"/>
        <v>0</v>
      </c>
    </row>
    <row r="243" spans="1:23" ht="21" customHeight="1">
      <c r="A243" s="272" t="s">
        <v>23</v>
      </c>
      <c r="B243" s="44"/>
      <c r="C243" s="841"/>
      <c r="D243" s="804" t="s">
        <v>23</v>
      </c>
      <c r="E243" s="806" t="s">
        <v>199</v>
      </c>
      <c r="F243" s="304" t="s">
        <v>656</v>
      </c>
      <c r="G243" s="305">
        <f>'Review Comments'!F269</f>
        <v>0</v>
      </c>
      <c r="H243" s="305" t="str">
        <f>'Review Comments'!G269</f>
        <v>No</v>
      </c>
      <c r="I243" s="305" t="str">
        <f t="shared" si="32"/>
        <v/>
      </c>
      <c r="J243" s="323" t="str">
        <f>IF('Review Comments'!H269=0,"",'Review Comments'!H269)</f>
        <v>Not Attempted</v>
      </c>
      <c r="K243" s="305" t="str">
        <f>IF(I243="Required","Required",IF(ISNUMBER(MATCH(J243,Lists!$H$2:$H$9,0)),I243,""))</f>
        <v/>
      </c>
      <c r="L243" s="371" t="str">
        <f>IF(I243="Required","Required",IF(ISNUMBER(MATCH(J243,Lists!$I$2:$I$9,0)),I243,IF(ISNUMBER(MATCH(J243,Lists!$J$2:$J$9,0)),I243,"")))</f>
        <v/>
      </c>
      <c r="Q243" s="45" t="b">
        <f>IF(I243="Required",0,IF(ISNUMBER(MATCH(J243,Lists!$I$2:$I$4,0)),L243))</f>
        <v>0</v>
      </c>
      <c r="R243" s="45" t="b">
        <f>IF(I243="Required",0,IF(ISNUMBER(MATCH(J243,Lists!$K$2:$K$7,0)),L243))</f>
        <v>0</v>
      </c>
      <c r="S243" s="45" t="b">
        <f>IF(I243="Required",0,IF(ISNUMBER(MATCH(J243,Lists!$G$2:$G$4,0)),L243))</f>
        <v>0</v>
      </c>
      <c r="T243" s="45" t="b">
        <f>IF(I243="Required",0,IF(ISNUMBER(MATCH(J243,Lists!$G$7:$G$8,0)),L243))</f>
        <v>0</v>
      </c>
      <c r="U243" s="45" t="b">
        <f>IF(I243="Required",0,IF(ISNUMBER(MATCH(J243,Lists!$H$2:$H$4,0)),K243))</f>
        <v>0</v>
      </c>
      <c r="V243" s="45">
        <f t="shared" si="29"/>
        <v>0</v>
      </c>
      <c r="W243" s="45">
        <f t="shared" si="30"/>
        <v>0</v>
      </c>
    </row>
    <row r="244" spans="1:23" ht="21" customHeight="1">
      <c r="A244" s="272" t="s">
        <v>23</v>
      </c>
      <c r="B244" s="44"/>
      <c r="C244" s="841"/>
      <c r="D244" s="804"/>
      <c r="E244" s="806"/>
      <c r="F244" s="304" t="s">
        <v>657</v>
      </c>
      <c r="G244" s="305">
        <f>'Review Comments'!F270</f>
        <v>0</v>
      </c>
      <c r="H244" s="305" t="str">
        <f>'Review Comments'!G270</f>
        <v>No</v>
      </c>
      <c r="I244" s="305" t="str">
        <f t="shared" si="32"/>
        <v/>
      </c>
      <c r="J244" s="323" t="str">
        <f>IF('Review Comments'!H270=0,"",'Review Comments'!H270)</f>
        <v>Not Attempted</v>
      </c>
      <c r="K244" s="305" t="str">
        <f>IF(I244="Required","Required",IF(ISNUMBER(MATCH(J244,Lists!$H$2:$H$9,0)),I244,""))</f>
        <v/>
      </c>
      <c r="L244" s="371" t="str">
        <f>IF(I244="Required","Required",IF(ISNUMBER(MATCH(J244,Lists!$I$2:$I$9,0)),I244,IF(ISNUMBER(MATCH(J244,Lists!$J$2:$J$9,0)),I244,"")))</f>
        <v/>
      </c>
      <c r="Q244" s="45" t="b">
        <f>IF(I244="Required",0,IF(ISNUMBER(MATCH(J244,Lists!$I$2:$I$4,0)),L244))</f>
        <v>0</v>
      </c>
      <c r="R244" s="45" t="b">
        <f>IF(I244="Required",0,IF(ISNUMBER(MATCH(J244,Lists!$K$2:$K$7,0)),L244))</f>
        <v>0</v>
      </c>
      <c r="S244" s="45" t="b">
        <f>IF(I244="Required",0,IF(ISNUMBER(MATCH(J244,Lists!$G$2:$G$4,0)),L244))</f>
        <v>0</v>
      </c>
      <c r="T244" s="45" t="b">
        <f>IF(I244="Required",0,IF(ISNUMBER(MATCH(J244,Lists!$G$7:$G$8,0)),L244))</f>
        <v>0</v>
      </c>
      <c r="U244" s="45" t="b">
        <f>IF(I244="Required",0,IF(ISNUMBER(MATCH(J244,Lists!$H$2:$H$4,0)),K244))</f>
        <v>0</v>
      </c>
      <c r="V244" s="45">
        <f t="shared" si="29"/>
        <v>0</v>
      </c>
      <c r="W244" s="45">
        <f t="shared" si="30"/>
        <v>0</v>
      </c>
    </row>
    <row r="245" spans="1:23" ht="21" customHeight="1">
      <c r="A245" s="272" t="s">
        <v>23</v>
      </c>
      <c r="B245" s="44"/>
      <c r="C245" s="841"/>
      <c r="D245" s="804" t="s">
        <v>23</v>
      </c>
      <c r="E245" s="806" t="s">
        <v>200</v>
      </c>
      <c r="F245" s="304" t="s">
        <v>658</v>
      </c>
      <c r="G245" s="305">
        <f>'Review Comments'!F271</f>
        <v>0</v>
      </c>
      <c r="H245" s="305" t="str">
        <f>'Review Comments'!G271</f>
        <v>No</v>
      </c>
      <c r="I245" s="305" t="str">
        <f t="shared" si="31"/>
        <v/>
      </c>
      <c r="J245" s="323" t="str">
        <f>IF('Review Comments'!H271=0,"",'Review Comments'!H271)</f>
        <v>Not Attempted</v>
      </c>
      <c r="K245" s="305" t="str">
        <f>IF(I245="Required","Required",IF(ISNUMBER(MATCH(J245,Lists!$H$2:$H$9,0)),I245,""))</f>
        <v/>
      </c>
      <c r="L245" s="371" t="str">
        <f>IF(I245="Required","Required",IF(ISNUMBER(MATCH(J245,Lists!$I$2:$I$9,0)),I245,IF(ISNUMBER(MATCH(J245,Lists!$J$2:$J$9,0)),I245,"")))</f>
        <v/>
      </c>
      <c r="Q245" s="45" t="b">
        <f>IF(I245="Required",0,IF(ISNUMBER(MATCH(J245,Lists!$I$2:$I$4,0)),L245))</f>
        <v>0</v>
      </c>
      <c r="R245" s="45" t="b">
        <f>IF(I245="Required",0,IF(ISNUMBER(MATCH(J245,Lists!$K$2:$K$7,0)),L245))</f>
        <v>0</v>
      </c>
      <c r="S245" s="45" t="b">
        <f>IF(I245="Required",0,IF(ISNUMBER(MATCH(J245,Lists!$G$2:$G$4,0)),L245))</f>
        <v>0</v>
      </c>
      <c r="T245" s="45" t="b">
        <f>IF(I245="Required",0,IF(ISNUMBER(MATCH(J245,Lists!$G$7:$G$8,0)),L245))</f>
        <v>0</v>
      </c>
      <c r="U245" s="45" t="b">
        <f>IF(I245="Required",0,IF(ISNUMBER(MATCH(J245,Lists!$H$2:$H$4,0)),K245))</f>
        <v>0</v>
      </c>
      <c r="V245" s="45">
        <f t="shared" si="29"/>
        <v>0</v>
      </c>
      <c r="W245" s="45">
        <f t="shared" si="30"/>
        <v>0</v>
      </c>
    </row>
    <row r="246" spans="1:23" ht="21" customHeight="1">
      <c r="A246" s="272" t="s">
        <v>23</v>
      </c>
      <c r="B246" s="44"/>
      <c r="C246" s="841"/>
      <c r="D246" s="804"/>
      <c r="E246" s="806"/>
      <c r="F246" s="304" t="s">
        <v>659</v>
      </c>
      <c r="G246" s="305">
        <f>'Review Comments'!F272</f>
        <v>0</v>
      </c>
      <c r="H246" s="305" t="str">
        <f>'Review Comments'!G272</f>
        <v>No</v>
      </c>
      <c r="I246" s="305" t="str">
        <f t="shared" ref="I246:I268" si="33">IF(H246="Yes",G246,IF(H246="Required","Required",""))</f>
        <v/>
      </c>
      <c r="J246" s="323" t="str">
        <f>IF('Review Comments'!H272=0,"",'Review Comments'!H272)</f>
        <v>Not Attempted</v>
      </c>
      <c r="K246" s="305" t="str">
        <f>IF(I246="Required","Required",IF(ISNUMBER(MATCH(J246,Lists!$H$2:$H$9,0)),I246,""))</f>
        <v/>
      </c>
      <c r="L246" s="371" t="str">
        <f>IF(I246="Required","Required",IF(ISNUMBER(MATCH(J246,Lists!$I$2:$I$9,0)),I246,IF(ISNUMBER(MATCH(J246,Lists!$J$2:$J$9,0)),I246,"")))</f>
        <v/>
      </c>
      <c r="Q246" s="45" t="b">
        <f>IF(I246="Required",0,IF(ISNUMBER(MATCH(J246,Lists!$I$2:$I$4,0)),L246))</f>
        <v>0</v>
      </c>
      <c r="R246" s="45" t="b">
        <f>IF(I246="Required",0,IF(ISNUMBER(MATCH(J246,Lists!$K$2:$K$7,0)),L246))</f>
        <v>0</v>
      </c>
      <c r="S246" s="45" t="b">
        <f>IF(I246="Required",0,IF(ISNUMBER(MATCH(J246,Lists!$G$2:$G$4,0)),L246))</f>
        <v>0</v>
      </c>
      <c r="T246" s="45" t="b">
        <f>IF(I246="Required",0,IF(ISNUMBER(MATCH(J246,Lists!$G$7:$G$8,0)),L246))</f>
        <v>0</v>
      </c>
      <c r="U246" s="45" t="b">
        <f>IF(I246="Required",0,IF(ISNUMBER(MATCH(J246,Lists!$H$2:$H$4,0)),K246))</f>
        <v>0</v>
      </c>
      <c r="V246" s="45">
        <f t="shared" si="29"/>
        <v>0</v>
      </c>
      <c r="W246" s="45">
        <f t="shared" si="30"/>
        <v>0</v>
      </c>
    </row>
    <row r="247" spans="1:23" ht="21" customHeight="1">
      <c r="A247" s="272" t="s">
        <v>23</v>
      </c>
      <c r="B247" s="44"/>
      <c r="C247" s="841"/>
      <c r="D247" s="804" t="s">
        <v>23</v>
      </c>
      <c r="E247" s="806" t="s">
        <v>201</v>
      </c>
      <c r="F247" s="304" t="s">
        <v>660</v>
      </c>
      <c r="G247" s="305">
        <f>'Review Comments'!F273</f>
        <v>0</v>
      </c>
      <c r="H247" s="305" t="str">
        <f>'Review Comments'!G273</f>
        <v>No</v>
      </c>
      <c r="I247" s="305" t="str">
        <f t="shared" si="33"/>
        <v/>
      </c>
      <c r="J247" s="323" t="str">
        <f>IF('Review Comments'!H273=0,"",'Review Comments'!H273)</f>
        <v>Not Attempted</v>
      </c>
      <c r="K247" s="305" t="str">
        <f>IF(I247="Required","Required",IF(ISNUMBER(MATCH(J247,Lists!$H$2:$H$9,0)),I247,""))</f>
        <v/>
      </c>
      <c r="L247" s="371" t="str">
        <f>IF(I247="Required","Required",IF(ISNUMBER(MATCH(J247,Lists!$I$2:$I$9,0)),I247,IF(ISNUMBER(MATCH(J247,Lists!$J$2:$J$9,0)),I247,"")))</f>
        <v/>
      </c>
      <c r="Q247" s="45" t="b">
        <f>IF(I247="Required",0,IF(ISNUMBER(MATCH(J247,Lists!$I$2:$I$4,0)),L247))</f>
        <v>0</v>
      </c>
      <c r="R247" s="45" t="b">
        <f>IF(I247="Required",0,IF(ISNUMBER(MATCH(J247,Lists!$K$2:$K$7,0)),L247))</f>
        <v>0</v>
      </c>
      <c r="S247" s="45" t="b">
        <f>IF(I247="Required",0,IF(ISNUMBER(MATCH(J247,Lists!$G$2:$G$4,0)),L247))</f>
        <v>0</v>
      </c>
      <c r="T247" s="45" t="b">
        <f>IF(I247="Required",0,IF(ISNUMBER(MATCH(J247,Lists!$G$7:$G$8,0)),L247))</f>
        <v>0</v>
      </c>
      <c r="U247" s="45" t="b">
        <f>IF(I247="Required",0,IF(ISNUMBER(MATCH(J247,Lists!$H$2:$H$4,0)),K247))</f>
        <v>0</v>
      </c>
      <c r="V247" s="45">
        <f t="shared" si="29"/>
        <v>0</v>
      </c>
      <c r="W247" s="45">
        <f t="shared" si="30"/>
        <v>0</v>
      </c>
    </row>
    <row r="248" spans="1:23" ht="21" customHeight="1">
      <c r="A248" s="272" t="s">
        <v>23</v>
      </c>
      <c r="B248" s="44"/>
      <c r="C248" s="841"/>
      <c r="D248" s="804"/>
      <c r="E248" s="806"/>
      <c r="F248" s="304" t="s">
        <v>661</v>
      </c>
      <c r="G248" s="305">
        <f>'Review Comments'!F274</f>
        <v>2</v>
      </c>
      <c r="H248" s="305" t="str">
        <f>'Review Comments'!G274</f>
        <v>Yes</v>
      </c>
      <c r="I248" s="305">
        <f t="shared" si="33"/>
        <v>2</v>
      </c>
      <c r="J248" s="323" t="str">
        <f>IF('Review Comments'!H274=0,"",'Review Comments'!H274)</f>
        <v>Anticipated</v>
      </c>
      <c r="K248" s="305">
        <f>IF(I248="Required","Required",IF(ISNUMBER(MATCH(J248,Lists!$H$2:$H$9,0)),I248,""))</f>
        <v>2</v>
      </c>
      <c r="L248" s="371" t="str">
        <f>IF(I248="Required","Required",IF(ISNUMBER(MATCH(J248,Lists!$I$2:$I$9,0)),I248,IF(ISNUMBER(MATCH(J248,Lists!$J$2:$J$9,0)),I248,"")))</f>
        <v/>
      </c>
      <c r="Q248" s="45" t="b">
        <f>IF(I248="Required",0,IF(ISNUMBER(MATCH(J248,Lists!$I$2:$I$4,0)),L248))</f>
        <v>0</v>
      </c>
      <c r="R248" s="45" t="b">
        <f>IF(I248="Required",0,IF(ISNUMBER(MATCH(J248,Lists!$K$2:$K$7,0)),L248))</f>
        <v>0</v>
      </c>
      <c r="S248" s="45" t="b">
        <f>IF(I248="Required",0,IF(ISNUMBER(MATCH(J248,Lists!$G$2:$G$4,0)),L248))</f>
        <v>0</v>
      </c>
      <c r="T248" s="45" t="b">
        <f>IF(I248="Required",0,IF(ISNUMBER(MATCH(J248,Lists!$G$7:$G$8,0)),L248))</f>
        <v>0</v>
      </c>
      <c r="U248" s="45">
        <f>IF(I248="Required",0,IF(ISNUMBER(MATCH(J248,Lists!$H$2:$H$4,0)),K248))</f>
        <v>2</v>
      </c>
      <c r="V248" s="45">
        <f t="shared" si="29"/>
        <v>0</v>
      </c>
      <c r="W248" s="45">
        <f t="shared" si="30"/>
        <v>0</v>
      </c>
    </row>
    <row r="249" spans="1:23" ht="21" customHeight="1">
      <c r="A249" s="272" t="s">
        <v>23</v>
      </c>
      <c r="B249" s="44"/>
      <c r="C249" s="841"/>
      <c r="D249" s="804"/>
      <c r="E249" s="806"/>
      <c r="F249" s="304" t="s">
        <v>662</v>
      </c>
      <c r="G249" s="305">
        <f>'Review Comments'!F275</f>
        <v>0</v>
      </c>
      <c r="H249" s="305" t="str">
        <f>'Review Comments'!G275</f>
        <v>No</v>
      </c>
      <c r="I249" s="305" t="str">
        <f t="shared" si="33"/>
        <v/>
      </c>
      <c r="J249" s="323" t="str">
        <f>IF('Review Comments'!H275=0,"",'Review Comments'!H275)</f>
        <v>Not Attempted</v>
      </c>
      <c r="K249" s="305" t="str">
        <f>IF(I249="Required","Required",IF(ISNUMBER(MATCH(J249,Lists!$H$2:$H$9,0)),I249,""))</f>
        <v/>
      </c>
      <c r="L249" s="371" t="str">
        <f>IF(I249="Required","Required",IF(ISNUMBER(MATCH(J249,Lists!$I$2:$I$9,0)),I249,IF(ISNUMBER(MATCH(J249,Lists!$J$2:$J$9,0)),I249,"")))</f>
        <v/>
      </c>
      <c r="Q249" s="45" t="b">
        <f>IF(I249="Required",0,IF(ISNUMBER(MATCH(J249,Lists!$I$2:$I$4,0)),L249))</f>
        <v>0</v>
      </c>
      <c r="R249" s="45" t="b">
        <f>IF(I249="Required",0,IF(ISNUMBER(MATCH(J249,Lists!$K$2:$K$7,0)),L249))</f>
        <v>0</v>
      </c>
      <c r="S249" s="45" t="b">
        <f>IF(I249="Required",0,IF(ISNUMBER(MATCH(J249,Lists!$G$2:$G$4,0)),L249))</f>
        <v>0</v>
      </c>
      <c r="T249" s="45" t="b">
        <f>IF(I249="Required",0,IF(ISNUMBER(MATCH(J249,Lists!$G$7:$G$8,0)),L249))</f>
        <v>0</v>
      </c>
      <c r="U249" s="45" t="b">
        <f>IF(I249="Required",0,IF(ISNUMBER(MATCH(J249,Lists!$H$2:$H$4,0)),K249))</f>
        <v>0</v>
      </c>
      <c r="V249" s="45">
        <f t="shared" si="29"/>
        <v>0</v>
      </c>
      <c r="W249" s="45">
        <f t="shared" si="30"/>
        <v>0</v>
      </c>
    </row>
    <row r="250" spans="1:23" ht="21" customHeight="1">
      <c r="A250" s="272" t="s">
        <v>23</v>
      </c>
      <c r="B250" s="44"/>
      <c r="C250" s="841"/>
      <c r="D250" s="804" t="s">
        <v>23</v>
      </c>
      <c r="E250" s="806" t="s">
        <v>202</v>
      </c>
      <c r="F250" s="304" t="s">
        <v>663</v>
      </c>
      <c r="G250" s="305">
        <f>'Review Comments'!F276</f>
        <v>0</v>
      </c>
      <c r="H250" s="305" t="str">
        <f>'Review Comments'!G276</f>
        <v>No</v>
      </c>
      <c r="I250" s="305" t="str">
        <f t="shared" si="33"/>
        <v/>
      </c>
      <c r="J250" s="323" t="str">
        <f>IF('Review Comments'!H276=0,"",'Review Comments'!H276)</f>
        <v>Not Attempted</v>
      </c>
      <c r="K250" s="305" t="str">
        <f>IF(I250="Required","Required",IF(ISNUMBER(MATCH(J250,Lists!$H$2:$H$9,0)),I250,""))</f>
        <v/>
      </c>
      <c r="L250" s="371" t="str">
        <f>IF(I250="Required","Required",IF(ISNUMBER(MATCH(J250,Lists!$I$2:$I$9,0)),I250,IF(ISNUMBER(MATCH(J250,Lists!$J$2:$J$9,0)),I250,"")))</f>
        <v/>
      </c>
      <c r="Q250" s="45" t="b">
        <f>IF(I250="Required",0,IF(ISNUMBER(MATCH(J250,Lists!$I$2:$I$4,0)),L250))</f>
        <v>0</v>
      </c>
      <c r="R250" s="45" t="b">
        <f>IF(I250="Required",0,IF(ISNUMBER(MATCH(J250,Lists!$K$2:$K$7,0)),L250))</f>
        <v>0</v>
      </c>
      <c r="S250" s="45" t="b">
        <f>IF(I250="Required",0,IF(ISNUMBER(MATCH(J250,Lists!$G$2:$G$4,0)),L250))</f>
        <v>0</v>
      </c>
      <c r="T250" s="45" t="b">
        <f>IF(I250="Required",0,IF(ISNUMBER(MATCH(J250,Lists!$G$7:$G$8,0)),L250))</f>
        <v>0</v>
      </c>
      <c r="U250" s="45" t="b">
        <f>IF(I250="Required",0,IF(ISNUMBER(MATCH(J250,Lists!$H$2:$H$4,0)),K250))</f>
        <v>0</v>
      </c>
      <c r="V250" s="45">
        <f t="shared" si="29"/>
        <v>0</v>
      </c>
      <c r="W250" s="45">
        <f t="shared" si="30"/>
        <v>0</v>
      </c>
    </row>
    <row r="251" spans="1:23" ht="21" customHeight="1">
      <c r="A251" s="272" t="s">
        <v>23</v>
      </c>
      <c r="B251" s="44"/>
      <c r="C251" s="841"/>
      <c r="D251" s="804"/>
      <c r="E251" s="806"/>
      <c r="F251" s="304" t="s">
        <v>664</v>
      </c>
      <c r="G251" s="305">
        <f>'Review Comments'!F277</f>
        <v>0</v>
      </c>
      <c r="H251" s="305" t="str">
        <f>'Review Comments'!G277</f>
        <v>No</v>
      </c>
      <c r="I251" s="305" t="str">
        <f t="shared" si="33"/>
        <v/>
      </c>
      <c r="J251" s="323" t="str">
        <f>IF('Review Comments'!H277=0,"",'Review Comments'!H277)</f>
        <v>Not Attempted</v>
      </c>
      <c r="K251" s="305" t="str">
        <f>IF(I251="Required","Required",IF(ISNUMBER(MATCH(J251,Lists!$H$2:$H$9,0)),I251,""))</f>
        <v/>
      </c>
      <c r="L251" s="371" t="str">
        <f>IF(I251="Required","Required",IF(ISNUMBER(MATCH(J251,Lists!$I$2:$I$9,0)),I251,IF(ISNUMBER(MATCH(J251,Lists!$J$2:$J$9,0)),I251,"")))</f>
        <v/>
      </c>
      <c r="Q251" s="45" t="b">
        <f>IF(I251="Required",0,IF(ISNUMBER(MATCH(J251,Lists!$I$2:$I$4,0)),L251))</f>
        <v>0</v>
      </c>
      <c r="R251" s="45" t="b">
        <f>IF(I251="Required",0,IF(ISNUMBER(MATCH(J251,Lists!$K$2:$K$7,0)),L251))</f>
        <v>0</v>
      </c>
      <c r="S251" s="45" t="b">
        <f>IF(I251="Required",0,IF(ISNUMBER(MATCH(J251,Lists!$G$2:$G$4,0)),L251))</f>
        <v>0</v>
      </c>
      <c r="T251" s="45" t="b">
        <f>IF(I251="Required",0,IF(ISNUMBER(MATCH(J251,Lists!$G$7:$G$8,0)),L251))</f>
        <v>0</v>
      </c>
      <c r="U251" s="45" t="b">
        <f>IF(I251="Required",0,IF(ISNUMBER(MATCH(J251,Lists!$H$2:$H$4,0)),K251))</f>
        <v>0</v>
      </c>
      <c r="V251" s="45">
        <f t="shared" si="29"/>
        <v>0</v>
      </c>
      <c r="W251" s="45">
        <f t="shared" si="30"/>
        <v>0</v>
      </c>
    </row>
    <row r="252" spans="1:23" ht="21" customHeight="1">
      <c r="A252" s="272" t="s">
        <v>23</v>
      </c>
      <c r="B252" s="44"/>
      <c r="C252" s="841"/>
      <c r="D252" s="804"/>
      <c r="E252" s="806"/>
      <c r="F252" s="304" t="s">
        <v>665</v>
      </c>
      <c r="G252" s="305">
        <f>'Review Comments'!F278</f>
        <v>0</v>
      </c>
      <c r="H252" s="305" t="str">
        <f>'Review Comments'!G278</f>
        <v>No</v>
      </c>
      <c r="I252" s="305" t="str">
        <f t="shared" si="33"/>
        <v/>
      </c>
      <c r="J252" s="323" t="str">
        <f>IF('Review Comments'!H278=0,"",'Review Comments'!H278)</f>
        <v>Not Attempted</v>
      </c>
      <c r="K252" s="305" t="str">
        <f>IF(I252="Required","Required",IF(ISNUMBER(MATCH(J252,Lists!$H$2:$H$9,0)),I252,""))</f>
        <v/>
      </c>
      <c r="L252" s="371" t="str">
        <f>IF(I252="Required","Required",IF(ISNUMBER(MATCH(J252,Lists!$I$2:$I$9,0)),I252,IF(ISNUMBER(MATCH(J252,Lists!$J$2:$J$9,0)),I252,"")))</f>
        <v/>
      </c>
      <c r="Q252" s="45" t="b">
        <f>IF(I252="Required",0,IF(ISNUMBER(MATCH(J252,Lists!$I$2:$I$4,0)),L252))</f>
        <v>0</v>
      </c>
      <c r="R252" s="45" t="b">
        <f>IF(I252="Required",0,IF(ISNUMBER(MATCH(J252,Lists!$K$2:$K$7,0)),L252))</f>
        <v>0</v>
      </c>
      <c r="S252" s="45" t="b">
        <f>IF(I252="Required",0,IF(ISNUMBER(MATCH(J252,Lists!$G$2:$G$4,0)),L252))</f>
        <v>0</v>
      </c>
      <c r="T252" s="45" t="b">
        <f>IF(I252="Required",0,IF(ISNUMBER(MATCH(J252,Lists!$G$7:$G$8,0)),L252))</f>
        <v>0</v>
      </c>
      <c r="U252" s="45" t="b">
        <f>IF(I252="Required",0,IF(ISNUMBER(MATCH(J252,Lists!$H$2:$H$4,0)),K252))</f>
        <v>0</v>
      </c>
      <c r="V252" s="45">
        <f t="shared" si="29"/>
        <v>0</v>
      </c>
      <c r="W252" s="45">
        <f t="shared" si="30"/>
        <v>0</v>
      </c>
    </row>
    <row r="253" spans="1:23" ht="21" customHeight="1">
      <c r="A253" s="272" t="s">
        <v>23</v>
      </c>
      <c r="B253" s="44"/>
      <c r="C253" s="841"/>
      <c r="D253" s="804"/>
      <c r="E253" s="806"/>
      <c r="F253" s="304" t="s">
        <v>666</v>
      </c>
      <c r="G253" s="305">
        <f>'Review Comments'!F279</f>
        <v>0</v>
      </c>
      <c r="H253" s="305" t="str">
        <f>'Review Comments'!G279</f>
        <v>No</v>
      </c>
      <c r="I253" s="305" t="str">
        <f t="shared" si="33"/>
        <v/>
      </c>
      <c r="J253" s="323" t="str">
        <f>IF('Review Comments'!H279=0,"",'Review Comments'!H279)</f>
        <v>Not Attempted</v>
      </c>
      <c r="K253" s="305" t="str">
        <f>IF(I253="Required","Required",IF(ISNUMBER(MATCH(J253,Lists!$H$2:$H$9,0)),I253,""))</f>
        <v/>
      </c>
      <c r="L253" s="371" t="str">
        <f>IF(I253="Required","Required",IF(ISNUMBER(MATCH(J253,Lists!$I$2:$I$9,0)),I253,IF(ISNUMBER(MATCH(J253,Lists!$J$2:$J$9,0)),I253,"")))</f>
        <v/>
      </c>
      <c r="Q253" s="45" t="b">
        <f>IF(I253="Required",0,IF(ISNUMBER(MATCH(J253,Lists!$I$2:$I$4,0)),L253))</f>
        <v>0</v>
      </c>
      <c r="R253" s="45" t="b">
        <f>IF(I253="Required",0,IF(ISNUMBER(MATCH(J253,Lists!$K$2:$K$7,0)),L253))</f>
        <v>0</v>
      </c>
      <c r="S253" s="45" t="b">
        <f>IF(I253="Required",0,IF(ISNUMBER(MATCH(J253,Lists!$G$2:$G$4,0)),L253))</f>
        <v>0</v>
      </c>
      <c r="T253" s="45" t="b">
        <f>IF(I253="Required",0,IF(ISNUMBER(MATCH(J253,Lists!$G$7:$G$8,0)),L253))</f>
        <v>0</v>
      </c>
      <c r="U253" s="45" t="b">
        <f>IF(I253="Required",0,IF(ISNUMBER(MATCH(J253,Lists!$H$2:$H$4,0)),K253))</f>
        <v>0</v>
      </c>
      <c r="V253" s="45">
        <f t="shared" si="29"/>
        <v>0</v>
      </c>
      <c r="W253" s="45">
        <f t="shared" si="30"/>
        <v>0</v>
      </c>
    </row>
    <row r="254" spans="1:23" ht="21" customHeight="1">
      <c r="A254" s="272" t="s">
        <v>23</v>
      </c>
      <c r="B254" s="44"/>
      <c r="C254" s="841"/>
      <c r="D254" s="306" t="s">
        <v>23</v>
      </c>
      <c r="E254" s="200" t="s">
        <v>203</v>
      </c>
      <c r="F254" s="304" t="s">
        <v>667</v>
      </c>
      <c r="G254" s="305">
        <f>'Review Comments'!F280</f>
        <v>0</v>
      </c>
      <c r="H254" s="305" t="str">
        <f>'Review Comments'!G280</f>
        <v>No</v>
      </c>
      <c r="I254" s="305" t="str">
        <f t="shared" si="33"/>
        <v/>
      </c>
      <c r="J254" s="323" t="str">
        <f>IF('Review Comments'!H280=0,"",'Review Comments'!H280)</f>
        <v>Not Attempted</v>
      </c>
      <c r="K254" s="305" t="str">
        <f>IF(I254="Required","Required",IF(ISNUMBER(MATCH(J254,Lists!$H$2:$H$9,0)),I254,""))</f>
        <v/>
      </c>
      <c r="L254" s="371" t="str">
        <f>IF(I254="Required","Required",IF(ISNUMBER(MATCH(J254,Lists!$I$2:$I$9,0)),I254,IF(ISNUMBER(MATCH(J254,Lists!$J$2:$J$9,0)),I254,"")))</f>
        <v/>
      </c>
      <c r="Q254" s="45" t="b">
        <f>IF(I254="Required",0,IF(ISNUMBER(MATCH(J254,Lists!$I$2:$I$4,0)),L254))</f>
        <v>0</v>
      </c>
      <c r="R254" s="45" t="b">
        <f>IF(I254="Required",0,IF(ISNUMBER(MATCH(J254,Lists!$K$2:$K$7,0)),L254))</f>
        <v>0</v>
      </c>
      <c r="S254" s="45" t="b">
        <f>IF(I254="Required",0,IF(ISNUMBER(MATCH(J254,Lists!$G$2:$G$4,0)),L254))</f>
        <v>0</v>
      </c>
      <c r="T254" s="45" t="b">
        <f>IF(I254="Required",0,IF(ISNUMBER(MATCH(J254,Lists!$G$7:$G$8,0)),L254))</f>
        <v>0</v>
      </c>
      <c r="U254" s="45" t="b">
        <f>IF(I254="Required",0,IF(ISNUMBER(MATCH(J254,Lists!$H$2:$H$4,0)),K254))</f>
        <v>0</v>
      </c>
      <c r="V254" s="45">
        <f t="shared" si="29"/>
        <v>0</v>
      </c>
      <c r="W254" s="45">
        <f t="shared" si="30"/>
        <v>0</v>
      </c>
    </row>
    <row r="255" spans="1:23" ht="21" customHeight="1">
      <c r="A255" s="272" t="s">
        <v>23</v>
      </c>
      <c r="B255" s="44"/>
      <c r="C255" s="841"/>
      <c r="D255" s="306" t="s">
        <v>23</v>
      </c>
      <c r="E255" s="200" t="s">
        <v>204</v>
      </c>
      <c r="F255" s="304" t="s">
        <v>668</v>
      </c>
      <c r="G255" s="305">
        <f>'Review Comments'!F281</f>
        <v>0</v>
      </c>
      <c r="H255" s="305" t="str">
        <f>'Review Comments'!G281</f>
        <v>No</v>
      </c>
      <c r="I255" s="305" t="str">
        <f t="shared" si="33"/>
        <v/>
      </c>
      <c r="J255" s="323" t="str">
        <f>IF('Review Comments'!H281=0,"",'Review Comments'!H281)</f>
        <v>Not Attempted</v>
      </c>
      <c r="K255" s="305" t="str">
        <f>IF(I255="Required","Required",IF(ISNUMBER(MATCH(J255,Lists!$H$2:$H$9,0)),I255,""))</f>
        <v/>
      </c>
      <c r="L255" s="371" t="str">
        <f>IF(I255="Required","Required",IF(ISNUMBER(MATCH(J255,Lists!$I$2:$I$9,0)),I255,IF(ISNUMBER(MATCH(J255,Lists!$J$2:$J$9,0)),I255,"")))</f>
        <v/>
      </c>
      <c r="Q255" s="45" t="b">
        <f>IF(I255="Required",0,IF(ISNUMBER(MATCH(J255,Lists!$I$2:$I$4,0)),L255))</f>
        <v>0</v>
      </c>
      <c r="R255" s="45" t="b">
        <f>IF(I255="Required",0,IF(ISNUMBER(MATCH(J255,Lists!$K$2:$K$7,0)),L255))</f>
        <v>0</v>
      </c>
      <c r="S255" s="45" t="b">
        <f>IF(I255="Required",0,IF(ISNUMBER(MATCH(J255,Lists!$G$2:$G$4,0)),L255))</f>
        <v>0</v>
      </c>
      <c r="T255" s="45" t="b">
        <f>IF(I255="Required",0,IF(ISNUMBER(MATCH(J255,Lists!$G$7:$G$8,0)),L255))</f>
        <v>0</v>
      </c>
      <c r="U255" s="45" t="b">
        <f>IF(I255="Required",0,IF(ISNUMBER(MATCH(J255,Lists!$H$2:$H$4,0)),K255))</f>
        <v>0</v>
      </c>
      <c r="V255" s="45">
        <f t="shared" si="29"/>
        <v>0</v>
      </c>
      <c r="W255" s="45">
        <f t="shared" si="30"/>
        <v>0</v>
      </c>
    </row>
    <row r="256" spans="1:23" ht="21" customHeight="1">
      <c r="A256" s="272" t="s">
        <v>23</v>
      </c>
      <c r="B256" s="44"/>
      <c r="C256" s="841"/>
      <c r="D256" s="804" t="s">
        <v>23</v>
      </c>
      <c r="E256" s="806" t="s">
        <v>205</v>
      </c>
      <c r="F256" s="304" t="s">
        <v>669</v>
      </c>
      <c r="G256" s="305">
        <f>'Review Comments'!F282</f>
        <v>1</v>
      </c>
      <c r="H256" s="305" t="str">
        <f>'Review Comments'!G282</f>
        <v>Yes</v>
      </c>
      <c r="I256" s="305">
        <f t="shared" si="33"/>
        <v>1</v>
      </c>
      <c r="J256" s="323" t="str">
        <f>IF('Review Comments'!H282=0,"",'Review Comments'!H282)</f>
        <v>Anticipated</v>
      </c>
      <c r="K256" s="305">
        <f>IF(I256="Required","Required",IF(ISNUMBER(MATCH(J256,Lists!$H$2:$H$9,0)),I256,""))</f>
        <v>1</v>
      </c>
      <c r="L256" s="371" t="str">
        <f>IF(I256="Required","Required",IF(ISNUMBER(MATCH(J256,Lists!$I$2:$I$9,0)),I256,IF(ISNUMBER(MATCH(J256,Lists!$J$2:$J$9,0)),I256,"")))</f>
        <v/>
      </c>
      <c r="Q256" s="45" t="b">
        <f>IF(I256="Required",0,IF(ISNUMBER(MATCH(J256,Lists!$I$2:$I$4,0)),L256))</f>
        <v>0</v>
      </c>
      <c r="R256" s="45" t="b">
        <f>IF(I256="Required",0,IF(ISNUMBER(MATCH(J256,Lists!$K$2:$K$7,0)),L256))</f>
        <v>0</v>
      </c>
      <c r="S256" s="45" t="b">
        <f>IF(I256="Required",0,IF(ISNUMBER(MATCH(J256,Lists!$G$2:$G$4,0)),L256))</f>
        <v>0</v>
      </c>
      <c r="T256" s="45" t="b">
        <f>IF(I256="Required",0,IF(ISNUMBER(MATCH(J256,Lists!$G$7:$G$8,0)),L256))</f>
        <v>0</v>
      </c>
      <c r="U256" s="45">
        <f>IF(I256="Required",0,IF(ISNUMBER(MATCH(J256,Lists!$H$2:$H$4,0)),K256))</f>
        <v>1</v>
      </c>
      <c r="V256" s="45">
        <f t="shared" si="29"/>
        <v>0</v>
      </c>
      <c r="W256" s="45">
        <f t="shared" si="30"/>
        <v>0</v>
      </c>
    </row>
    <row r="257" spans="1:23" ht="21" customHeight="1">
      <c r="A257" s="272" t="s">
        <v>23</v>
      </c>
      <c r="B257" s="44"/>
      <c r="C257" s="841"/>
      <c r="D257" s="804"/>
      <c r="E257" s="806"/>
      <c r="F257" s="304" t="s">
        <v>670</v>
      </c>
      <c r="G257" s="305">
        <f>'Review Comments'!F283</f>
        <v>0</v>
      </c>
      <c r="H257" s="305" t="str">
        <f>'Review Comments'!G283</f>
        <v>No</v>
      </c>
      <c r="I257" s="305" t="str">
        <f t="shared" si="33"/>
        <v/>
      </c>
      <c r="J257" s="323" t="str">
        <f>IF('Review Comments'!H283=0,"",'Review Comments'!H283)</f>
        <v>Not Attempted</v>
      </c>
      <c r="K257" s="305" t="str">
        <f>IF(I257="Required","Required",IF(ISNUMBER(MATCH(J257,Lists!$H$2:$H$9,0)),I257,""))</f>
        <v/>
      </c>
      <c r="L257" s="371" t="str">
        <f>IF(I257="Required","Required",IF(ISNUMBER(MATCH(J257,Lists!$I$2:$I$9,0)),I257,IF(ISNUMBER(MATCH(J257,Lists!$J$2:$J$9,0)),I257,"")))</f>
        <v/>
      </c>
      <c r="Q257" s="45" t="b">
        <f>IF(I257="Required",0,IF(ISNUMBER(MATCH(J257,Lists!$I$2:$I$4,0)),L257))</f>
        <v>0</v>
      </c>
      <c r="R257" s="45" t="b">
        <f>IF(I257="Required",0,IF(ISNUMBER(MATCH(J257,Lists!$K$2:$K$7,0)),L257))</f>
        <v>0</v>
      </c>
      <c r="S257" s="45" t="b">
        <f>IF(I257="Required",0,IF(ISNUMBER(MATCH(J257,Lists!$G$2:$G$4,0)),L257))</f>
        <v>0</v>
      </c>
      <c r="T257" s="45" t="b">
        <f>IF(I257="Required",0,IF(ISNUMBER(MATCH(J257,Lists!$G$7:$G$8,0)),L257))</f>
        <v>0</v>
      </c>
      <c r="U257" s="45" t="b">
        <f>IF(I257="Required",0,IF(ISNUMBER(MATCH(J257,Lists!$H$2:$H$4,0)),K257))</f>
        <v>0</v>
      </c>
      <c r="V257" s="45">
        <f t="shared" si="29"/>
        <v>0</v>
      </c>
      <c r="W257" s="45">
        <f t="shared" si="30"/>
        <v>0</v>
      </c>
    </row>
    <row r="258" spans="1:23" ht="21" customHeight="1">
      <c r="A258" s="272" t="s">
        <v>23</v>
      </c>
      <c r="B258" s="44"/>
      <c r="C258" s="841"/>
      <c r="D258" s="804" t="s">
        <v>23</v>
      </c>
      <c r="E258" s="806" t="s">
        <v>206</v>
      </c>
      <c r="F258" s="304" t="s">
        <v>671</v>
      </c>
      <c r="G258" s="305">
        <f>'Review Comments'!F284</f>
        <v>1</v>
      </c>
      <c r="H258" s="305" t="str">
        <f>'Review Comments'!G284</f>
        <v>Yes</v>
      </c>
      <c r="I258" s="305">
        <f t="shared" si="33"/>
        <v>1</v>
      </c>
      <c r="J258" s="323" t="str">
        <f>IF('Review Comments'!H284=0,"",'Review Comments'!H284)</f>
        <v>Anticipated</v>
      </c>
      <c r="K258" s="305">
        <f>IF(I258="Required","Required",IF(ISNUMBER(MATCH(J258,Lists!$H$2:$H$9,0)),I258,""))</f>
        <v>1</v>
      </c>
      <c r="L258" s="371" t="str">
        <f>IF(I258="Required","Required",IF(ISNUMBER(MATCH(J258,Lists!$I$2:$I$9,0)),I258,IF(ISNUMBER(MATCH(J258,Lists!$J$2:$J$9,0)),I258,"")))</f>
        <v/>
      </c>
      <c r="Q258" s="45" t="b">
        <f>IF(I258="Required",0,IF(ISNUMBER(MATCH(J258,Lists!$I$2:$I$4,0)),L258))</f>
        <v>0</v>
      </c>
      <c r="R258" s="45" t="b">
        <f>IF(I258="Required",0,IF(ISNUMBER(MATCH(J258,Lists!$K$2:$K$7,0)),L258))</f>
        <v>0</v>
      </c>
      <c r="S258" s="45" t="b">
        <f>IF(I258="Required",0,IF(ISNUMBER(MATCH(J258,Lists!$G$2:$G$4,0)),L258))</f>
        <v>0</v>
      </c>
      <c r="T258" s="45" t="b">
        <f>IF(I258="Required",0,IF(ISNUMBER(MATCH(J258,Lists!$G$7:$G$8,0)),L258))</f>
        <v>0</v>
      </c>
      <c r="U258" s="45">
        <f>IF(I258="Required",0,IF(ISNUMBER(MATCH(J258,Lists!$H$2:$H$4,0)),K258))</f>
        <v>1</v>
      </c>
      <c r="V258" s="45">
        <f t="shared" si="29"/>
        <v>0</v>
      </c>
      <c r="W258" s="45">
        <f t="shared" si="30"/>
        <v>0</v>
      </c>
    </row>
    <row r="259" spans="1:23" ht="21" customHeight="1">
      <c r="A259" s="272" t="s">
        <v>23</v>
      </c>
      <c r="B259" s="44"/>
      <c r="C259" s="841"/>
      <c r="D259" s="804"/>
      <c r="E259" s="806"/>
      <c r="F259" s="304" t="s">
        <v>672</v>
      </c>
      <c r="G259" s="305">
        <f>'Review Comments'!F285</f>
        <v>0</v>
      </c>
      <c r="H259" s="305" t="str">
        <f>'Review Comments'!G285</f>
        <v>No</v>
      </c>
      <c r="I259" s="305" t="str">
        <f t="shared" si="33"/>
        <v/>
      </c>
      <c r="J259" s="323" t="str">
        <f>IF('Review Comments'!H285=0,"",'Review Comments'!H285)</f>
        <v>Not Attempted</v>
      </c>
      <c r="K259" s="305" t="str">
        <f>IF(I259="Required","Required",IF(ISNUMBER(MATCH(J259,Lists!$H$2:$H$9,0)),I259,""))</f>
        <v/>
      </c>
      <c r="L259" s="371" t="str">
        <f>IF(I259="Required","Required",IF(ISNUMBER(MATCH(J259,Lists!$I$2:$I$9,0)),I259,IF(ISNUMBER(MATCH(J259,Lists!$J$2:$J$9,0)),I259,"")))</f>
        <v/>
      </c>
      <c r="Q259" s="45" t="b">
        <f>IF(I259="Required",0,IF(ISNUMBER(MATCH(J259,Lists!$I$2:$I$4,0)),L259))</f>
        <v>0</v>
      </c>
      <c r="R259" s="45" t="b">
        <f>IF(I259="Required",0,IF(ISNUMBER(MATCH(J259,Lists!$K$2:$K$7,0)),L259))</f>
        <v>0</v>
      </c>
      <c r="S259" s="45" t="b">
        <f>IF(I259="Required",0,IF(ISNUMBER(MATCH(J259,Lists!$G$2:$G$4,0)),L259))</f>
        <v>0</v>
      </c>
      <c r="T259" s="45" t="b">
        <f>IF(I259="Required",0,IF(ISNUMBER(MATCH(J259,Lists!$G$7:$G$8,0)),L259))</f>
        <v>0</v>
      </c>
      <c r="U259" s="45" t="b">
        <f>IF(I259="Required",0,IF(ISNUMBER(MATCH(J259,Lists!$H$2:$H$4,0)),K259))</f>
        <v>0</v>
      </c>
      <c r="V259" s="45">
        <f t="shared" si="29"/>
        <v>0</v>
      </c>
      <c r="W259" s="45">
        <f t="shared" si="30"/>
        <v>0</v>
      </c>
    </row>
    <row r="260" spans="1:23" ht="21" customHeight="1">
      <c r="A260" s="272" t="s">
        <v>23</v>
      </c>
      <c r="B260" s="44"/>
      <c r="C260" s="841"/>
      <c r="D260" s="804"/>
      <c r="E260" s="806"/>
      <c r="F260" s="304" t="s">
        <v>673</v>
      </c>
      <c r="G260" s="305">
        <f>'Review Comments'!F286</f>
        <v>0</v>
      </c>
      <c r="H260" s="305" t="str">
        <f>'Review Comments'!G286</f>
        <v>No</v>
      </c>
      <c r="I260" s="305" t="str">
        <f t="shared" si="33"/>
        <v/>
      </c>
      <c r="J260" s="323" t="str">
        <f>IF('Review Comments'!H286=0,"",'Review Comments'!H286)</f>
        <v>Not Attempted</v>
      </c>
      <c r="K260" s="305" t="str">
        <f>IF(I260="Required","Required",IF(ISNUMBER(MATCH(J260,Lists!$H$2:$H$9,0)),I260,""))</f>
        <v/>
      </c>
      <c r="L260" s="371" t="str">
        <f>IF(I260="Required","Required",IF(ISNUMBER(MATCH(J260,Lists!$I$2:$I$9,0)),I260,IF(ISNUMBER(MATCH(J260,Lists!$J$2:$J$9,0)),I260,"")))</f>
        <v/>
      </c>
      <c r="Q260" s="45" t="b">
        <f>IF(I260="Required",0,IF(ISNUMBER(MATCH(J260,Lists!$I$2:$I$4,0)),L260))</f>
        <v>0</v>
      </c>
      <c r="R260" s="45" t="b">
        <f>IF(I260="Required",0,IF(ISNUMBER(MATCH(J260,Lists!$K$2:$K$7,0)),L260))</f>
        <v>0</v>
      </c>
      <c r="S260" s="45" t="b">
        <f>IF(I260="Required",0,IF(ISNUMBER(MATCH(J260,Lists!$G$2:$G$4,0)),L260))</f>
        <v>0</v>
      </c>
      <c r="T260" s="45" t="b">
        <f>IF(I260="Required",0,IF(ISNUMBER(MATCH(J260,Lists!$G$7:$G$8,0)),L260))</f>
        <v>0</v>
      </c>
      <c r="U260" s="45" t="b">
        <f>IF(I260="Required",0,IF(ISNUMBER(MATCH(J260,Lists!$H$2:$H$4,0)),K260))</f>
        <v>0</v>
      </c>
      <c r="V260" s="45">
        <f t="shared" si="29"/>
        <v>0</v>
      </c>
      <c r="W260" s="45">
        <f t="shared" si="30"/>
        <v>0</v>
      </c>
    </row>
    <row r="261" spans="1:23" ht="21" customHeight="1">
      <c r="A261" s="272" t="s">
        <v>23</v>
      </c>
      <c r="B261" s="44"/>
      <c r="C261" s="841"/>
      <c r="D261" s="804" t="s">
        <v>23</v>
      </c>
      <c r="E261" s="806" t="s">
        <v>207</v>
      </c>
      <c r="F261" s="304" t="s">
        <v>674</v>
      </c>
      <c r="G261" s="305">
        <f>'Review Comments'!F287</f>
        <v>0</v>
      </c>
      <c r="H261" s="305" t="str">
        <f>'Review Comments'!G287</f>
        <v>No</v>
      </c>
      <c r="I261" s="305" t="str">
        <f t="shared" si="33"/>
        <v/>
      </c>
      <c r="J261" s="323" t="str">
        <f>IF('Review Comments'!H287=0,"",'Review Comments'!H287)</f>
        <v>Not Attempted</v>
      </c>
      <c r="K261" s="305" t="str">
        <f>IF(I261="Required","Required",IF(ISNUMBER(MATCH(J261,Lists!$H$2:$H$9,0)),I261,""))</f>
        <v/>
      </c>
      <c r="L261" s="371" t="str">
        <f>IF(I261="Required","Required",IF(ISNUMBER(MATCH(J261,Lists!$I$2:$I$9,0)),I261,IF(ISNUMBER(MATCH(J261,Lists!$J$2:$J$9,0)),I261,"")))</f>
        <v/>
      </c>
      <c r="Q261" s="45" t="b">
        <f>IF(I261="Required",0,IF(ISNUMBER(MATCH(J261,Lists!$I$2:$I$4,0)),L261))</f>
        <v>0</v>
      </c>
      <c r="R261" s="45" t="b">
        <f>IF(I261="Required",0,IF(ISNUMBER(MATCH(J261,Lists!$K$2:$K$7,0)),L261))</f>
        <v>0</v>
      </c>
      <c r="S261" s="45" t="b">
        <f>IF(I261="Required",0,IF(ISNUMBER(MATCH(J261,Lists!$G$2:$G$4,0)),L261))</f>
        <v>0</v>
      </c>
      <c r="T261" s="45" t="b">
        <f>IF(I261="Required",0,IF(ISNUMBER(MATCH(J261,Lists!$G$7:$G$8,0)),L261))</f>
        <v>0</v>
      </c>
      <c r="U261" s="45" t="b">
        <f>IF(I261="Required",0,IF(ISNUMBER(MATCH(J261,Lists!$H$2:$H$4,0)),K261))</f>
        <v>0</v>
      </c>
      <c r="V261" s="45">
        <f t="shared" si="29"/>
        <v>0</v>
      </c>
      <c r="W261" s="45">
        <f t="shared" si="30"/>
        <v>0</v>
      </c>
    </row>
    <row r="262" spans="1:23" ht="21" customHeight="1">
      <c r="A262" s="272" t="s">
        <v>23</v>
      </c>
      <c r="B262" s="44"/>
      <c r="C262" s="841"/>
      <c r="D262" s="804"/>
      <c r="E262" s="806"/>
      <c r="F262" s="304" t="s">
        <v>675</v>
      </c>
      <c r="G262" s="305">
        <f>'Review Comments'!F288</f>
        <v>0</v>
      </c>
      <c r="H262" s="305" t="str">
        <f>'Review Comments'!G288</f>
        <v>No</v>
      </c>
      <c r="I262" s="305" t="str">
        <f t="shared" si="33"/>
        <v/>
      </c>
      <c r="J262" s="323" t="str">
        <f>IF('Review Comments'!H288=0,"",'Review Comments'!H288)</f>
        <v>Not Attempted</v>
      </c>
      <c r="K262" s="305" t="str">
        <f>IF(I262="Required","Required",IF(ISNUMBER(MATCH(J262,Lists!$H$2:$H$9,0)),I262,""))</f>
        <v/>
      </c>
      <c r="L262" s="371" t="str">
        <f>IF(I262="Required","Required",IF(ISNUMBER(MATCH(J262,Lists!$I$2:$I$9,0)),I262,IF(ISNUMBER(MATCH(J262,Lists!$J$2:$J$9,0)),I262,"")))</f>
        <v/>
      </c>
      <c r="Q262" s="45" t="b">
        <f>IF(I262="Required",0,IF(ISNUMBER(MATCH(J262,Lists!$I$2:$I$4,0)),L262))</f>
        <v>0</v>
      </c>
      <c r="R262" s="45" t="b">
        <f>IF(I262="Required",0,IF(ISNUMBER(MATCH(J262,Lists!$K$2:$K$7,0)),L262))</f>
        <v>0</v>
      </c>
      <c r="S262" s="45" t="b">
        <f>IF(I262="Required",0,IF(ISNUMBER(MATCH(J262,Lists!$G$2:$G$4,0)),L262))</f>
        <v>0</v>
      </c>
      <c r="T262" s="45" t="b">
        <f>IF(I262="Required",0,IF(ISNUMBER(MATCH(J262,Lists!$G$7:$G$8,0)),L262))</f>
        <v>0</v>
      </c>
      <c r="U262" s="45" t="b">
        <f>IF(I262="Required",0,IF(ISNUMBER(MATCH(J262,Lists!$H$2:$H$4,0)),K262))</f>
        <v>0</v>
      </c>
      <c r="V262" s="45">
        <f t="shared" si="29"/>
        <v>0</v>
      </c>
      <c r="W262" s="45">
        <f t="shared" si="30"/>
        <v>0</v>
      </c>
    </row>
    <row r="263" spans="1:23" ht="21" customHeight="1" thickBot="1">
      <c r="A263" s="272" t="s">
        <v>23</v>
      </c>
      <c r="B263" s="44"/>
      <c r="C263" s="841"/>
      <c r="D263" s="306" t="s">
        <v>23</v>
      </c>
      <c r="E263" s="200" t="s">
        <v>208</v>
      </c>
      <c r="F263" s="304" t="s">
        <v>503</v>
      </c>
      <c r="G263" s="305">
        <f>'Review Comments'!F289</f>
        <v>0</v>
      </c>
      <c r="H263" s="305" t="str">
        <f>'Review Comments'!G289</f>
        <v>No</v>
      </c>
      <c r="I263" s="305" t="str">
        <f t="shared" si="33"/>
        <v/>
      </c>
      <c r="J263" s="323" t="str">
        <f>IF('Review Comments'!H289=0,"",'Review Comments'!H289)</f>
        <v>Not Attempted</v>
      </c>
      <c r="K263" s="305" t="str">
        <f>IF(I263="Required","Required",IF(ISNUMBER(MATCH(J263,Lists!$H$2:$H$9,0)),I263,""))</f>
        <v/>
      </c>
      <c r="L263" s="371" t="str">
        <f>IF(I263="Required","Required",IF(ISNUMBER(MATCH(J263,Lists!$I$2:$I$9,0)),I263,IF(ISNUMBER(MATCH(J263,Lists!$J$2:$J$9,0)),I263,"")))</f>
        <v/>
      </c>
      <c r="N263" s="185" t="s">
        <v>1050</v>
      </c>
      <c r="O263" s="52"/>
      <c r="Q263" s="45" t="b">
        <f>IF(I263="Required",0,IF(ISNUMBER(MATCH(J263,Lists!$I$2:$I$4,0)),L263))</f>
        <v>0</v>
      </c>
      <c r="R263" s="45" t="b">
        <f>IF(I263="Required",0,IF(ISNUMBER(MATCH(J263,Lists!$K$2:$K$7,0)),L263))</f>
        <v>0</v>
      </c>
      <c r="S263" s="45" t="b">
        <f>IF(I263="Required",0,IF(ISNUMBER(MATCH(J263,Lists!$G$2:$G$4,0)),L263))</f>
        <v>0</v>
      </c>
      <c r="T263" s="45" t="b">
        <f>IF(I263="Required",0,IF(ISNUMBER(MATCH(J263,Lists!$G$7:$G$8,0)),L263))</f>
        <v>0</v>
      </c>
      <c r="U263" s="45" t="b">
        <f>IF(I263="Required",0,IF(ISNUMBER(MATCH(J263,Lists!$H$2:$H$4,0)),K263))</f>
        <v>0</v>
      </c>
      <c r="V263" s="45">
        <f t="shared" si="29"/>
        <v>0</v>
      </c>
      <c r="W263" s="45">
        <f t="shared" si="30"/>
        <v>0</v>
      </c>
    </row>
    <row r="264" spans="1:23" ht="21" hidden="1" customHeight="1">
      <c r="A264" s="272" t="s">
        <v>23</v>
      </c>
      <c r="B264" s="44"/>
      <c r="C264" s="841"/>
      <c r="D264" s="410" t="s">
        <v>23</v>
      </c>
      <c r="E264" s="205" t="s">
        <v>360</v>
      </c>
      <c r="F264" s="372" t="s">
        <v>501</v>
      </c>
      <c r="G264" s="305">
        <f>'Review Comments'!F290</f>
        <v>0</v>
      </c>
      <c r="H264" s="305">
        <f>'Review Comments'!G290</f>
        <v>0</v>
      </c>
      <c r="I264" s="373" t="str">
        <f t="shared" si="33"/>
        <v/>
      </c>
      <c r="J264" s="374" t="str">
        <f>IF('Review Comments'!H290=0,"",'Review Comments'!H290)</f>
        <v/>
      </c>
      <c r="K264" s="373" t="str">
        <f>IF(I264="Required","Required",IF(ISNUMBER(MATCH(J264,Lists!$H$2:$H$9,0)),I264,""))</f>
        <v/>
      </c>
      <c r="L264" s="375" t="str">
        <f>IF(I264="Required","Required",IF(ISNUMBER(MATCH(J264,Lists!$I$2:$I$9,0)),I264,IF(ISNUMBER(MATCH(J264,Lists!$J$2:$J$9,0)),I264,"")))</f>
        <v/>
      </c>
      <c r="Q264" s="45" t="b">
        <f>IF(I264="Required",0,IF(ISNUMBER(MATCH(J264,Lists!$I$2:$I$4,0)),L264))</f>
        <v>0</v>
      </c>
      <c r="R264" s="45" t="b">
        <f>IF(I264="Required",0,IF(ISNUMBER(MATCH(J264,Lists!$K$2:$K$7,0)),L264))</f>
        <v>0</v>
      </c>
      <c r="S264" s="45" t="b">
        <f>IF(I264="Required",0,IF(ISNUMBER(MATCH(J264,Lists!$G$2:$G$4,0)),L264))</f>
        <v>0</v>
      </c>
      <c r="T264" s="45" t="b">
        <f>IF(I264="Required",0,IF(ISNUMBER(MATCH(J264,Lists!$G$7:$G$8,0)),L264))</f>
        <v>0</v>
      </c>
      <c r="U264" s="45" t="b">
        <f>IF(I264="Required",0,IF(ISNUMBER(MATCH(J264,Lists!$H$2:$H$4,0)),K264))</f>
        <v>0</v>
      </c>
      <c r="V264" s="45">
        <f t="shared" si="29"/>
        <v>0</v>
      </c>
      <c r="W264" s="45">
        <f t="shared" si="30"/>
        <v>0</v>
      </c>
    </row>
    <row r="265" spans="1:23" ht="21" hidden="1" customHeight="1">
      <c r="A265" s="272" t="s">
        <v>23</v>
      </c>
      <c r="B265" s="44"/>
      <c r="C265" s="841"/>
      <c r="D265" s="804" t="s">
        <v>23</v>
      </c>
      <c r="E265" s="806" t="s">
        <v>504</v>
      </c>
      <c r="F265" s="304" t="s">
        <v>502</v>
      </c>
      <c r="G265" s="305">
        <f>'Review Comments'!F291</f>
        <v>0</v>
      </c>
      <c r="H265" s="305">
        <f>'Review Comments'!G291</f>
        <v>0</v>
      </c>
      <c r="I265" s="305" t="str">
        <f t="shared" si="33"/>
        <v/>
      </c>
      <c r="J265" s="323" t="str">
        <f>IF('Review Comments'!H291=0,"",'Review Comments'!H291)</f>
        <v/>
      </c>
      <c r="K265" s="305" t="str">
        <f>IF(I265="Required","Required",IF(ISNUMBER(MATCH(J265,Lists!$H$2:$H$9,0)),I265,""))</f>
        <v/>
      </c>
      <c r="L265" s="371" t="str">
        <f>IF(I265="Required","Required",IF(ISNUMBER(MATCH(J265,Lists!$I$2:$I$9,0)),I265,IF(ISNUMBER(MATCH(J265,Lists!$J$2:$J$9,0)),I265,"")))</f>
        <v/>
      </c>
      <c r="Q265" s="45" t="b">
        <f>IF(I265="Required",0,IF(ISNUMBER(MATCH(J265,Lists!$I$2:$I$4,0)),L265))</f>
        <v>0</v>
      </c>
      <c r="R265" s="45" t="b">
        <f>IF(I265="Required",0,IF(ISNUMBER(MATCH(J265,Lists!$K$2:$K$7,0)),L265))</f>
        <v>0</v>
      </c>
      <c r="S265" s="45" t="b">
        <f>IF(I265="Required",0,IF(ISNUMBER(MATCH(J265,Lists!$G$2:$G$4,0)),L265))</f>
        <v>0</v>
      </c>
      <c r="T265" s="45" t="b">
        <f>IF(I265="Required",0,IF(ISNUMBER(MATCH(J265,Lists!$G$7:$G$8,0)),L265))</f>
        <v>0</v>
      </c>
      <c r="U265" s="45" t="b">
        <f>IF(I265="Required",0,IF(ISNUMBER(MATCH(J265,Lists!$H$2:$H$4,0)),K265))</f>
        <v>0</v>
      </c>
      <c r="V265" s="45">
        <f t="shared" si="29"/>
        <v>0</v>
      </c>
      <c r="W265" s="45">
        <f t="shared" si="30"/>
        <v>0</v>
      </c>
    </row>
    <row r="266" spans="1:23" ht="21" hidden="1" customHeight="1">
      <c r="A266" s="272" t="s">
        <v>23</v>
      </c>
      <c r="B266" s="44"/>
      <c r="C266" s="841"/>
      <c r="D266" s="804"/>
      <c r="E266" s="806"/>
      <c r="F266" s="304" t="s">
        <v>505</v>
      </c>
      <c r="G266" s="305">
        <f>'Review Comments'!F292</f>
        <v>0</v>
      </c>
      <c r="H266" s="305">
        <f>'Review Comments'!G292</f>
        <v>0</v>
      </c>
      <c r="I266" s="305" t="str">
        <f t="shared" si="33"/>
        <v/>
      </c>
      <c r="J266" s="323" t="str">
        <f>IF('Review Comments'!H292=0,"",'Review Comments'!H292)</f>
        <v/>
      </c>
      <c r="K266" s="305" t="str">
        <f>IF(I266="Required","Required",IF(ISNUMBER(MATCH(J266,Lists!$H$2:$H$9,0)),I266,""))</f>
        <v/>
      </c>
      <c r="L266" s="371" t="str">
        <f>IF(I266="Required","Required",IF(ISNUMBER(MATCH(J266,Lists!$I$2:$I$9,0)),I266,IF(ISNUMBER(MATCH(J266,Lists!$J$2:$J$9,0)),I266,"")))</f>
        <v/>
      </c>
      <c r="Q266" s="45" t="b">
        <f>IF(I266="Required",0,IF(ISNUMBER(MATCH(J266,Lists!$I$2:$I$4,0)),L266))</f>
        <v>0</v>
      </c>
      <c r="R266" s="45" t="b">
        <f>IF(I266="Required",0,IF(ISNUMBER(MATCH(J266,Lists!$K$2:$K$7,0)),L266))</f>
        <v>0</v>
      </c>
      <c r="S266" s="45" t="b">
        <f>IF(I266="Required",0,IF(ISNUMBER(MATCH(J266,Lists!$G$2:$G$4,0)),L266))</f>
        <v>0</v>
      </c>
      <c r="T266" s="45" t="b">
        <f>IF(I266="Required",0,IF(ISNUMBER(MATCH(J266,Lists!$G$7:$G$8,0)),L266))</f>
        <v>0</v>
      </c>
      <c r="U266" s="45" t="b">
        <f>IF(I266="Required",0,IF(ISNUMBER(MATCH(J266,Lists!$H$2:$H$4,0)),K266))</f>
        <v>0</v>
      </c>
      <c r="V266" s="45">
        <f t="shared" si="29"/>
        <v>0</v>
      </c>
      <c r="W266" s="45">
        <f t="shared" si="30"/>
        <v>0</v>
      </c>
    </row>
    <row r="267" spans="1:23" ht="21" hidden="1" customHeight="1">
      <c r="A267" s="272" t="s">
        <v>23</v>
      </c>
      <c r="B267" s="44"/>
      <c r="C267" s="841"/>
      <c r="D267" s="804"/>
      <c r="E267" s="806"/>
      <c r="F267" s="304" t="s">
        <v>506</v>
      </c>
      <c r="G267" s="305">
        <f>'Review Comments'!F293</f>
        <v>0</v>
      </c>
      <c r="H267" s="305">
        <f>'Review Comments'!G293</f>
        <v>0</v>
      </c>
      <c r="I267" s="305" t="str">
        <f t="shared" si="33"/>
        <v/>
      </c>
      <c r="J267" s="323" t="str">
        <f>IF('Review Comments'!H293=0,"",'Review Comments'!H293)</f>
        <v/>
      </c>
      <c r="K267" s="305" t="str">
        <f>IF(I267="Required","Required",IF(ISNUMBER(MATCH(J267,Lists!$H$2:$H$9,0)),I267,""))</f>
        <v/>
      </c>
      <c r="L267" s="371" t="str">
        <f>IF(I267="Required","Required",IF(ISNUMBER(MATCH(J267,Lists!$I$2:$I$9,0)),I267,IF(ISNUMBER(MATCH(J267,Lists!$J$2:$J$9,0)),I267,"")))</f>
        <v/>
      </c>
      <c r="Q267" s="45" t="b">
        <f>IF(I267="Required",0,IF(ISNUMBER(MATCH(J267,Lists!$I$2:$I$4,0)),L267))</f>
        <v>0</v>
      </c>
      <c r="R267" s="45" t="b">
        <f>IF(I267="Required",0,IF(ISNUMBER(MATCH(J267,Lists!$K$2:$K$7,0)),L267))</f>
        <v>0</v>
      </c>
      <c r="S267" s="45" t="b">
        <f>IF(I267="Required",0,IF(ISNUMBER(MATCH(J267,Lists!$G$2:$G$4,0)),L267))</f>
        <v>0</v>
      </c>
      <c r="T267" s="45" t="b">
        <f>IF(I267="Required",0,IF(ISNUMBER(MATCH(J267,Lists!$G$7:$G$8,0)),L267))</f>
        <v>0</v>
      </c>
      <c r="U267" s="45" t="b">
        <f>IF(I267="Required",0,IF(ISNUMBER(MATCH(J267,Lists!$H$2:$H$4,0)),K267))</f>
        <v>0</v>
      </c>
      <c r="V267" s="45">
        <f t="shared" si="29"/>
        <v>0</v>
      </c>
      <c r="W267" s="45">
        <f t="shared" si="30"/>
        <v>0</v>
      </c>
    </row>
    <row r="268" spans="1:23" ht="21" hidden="1" customHeight="1">
      <c r="A268" s="272" t="s">
        <v>23</v>
      </c>
      <c r="B268" s="44"/>
      <c r="C268" s="841"/>
      <c r="D268" s="807" t="s">
        <v>23</v>
      </c>
      <c r="E268" s="809" t="s">
        <v>507</v>
      </c>
      <c r="F268" s="304" t="s">
        <v>508</v>
      </c>
      <c r="G268" s="305">
        <f>'Review Comments'!F294</f>
        <v>0</v>
      </c>
      <c r="H268" s="305">
        <f>'Review Comments'!G294</f>
        <v>0</v>
      </c>
      <c r="I268" s="305" t="str">
        <f t="shared" si="33"/>
        <v/>
      </c>
      <c r="J268" s="323" t="str">
        <f>IF('Review Comments'!H294=0,"",'Review Comments'!H294)</f>
        <v/>
      </c>
      <c r="K268" s="305" t="str">
        <f>IF(I268="Required","Required",IF(ISNUMBER(MATCH(J268,Lists!$H$2:$H$9,0)),I268,""))</f>
        <v/>
      </c>
      <c r="L268" s="371" t="str">
        <f>IF(I268="Required","Required",IF(ISNUMBER(MATCH(J268,Lists!$I$2:$I$9,0)),I268,IF(ISNUMBER(MATCH(J268,Lists!$J$2:$J$9,0)),I268,"")))</f>
        <v/>
      </c>
      <c r="Q268" s="45" t="b">
        <f>IF(I268="Required",0,IF(ISNUMBER(MATCH(J268,Lists!$I$2:$I$4,0)),L268))</f>
        <v>0</v>
      </c>
      <c r="R268" s="45" t="b">
        <f>IF(I268="Required",0,IF(ISNUMBER(MATCH(J268,Lists!$K$2:$K$7,0)),L268))</f>
        <v>0</v>
      </c>
      <c r="S268" s="45" t="b">
        <f>IF(I268="Required",0,IF(ISNUMBER(MATCH(J268,Lists!$G$2:$G$4,0)),L268))</f>
        <v>0</v>
      </c>
      <c r="T268" s="45" t="b">
        <f>IF(I268="Required",0,IF(ISNUMBER(MATCH(J268,Lists!$G$7:$G$8,0)),L268))</f>
        <v>0</v>
      </c>
      <c r="U268" s="45" t="b">
        <f>IF(I268="Required",0,IF(ISNUMBER(MATCH(J268,Lists!$H$2:$H$4,0)),K268))</f>
        <v>0</v>
      </c>
      <c r="V268" s="45">
        <f t="shared" si="29"/>
        <v>0</v>
      </c>
      <c r="W268" s="45">
        <f t="shared" si="30"/>
        <v>0</v>
      </c>
    </row>
    <row r="269" spans="1:23" ht="21" hidden="1" customHeight="1">
      <c r="A269" s="272" t="s">
        <v>23</v>
      </c>
      <c r="B269" s="44"/>
      <c r="C269" s="841"/>
      <c r="D269" s="808"/>
      <c r="E269" s="810"/>
      <c r="F269" s="304" t="s">
        <v>508</v>
      </c>
      <c r="G269" s="305">
        <f>'Review Comments'!F295</f>
        <v>0</v>
      </c>
      <c r="H269" s="305">
        <f>'Review Comments'!G295</f>
        <v>0</v>
      </c>
      <c r="I269" s="305" t="str">
        <f t="shared" ref="I269:I270" si="34">IF(H269="Yes",G269,IF(H269="Required","Required",""))</f>
        <v/>
      </c>
      <c r="J269" s="323" t="str">
        <f>IF('Review Comments'!H295=0,"",'Review Comments'!H295)</f>
        <v/>
      </c>
      <c r="K269" s="305" t="str">
        <f>IF(I269="Required","Required",IF(ISNUMBER(MATCH(J269,Lists!$H$2:$H$9,0)),I269,""))</f>
        <v/>
      </c>
      <c r="L269" s="371" t="str">
        <f>IF(I269="Required","Required",IF(ISNUMBER(MATCH(J269,Lists!$I$2:$I$9,0)),I269,IF(ISNUMBER(MATCH(J269,Lists!$J$2:$J$9,0)),I269,"")))</f>
        <v/>
      </c>
      <c r="Q269" s="45" t="b">
        <f>IF(I269="Required",0,IF(ISNUMBER(MATCH(J269,Lists!$I$2:$I$4,0)),L269))</f>
        <v>0</v>
      </c>
      <c r="R269" s="45" t="b">
        <f>IF(I269="Required",0,IF(ISNUMBER(MATCH(J269,Lists!$K$2:$K$7,0)),L269))</f>
        <v>0</v>
      </c>
      <c r="S269" s="45" t="b">
        <f>IF(I269="Required",0,IF(ISNUMBER(MATCH(J269,Lists!$G$2:$G$4,0)),L269))</f>
        <v>0</v>
      </c>
      <c r="T269" s="45" t="b">
        <f>IF(I269="Required",0,IF(ISNUMBER(MATCH(J269,Lists!$G$7:$G$8,0)),L269))</f>
        <v>0</v>
      </c>
      <c r="U269" s="45" t="b">
        <f>IF(I269="Required",0,IF(ISNUMBER(MATCH(J269,Lists!$H$2:$H$4,0)),K269))</f>
        <v>0</v>
      </c>
      <c r="V269" s="45">
        <f t="shared" ref="V269" si="35">IF(A269="P",IF(IFERROR(SEARCH("Pending Documentation",J269),0)&gt;0,IF(I269="Required",1,I269),0),0)</f>
        <v>0</v>
      </c>
      <c r="W269" s="45">
        <f t="shared" ref="W269" si="36">IF(A269="P",IF(IFERROR(SEARCH("Pending On-site Assessment",J269),0)&gt;0,IF(I269="Required",1,I269),0),0)</f>
        <v>0</v>
      </c>
    </row>
    <row r="270" spans="1:23" ht="21" hidden="1" customHeight="1" thickBot="1">
      <c r="A270" s="272" t="s">
        <v>23</v>
      </c>
      <c r="B270" s="44"/>
      <c r="C270" s="841"/>
      <c r="D270" s="410" t="s">
        <v>23</v>
      </c>
      <c r="E270" s="204" t="s">
        <v>1051</v>
      </c>
      <c r="F270" s="333" t="s">
        <v>1053</v>
      </c>
      <c r="G270" s="309">
        <f>'Review Comments'!F296</f>
        <v>0</v>
      </c>
      <c r="H270" s="309">
        <f>'Review Comments'!G296</f>
        <v>0</v>
      </c>
      <c r="I270" s="309" t="str">
        <f t="shared" si="34"/>
        <v/>
      </c>
      <c r="J270" s="334" t="str">
        <f>IF('Review Comments'!H296=0,"",'Review Comments'!H296)</f>
        <v/>
      </c>
      <c r="K270" s="309" t="str">
        <f>IF(I270="Required","Required",IF(ISNUMBER(MATCH(J270,Lists!$H$2:$H$9,0)),I270,""))</f>
        <v/>
      </c>
      <c r="L270" s="376" t="str">
        <f>IF(I270="Required","Required",IF(ISNUMBER(MATCH(J270,Lists!$I$2:$I$9,0)),I270,IF(ISNUMBER(MATCH(J270,Lists!$J$2:$J$9,0)),I270,"")))</f>
        <v/>
      </c>
      <c r="Q270" s="45" t="b">
        <f>IF(I270="Required",0,IF(ISNUMBER(MATCH(J270,Lists!$I$2:$I$4,0)),L270))</f>
        <v>0</v>
      </c>
      <c r="R270" s="45" t="b">
        <f>IF(I270="Required",0,IF(ISNUMBER(MATCH(J270,Lists!$K$2:$K$7,0)),L270))</f>
        <v>0</v>
      </c>
      <c r="S270" s="45" t="b">
        <f>IF(I270="Required",0,IF(ISNUMBER(MATCH(J270,Lists!$G$2:$G$4,0)),L270))</f>
        <v>0</v>
      </c>
      <c r="T270" s="45" t="b">
        <f>IF(I270="Required",0,IF(ISNUMBER(MATCH(J270,Lists!$G$7:$G$8,0)),L270))</f>
        <v>0</v>
      </c>
      <c r="U270" s="45" t="b">
        <f>IF(I270="Required",0,IF(ISNUMBER(MATCH(J270,Lists!$H$2:$H$4,0)),K270))</f>
        <v>0</v>
      </c>
      <c r="V270" s="45">
        <f t="shared" si="29"/>
        <v>0</v>
      </c>
      <c r="W270" s="45">
        <f t="shared" si="30"/>
        <v>0</v>
      </c>
    </row>
    <row r="271" spans="1:23" s="175" customFormat="1" ht="16.2" customHeight="1">
      <c r="A271" s="411"/>
      <c r="B271" s="174"/>
      <c r="C271" s="412"/>
      <c r="D271" s="413"/>
      <c r="E271" s="414"/>
      <c r="F271" s="415"/>
      <c r="G271" s="416">
        <f>SUM(G227:G270)</f>
        <v>4</v>
      </c>
      <c r="H271" s="413"/>
      <c r="I271" s="417">
        <f>SUM(I227:I270)</f>
        <v>4</v>
      </c>
      <c r="J271" s="418"/>
      <c r="K271" s="417">
        <f>SUM(K227:K270)</f>
        <v>4</v>
      </c>
      <c r="L271" s="419">
        <f>SUM(L227:L270)</f>
        <v>0</v>
      </c>
      <c r="Q271" s="175" t="b">
        <f>IF(I271="Required",0,IF(ISNUMBER(MATCH(J271,Lists!$I$2:$I$4,0)),L271))</f>
        <v>0</v>
      </c>
      <c r="R271" s="175" t="b">
        <f>IF(I271="Required",0,IF(ISNUMBER(MATCH(J271,Lists!$K$2:$K$7,0)),L271))</f>
        <v>0</v>
      </c>
      <c r="S271" s="175" t="b">
        <f>IF(I271="Required",0,IF(ISNUMBER(MATCH(J271,Lists!$G$2:$G$4,0)),L271))</f>
        <v>0</v>
      </c>
      <c r="T271" s="175" t="b">
        <f>IF(I271="Required",0,IF(ISNUMBER(MATCH(J271,Lists!$G$7:$G$8,0)),L271))</f>
        <v>0</v>
      </c>
      <c r="U271" s="175" t="b">
        <f>IF(I271="Required",0,IF(ISNUMBER(MATCH(J271,Lists!$H$2:$H$4,0)),K271))</f>
        <v>0</v>
      </c>
      <c r="V271" s="175">
        <f t="shared" si="29"/>
        <v>0</v>
      </c>
      <c r="W271" s="45">
        <f t="shared" ref="W271:W285" si="37">IF(A271="P",IF(IFERROR(SEARCH("Pending On-site Assessment",J271),0)&gt;0,IF(I271="Required",1,I271),0),0)</f>
        <v>0</v>
      </c>
    </row>
    <row r="272" spans="1:23" ht="6.6" customHeight="1" thickBot="1">
      <c r="A272" s="294"/>
      <c r="B272" s="44"/>
      <c r="C272" s="295"/>
      <c r="D272" s="294"/>
      <c r="E272" s="296"/>
      <c r="F272" s="297"/>
      <c r="G272" s="298"/>
      <c r="H272" s="298"/>
      <c r="I272" s="298"/>
      <c r="J272" s="299"/>
      <c r="K272" s="298"/>
      <c r="L272" s="300"/>
      <c r="Q272" s="45" t="b">
        <f>IF(I272="Required",0,IF(ISNUMBER(MATCH(J272,Lists!$I$2:$I$4,0)),L272))</f>
        <v>0</v>
      </c>
      <c r="R272" s="45" t="b">
        <f>IF(I272="Required",0,IF(ISNUMBER(MATCH(J272,Lists!$K$2:$K$7,0)),L272))</f>
        <v>0</v>
      </c>
      <c r="S272" s="45" t="b">
        <f>IF(I272="Required",0,IF(ISNUMBER(MATCH(J272,Lists!$G$2:$G$4,0)),L272))</f>
        <v>0</v>
      </c>
      <c r="T272" s="45" t="b">
        <f>IF(I272="Required",0,IF(ISNUMBER(MATCH(J272,Lists!$G$7:$G$8,0)),L272))</f>
        <v>0</v>
      </c>
      <c r="U272" s="45" t="b">
        <f>IF(I272="Required",0,IF(ISNUMBER(MATCH(J272,Lists!$H$2:$H$4,0)),K272))</f>
        <v>0</v>
      </c>
      <c r="V272" s="45">
        <f t="shared" si="29"/>
        <v>0</v>
      </c>
      <c r="W272" s="45">
        <f t="shared" si="37"/>
        <v>0</v>
      </c>
    </row>
    <row r="273" spans="1:23" ht="21" customHeight="1">
      <c r="A273" s="272" t="s">
        <v>23</v>
      </c>
      <c r="B273" s="44"/>
      <c r="C273" s="846" t="s">
        <v>209</v>
      </c>
      <c r="D273" s="420" t="s">
        <v>23</v>
      </c>
      <c r="E273" s="203" t="s">
        <v>210</v>
      </c>
      <c r="F273" s="273" t="s">
        <v>676</v>
      </c>
      <c r="G273" s="274"/>
      <c r="H273" s="274" t="str">
        <f>'Review Comments'!G302</f>
        <v>Yes</v>
      </c>
      <c r="I273" s="274">
        <f>IF(H273="Yes",SUM(G274:G281),IF(H273="Required","Required",""))</f>
        <v>0</v>
      </c>
      <c r="J273" s="397" t="str">
        <f>IF('Review Comments'!H302="Achieved","Achieved",IF(H273&lt;&gt;"",IF(H273="No",'Review Comments'!H302,IF(H273=0,"","See Review Comments for Individual Part Status"))))</f>
        <v>See Review Comments for Individual Part Status</v>
      </c>
      <c r="K273" s="275" t="str">
        <f>IF(SUM(K274:K281) = 0,"",SUM(K274:K281))</f>
        <v/>
      </c>
      <c r="L273" s="421" t="str">
        <f>IF(SUM(L274:L281) = 0,"",SUM(L274:L281))</f>
        <v/>
      </c>
      <c r="V273" s="45">
        <f t="shared" si="29"/>
        <v>0</v>
      </c>
      <c r="W273" s="45">
        <f t="shared" si="37"/>
        <v>0</v>
      </c>
    </row>
    <row r="274" spans="1:23" ht="21" hidden="1" customHeight="1">
      <c r="A274" s="272"/>
      <c r="B274" s="44"/>
      <c r="C274" s="847"/>
      <c r="D274" s="422"/>
      <c r="E274" s="55"/>
      <c r="F274" s="423"/>
      <c r="G274" s="278">
        <f>'Review Comments'!F303</f>
        <v>0</v>
      </c>
      <c r="H274" s="278" t="str">
        <f>'Review Comments'!G303</f>
        <v>No</v>
      </c>
      <c r="I274" s="278" t="str">
        <f t="shared" ref="I274:I281" si="38">IF(H274="Yes",G274,IF(H274="Required","Required",""))</f>
        <v/>
      </c>
      <c r="J274" s="398" t="str">
        <f>IF('Review Comments'!H303=0,"",'Review Comments'!H303)</f>
        <v>Withdrawn</v>
      </c>
      <c r="K274" s="278" t="str">
        <f>IF(I274="Required","Required",IF(ISNUMBER(MATCH(J274,Lists!$H$2:$H$9,0)),I274,""))</f>
        <v/>
      </c>
      <c r="L274" s="280" t="str">
        <f>IF(I274="Required","Required",IF(ISNUMBER(MATCH(J274,Lists!$I$2:$I$9,0)),I274,IF(ISNUMBER(MATCH(J274,Lists!$J$2:$J$9,0)),I274,"")))</f>
        <v/>
      </c>
      <c r="Q274" s="45" t="b">
        <f>IF(I274="Required",0,IF(ISNUMBER(MATCH(J274,Lists!$I$2:$I$4,0)),L274))</f>
        <v>0</v>
      </c>
      <c r="R274" s="45" t="b">
        <f>IF(I274="Required",0,IF(ISNUMBER(MATCH(J274,Lists!$K$2:$K$7,0)),L274))</f>
        <v>0</v>
      </c>
      <c r="S274" s="45" t="b">
        <f>IF(I274="Required",0,IF(ISNUMBER(MATCH(J274,Lists!$G$2:$G$4,0)),L274))</f>
        <v>0</v>
      </c>
      <c r="T274" s="45" t="b">
        <f>IF(I274="Required",0,IF(ISNUMBER(MATCH(J274,Lists!$G$7:$G$8,0)),L274))</f>
        <v>0</v>
      </c>
      <c r="U274" s="45" t="b">
        <f>IF(I274="Required",0,IF(ISNUMBER(MATCH(J274,Lists!$H$2:$H$4,0)),K274))</f>
        <v>0</v>
      </c>
      <c r="W274" s="45">
        <f t="shared" si="37"/>
        <v>0</v>
      </c>
    </row>
    <row r="275" spans="1:23" ht="21" hidden="1" customHeight="1">
      <c r="A275" s="272"/>
      <c r="B275" s="44"/>
      <c r="C275" s="847"/>
      <c r="D275" s="422"/>
      <c r="E275" s="55"/>
      <c r="F275" s="423"/>
      <c r="G275" s="278">
        <f>'Review Comments'!F304</f>
        <v>0</v>
      </c>
      <c r="H275" s="278">
        <f>'Review Comments'!G304</f>
        <v>0</v>
      </c>
      <c r="I275" s="278" t="str">
        <f t="shared" si="38"/>
        <v/>
      </c>
      <c r="J275" s="398" t="str">
        <f>IF('Review Comments'!H304=0,"",'Review Comments'!H304)</f>
        <v/>
      </c>
      <c r="K275" s="278" t="str">
        <f>IF(I275="Required","Required",IF(ISNUMBER(MATCH(J275,Lists!$H$2:$H$9,0)),I275,""))</f>
        <v/>
      </c>
      <c r="L275" s="280" t="str">
        <f>IF(I275="Required","Required",IF(ISNUMBER(MATCH(J275,Lists!$I$2:$I$9,0)),I275,IF(ISNUMBER(MATCH(J275,Lists!$J$2:$J$9,0)),I275,"")))</f>
        <v/>
      </c>
      <c r="Q275" s="45" t="b">
        <f>IF(I275="Required",0,IF(ISNUMBER(MATCH(J275,Lists!$I$2:$I$4,0)),L275))</f>
        <v>0</v>
      </c>
      <c r="R275" s="45" t="b">
        <f>IF(I275="Required",0,IF(ISNUMBER(MATCH(J275,Lists!$K$2:$K$7,0)),L275))</f>
        <v>0</v>
      </c>
      <c r="S275" s="45" t="b">
        <f>IF(I275="Required",0,IF(ISNUMBER(MATCH(J275,Lists!$G$2:$G$4,0)),L275))</f>
        <v>0</v>
      </c>
      <c r="T275" s="45" t="b">
        <f>IF(I275="Required",0,IF(ISNUMBER(MATCH(J275,Lists!$G$7:$G$8,0)),L275))</f>
        <v>0</v>
      </c>
      <c r="U275" s="45" t="b">
        <f>IF(I275="Required",0,IF(ISNUMBER(MATCH(J275,Lists!$H$2:$H$4,0)),K275))</f>
        <v>0</v>
      </c>
      <c r="W275" s="45">
        <f t="shared" si="37"/>
        <v>0</v>
      </c>
    </row>
    <row r="276" spans="1:23" ht="21" hidden="1" customHeight="1">
      <c r="A276" s="272"/>
      <c r="B276" s="44"/>
      <c r="C276" s="847"/>
      <c r="D276" s="422"/>
      <c r="E276" s="55"/>
      <c r="F276" s="423"/>
      <c r="G276" s="278">
        <f>'Review Comments'!F305</f>
        <v>0</v>
      </c>
      <c r="H276" s="278">
        <f>'Review Comments'!G305</f>
        <v>0</v>
      </c>
      <c r="I276" s="278" t="str">
        <f t="shared" si="38"/>
        <v/>
      </c>
      <c r="J276" s="398" t="str">
        <f>IF('Review Comments'!H305=0,"",'Review Comments'!H305)</f>
        <v/>
      </c>
      <c r="K276" s="278" t="str">
        <f>IF(I276="Required","Required",IF(ISNUMBER(MATCH(J276,Lists!$H$2:$H$9,0)),I276,""))</f>
        <v/>
      </c>
      <c r="L276" s="280" t="str">
        <f>IF(I276="Required","Required",IF(ISNUMBER(MATCH(J276,Lists!$I$2:$I$9,0)),I276,IF(ISNUMBER(MATCH(J276,Lists!$J$2:$J$9,0)),I276,"")))</f>
        <v/>
      </c>
      <c r="Q276" s="45" t="b">
        <f>IF(I276="Required",0,IF(ISNUMBER(MATCH(J276,Lists!$I$2:$I$4,0)),L276))</f>
        <v>0</v>
      </c>
      <c r="R276" s="45" t="b">
        <f>IF(I276="Required",0,IF(ISNUMBER(MATCH(J276,Lists!$K$2:$K$7,0)),L276))</f>
        <v>0</v>
      </c>
      <c r="S276" s="45" t="b">
        <f>IF(I276="Required",0,IF(ISNUMBER(MATCH(J276,Lists!$G$2:$G$4,0)),L276))</f>
        <v>0</v>
      </c>
      <c r="T276" s="45" t="b">
        <f>IF(I276="Required",0,IF(ISNUMBER(MATCH(J276,Lists!$G$7:$G$8,0)),L276))</f>
        <v>0</v>
      </c>
      <c r="U276" s="45" t="b">
        <f>IF(I276="Required",0,IF(ISNUMBER(MATCH(J276,Lists!$H$2:$H$4,0)),K276))</f>
        <v>0</v>
      </c>
      <c r="W276" s="45">
        <f t="shared" si="37"/>
        <v>0</v>
      </c>
    </row>
    <row r="277" spans="1:23" ht="21" hidden="1" customHeight="1">
      <c r="A277" s="272"/>
      <c r="B277" s="44"/>
      <c r="C277" s="847"/>
      <c r="D277" s="422"/>
      <c r="E277" s="55"/>
      <c r="F277" s="423"/>
      <c r="G277" s="278">
        <f>'Review Comments'!F306</f>
        <v>0</v>
      </c>
      <c r="H277" s="278">
        <f>'Review Comments'!G306</f>
        <v>0</v>
      </c>
      <c r="I277" s="278" t="str">
        <f t="shared" si="38"/>
        <v/>
      </c>
      <c r="J277" s="398" t="str">
        <f>IF('Review Comments'!H306=0,"",'Review Comments'!H306)</f>
        <v/>
      </c>
      <c r="K277" s="278" t="str">
        <f>IF(I277="Required","Required",IF(ISNUMBER(MATCH(J277,Lists!$H$2:$H$9,0)),I277,""))</f>
        <v/>
      </c>
      <c r="L277" s="280" t="str">
        <f>IF(I277="Required","Required",IF(ISNUMBER(MATCH(J277,Lists!$I$2:$I$9,0)),I277,IF(ISNUMBER(MATCH(J277,Lists!$J$2:$J$9,0)),I277,"")))</f>
        <v/>
      </c>
      <c r="Q277" s="45" t="b">
        <f>IF(I277="Required",0,IF(ISNUMBER(MATCH(J277,Lists!$I$2:$I$4,0)),L277))</f>
        <v>0</v>
      </c>
      <c r="R277" s="45" t="b">
        <f>IF(I277="Required",0,IF(ISNUMBER(MATCH(J277,Lists!$K$2:$K$7,0)),L277))</f>
        <v>0</v>
      </c>
      <c r="S277" s="45" t="b">
        <f>IF(I277="Required",0,IF(ISNUMBER(MATCH(J277,Lists!$G$2:$G$4,0)),L277))</f>
        <v>0</v>
      </c>
      <c r="T277" s="45" t="b">
        <f>IF(I277="Required",0,IF(ISNUMBER(MATCH(J277,Lists!$G$7:$G$8,0)),L277))</f>
        <v>0</v>
      </c>
      <c r="U277" s="45" t="b">
        <f>IF(I277="Required",0,IF(ISNUMBER(MATCH(J277,Lists!$H$2:$H$4,0)),K277))</f>
        <v>0</v>
      </c>
      <c r="W277" s="45">
        <f t="shared" si="37"/>
        <v>0</v>
      </c>
    </row>
    <row r="278" spans="1:23" ht="21" hidden="1" customHeight="1">
      <c r="A278" s="272"/>
      <c r="B278" s="44"/>
      <c r="C278" s="847"/>
      <c r="D278" s="422"/>
      <c r="E278" s="55"/>
      <c r="F278" s="423"/>
      <c r="G278" s="278">
        <f>'Review Comments'!F307</f>
        <v>0</v>
      </c>
      <c r="H278" s="278">
        <f>'Review Comments'!G307</f>
        <v>0</v>
      </c>
      <c r="I278" s="278" t="str">
        <f t="shared" si="38"/>
        <v/>
      </c>
      <c r="J278" s="398" t="str">
        <f>IF('Review Comments'!H307=0,"",'Review Comments'!H307)</f>
        <v/>
      </c>
      <c r="K278" s="278" t="str">
        <f>IF(I278="Required","Required",IF(ISNUMBER(MATCH(J278,Lists!$H$2:$H$9,0)),I278,""))</f>
        <v/>
      </c>
      <c r="L278" s="280" t="str">
        <f>IF(I278="Required","Required",IF(ISNUMBER(MATCH(J278,Lists!$I$2:$I$9,0)),I278,IF(ISNUMBER(MATCH(J278,Lists!$J$2:$J$9,0)),I278,"")))</f>
        <v/>
      </c>
      <c r="Q278" s="45" t="b">
        <f>IF(I278="Required",0,IF(ISNUMBER(MATCH(J278,Lists!$I$2:$I$4,0)),L278))</f>
        <v>0</v>
      </c>
      <c r="R278" s="45" t="b">
        <f>IF(I278="Required",0,IF(ISNUMBER(MATCH(J278,Lists!$K$2:$K$7,0)),L278))</f>
        <v>0</v>
      </c>
      <c r="S278" s="45" t="b">
        <f>IF(I278="Required",0,IF(ISNUMBER(MATCH(J278,Lists!$G$2:$G$4,0)),L278))</f>
        <v>0</v>
      </c>
      <c r="T278" s="45" t="b">
        <f>IF(I278="Required",0,IF(ISNUMBER(MATCH(J278,Lists!$G$7:$G$8,0)),L278))</f>
        <v>0</v>
      </c>
      <c r="U278" s="45" t="b">
        <f>IF(I278="Required",0,IF(ISNUMBER(MATCH(J278,Lists!$H$2:$H$4,0)),K278))</f>
        <v>0</v>
      </c>
      <c r="W278" s="45">
        <f t="shared" si="37"/>
        <v>0</v>
      </c>
    </row>
    <row r="279" spans="1:23" ht="21" hidden="1" customHeight="1">
      <c r="A279" s="272"/>
      <c r="B279" s="44"/>
      <c r="C279" s="847"/>
      <c r="D279" s="422"/>
      <c r="E279" s="55"/>
      <c r="F279" s="423"/>
      <c r="G279" s="278">
        <f>'Review Comments'!F308</f>
        <v>0</v>
      </c>
      <c r="H279" s="278">
        <f>'Review Comments'!G308</f>
        <v>0</v>
      </c>
      <c r="I279" s="278" t="str">
        <f t="shared" si="38"/>
        <v/>
      </c>
      <c r="J279" s="398" t="str">
        <f>IF('Review Comments'!H308=0,"",'Review Comments'!H308)</f>
        <v/>
      </c>
      <c r="K279" s="278" t="str">
        <f>IF(I279="Required","Required",IF(ISNUMBER(MATCH(J279,Lists!$H$2:$H$9,0)),I279,""))</f>
        <v/>
      </c>
      <c r="L279" s="280" t="str">
        <f>IF(I279="Required","Required",IF(ISNUMBER(MATCH(J279,Lists!$I$2:$I$9,0)),I279,IF(ISNUMBER(MATCH(J279,Lists!$J$2:$J$9,0)),I279,"")))</f>
        <v/>
      </c>
      <c r="Q279" s="45" t="b">
        <f>IF(I279="Required",0,IF(ISNUMBER(MATCH(J279,Lists!$I$2:$I$4,0)),L279))</f>
        <v>0</v>
      </c>
      <c r="R279" s="45" t="b">
        <f>IF(I279="Required",0,IF(ISNUMBER(MATCH(J279,Lists!$K$2:$K$7,0)),L279))</f>
        <v>0</v>
      </c>
      <c r="S279" s="45" t="b">
        <f>IF(I279="Required",0,IF(ISNUMBER(MATCH(J279,Lists!$G$2:$G$4,0)),L279))</f>
        <v>0</v>
      </c>
      <c r="T279" s="45" t="b">
        <f>IF(I279="Required",0,IF(ISNUMBER(MATCH(J279,Lists!$G$7:$G$8,0)),L279))</f>
        <v>0</v>
      </c>
      <c r="U279" s="45" t="b">
        <f>IF(I279="Required",0,IF(ISNUMBER(MATCH(J279,Lists!$H$2:$H$4,0)),K279))</f>
        <v>0</v>
      </c>
      <c r="W279" s="45">
        <f t="shared" si="37"/>
        <v>0</v>
      </c>
    </row>
    <row r="280" spans="1:23" ht="21" hidden="1" customHeight="1">
      <c r="A280" s="272"/>
      <c r="B280" s="44"/>
      <c r="C280" s="847"/>
      <c r="D280" s="422"/>
      <c r="E280" s="55"/>
      <c r="F280" s="423"/>
      <c r="G280" s="278">
        <f>'Review Comments'!F309</f>
        <v>0</v>
      </c>
      <c r="H280" s="278">
        <f>'Review Comments'!G309</f>
        <v>0</v>
      </c>
      <c r="I280" s="278" t="str">
        <f t="shared" si="38"/>
        <v/>
      </c>
      <c r="J280" s="398" t="str">
        <f>IF('Review Comments'!H309=0,"",'Review Comments'!H309)</f>
        <v/>
      </c>
      <c r="K280" s="278" t="str">
        <f>IF(I280="Required","Required",IF(ISNUMBER(MATCH(J280,Lists!$H$2:$H$9,0)),I280,""))</f>
        <v/>
      </c>
      <c r="L280" s="280" t="str">
        <f>IF(I280="Required","Required",IF(ISNUMBER(MATCH(J280,Lists!$I$2:$I$9,0)),I280,IF(ISNUMBER(MATCH(J280,Lists!$J$2:$J$9,0)),I280,"")))</f>
        <v/>
      </c>
      <c r="Q280" s="45" t="b">
        <f>IF(I280="Required",0,IF(ISNUMBER(MATCH(J280,Lists!$I$2:$I$4,0)),L280))</f>
        <v>0</v>
      </c>
      <c r="R280" s="45" t="b">
        <f>IF(I280="Required",0,IF(ISNUMBER(MATCH(J280,Lists!$K$2:$K$7,0)),L280))</f>
        <v>0</v>
      </c>
      <c r="S280" s="45" t="b">
        <f>IF(I280="Required",0,IF(ISNUMBER(MATCH(J280,Lists!$G$2:$G$4,0)),L280))</f>
        <v>0</v>
      </c>
      <c r="T280" s="45" t="b">
        <f>IF(I280="Required",0,IF(ISNUMBER(MATCH(J280,Lists!$G$7:$G$8,0)),L280))</f>
        <v>0</v>
      </c>
      <c r="U280" s="45" t="b">
        <f>IF(I280="Required",0,IF(ISNUMBER(MATCH(J280,Lists!$H$2:$H$4,0)),K280))</f>
        <v>0</v>
      </c>
      <c r="W280" s="45">
        <f t="shared" si="37"/>
        <v>0</v>
      </c>
    </row>
    <row r="281" spans="1:23" ht="21" hidden="1" customHeight="1">
      <c r="A281" s="272"/>
      <c r="B281" s="44"/>
      <c r="C281" s="847"/>
      <c r="D281" s="422"/>
      <c r="E281" s="55"/>
      <c r="F281" s="423"/>
      <c r="G281" s="278">
        <f>'Review Comments'!F310</f>
        <v>0</v>
      </c>
      <c r="H281" s="278">
        <f>'Review Comments'!G310</f>
        <v>0</v>
      </c>
      <c r="I281" s="278" t="str">
        <f t="shared" si="38"/>
        <v/>
      </c>
      <c r="J281" s="398" t="str">
        <f>IF('Review Comments'!H310=0,"",'Review Comments'!H310)</f>
        <v/>
      </c>
      <c r="K281" s="278" t="str">
        <f>IF(I281="Required","Required",IF(ISNUMBER(MATCH(J281,Lists!$H$2:$H$9,0)),I281,""))</f>
        <v/>
      </c>
      <c r="L281" s="280" t="str">
        <f>IF(I281="Required","Required",IF(ISNUMBER(MATCH(J281,Lists!$I$2:$I$9,0)),I281,IF(ISNUMBER(MATCH(J281,Lists!$J$2:$J$9,0)),I281,"")))</f>
        <v/>
      </c>
      <c r="Q281" s="45" t="b">
        <f>IF(I281="Required",0,IF(ISNUMBER(MATCH(J281,Lists!$I$2:$I$4,0)),L281))</f>
        <v>0</v>
      </c>
      <c r="R281" s="45" t="b">
        <f>IF(I281="Required",0,IF(ISNUMBER(MATCH(J281,Lists!$K$2:$K$7,0)),L281))</f>
        <v>0</v>
      </c>
      <c r="S281" s="45" t="b">
        <f>IF(I281="Required",0,IF(ISNUMBER(MATCH(J281,Lists!$G$2:$G$4,0)),L281))</f>
        <v>0</v>
      </c>
      <c r="T281" s="45" t="b">
        <f>IF(I281="Required",0,IF(ISNUMBER(MATCH(J281,Lists!$G$7:$G$8,0)),L281))</f>
        <v>0</v>
      </c>
      <c r="U281" s="45" t="b">
        <f>IF(I281="Required",0,IF(ISNUMBER(MATCH(J281,Lists!$H$2:$H$4,0)),K281))</f>
        <v>0</v>
      </c>
      <c r="W281" s="45">
        <f t="shared" si="37"/>
        <v>0</v>
      </c>
    </row>
    <row r="282" spans="1:23" ht="21" customHeight="1">
      <c r="A282" s="272" t="s">
        <v>23</v>
      </c>
      <c r="B282" s="44"/>
      <c r="C282" s="847"/>
      <c r="D282" s="281" t="s">
        <v>23</v>
      </c>
      <c r="E282" s="201" t="s">
        <v>211</v>
      </c>
      <c r="F282" s="277" t="s">
        <v>677</v>
      </c>
      <c r="G282" s="278">
        <f>'Review Comments'!F313</f>
        <v>1</v>
      </c>
      <c r="H282" s="278" t="str">
        <f>'Review Comments'!G313</f>
        <v>Yes</v>
      </c>
      <c r="I282" s="278">
        <f t="shared" ref="I282" si="39">IF(H282="Yes",G282,IF(H282="Required","Required",""))</f>
        <v>1</v>
      </c>
      <c r="J282" s="398" t="str">
        <f>IF('Review Comments'!H313=0,"",'Review Comments'!H313)</f>
        <v>Anticipated</v>
      </c>
      <c r="K282" s="279">
        <f>IF(I282="Required","Required",IF(ISNUMBER(MATCH(J282,Lists!$H$2:$H$9,0)),I282,""))</f>
        <v>1</v>
      </c>
      <c r="L282" s="280" t="str">
        <f>IF(I282="Required","Required",IF(ISNUMBER(MATCH(J282,Lists!$I$2:$I$9,0)),I282,IF(ISNUMBER(MATCH(J282,Lists!$J$2:$J$9,0)),I282,"")))</f>
        <v/>
      </c>
      <c r="Q282" s="45" t="b">
        <f>IF(I282="Required",0,IF(ISNUMBER(MATCH(J282,Lists!$I$2:$I$4,0)),L282))</f>
        <v>0</v>
      </c>
      <c r="R282" s="45" t="b">
        <f>IF(I282="Required",0,IF(ISNUMBER(MATCH(J282,Lists!$K$2:$K$7,0)),L282))</f>
        <v>0</v>
      </c>
      <c r="S282" s="45" t="b">
        <f>IF(I282="Required",0,IF(ISNUMBER(MATCH(J282,Lists!$G$2:$G$4,0)),L282))</f>
        <v>0</v>
      </c>
      <c r="T282" s="45" t="b">
        <f>IF(I282="Required",0,IF(ISNUMBER(MATCH(J282,Lists!$G$7:$G$8,0)),L282))</f>
        <v>0</v>
      </c>
      <c r="U282" s="45">
        <f>IF(I282="Required",0,IF(ISNUMBER(MATCH(J282,Lists!$H$2:$H$4,0)),K282))</f>
        <v>1</v>
      </c>
      <c r="V282" s="45">
        <f t="shared" ref="V282:V285" si="40">IF(A282="P",IF(IFERROR(SEARCH("Pending Documentation",J282),0)&gt;0,IF(I282="Required",1,I282),0),0)</f>
        <v>0</v>
      </c>
      <c r="W282" s="45">
        <f t="shared" si="37"/>
        <v>0</v>
      </c>
    </row>
    <row r="283" spans="1:23" ht="21" customHeight="1">
      <c r="A283" s="272" t="s">
        <v>23</v>
      </c>
      <c r="B283" s="44"/>
      <c r="C283" s="847"/>
      <c r="D283" s="757" t="s">
        <v>23</v>
      </c>
      <c r="E283" s="758" t="s">
        <v>212</v>
      </c>
      <c r="F283" s="759" t="s">
        <v>678</v>
      </c>
      <c r="G283" s="760">
        <f>'Review Comments'!F314</f>
        <v>0</v>
      </c>
      <c r="H283" s="760" t="str">
        <f>'Review Comments'!G314</f>
        <v>No</v>
      </c>
      <c r="I283" s="760" t="str">
        <f t="shared" ref="I283:I289" si="41">IF(H283="Yes",G283,IF(H283="Required","Required",""))</f>
        <v/>
      </c>
      <c r="J283" s="761" t="str">
        <f>IF('Review Comments'!H314=0,"",'Review Comments'!H314)</f>
        <v>Not Attempted</v>
      </c>
      <c r="K283" s="762" t="str">
        <f>IF(I283="Required","Required",IF(ISNUMBER(MATCH(J283,Lists!$H$2:$H$9,0)),I283,""))</f>
        <v/>
      </c>
      <c r="L283" s="763" t="str">
        <f>IF(I283="Required","Required",IF(ISNUMBER(MATCH(J283,Lists!$I$2:$I$9,0)),I283,IF(ISNUMBER(MATCH(J283,Lists!$J$2:$J$9,0)),I283,"")))</f>
        <v/>
      </c>
      <c r="Q283" s="45" t="b">
        <f>IF(I283="Required",0,IF(ISNUMBER(MATCH(J283,Lists!$I$2:$I$4,0)),L283))</f>
        <v>0</v>
      </c>
      <c r="R283" s="45" t="b">
        <f>IF(I283="Required",0,IF(ISNUMBER(MATCH(J283,Lists!$K$2:$K$7,0)),L283))</f>
        <v>0</v>
      </c>
      <c r="S283" s="45" t="b">
        <f>IF(I283="Required",0,IF(ISNUMBER(MATCH(J283,Lists!$G$2:$G$4,0)),L283))</f>
        <v>0</v>
      </c>
      <c r="T283" s="45" t="b">
        <f>IF(I283="Required",0,IF(ISNUMBER(MATCH(J283,Lists!$G$7:$G$8,0)),L283))</f>
        <v>0</v>
      </c>
      <c r="U283" s="45" t="b">
        <f>IF(I283="Required",0,IF(ISNUMBER(MATCH(J283,Lists!$H$2:$H$4,0)),K283))</f>
        <v>0</v>
      </c>
      <c r="V283" s="45">
        <f t="shared" si="40"/>
        <v>0</v>
      </c>
      <c r="W283" s="45">
        <f t="shared" si="37"/>
        <v>0</v>
      </c>
    </row>
    <row r="284" spans="1:23" ht="21" customHeight="1">
      <c r="A284" s="272" t="s">
        <v>23</v>
      </c>
      <c r="B284" s="44"/>
      <c r="C284" s="847"/>
      <c r="D284" s="750" t="s">
        <v>23</v>
      </c>
      <c r="E284" s="751" t="s">
        <v>213</v>
      </c>
      <c r="F284" s="752" t="s">
        <v>679</v>
      </c>
      <c r="G284" s="753">
        <f>'Review Comments'!F315</f>
        <v>0</v>
      </c>
      <c r="H284" s="753" t="str">
        <f>'Review Comments'!G315</f>
        <v>No</v>
      </c>
      <c r="I284" s="753" t="str">
        <f t="shared" si="41"/>
        <v/>
      </c>
      <c r="J284" s="754" t="str">
        <f>IF('Review Comments'!H315=0,"",'Review Comments'!H315)</f>
        <v>Not Attempted</v>
      </c>
      <c r="K284" s="755" t="str">
        <f>IF(I284="Required","Required",IF(ISNUMBER(MATCH(J284,Lists!$H$2:$H$9,0)),I284,""))</f>
        <v/>
      </c>
      <c r="L284" s="756" t="str">
        <f>IF(I284="Required","Required",IF(ISNUMBER(MATCH(J284,Lists!$I$2:$I$9,0)),I284,IF(ISNUMBER(MATCH(J284,Lists!$J$2:$J$9,0)),I284,"")))</f>
        <v/>
      </c>
      <c r="Q284" s="45" t="b">
        <f>IF(I284="Required",0,IF(ISNUMBER(MATCH(J284,Lists!$I$2:$I$4,0)),L284))</f>
        <v>0</v>
      </c>
      <c r="R284" s="45" t="b">
        <f>IF(I284="Required",0,IF(ISNUMBER(MATCH(J284,Lists!$K$2:$K$7,0)),L284))</f>
        <v>0</v>
      </c>
      <c r="S284" s="45" t="b">
        <f>IF(I284="Required",0,IF(ISNUMBER(MATCH(J284,Lists!$G$2:$G$4,0)),L284))</f>
        <v>0</v>
      </c>
      <c r="T284" s="45" t="b">
        <f>IF(I284="Required",0,IF(ISNUMBER(MATCH(J284,Lists!$G$7:$G$8,0)),L284))</f>
        <v>0</v>
      </c>
      <c r="U284" s="45" t="b">
        <f>IF(I284="Required",0,IF(ISNUMBER(MATCH(J284,Lists!$H$2:$H$4,0)),K284))</f>
        <v>0</v>
      </c>
      <c r="V284" s="45">
        <f t="shared" si="40"/>
        <v>0</v>
      </c>
      <c r="W284" s="45">
        <f t="shared" si="37"/>
        <v>0</v>
      </c>
    </row>
    <row r="285" spans="1:23" ht="21" customHeight="1" thickBot="1">
      <c r="A285" s="272" t="s">
        <v>23</v>
      </c>
      <c r="B285" s="44"/>
      <c r="C285" s="847"/>
      <c r="D285" s="306" t="s">
        <v>23</v>
      </c>
      <c r="E285" s="200" t="s">
        <v>214</v>
      </c>
      <c r="F285" s="304" t="s">
        <v>680</v>
      </c>
      <c r="G285" s="305">
        <f>'Review Comments'!F316</f>
        <v>5</v>
      </c>
      <c r="H285" s="305" t="str">
        <f>'Review Comments'!G316</f>
        <v>Yes</v>
      </c>
      <c r="I285" s="305">
        <f t="shared" si="41"/>
        <v>5</v>
      </c>
      <c r="J285" s="323" t="str">
        <f>IF('Review Comments'!H316=0,"",'Review Comments'!H316)</f>
        <v>Anticipated</v>
      </c>
      <c r="K285" s="305">
        <f>IF(I285="Required","Required",IF(ISNUMBER(MATCH(J285,Lists!$H$2:$H$9,0)),I285,""))</f>
        <v>5</v>
      </c>
      <c r="L285" s="371" t="str">
        <f>IF(I285="Required","Required",IF(ISNUMBER(MATCH(J285,Lists!$I$2:$I$9,0)),I285,IF(ISNUMBER(MATCH(J285,Lists!$J$2:$J$9,0)),I285,"")))</f>
        <v/>
      </c>
      <c r="Q285" s="45" t="b">
        <f>IF(I285="Required",0,IF(ISNUMBER(MATCH(J285,Lists!$I$2:$I$4,0)),L285))</f>
        <v>0</v>
      </c>
      <c r="R285" s="45" t="b">
        <f>IF(I285="Required",0,IF(ISNUMBER(MATCH(J285,Lists!$K$2:$K$7,0)),L285))</f>
        <v>0</v>
      </c>
      <c r="S285" s="45" t="b">
        <f>IF(I285="Required",0,IF(ISNUMBER(MATCH(J285,Lists!$G$2:$G$4,0)),L285))</f>
        <v>0</v>
      </c>
      <c r="T285" s="45" t="b">
        <f>IF(I285="Required",0,IF(ISNUMBER(MATCH(J285,Lists!$G$7:$G$8,0)),L285))</f>
        <v>0</v>
      </c>
      <c r="U285" s="45">
        <f>IF(I285="Required",0,IF(ISNUMBER(MATCH(J285,Lists!$H$2:$H$4,0)),K285))</f>
        <v>5</v>
      </c>
      <c r="V285" s="45">
        <f t="shared" si="40"/>
        <v>0</v>
      </c>
      <c r="W285" s="45">
        <f t="shared" si="37"/>
        <v>0</v>
      </c>
    </row>
    <row r="286" spans="1:23" ht="21" hidden="1" customHeight="1">
      <c r="A286" s="272" t="s">
        <v>23</v>
      </c>
      <c r="B286" s="44"/>
      <c r="C286" s="847"/>
      <c r="D286" s="799" t="s">
        <v>23</v>
      </c>
      <c r="E286" s="801" t="s">
        <v>1092</v>
      </c>
      <c r="F286" s="733" t="s">
        <v>1094</v>
      </c>
      <c r="G286" s="734">
        <f>'Review Comments'!F317</f>
        <v>0</v>
      </c>
      <c r="H286" s="734">
        <f>'Review Comments'!G317</f>
        <v>0</v>
      </c>
      <c r="I286" s="734" t="str">
        <f t="shared" si="41"/>
        <v/>
      </c>
      <c r="J286" s="735" t="str">
        <f>IF('Review Comments'!H317=0,"",'Review Comments'!H317)</f>
        <v/>
      </c>
      <c r="K286" s="736" t="str">
        <f>IF(I286="Required","Required",IF(ISNUMBER(MATCH(J286,Lists!$H$2:$H$9,0)),I286,""))</f>
        <v/>
      </c>
      <c r="L286" s="737" t="str">
        <f>IF(I286="Required","Required",IF(ISNUMBER(MATCH(J286,Lists!$I$2:$I$9,0)),I286,IF(ISNUMBER(MATCH(J286,Lists!$J$2:$J$9,0)),I286,"")))</f>
        <v/>
      </c>
      <c r="Q286" s="45" t="b">
        <f>IF(I286="Required",0,IF(ISNUMBER(MATCH(J286,Lists!$I$2:$I$4,0)),L286))</f>
        <v>0</v>
      </c>
      <c r="R286" s="45" t="b">
        <f>IF(I286="Required",0,IF(ISNUMBER(MATCH(J286,Lists!$K$2:$K$7,0)),L286))</f>
        <v>0</v>
      </c>
      <c r="S286" s="45" t="b">
        <f>IF(I286="Required",0,IF(ISNUMBER(MATCH(J286,Lists!$G$2:$G$4,0)),L286))</f>
        <v>0</v>
      </c>
      <c r="T286" s="45" t="b">
        <f>IF(I286="Required",0,IF(ISNUMBER(MATCH(J286,Lists!$G$7:$G$8,0)),L286))</f>
        <v>0</v>
      </c>
      <c r="U286" s="45" t="b">
        <f>IF(I286="Required",0,IF(ISNUMBER(MATCH(J286,Lists!$H$2:$H$4,0)),K286))</f>
        <v>0</v>
      </c>
      <c r="V286" s="45">
        <f t="shared" ref="V286:V289" si="42">IF(A286="P",IF(IFERROR(SEARCH("Pending Documentation",J286),0)&gt;0,IF(I286="Required",1,I286),0),0)</f>
        <v>0</v>
      </c>
      <c r="W286" s="45">
        <f t="shared" ref="W286:W289" si="43">IF(A286="P",IF(IFERROR(SEARCH("Pending On-site Assessment",J286),0)&gt;0,IF(I286="Required",1,I286),0),0)</f>
        <v>0</v>
      </c>
    </row>
    <row r="287" spans="1:23" ht="21" hidden="1" customHeight="1">
      <c r="A287" s="272" t="s">
        <v>23</v>
      </c>
      <c r="B287" s="44"/>
      <c r="C287" s="847"/>
      <c r="D287" s="799"/>
      <c r="E287" s="801"/>
      <c r="F287" s="733" t="s">
        <v>1098</v>
      </c>
      <c r="G287" s="734">
        <f>'Review Comments'!F318</f>
        <v>0</v>
      </c>
      <c r="H287" s="734">
        <f>'Review Comments'!G318</f>
        <v>0</v>
      </c>
      <c r="I287" s="734" t="str">
        <f t="shared" si="41"/>
        <v/>
      </c>
      <c r="J287" s="735" t="str">
        <f>IF('Review Comments'!H318=0,"",'Review Comments'!H318)</f>
        <v/>
      </c>
      <c r="K287" s="736" t="str">
        <f>IF(I287="Required","Required",IF(ISNUMBER(MATCH(J287,Lists!$H$2:$H$9,0)),I287,""))</f>
        <v/>
      </c>
      <c r="L287" s="737" t="str">
        <f>IF(I287="Required","Required",IF(ISNUMBER(MATCH(J287,Lists!$I$2:$I$9,0)),I287,IF(ISNUMBER(MATCH(J287,Lists!$J$2:$J$9,0)),I287,"")))</f>
        <v/>
      </c>
      <c r="Q287" s="45" t="b">
        <f>IF(I287="Required",0,IF(ISNUMBER(MATCH(J287,Lists!$I$2:$I$4,0)),L287))</f>
        <v>0</v>
      </c>
      <c r="R287" s="45" t="b">
        <f>IF(I287="Required",0,IF(ISNUMBER(MATCH(J287,Lists!$K$2:$K$7,0)),L287))</f>
        <v>0</v>
      </c>
      <c r="S287" s="45" t="b">
        <f>IF(I287="Required",0,IF(ISNUMBER(MATCH(J287,Lists!$G$2:$G$4,0)),L287))</f>
        <v>0</v>
      </c>
      <c r="T287" s="45" t="b">
        <f>IF(I287="Required",0,IF(ISNUMBER(MATCH(J287,Lists!$G$7:$G$8,0)),L287))</f>
        <v>0</v>
      </c>
      <c r="U287" s="45" t="b">
        <f>IF(I287="Required",0,IF(ISNUMBER(MATCH(J287,Lists!$H$2:$H$4,0)),K287))</f>
        <v>0</v>
      </c>
      <c r="V287" s="45">
        <f t="shared" si="42"/>
        <v>0</v>
      </c>
      <c r="W287" s="45">
        <f t="shared" si="43"/>
        <v>0</v>
      </c>
    </row>
    <row r="288" spans="1:23" ht="21" hidden="1" customHeight="1">
      <c r="A288" s="272" t="s">
        <v>23</v>
      </c>
      <c r="B288" s="44"/>
      <c r="C288" s="847"/>
      <c r="D288" s="799"/>
      <c r="E288" s="801"/>
      <c r="F288" s="733" t="s">
        <v>1099</v>
      </c>
      <c r="G288" s="734">
        <f>'Review Comments'!F319</f>
        <v>0</v>
      </c>
      <c r="H288" s="734">
        <f>'Review Comments'!G319</f>
        <v>0</v>
      </c>
      <c r="I288" s="734" t="str">
        <f t="shared" si="41"/>
        <v/>
      </c>
      <c r="J288" s="735" t="str">
        <f>IF('Review Comments'!H319=0,"",'Review Comments'!H319)</f>
        <v/>
      </c>
      <c r="K288" s="736" t="str">
        <f>IF(I288="Required","Required",IF(ISNUMBER(MATCH(J288,Lists!$H$2:$H$9,0)),I288,""))</f>
        <v/>
      </c>
      <c r="L288" s="737" t="str">
        <f>IF(I288="Required","Required",IF(ISNUMBER(MATCH(J288,Lists!$I$2:$I$9,0)),I288,IF(ISNUMBER(MATCH(J288,Lists!$J$2:$J$9,0)),I288,"")))</f>
        <v/>
      </c>
      <c r="Q288" s="45" t="b">
        <f>IF(I288="Required",0,IF(ISNUMBER(MATCH(J288,Lists!$I$2:$I$4,0)),L288))</f>
        <v>0</v>
      </c>
      <c r="R288" s="45" t="b">
        <f>IF(I288="Required",0,IF(ISNUMBER(MATCH(J288,Lists!$K$2:$K$7,0)),L288))</f>
        <v>0</v>
      </c>
      <c r="S288" s="45" t="b">
        <f>IF(I288="Required",0,IF(ISNUMBER(MATCH(J288,Lists!$G$2:$G$4,0)),L288))</f>
        <v>0</v>
      </c>
      <c r="T288" s="45" t="b">
        <f>IF(I288="Required",0,IF(ISNUMBER(MATCH(J288,Lists!$G$7:$G$8,0)),L288))</f>
        <v>0</v>
      </c>
      <c r="U288" s="45" t="b">
        <f>IF(I288="Required",0,IF(ISNUMBER(MATCH(J288,Lists!$H$2:$H$4,0)),K288))</f>
        <v>0</v>
      </c>
      <c r="V288" s="45">
        <f t="shared" si="42"/>
        <v>0</v>
      </c>
      <c r="W288" s="45">
        <f t="shared" si="43"/>
        <v>0</v>
      </c>
    </row>
    <row r="289" spans="1:23" ht="21" hidden="1" customHeight="1" thickBot="1">
      <c r="A289" s="272" t="s">
        <v>23</v>
      </c>
      <c r="B289" s="44"/>
      <c r="C289" s="847"/>
      <c r="D289" s="800"/>
      <c r="E289" s="802"/>
      <c r="F289" s="738" t="s">
        <v>1100</v>
      </c>
      <c r="G289" s="739">
        <f>'Review Comments'!F320</f>
        <v>0</v>
      </c>
      <c r="H289" s="739">
        <f>'Review Comments'!G320</f>
        <v>0</v>
      </c>
      <c r="I289" s="739" t="str">
        <f t="shared" si="41"/>
        <v/>
      </c>
      <c r="J289" s="740" t="str">
        <f>IF('Review Comments'!H320=0,"",'Review Comments'!H320)</f>
        <v/>
      </c>
      <c r="K289" s="741" t="str">
        <f>IF(I289="Required","Required",IF(ISNUMBER(MATCH(J289,Lists!$H$2:$H$9,0)),I289,""))</f>
        <v/>
      </c>
      <c r="L289" s="742" t="str">
        <f>IF(I289="Required","Required",IF(ISNUMBER(MATCH(J289,Lists!$I$2:$I$9,0)),I289,IF(ISNUMBER(MATCH(J289,Lists!$J$2:$J$9,0)),I289,"")))</f>
        <v/>
      </c>
      <c r="Q289" s="45" t="b">
        <f>IF(I289="Required",0,IF(ISNUMBER(MATCH(J289,Lists!$I$2:$I$4,0)),L289))</f>
        <v>0</v>
      </c>
      <c r="R289" s="45" t="b">
        <f>IF(I289="Required",0,IF(ISNUMBER(MATCH(J289,Lists!$K$2:$K$7,0)),L289))</f>
        <v>0</v>
      </c>
      <c r="S289" s="45" t="b">
        <f>IF(I289="Required",0,IF(ISNUMBER(MATCH(J289,Lists!$G$2:$G$4,0)),L289))</f>
        <v>0</v>
      </c>
      <c r="T289" s="45" t="b">
        <f>IF(I289="Required",0,IF(ISNUMBER(MATCH(J289,Lists!$G$7:$G$8,0)),L289))</f>
        <v>0</v>
      </c>
      <c r="U289" s="45" t="b">
        <f>IF(I289="Required",0,IF(ISNUMBER(MATCH(J289,Lists!$H$2:$H$4,0)),K289))</f>
        <v>0</v>
      </c>
      <c r="V289" s="45">
        <f t="shared" si="42"/>
        <v>0</v>
      </c>
      <c r="W289" s="45">
        <f t="shared" si="43"/>
        <v>0</v>
      </c>
    </row>
    <row r="290" spans="1:23" s="175" customFormat="1" ht="16.2" customHeight="1" thickTop="1" thickBot="1">
      <c r="A290" s="424"/>
      <c r="B290" s="174"/>
      <c r="C290" s="848"/>
      <c r="D290" s="743"/>
      <c r="E290" s="744"/>
      <c r="F290" s="745"/>
      <c r="G290" s="746">
        <f>SUM(G273:G289)</f>
        <v>6</v>
      </c>
      <c r="H290" s="743"/>
      <c r="I290" s="747">
        <f>SUM(I273,I282,I283,I284,I285:I289)</f>
        <v>6</v>
      </c>
      <c r="J290" s="748"/>
      <c r="K290" s="747">
        <f>SUM(K274:K289)</f>
        <v>6</v>
      </c>
      <c r="L290" s="749">
        <f>SUM(L274:L289)</f>
        <v>0</v>
      </c>
    </row>
    <row r="291" spans="1:23" ht="7.95" customHeight="1" thickBot="1">
      <c r="A291" s="364"/>
      <c r="B291" s="44"/>
      <c r="C291" s="363"/>
      <c r="D291" s="364"/>
      <c r="E291" s="365"/>
      <c r="F291" s="425"/>
      <c r="G291" s="364"/>
      <c r="H291" s="364"/>
      <c r="I291" s="364"/>
      <c r="J291" s="426"/>
      <c r="K291" s="364"/>
      <c r="L291" s="427"/>
    </row>
    <row r="292" spans="1:23">
      <c r="F292" s="54"/>
      <c r="G292" s="45"/>
      <c r="H292" s="45"/>
      <c r="I292" s="45"/>
      <c r="J292" s="45"/>
      <c r="K292" s="45"/>
      <c r="L292" s="45"/>
    </row>
    <row r="315" spans="3:5">
      <c r="C315" s="430"/>
      <c r="E315" s="431"/>
    </row>
    <row r="316" spans="3:5">
      <c r="C316" s="430"/>
      <c r="E316" s="431"/>
    </row>
    <row r="317" spans="3:5">
      <c r="C317" s="430"/>
      <c r="E317" s="431"/>
    </row>
    <row r="318" spans="3:5">
      <c r="C318" s="430"/>
      <c r="E318" s="431"/>
    </row>
    <row r="319" spans="3:5">
      <c r="C319" s="430"/>
      <c r="E319" s="431"/>
    </row>
    <row r="320" spans="3:5">
      <c r="C320" s="430"/>
      <c r="E320" s="431"/>
    </row>
    <row r="321" spans="3:5">
      <c r="C321" s="430"/>
      <c r="E321" s="431"/>
    </row>
    <row r="322" spans="3:5">
      <c r="C322" s="430"/>
      <c r="E322" s="431"/>
    </row>
    <row r="323" spans="3:5">
      <c r="C323" s="430"/>
      <c r="E323" s="431"/>
    </row>
    <row r="324" spans="3:5">
      <c r="C324" s="430"/>
      <c r="E324" s="431"/>
    </row>
    <row r="325" spans="3:5">
      <c r="C325" s="430"/>
      <c r="E325" s="431"/>
    </row>
    <row r="326" spans="3:5">
      <c r="C326" s="430"/>
      <c r="E326" s="431"/>
    </row>
    <row r="327" spans="3:5">
      <c r="C327" s="430"/>
      <c r="E327" s="431"/>
    </row>
    <row r="328" spans="3:5">
      <c r="C328" s="430"/>
      <c r="E328" s="431"/>
    </row>
    <row r="329" spans="3:5">
      <c r="C329" s="430"/>
      <c r="E329" s="431"/>
    </row>
    <row r="330" spans="3:5">
      <c r="C330" s="430"/>
      <c r="E330" s="431"/>
    </row>
    <row r="331" spans="3:5">
      <c r="C331" s="430"/>
      <c r="E331" s="431"/>
    </row>
    <row r="332" spans="3:5">
      <c r="C332" s="430"/>
      <c r="E332" s="431"/>
    </row>
    <row r="333" spans="3:5">
      <c r="C333" s="430"/>
      <c r="E333" s="431"/>
    </row>
    <row r="334" spans="3:5">
      <c r="C334" s="430"/>
      <c r="E334" s="431"/>
    </row>
    <row r="335" spans="3:5">
      <c r="C335" s="430"/>
      <c r="E335" s="431"/>
    </row>
    <row r="336" spans="3:5">
      <c r="C336" s="430"/>
      <c r="E336" s="431"/>
    </row>
    <row r="337" spans="3:5">
      <c r="C337" s="430"/>
      <c r="E337" s="431"/>
    </row>
    <row r="338" spans="3:5">
      <c r="C338" s="430"/>
      <c r="E338" s="431"/>
    </row>
    <row r="339" spans="3:5">
      <c r="C339" s="430"/>
      <c r="E339" s="431"/>
    </row>
    <row r="340" spans="3:5">
      <c r="C340" s="430"/>
      <c r="E340" s="431"/>
    </row>
    <row r="341" spans="3:5">
      <c r="C341" s="430"/>
      <c r="E341" s="431"/>
    </row>
    <row r="342" spans="3:5">
      <c r="C342" s="430"/>
      <c r="E342" s="431"/>
    </row>
    <row r="343" spans="3:5">
      <c r="C343" s="430"/>
      <c r="E343" s="431"/>
    </row>
    <row r="344" spans="3:5">
      <c r="C344" s="430"/>
      <c r="E344" s="431"/>
    </row>
    <row r="345" spans="3:5">
      <c r="C345" s="430"/>
      <c r="E345" s="431"/>
    </row>
    <row r="346" spans="3:5">
      <c r="C346" s="430"/>
      <c r="E346" s="431"/>
    </row>
    <row r="347" spans="3:5">
      <c r="C347" s="430"/>
      <c r="E347" s="431"/>
    </row>
    <row r="348" spans="3:5">
      <c r="C348" s="430"/>
      <c r="E348" s="431"/>
    </row>
    <row r="349" spans="3:5">
      <c r="C349" s="430"/>
      <c r="E349" s="431"/>
    </row>
    <row r="350" spans="3:5">
      <c r="C350" s="430"/>
      <c r="E350" s="431"/>
    </row>
    <row r="351" spans="3:5">
      <c r="C351" s="430"/>
      <c r="E351" s="431"/>
    </row>
    <row r="352" spans="3:5">
      <c r="C352" s="430"/>
      <c r="E352" s="431"/>
    </row>
    <row r="353" spans="3:5">
      <c r="C353" s="430"/>
      <c r="E353" s="431"/>
    </row>
    <row r="354" spans="3:5">
      <c r="C354" s="430"/>
      <c r="E354" s="431"/>
    </row>
    <row r="355" spans="3:5">
      <c r="C355" s="430"/>
      <c r="E355" s="431"/>
    </row>
    <row r="356" spans="3:5">
      <c r="C356" s="430"/>
      <c r="E356" s="431"/>
    </row>
    <row r="357" spans="3:5">
      <c r="C357" s="430"/>
      <c r="E357" s="431"/>
    </row>
    <row r="358" spans="3:5">
      <c r="C358" s="430"/>
      <c r="E358" s="431"/>
    </row>
    <row r="359" spans="3:5">
      <c r="C359" s="430"/>
      <c r="E359" s="431"/>
    </row>
    <row r="360" spans="3:5">
      <c r="C360" s="430"/>
      <c r="E360" s="431"/>
    </row>
    <row r="361" spans="3:5">
      <c r="C361" s="430"/>
      <c r="E361" s="431"/>
    </row>
    <row r="362" spans="3:5">
      <c r="C362" s="430"/>
      <c r="E362" s="431"/>
    </row>
    <row r="363" spans="3:5">
      <c r="C363" s="430"/>
      <c r="E363" s="431"/>
    </row>
    <row r="364" spans="3:5">
      <c r="C364" s="430"/>
      <c r="E364" s="431"/>
    </row>
    <row r="365" spans="3:5">
      <c r="C365" s="430"/>
      <c r="E365" s="431"/>
    </row>
    <row r="366" spans="3:5">
      <c r="C366" s="430"/>
      <c r="E366" s="431"/>
    </row>
    <row r="367" spans="3:5">
      <c r="C367" s="430"/>
      <c r="E367" s="431"/>
    </row>
    <row r="368" spans="3:5">
      <c r="C368" s="430"/>
      <c r="E368" s="431"/>
    </row>
    <row r="369" spans="3:5">
      <c r="C369" s="430"/>
      <c r="E369" s="431"/>
    </row>
    <row r="370" spans="3:5">
      <c r="C370" s="430"/>
      <c r="E370" s="431"/>
    </row>
    <row r="371" spans="3:5">
      <c r="C371" s="430"/>
      <c r="E371" s="431"/>
    </row>
    <row r="372" spans="3:5">
      <c r="C372" s="430"/>
      <c r="E372" s="431"/>
    </row>
    <row r="373" spans="3:5">
      <c r="C373" s="430"/>
      <c r="E373" s="431"/>
    </row>
    <row r="374" spans="3:5">
      <c r="C374" s="430"/>
      <c r="E374" s="431"/>
    </row>
    <row r="375" spans="3:5">
      <c r="C375" s="430"/>
      <c r="E375" s="431"/>
    </row>
    <row r="376" spans="3:5">
      <c r="C376" s="430"/>
      <c r="E376" s="431"/>
    </row>
    <row r="377" spans="3:5">
      <c r="C377" s="430"/>
      <c r="E377" s="431"/>
    </row>
    <row r="378" spans="3:5">
      <c r="C378" s="430"/>
      <c r="E378" s="431"/>
    </row>
    <row r="379" spans="3:5">
      <c r="C379" s="430"/>
      <c r="E379" s="431"/>
    </row>
    <row r="380" spans="3:5">
      <c r="C380" s="430"/>
      <c r="E380" s="431"/>
    </row>
    <row r="381" spans="3:5">
      <c r="C381" s="430"/>
      <c r="E381" s="431"/>
    </row>
    <row r="382" spans="3:5">
      <c r="C382" s="430"/>
      <c r="E382" s="431"/>
    </row>
    <row r="383" spans="3:5">
      <c r="C383" s="430"/>
      <c r="E383" s="431"/>
    </row>
    <row r="384" spans="3:5">
      <c r="C384" s="430"/>
      <c r="E384" s="431"/>
    </row>
    <row r="385" spans="3:5">
      <c r="C385" s="430"/>
      <c r="E385" s="431"/>
    </row>
    <row r="386" spans="3:5">
      <c r="C386" s="430"/>
      <c r="E386" s="431"/>
    </row>
    <row r="387" spans="3:5">
      <c r="C387" s="430"/>
      <c r="E387" s="431"/>
    </row>
    <row r="388" spans="3:5">
      <c r="C388" s="430"/>
      <c r="E388" s="431"/>
    </row>
    <row r="389" spans="3:5">
      <c r="C389" s="430"/>
      <c r="E389" s="431"/>
    </row>
    <row r="390" spans="3:5">
      <c r="C390" s="430"/>
      <c r="E390" s="431"/>
    </row>
    <row r="391" spans="3:5">
      <c r="C391" s="430"/>
      <c r="E391" s="431"/>
    </row>
    <row r="392" spans="3:5">
      <c r="C392" s="430"/>
      <c r="E392" s="431"/>
    </row>
    <row r="393" spans="3:5">
      <c r="C393" s="430"/>
      <c r="E393" s="431"/>
    </row>
    <row r="394" spans="3:5">
      <c r="C394" s="430"/>
      <c r="E394" s="431"/>
    </row>
    <row r="395" spans="3:5">
      <c r="C395" s="430"/>
      <c r="E395" s="431"/>
    </row>
    <row r="396" spans="3:5">
      <c r="C396" s="430"/>
      <c r="E396" s="431"/>
    </row>
    <row r="397" spans="3:5">
      <c r="C397" s="430"/>
      <c r="E397" s="431"/>
    </row>
    <row r="398" spans="3:5">
      <c r="C398" s="430"/>
      <c r="E398" s="431"/>
    </row>
    <row r="399" spans="3:5">
      <c r="C399" s="430"/>
      <c r="E399" s="431"/>
    </row>
    <row r="400" spans="3:5">
      <c r="C400" s="430"/>
      <c r="E400" s="431"/>
    </row>
    <row r="401" spans="3:5">
      <c r="C401" s="430"/>
      <c r="E401" s="431"/>
    </row>
    <row r="402" spans="3:5">
      <c r="C402" s="430"/>
      <c r="E402" s="431"/>
    </row>
    <row r="403" spans="3:5">
      <c r="C403" s="430"/>
      <c r="E403" s="431"/>
    </row>
    <row r="404" spans="3:5">
      <c r="C404" s="430"/>
      <c r="E404" s="431"/>
    </row>
    <row r="405" spans="3:5">
      <c r="C405" s="430"/>
      <c r="E405" s="431"/>
    </row>
    <row r="406" spans="3:5">
      <c r="C406" s="430"/>
      <c r="E406" s="431"/>
    </row>
    <row r="407" spans="3:5">
      <c r="C407" s="430"/>
      <c r="E407" s="431"/>
    </row>
    <row r="408" spans="3:5">
      <c r="C408" s="430"/>
      <c r="E408" s="431"/>
    </row>
    <row r="409" spans="3:5">
      <c r="C409" s="430"/>
      <c r="E409" s="431"/>
    </row>
    <row r="410" spans="3:5">
      <c r="C410" s="430"/>
      <c r="E410" s="431"/>
    </row>
    <row r="411" spans="3:5">
      <c r="C411" s="430"/>
      <c r="E411" s="431"/>
    </row>
    <row r="412" spans="3:5">
      <c r="C412" s="430"/>
      <c r="E412" s="431"/>
    </row>
    <row r="413" spans="3:5">
      <c r="C413" s="430"/>
      <c r="E413" s="431"/>
    </row>
    <row r="414" spans="3:5">
      <c r="C414" s="430"/>
      <c r="E414" s="431"/>
    </row>
    <row r="415" spans="3:5">
      <c r="C415" s="430"/>
      <c r="E415" s="431"/>
    </row>
    <row r="416" spans="3:5">
      <c r="C416" s="430"/>
      <c r="E416" s="431"/>
    </row>
    <row r="417" spans="3:5">
      <c r="C417" s="430"/>
      <c r="E417" s="431"/>
    </row>
    <row r="418" spans="3:5">
      <c r="C418" s="430"/>
      <c r="E418" s="431"/>
    </row>
    <row r="419" spans="3:5">
      <c r="C419" s="430"/>
      <c r="E419" s="431"/>
    </row>
    <row r="420" spans="3:5">
      <c r="C420" s="430"/>
      <c r="E420" s="431"/>
    </row>
    <row r="421" spans="3:5">
      <c r="C421" s="430"/>
      <c r="E421" s="431"/>
    </row>
    <row r="422" spans="3:5">
      <c r="C422" s="430"/>
      <c r="E422" s="431"/>
    </row>
    <row r="423" spans="3:5">
      <c r="C423" s="430"/>
      <c r="E423" s="431"/>
    </row>
    <row r="424" spans="3:5">
      <c r="C424" s="430"/>
      <c r="E424" s="431"/>
    </row>
    <row r="425" spans="3:5">
      <c r="C425" s="430"/>
      <c r="E425" s="431"/>
    </row>
    <row r="426" spans="3:5">
      <c r="C426" s="430"/>
      <c r="E426" s="431"/>
    </row>
    <row r="427" spans="3:5">
      <c r="C427" s="430"/>
      <c r="E427" s="431"/>
    </row>
    <row r="428" spans="3:5">
      <c r="C428" s="430"/>
      <c r="E428" s="431"/>
    </row>
    <row r="429" spans="3:5">
      <c r="C429" s="430"/>
      <c r="E429" s="431"/>
    </row>
    <row r="430" spans="3:5">
      <c r="C430" s="430"/>
      <c r="E430" s="431"/>
    </row>
    <row r="431" spans="3:5">
      <c r="C431" s="430"/>
      <c r="E431" s="431"/>
    </row>
    <row r="432" spans="3:5">
      <c r="C432" s="430"/>
      <c r="E432" s="431"/>
    </row>
    <row r="433" spans="3:5">
      <c r="C433" s="430"/>
      <c r="E433" s="431"/>
    </row>
    <row r="434" spans="3:5">
      <c r="C434" s="430"/>
      <c r="E434" s="431"/>
    </row>
    <row r="435" spans="3:5">
      <c r="C435" s="430"/>
      <c r="E435" s="431"/>
    </row>
    <row r="436" spans="3:5">
      <c r="C436" s="430"/>
      <c r="E436" s="431"/>
    </row>
    <row r="437" spans="3:5">
      <c r="C437" s="430"/>
      <c r="E437" s="431"/>
    </row>
    <row r="438" spans="3:5">
      <c r="C438" s="430"/>
      <c r="E438" s="431"/>
    </row>
    <row r="439" spans="3:5">
      <c r="C439" s="430"/>
      <c r="E439" s="431"/>
    </row>
    <row r="440" spans="3:5">
      <c r="C440" s="430"/>
      <c r="E440" s="431"/>
    </row>
    <row r="441" spans="3:5">
      <c r="C441" s="430"/>
      <c r="E441" s="431"/>
    </row>
    <row r="442" spans="3:5">
      <c r="C442" s="430"/>
      <c r="E442" s="431"/>
    </row>
    <row r="443" spans="3:5">
      <c r="C443" s="430"/>
      <c r="E443" s="431"/>
    </row>
    <row r="444" spans="3:5">
      <c r="C444" s="430"/>
      <c r="E444" s="431"/>
    </row>
    <row r="445" spans="3:5">
      <c r="C445" s="430"/>
      <c r="E445" s="431"/>
    </row>
    <row r="446" spans="3:5">
      <c r="C446" s="430"/>
      <c r="E446" s="431"/>
    </row>
    <row r="447" spans="3:5">
      <c r="C447" s="430"/>
      <c r="E447" s="431"/>
    </row>
    <row r="448" spans="3:5">
      <c r="C448" s="430"/>
      <c r="E448" s="431"/>
    </row>
    <row r="449" spans="3:5">
      <c r="C449" s="430"/>
      <c r="E449" s="431"/>
    </row>
    <row r="450" spans="3:5">
      <c r="C450" s="430"/>
      <c r="E450" s="431"/>
    </row>
    <row r="451" spans="3:5">
      <c r="C451" s="430"/>
      <c r="E451" s="431"/>
    </row>
    <row r="452" spans="3:5">
      <c r="C452" s="430"/>
      <c r="E452" s="431"/>
    </row>
    <row r="453" spans="3:5">
      <c r="C453" s="430"/>
      <c r="E453" s="431"/>
    </row>
    <row r="454" spans="3:5">
      <c r="C454" s="430"/>
      <c r="E454" s="431"/>
    </row>
    <row r="455" spans="3:5">
      <c r="C455" s="430"/>
      <c r="E455" s="431"/>
    </row>
    <row r="456" spans="3:5">
      <c r="C456" s="430"/>
      <c r="E456" s="431"/>
    </row>
    <row r="457" spans="3:5">
      <c r="C457" s="430"/>
      <c r="E457" s="431"/>
    </row>
    <row r="458" spans="3:5">
      <c r="C458" s="430"/>
      <c r="E458" s="431"/>
    </row>
    <row r="459" spans="3:5">
      <c r="C459" s="430"/>
      <c r="E459" s="431"/>
    </row>
    <row r="460" spans="3:5">
      <c r="C460" s="430"/>
      <c r="E460" s="431"/>
    </row>
    <row r="461" spans="3:5">
      <c r="C461" s="430"/>
      <c r="E461" s="431"/>
    </row>
    <row r="462" spans="3:5">
      <c r="C462" s="430"/>
      <c r="E462" s="431"/>
    </row>
    <row r="463" spans="3:5">
      <c r="C463" s="430"/>
      <c r="E463" s="431"/>
    </row>
    <row r="464" spans="3:5">
      <c r="C464" s="430"/>
      <c r="E464" s="431"/>
    </row>
    <row r="465" spans="3:5">
      <c r="C465" s="430"/>
      <c r="E465" s="431"/>
    </row>
    <row r="466" spans="3:5">
      <c r="C466" s="430"/>
      <c r="E466" s="431"/>
    </row>
    <row r="467" spans="3:5">
      <c r="C467" s="430"/>
      <c r="E467" s="431"/>
    </row>
    <row r="468" spans="3:5">
      <c r="C468" s="430"/>
      <c r="E468" s="431"/>
    </row>
    <row r="469" spans="3:5">
      <c r="C469" s="430"/>
      <c r="E469" s="431"/>
    </row>
    <row r="470" spans="3:5">
      <c r="C470" s="430"/>
      <c r="E470" s="431"/>
    </row>
    <row r="471" spans="3:5">
      <c r="C471" s="430"/>
      <c r="E471" s="431"/>
    </row>
    <row r="472" spans="3:5">
      <c r="C472" s="430"/>
      <c r="E472" s="431"/>
    </row>
    <row r="473" spans="3:5">
      <c r="C473" s="430"/>
      <c r="E473" s="431"/>
    </row>
    <row r="474" spans="3:5">
      <c r="C474" s="430"/>
      <c r="E474" s="431"/>
    </row>
    <row r="475" spans="3:5">
      <c r="C475" s="430"/>
      <c r="E475" s="431"/>
    </row>
    <row r="476" spans="3:5">
      <c r="C476" s="430"/>
      <c r="E476" s="431"/>
    </row>
    <row r="477" spans="3:5">
      <c r="C477" s="430"/>
      <c r="E477" s="431"/>
    </row>
    <row r="478" spans="3:5">
      <c r="C478" s="430"/>
      <c r="E478" s="431"/>
    </row>
    <row r="479" spans="3:5">
      <c r="C479" s="430"/>
      <c r="E479" s="431"/>
    </row>
    <row r="480" spans="3:5">
      <c r="C480" s="430"/>
      <c r="E480" s="431"/>
    </row>
    <row r="481" spans="3:5">
      <c r="C481" s="430"/>
      <c r="E481" s="431"/>
    </row>
    <row r="482" spans="3:5">
      <c r="C482" s="430"/>
      <c r="E482" s="431"/>
    </row>
    <row r="483" spans="3:5">
      <c r="C483" s="430"/>
      <c r="E483" s="431"/>
    </row>
    <row r="484" spans="3:5">
      <c r="C484" s="430"/>
      <c r="E484" s="431"/>
    </row>
    <row r="485" spans="3:5">
      <c r="C485" s="430"/>
      <c r="E485" s="431"/>
    </row>
    <row r="486" spans="3:5">
      <c r="C486" s="430"/>
      <c r="E486" s="431"/>
    </row>
    <row r="487" spans="3:5">
      <c r="C487" s="430"/>
      <c r="E487" s="431"/>
    </row>
    <row r="488" spans="3:5">
      <c r="C488" s="430"/>
      <c r="E488" s="431"/>
    </row>
    <row r="489" spans="3:5">
      <c r="C489" s="430"/>
      <c r="E489" s="431"/>
    </row>
    <row r="490" spans="3:5">
      <c r="C490" s="430"/>
      <c r="E490" s="431"/>
    </row>
    <row r="491" spans="3:5">
      <c r="C491" s="430"/>
      <c r="E491" s="431"/>
    </row>
    <row r="492" spans="3:5">
      <c r="C492" s="430"/>
      <c r="E492" s="431"/>
    </row>
    <row r="493" spans="3:5">
      <c r="C493" s="430"/>
      <c r="E493" s="431"/>
    </row>
    <row r="494" spans="3:5">
      <c r="C494" s="430"/>
      <c r="E494" s="431"/>
    </row>
    <row r="495" spans="3:5">
      <c r="C495" s="430"/>
      <c r="E495" s="431"/>
    </row>
    <row r="496" spans="3:5">
      <c r="C496" s="430"/>
      <c r="E496" s="431"/>
    </row>
    <row r="497" spans="3:5">
      <c r="C497" s="430"/>
      <c r="E497" s="431"/>
    </row>
    <row r="498" spans="3:5">
      <c r="C498" s="430"/>
      <c r="E498" s="431"/>
    </row>
    <row r="499" spans="3:5">
      <c r="C499" s="430"/>
      <c r="E499" s="431"/>
    </row>
    <row r="500" spans="3:5">
      <c r="C500" s="430"/>
      <c r="E500" s="431"/>
    </row>
    <row r="501" spans="3:5">
      <c r="C501" s="430"/>
      <c r="E501" s="431"/>
    </row>
    <row r="502" spans="3:5">
      <c r="C502" s="430"/>
      <c r="E502" s="431"/>
    </row>
    <row r="503" spans="3:5">
      <c r="C503" s="430"/>
      <c r="E503" s="431"/>
    </row>
    <row r="504" spans="3:5">
      <c r="C504" s="430"/>
      <c r="E504" s="431"/>
    </row>
    <row r="505" spans="3:5">
      <c r="C505" s="430"/>
      <c r="E505" s="431"/>
    </row>
    <row r="506" spans="3:5">
      <c r="C506" s="430"/>
      <c r="E506" s="431"/>
    </row>
    <row r="507" spans="3:5">
      <c r="C507" s="430"/>
      <c r="E507" s="431"/>
    </row>
    <row r="508" spans="3:5">
      <c r="C508" s="430"/>
      <c r="E508" s="431"/>
    </row>
    <row r="509" spans="3:5">
      <c r="C509" s="430"/>
      <c r="E509" s="431"/>
    </row>
    <row r="510" spans="3:5">
      <c r="C510" s="430"/>
      <c r="E510" s="431"/>
    </row>
    <row r="511" spans="3:5">
      <c r="C511" s="430"/>
      <c r="E511" s="431"/>
    </row>
    <row r="512" spans="3:5">
      <c r="C512" s="430"/>
      <c r="E512" s="431"/>
    </row>
    <row r="513" spans="3:5">
      <c r="C513" s="430"/>
      <c r="E513" s="431"/>
    </row>
    <row r="514" spans="3:5">
      <c r="C514" s="430"/>
      <c r="E514" s="431"/>
    </row>
    <row r="515" spans="3:5">
      <c r="C515" s="430"/>
      <c r="E515" s="431"/>
    </row>
    <row r="516" spans="3:5">
      <c r="C516" s="430"/>
      <c r="E516" s="431"/>
    </row>
    <row r="517" spans="3:5">
      <c r="C517" s="430"/>
      <c r="E517" s="431"/>
    </row>
    <row r="518" spans="3:5">
      <c r="C518" s="430"/>
      <c r="E518" s="431"/>
    </row>
    <row r="519" spans="3:5">
      <c r="C519" s="430"/>
      <c r="E519" s="431"/>
    </row>
    <row r="520" spans="3:5">
      <c r="C520" s="430"/>
      <c r="E520" s="431"/>
    </row>
    <row r="521" spans="3:5">
      <c r="C521" s="430"/>
      <c r="E521" s="431"/>
    </row>
    <row r="522" spans="3:5">
      <c r="C522" s="430"/>
      <c r="E522" s="431"/>
    </row>
    <row r="523" spans="3:5">
      <c r="C523" s="430"/>
      <c r="E523" s="431"/>
    </row>
    <row r="524" spans="3:5">
      <c r="C524" s="430"/>
      <c r="E524" s="431"/>
    </row>
    <row r="525" spans="3:5">
      <c r="C525" s="430"/>
      <c r="E525" s="431"/>
    </row>
    <row r="526" spans="3:5">
      <c r="C526" s="430"/>
      <c r="E526" s="431"/>
    </row>
    <row r="527" spans="3:5">
      <c r="C527" s="430"/>
      <c r="E527" s="431"/>
    </row>
    <row r="528" spans="3:5">
      <c r="C528" s="430"/>
      <c r="E528" s="431"/>
    </row>
    <row r="529" spans="3:5">
      <c r="C529" s="430"/>
      <c r="E529" s="431"/>
    </row>
    <row r="530" spans="3:5">
      <c r="C530" s="430"/>
      <c r="E530" s="431"/>
    </row>
    <row r="531" spans="3:5">
      <c r="C531" s="430"/>
      <c r="E531" s="431"/>
    </row>
    <row r="532" spans="3:5">
      <c r="C532" s="430"/>
      <c r="E532" s="431"/>
    </row>
    <row r="533" spans="3:5">
      <c r="C533" s="430"/>
      <c r="E533" s="431"/>
    </row>
    <row r="534" spans="3:5">
      <c r="C534" s="430"/>
      <c r="E534" s="431"/>
    </row>
    <row r="535" spans="3:5">
      <c r="C535" s="430"/>
      <c r="E535" s="431"/>
    </row>
    <row r="536" spans="3:5">
      <c r="C536" s="430"/>
      <c r="E536" s="431"/>
    </row>
    <row r="537" spans="3:5">
      <c r="C537" s="430"/>
      <c r="E537" s="431"/>
    </row>
    <row r="538" spans="3:5">
      <c r="C538" s="430"/>
      <c r="E538" s="431"/>
    </row>
    <row r="539" spans="3:5">
      <c r="C539" s="430"/>
      <c r="E539" s="431"/>
    </row>
    <row r="540" spans="3:5">
      <c r="C540" s="430"/>
      <c r="E540" s="431"/>
    </row>
    <row r="541" spans="3:5">
      <c r="C541" s="430"/>
      <c r="E541" s="431"/>
    </row>
    <row r="542" spans="3:5">
      <c r="C542" s="430"/>
      <c r="E542" s="431"/>
    </row>
    <row r="543" spans="3:5">
      <c r="C543" s="430"/>
      <c r="E543" s="431"/>
    </row>
    <row r="544" spans="3:5">
      <c r="C544" s="430"/>
      <c r="E544" s="431"/>
    </row>
    <row r="545" spans="3:5">
      <c r="C545" s="430"/>
      <c r="E545" s="431"/>
    </row>
    <row r="546" spans="3:5">
      <c r="C546" s="430"/>
      <c r="E546" s="431"/>
    </row>
    <row r="547" spans="3:5">
      <c r="C547" s="430"/>
      <c r="E547" s="431"/>
    </row>
    <row r="548" spans="3:5">
      <c r="C548" s="430"/>
      <c r="E548" s="431"/>
    </row>
    <row r="549" spans="3:5">
      <c r="C549" s="430"/>
      <c r="E549" s="431"/>
    </row>
    <row r="550" spans="3:5">
      <c r="C550" s="430"/>
      <c r="E550" s="431"/>
    </row>
    <row r="551" spans="3:5">
      <c r="C551" s="430"/>
      <c r="E551" s="431"/>
    </row>
    <row r="552" spans="3:5">
      <c r="C552" s="430"/>
      <c r="E552" s="431"/>
    </row>
    <row r="553" spans="3:5">
      <c r="C553" s="430"/>
      <c r="E553" s="431"/>
    </row>
    <row r="554" spans="3:5">
      <c r="C554" s="430"/>
      <c r="E554" s="431"/>
    </row>
    <row r="555" spans="3:5">
      <c r="C555" s="430"/>
      <c r="E555" s="431"/>
    </row>
    <row r="556" spans="3:5">
      <c r="C556" s="430"/>
      <c r="E556" s="431"/>
    </row>
    <row r="557" spans="3:5">
      <c r="C557" s="430"/>
      <c r="E557" s="431"/>
    </row>
    <row r="558" spans="3:5">
      <c r="C558" s="430"/>
      <c r="E558" s="431"/>
    </row>
    <row r="559" spans="3:5">
      <c r="C559" s="430"/>
      <c r="E559" s="431"/>
    </row>
    <row r="560" spans="3:5">
      <c r="C560" s="430"/>
      <c r="E560" s="431"/>
    </row>
    <row r="561" spans="3:5">
      <c r="C561" s="430"/>
      <c r="E561" s="431"/>
    </row>
    <row r="562" spans="3:5">
      <c r="C562" s="430"/>
      <c r="E562" s="431"/>
    </row>
    <row r="563" spans="3:5">
      <c r="C563" s="430"/>
      <c r="E563" s="431"/>
    </row>
    <row r="564" spans="3:5">
      <c r="C564" s="430"/>
      <c r="E564" s="431"/>
    </row>
    <row r="565" spans="3:5">
      <c r="C565" s="430"/>
      <c r="E565" s="431"/>
    </row>
    <row r="566" spans="3:5">
      <c r="C566" s="430"/>
      <c r="E566" s="431"/>
    </row>
    <row r="567" spans="3:5">
      <c r="C567" s="430"/>
      <c r="E567" s="431"/>
    </row>
    <row r="568" spans="3:5">
      <c r="C568" s="430"/>
      <c r="E568" s="431"/>
    </row>
    <row r="569" spans="3:5">
      <c r="C569" s="430"/>
      <c r="E569" s="431"/>
    </row>
    <row r="570" spans="3:5">
      <c r="C570" s="430"/>
      <c r="E570" s="431"/>
    </row>
    <row r="571" spans="3:5">
      <c r="C571" s="430"/>
      <c r="E571" s="431"/>
    </row>
    <row r="572" spans="3:5">
      <c r="C572" s="430"/>
      <c r="E572" s="431"/>
    </row>
    <row r="573" spans="3:5">
      <c r="C573" s="430"/>
      <c r="E573" s="431"/>
    </row>
    <row r="574" spans="3:5">
      <c r="C574" s="430"/>
      <c r="E574" s="431"/>
    </row>
    <row r="575" spans="3:5">
      <c r="C575" s="430"/>
      <c r="E575" s="431"/>
    </row>
    <row r="576" spans="3:5">
      <c r="C576" s="430"/>
      <c r="E576" s="431"/>
    </row>
    <row r="577" spans="3:5">
      <c r="C577" s="430"/>
      <c r="E577" s="431"/>
    </row>
    <row r="578" spans="3:5">
      <c r="C578" s="430"/>
      <c r="E578" s="431"/>
    </row>
    <row r="579" spans="3:5">
      <c r="C579" s="430"/>
      <c r="E579" s="431"/>
    </row>
    <row r="580" spans="3:5">
      <c r="C580" s="430"/>
      <c r="E580" s="431"/>
    </row>
    <row r="581" spans="3:5">
      <c r="C581" s="430"/>
      <c r="E581" s="431"/>
    </row>
    <row r="582" spans="3:5">
      <c r="C582" s="430"/>
      <c r="E582" s="431"/>
    </row>
    <row r="583" spans="3:5">
      <c r="C583" s="430"/>
      <c r="E583" s="431"/>
    </row>
    <row r="584" spans="3:5">
      <c r="C584" s="430"/>
      <c r="E584" s="431"/>
    </row>
    <row r="585" spans="3:5">
      <c r="C585" s="430"/>
      <c r="E585" s="431"/>
    </row>
    <row r="586" spans="3:5">
      <c r="C586" s="430"/>
      <c r="E586" s="431"/>
    </row>
    <row r="587" spans="3:5">
      <c r="C587" s="430"/>
      <c r="E587" s="431"/>
    </row>
    <row r="588" spans="3:5">
      <c r="C588" s="430"/>
      <c r="E588" s="431"/>
    </row>
    <row r="589" spans="3:5">
      <c r="C589" s="430"/>
      <c r="E589" s="431"/>
    </row>
    <row r="590" spans="3:5">
      <c r="C590" s="430"/>
      <c r="E590" s="431"/>
    </row>
    <row r="591" spans="3:5">
      <c r="C591" s="430"/>
      <c r="E591" s="431"/>
    </row>
    <row r="592" spans="3:5">
      <c r="C592" s="430"/>
      <c r="E592" s="431"/>
    </row>
    <row r="593" spans="3:5">
      <c r="C593" s="430"/>
      <c r="E593" s="431"/>
    </row>
    <row r="594" spans="3:5">
      <c r="C594" s="430"/>
      <c r="E594" s="431"/>
    </row>
    <row r="595" spans="3:5">
      <c r="C595" s="430"/>
      <c r="E595" s="431"/>
    </row>
    <row r="596" spans="3:5">
      <c r="C596" s="430"/>
      <c r="E596" s="431"/>
    </row>
    <row r="597" spans="3:5">
      <c r="C597" s="430"/>
      <c r="E597" s="431"/>
    </row>
    <row r="598" spans="3:5">
      <c r="C598" s="430"/>
      <c r="E598" s="431"/>
    </row>
    <row r="599" spans="3:5">
      <c r="C599" s="430"/>
      <c r="E599" s="431"/>
    </row>
    <row r="600" spans="3:5">
      <c r="C600" s="430"/>
      <c r="E600" s="431"/>
    </row>
    <row r="601" spans="3:5">
      <c r="C601" s="430"/>
      <c r="E601" s="431"/>
    </row>
    <row r="602" spans="3:5">
      <c r="C602" s="430"/>
      <c r="E602" s="431"/>
    </row>
    <row r="603" spans="3:5">
      <c r="C603" s="430"/>
      <c r="E603" s="431"/>
    </row>
    <row r="604" spans="3:5">
      <c r="C604" s="430"/>
      <c r="E604" s="431"/>
    </row>
    <row r="605" spans="3:5">
      <c r="C605" s="430"/>
      <c r="E605" s="431"/>
    </row>
    <row r="606" spans="3:5">
      <c r="C606" s="430"/>
      <c r="E606" s="431"/>
    </row>
    <row r="607" spans="3:5">
      <c r="C607" s="430"/>
      <c r="E607" s="431"/>
    </row>
    <row r="608" spans="3:5">
      <c r="C608" s="430"/>
      <c r="E608" s="431"/>
    </row>
    <row r="609" spans="3:5">
      <c r="C609" s="430"/>
      <c r="E609" s="431"/>
    </row>
    <row r="610" spans="3:5">
      <c r="C610" s="430"/>
      <c r="E610" s="431"/>
    </row>
    <row r="611" spans="3:5">
      <c r="C611" s="430"/>
      <c r="E611" s="431"/>
    </row>
    <row r="612" spans="3:5">
      <c r="C612" s="430"/>
      <c r="E612" s="431"/>
    </row>
    <row r="613" spans="3:5">
      <c r="C613" s="430"/>
      <c r="E613" s="431"/>
    </row>
    <row r="614" spans="3:5">
      <c r="C614" s="430"/>
      <c r="E614" s="431"/>
    </row>
    <row r="615" spans="3:5">
      <c r="C615" s="430"/>
      <c r="E615" s="431"/>
    </row>
    <row r="616" spans="3:5">
      <c r="C616" s="430"/>
      <c r="E616" s="431"/>
    </row>
    <row r="617" spans="3:5">
      <c r="C617" s="430"/>
      <c r="E617" s="431"/>
    </row>
    <row r="618" spans="3:5">
      <c r="C618" s="430"/>
      <c r="E618" s="431"/>
    </row>
    <row r="619" spans="3:5">
      <c r="C619" s="430"/>
      <c r="E619" s="431"/>
    </row>
    <row r="620" spans="3:5">
      <c r="C620" s="430"/>
      <c r="E620" s="431"/>
    </row>
    <row r="621" spans="3:5">
      <c r="C621" s="430"/>
      <c r="E621" s="431"/>
    </row>
    <row r="622" spans="3:5">
      <c r="C622" s="430"/>
      <c r="E622" s="431"/>
    </row>
    <row r="623" spans="3:5">
      <c r="C623" s="430"/>
      <c r="E623" s="431"/>
    </row>
    <row r="624" spans="3:5">
      <c r="C624" s="430"/>
      <c r="E624" s="431"/>
    </row>
    <row r="625" spans="3:5">
      <c r="C625" s="430"/>
      <c r="E625" s="431"/>
    </row>
    <row r="626" spans="3:5">
      <c r="C626" s="430"/>
      <c r="E626" s="431"/>
    </row>
    <row r="627" spans="3:5">
      <c r="C627" s="430"/>
      <c r="E627" s="431"/>
    </row>
    <row r="628" spans="3:5">
      <c r="C628" s="430"/>
      <c r="E628" s="431"/>
    </row>
    <row r="629" spans="3:5">
      <c r="C629" s="430"/>
      <c r="E629" s="431"/>
    </row>
    <row r="630" spans="3:5">
      <c r="C630" s="430"/>
      <c r="E630" s="431"/>
    </row>
    <row r="631" spans="3:5">
      <c r="C631" s="430"/>
      <c r="E631" s="431"/>
    </row>
    <row r="632" spans="3:5">
      <c r="C632" s="430"/>
      <c r="E632" s="431"/>
    </row>
    <row r="633" spans="3:5">
      <c r="C633" s="430"/>
      <c r="E633" s="431"/>
    </row>
    <row r="634" spans="3:5">
      <c r="C634" s="430"/>
      <c r="E634" s="431"/>
    </row>
    <row r="635" spans="3:5">
      <c r="C635" s="430"/>
      <c r="E635" s="431"/>
    </row>
    <row r="636" spans="3:5">
      <c r="C636" s="430"/>
      <c r="E636" s="431"/>
    </row>
    <row r="637" spans="3:5">
      <c r="C637" s="430"/>
      <c r="E637" s="431"/>
    </row>
    <row r="638" spans="3:5">
      <c r="C638" s="430"/>
      <c r="E638" s="431"/>
    </row>
    <row r="639" spans="3:5">
      <c r="C639" s="430"/>
      <c r="E639" s="431"/>
    </row>
    <row r="640" spans="3:5">
      <c r="C640" s="430"/>
      <c r="E640" s="431"/>
    </row>
    <row r="641" spans="3:5">
      <c r="C641" s="430"/>
      <c r="E641" s="431"/>
    </row>
    <row r="642" spans="3:5">
      <c r="C642" s="430"/>
      <c r="E642" s="431"/>
    </row>
    <row r="643" spans="3:5">
      <c r="C643" s="430"/>
      <c r="E643" s="431"/>
    </row>
    <row r="644" spans="3:5">
      <c r="C644" s="430"/>
      <c r="E644" s="431"/>
    </row>
    <row r="645" spans="3:5">
      <c r="C645" s="430"/>
      <c r="E645" s="431"/>
    </row>
    <row r="646" spans="3:5">
      <c r="C646" s="430"/>
      <c r="E646" s="431"/>
    </row>
    <row r="647" spans="3:5">
      <c r="C647" s="430"/>
      <c r="E647" s="431"/>
    </row>
    <row r="648" spans="3:5">
      <c r="C648" s="430"/>
      <c r="E648" s="431"/>
    </row>
    <row r="649" spans="3:5">
      <c r="C649" s="430"/>
      <c r="E649" s="431"/>
    </row>
    <row r="650" spans="3:5">
      <c r="C650" s="430"/>
      <c r="E650" s="431"/>
    </row>
    <row r="651" spans="3:5">
      <c r="C651" s="430"/>
      <c r="E651" s="431"/>
    </row>
    <row r="652" spans="3:5">
      <c r="C652" s="430"/>
      <c r="E652" s="431"/>
    </row>
    <row r="653" spans="3:5">
      <c r="C653" s="430"/>
      <c r="E653" s="431"/>
    </row>
    <row r="654" spans="3:5">
      <c r="C654" s="430"/>
      <c r="E654" s="431"/>
    </row>
    <row r="655" spans="3:5">
      <c r="C655" s="430"/>
      <c r="E655" s="431"/>
    </row>
    <row r="656" spans="3:5">
      <c r="C656" s="430"/>
      <c r="E656" s="431"/>
    </row>
    <row r="657" spans="3:5">
      <c r="C657" s="430"/>
      <c r="E657" s="431"/>
    </row>
    <row r="658" spans="3:5">
      <c r="C658" s="430"/>
      <c r="E658" s="431"/>
    </row>
    <row r="659" spans="3:5">
      <c r="C659" s="430"/>
      <c r="E659" s="431"/>
    </row>
    <row r="660" spans="3:5">
      <c r="C660" s="430"/>
      <c r="E660" s="431"/>
    </row>
    <row r="661" spans="3:5">
      <c r="C661" s="430"/>
      <c r="E661" s="431"/>
    </row>
    <row r="662" spans="3:5">
      <c r="C662" s="430"/>
      <c r="E662" s="431"/>
    </row>
    <row r="663" spans="3:5">
      <c r="C663" s="430"/>
      <c r="E663" s="431"/>
    </row>
    <row r="664" spans="3:5">
      <c r="C664" s="430"/>
      <c r="E664" s="431"/>
    </row>
    <row r="665" spans="3:5">
      <c r="C665" s="430"/>
      <c r="E665" s="431"/>
    </row>
    <row r="666" spans="3:5">
      <c r="C666" s="430"/>
      <c r="E666" s="431"/>
    </row>
    <row r="667" spans="3:5">
      <c r="C667" s="430"/>
      <c r="E667" s="431"/>
    </row>
    <row r="668" spans="3:5">
      <c r="C668" s="430"/>
      <c r="E668" s="431"/>
    </row>
    <row r="669" spans="3:5">
      <c r="C669" s="430"/>
      <c r="E669" s="431"/>
    </row>
    <row r="670" spans="3:5">
      <c r="C670" s="430"/>
      <c r="E670" s="431"/>
    </row>
    <row r="671" spans="3:5">
      <c r="C671" s="430"/>
      <c r="E671" s="431"/>
    </row>
    <row r="672" spans="3:5">
      <c r="C672" s="430"/>
      <c r="E672" s="431"/>
    </row>
    <row r="673" spans="3:5">
      <c r="C673" s="430"/>
      <c r="E673" s="431"/>
    </row>
    <row r="674" spans="3:5">
      <c r="C674" s="430"/>
      <c r="E674" s="431"/>
    </row>
    <row r="675" spans="3:5">
      <c r="C675" s="430"/>
      <c r="E675" s="431"/>
    </row>
    <row r="676" spans="3:5">
      <c r="C676" s="430"/>
      <c r="E676" s="431"/>
    </row>
    <row r="677" spans="3:5">
      <c r="C677" s="430"/>
      <c r="E677" s="431"/>
    </row>
    <row r="678" spans="3:5">
      <c r="C678" s="430"/>
      <c r="E678" s="431"/>
    </row>
    <row r="679" spans="3:5">
      <c r="C679" s="430"/>
      <c r="E679" s="431"/>
    </row>
    <row r="680" spans="3:5">
      <c r="C680" s="430"/>
      <c r="E680" s="431"/>
    </row>
    <row r="681" spans="3:5">
      <c r="C681" s="430"/>
      <c r="E681" s="431"/>
    </row>
    <row r="682" spans="3:5">
      <c r="C682" s="430"/>
      <c r="E682" s="431"/>
    </row>
    <row r="683" spans="3:5">
      <c r="C683" s="430"/>
      <c r="E683" s="431"/>
    </row>
    <row r="684" spans="3:5">
      <c r="C684" s="430"/>
      <c r="E684" s="431"/>
    </row>
    <row r="685" spans="3:5">
      <c r="C685" s="430"/>
      <c r="E685" s="431"/>
    </row>
    <row r="686" spans="3:5">
      <c r="C686" s="430"/>
      <c r="E686" s="431"/>
    </row>
    <row r="687" spans="3:5">
      <c r="C687" s="430"/>
      <c r="E687" s="431"/>
    </row>
    <row r="688" spans="3:5">
      <c r="C688" s="430"/>
      <c r="E688" s="431"/>
    </row>
    <row r="689" spans="3:5">
      <c r="C689" s="430"/>
      <c r="E689" s="431"/>
    </row>
    <row r="690" spans="3:5">
      <c r="C690" s="430"/>
      <c r="E690" s="431"/>
    </row>
    <row r="691" spans="3:5">
      <c r="C691" s="430"/>
      <c r="E691" s="431"/>
    </row>
    <row r="692" spans="3:5">
      <c r="C692" s="430"/>
      <c r="E692" s="431"/>
    </row>
    <row r="693" spans="3:5">
      <c r="C693" s="430"/>
      <c r="E693" s="431"/>
    </row>
    <row r="694" spans="3:5">
      <c r="C694" s="430"/>
      <c r="E694" s="431"/>
    </row>
    <row r="695" spans="3:5">
      <c r="C695" s="430"/>
      <c r="E695" s="431"/>
    </row>
    <row r="696" spans="3:5">
      <c r="C696" s="430"/>
      <c r="E696" s="431"/>
    </row>
    <row r="697" spans="3:5">
      <c r="C697" s="430"/>
      <c r="E697" s="431"/>
    </row>
    <row r="698" spans="3:5">
      <c r="C698" s="430"/>
      <c r="E698" s="431"/>
    </row>
    <row r="699" spans="3:5">
      <c r="C699" s="430"/>
      <c r="E699" s="431"/>
    </row>
    <row r="700" spans="3:5">
      <c r="C700" s="430"/>
      <c r="E700" s="431"/>
    </row>
    <row r="701" spans="3:5">
      <c r="C701" s="430"/>
      <c r="E701" s="431"/>
    </row>
    <row r="702" spans="3:5">
      <c r="C702" s="430"/>
      <c r="E702" s="431"/>
    </row>
    <row r="703" spans="3:5">
      <c r="C703" s="430"/>
      <c r="E703" s="431"/>
    </row>
    <row r="704" spans="3:5">
      <c r="C704" s="430"/>
      <c r="E704" s="431"/>
    </row>
    <row r="705" spans="3:5">
      <c r="C705" s="430"/>
      <c r="E705" s="431"/>
    </row>
    <row r="706" spans="3:5">
      <c r="C706" s="430"/>
      <c r="E706" s="431"/>
    </row>
    <row r="707" spans="3:5">
      <c r="C707" s="430"/>
      <c r="E707" s="431"/>
    </row>
    <row r="708" spans="3:5">
      <c r="C708" s="430"/>
      <c r="E708" s="431"/>
    </row>
    <row r="709" spans="3:5">
      <c r="C709" s="430"/>
      <c r="E709" s="431"/>
    </row>
    <row r="710" spans="3:5">
      <c r="C710" s="430"/>
      <c r="E710" s="431"/>
    </row>
    <row r="711" spans="3:5">
      <c r="C711" s="430"/>
      <c r="E711" s="431"/>
    </row>
    <row r="712" spans="3:5">
      <c r="C712" s="430"/>
      <c r="E712" s="431"/>
    </row>
    <row r="713" spans="3:5">
      <c r="C713" s="430"/>
      <c r="E713" s="431"/>
    </row>
    <row r="714" spans="3:5">
      <c r="C714" s="430"/>
      <c r="E714" s="431"/>
    </row>
    <row r="715" spans="3:5">
      <c r="C715" s="430"/>
      <c r="E715" s="431"/>
    </row>
    <row r="716" spans="3:5">
      <c r="C716" s="430"/>
      <c r="E716" s="431"/>
    </row>
    <row r="717" spans="3:5">
      <c r="C717" s="430"/>
      <c r="E717" s="431"/>
    </row>
    <row r="718" spans="3:5">
      <c r="C718" s="430"/>
      <c r="E718" s="431"/>
    </row>
    <row r="719" spans="3:5">
      <c r="C719" s="430"/>
      <c r="E719" s="431"/>
    </row>
    <row r="720" spans="3:5">
      <c r="C720" s="430"/>
      <c r="E720" s="431"/>
    </row>
    <row r="721" spans="3:5">
      <c r="C721" s="430"/>
      <c r="E721" s="431"/>
    </row>
    <row r="722" spans="3:5">
      <c r="C722" s="430"/>
      <c r="E722" s="431"/>
    </row>
    <row r="723" spans="3:5">
      <c r="C723" s="430"/>
      <c r="E723" s="431"/>
    </row>
    <row r="724" spans="3:5">
      <c r="C724" s="430"/>
      <c r="E724" s="431"/>
    </row>
    <row r="725" spans="3:5">
      <c r="C725" s="430"/>
      <c r="E725" s="431"/>
    </row>
    <row r="726" spans="3:5">
      <c r="C726" s="430"/>
      <c r="E726" s="431"/>
    </row>
    <row r="727" spans="3:5">
      <c r="C727" s="430"/>
      <c r="E727" s="431"/>
    </row>
    <row r="728" spans="3:5">
      <c r="C728" s="430"/>
      <c r="E728" s="431"/>
    </row>
    <row r="729" spans="3:5">
      <c r="C729" s="430"/>
      <c r="E729" s="431"/>
    </row>
    <row r="730" spans="3:5">
      <c r="C730" s="430"/>
      <c r="E730" s="431"/>
    </row>
    <row r="731" spans="3:5">
      <c r="C731" s="430"/>
      <c r="E731" s="431"/>
    </row>
    <row r="732" spans="3:5">
      <c r="C732" s="430"/>
      <c r="E732" s="431"/>
    </row>
    <row r="733" spans="3:5">
      <c r="C733" s="430"/>
      <c r="E733" s="431"/>
    </row>
    <row r="734" spans="3:5">
      <c r="C734" s="430"/>
      <c r="E734" s="431"/>
    </row>
    <row r="735" spans="3:5">
      <c r="C735" s="430"/>
      <c r="E735" s="431"/>
    </row>
    <row r="736" spans="3:5">
      <c r="C736" s="430"/>
      <c r="E736" s="431"/>
    </row>
    <row r="737" spans="3:5">
      <c r="C737" s="430"/>
      <c r="E737" s="431"/>
    </row>
    <row r="738" spans="3:5">
      <c r="C738" s="430"/>
      <c r="E738" s="431"/>
    </row>
    <row r="739" spans="3:5">
      <c r="C739" s="430"/>
      <c r="E739" s="431"/>
    </row>
    <row r="740" spans="3:5">
      <c r="C740" s="430"/>
      <c r="E740" s="431"/>
    </row>
    <row r="741" spans="3:5">
      <c r="C741" s="430"/>
      <c r="E741" s="431"/>
    </row>
    <row r="742" spans="3:5">
      <c r="C742" s="430"/>
      <c r="E742" s="431"/>
    </row>
    <row r="743" spans="3:5">
      <c r="C743" s="430"/>
      <c r="E743" s="431"/>
    </row>
    <row r="744" spans="3:5">
      <c r="C744" s="430"/>
      <c r="E744" s="431"/>
    </row>
    <row r="745" spans="3:5">
      <c r="C745" s="430"/>
      <c r="E745" s="431"/>
    </row>
    <row r="746" spans="3:5">
      <c r="C746" s="430"/>
      <c r="E746" s="431"/>
    </row>
    <row r="747" spans="3:5">
      <c r="C747" s="430"/>
      <c r="E747" s="431"/>
    </row>
    <row r="748" spans="3:5">
      <c r="C748" s="430"/>
      <c r="E748" s="431"/>
    </row>
    <row r="749" spans="3:5">
      <c r="C749" s="430"/>
      <c r="E749" s="431"/>
    </row>
    <row r="750" spans="3:5">
      <c r="C750" s="430"/>
      <c r="E750" s="431"/>
    </row>
    <row r="751" spans="3:5">
      <c r="C751" s="430"/>
      <c r="E751" s="431"/>
    </row>
    <row r="752" spans="3:5">
      <c r="C752" s="430"/>
      <c r="E752" s="431"/>
    </row>
    <row r="753" spans="3:5">
      <c r="C753" s="430"/>
      <c r="E753" s="431"/>
    </row>
    <row r="754" spans="3:5">
      <c r="C754" s="430"/>
      <c r="E754" s="431"/>
    </row>
    <row r="755" spans="3:5">
      <c r="C755" s="430"/>
      <c r="E755" s="431"/>
    </row>
    <row r="756" spans="3:5">
      <c r="C756" s="430"/>
      <c r="E756" s="431"/>
    </row>
    <row r="757" spans="3:5">
      <c r="C757" s="430"/>
      <c r="E757" s="431"/>
    </row>
    <row r="758" spans="3:5">
      <c r="C758" s="430"/>
      <c r="E758" s="431"/>
    </row>
    <row r="759" spans="3:5">
      <c r="C759" s="430"/>
      <c r="E759" s="431"/>
    </row>
    <row r="760" spans="3:5">
      <c r="C760" s="430"/>
      <c r="E760" s="431"/>
    </row>
    <row r="761" spans="3:5">
      <c r="C761" s="430"/>
      <c r="E761" s="431"/>
    </row>
    <row r="762" spans="3:5">
      <c r="C762" s="430"/>
      <c r="E762" s="431"/>
    </row>
    <row r="763" spans="3:5">
      <c r="C763" s="430"/>
      <c r="E763" s="431"/>
    </row>
    <row r="764" spans="3:5">
      <c r="C764" s="430"/>
      <c r="E764" s="431"/>
    </row>
    <row r="765" spans="3:5">
      <c r="C765" s="430"/>
      <c r="E765" s="431"/>
    </row>
    <row r="766" spans="3:5">
      <c r="C766" s="430"/>
      <c r="E766" s="431"/>
    </row>
    <row r="767" spans="3:5">
      <c r="C767" s="430"/>
      <c r="E767" s="431"/>
    </row>
    <row r="768" spans="3:5">
      <c r="C768" s="430"/>
      <c r="E768" s="431"/>
    </row>
    <row r="769" spans="3:5">
      <c r="C769" s="430"/>
      <c r="E769" s="431"/>
    </row>
    <row r="770" spans="3:5">
      <c r="C770" s="430"/>
      <c r="E770" s="431"/>
    </row>
    <row r="771" spans="3:5">
      <c r="C771" s="430"/>
      <c r="E771" s="431"/>
    </row>
    <row r="772" spans="3:5">
      <c r="C772" s="430"/>
      <c r="E772" s="431"/>
    </row>
    <row r="773" spans="3:5">
      <c r="C773" s="430"/>
      <c r="E773" s="431"/>
    </row>
    <row r="774" spans="3:5">
      <c r="C774" s="430"/>
      <c r="E774" s="431"/>
    </row>
    <row r="775" spans="3:5">
      <c r="C775" s="430"/>
      <c r="E775" s="431"/>
    </row>
    <row r="776" spans="3:5">
      <c r="C776" s="430"/>
      <c r="E776" s="431"/>
    </row>
    <row r="777" spans="3:5">
      <c r="C777" s="430"/>
      <c r="E777" s="431"/>
    </row>
    <row r="778" spans="3:5">
      <c r="C778" s="430"/>
      <c r="E778" s="431"/>
    </row>
    <row r="779" spans="3:5">
      <c r="C779" s="430"/>
      <c r="E779" s="431"/>
    </row>
    <row r="780" spans="3:5">
      <c r="C780" s="430"/>
      <c r="E780" s="431"/>
    </row>
    <row r="781" spans="3:5">
      <c r="C781" s="430"/>
      <c r="E781" s="431"/>
    </row>
    <row r="782" spans="3:5">
      <c r="C782" s="430"/>
      <c r="E782" s="431"/>
    </row>
    <row r="783" spans="3:5">
      <c r="C783" s="430"/>
      <c r="E783" s="431"/>
    </row>
    <row r="784" spans="3:5">
      <c r="C784" s="430"/>
      <c r="E784" s="431"/>
    </row>
    <row r="785" spans="3:5">
      <c r="C785" s="430"/>
      <c r="E785" s="431"/>
    </row>
    <row r="786" spans="3:5">
      <c r="C786" s="430"/>
      <c r="E786" s="431"/>
    </row>
    <row r="787" spans="3:5">
      <c r="C787" s="430"/>
      <c r="E787" s="431"/>
    </row>
    <row r="788" spans="3:5">
      <c r="C788" s="430"/>
      <c r="E788" s="431"/>
    </row>
    <row r="789" spans="3:5">
      <c r="C789" s="430"/>
      <c r="E789" s="431"/>
    </row>
    <row r="790" spans="3:5">
      <c r="C790" s="430"/>
      <c r="E790" s="431"/>
    </row>
    <row r="791" spans="3:5">
      <c r="C791" s="430"/>
      <c r="E791" s="431"/>
    </row>
    <row r="792" spans="3:5">
      <c r="C792" s="430"/>
      <c r="E792" s="431"/>
    </row>
    <row r="793" spans="3:5">
      <c r="C793" s="430"/>
      <c r="E793" s="431"/>
    </row>
    <row r="794" spans="3:5">
      <c r="C794" s="430"/>
      <c r="E794" s="431"/>
    </row>
    <row r="795" spans="3:5">
      <c r="C795" s="430"/>
      <c r="E795" s="431"/>
    </row>
    <row r="796" spans="3:5">
      <c r="C796" s="430"/>
      <c r="E796" s="431"/>
    </row>
    <row r="797" spans="3:5">
      <c r="C797" s="430"/>
      <c r="E797" s="431"/>
    </row>
    <row r="798" spans="3:5">
      <c r="C798" s="430"/>
      <c r="E798" s="431"/>
    </row>
    <row r="799" spans="3:5">
      <c r="C799" s="430"/>
      <c r="E799" s="431"/>
    </row>
    <row r="800" spans="3:5">
      <c r="C800" s="430"/>
      <c r="E800" s="431"/>
    </row>
    <row r="801" spans="3:5">
      <c r="C801" s="430"/>
      <c r="E801" s="431"/>
    </row>
    <row r="802" spans="3:5">
      <c r="C802" s="430"/>
      <c r="E802" s="431"/>
    </row>
    <row r="803" spans="3:5">
      <c r="C803" s="430"/>
      <c r="E803" s="431"/>
    </row>
    <row r="804" spans="3:5">
      <c r="C804" s="430"/>
      <c r="E804" s="431"/>
    </row>
    <row r="805" spans="3:5">
      <c r="C805" s="430"/>
      <c r="E805" s="431"/>
    </row>
    <row r="806" spans="3:5">
      <c r="C806" s="430"/>
      <c r="E806" s="431"/>
    </row>
    <row r="807" spans="3:5">
      <c r="C807" s="430"/>
      <c r="E807" s="431"/>
    </row>
    <row r="808" spans="3:5">
      <c r="C808" s="430"/>
      <c r="E808" s="431"/>
    </row>
    <row r="809" spans="3:5">
      <c r="C809" s="430"/>
      <c r="E809" s="431"/>
    </row>
    <row r="810" spans="3:5">
      <c r="C810" s="430"/>
      <c r="E810" s="431"/>
    </row>
    <row r="811" spans="3:5">
      <c r="C811" s="430"/>
      <c r="E811" s="431"/>
    </row>
    <row r="812" spans="3:5">
      <c r="C812" s="430"/>
      <c r="E812" s="431"/>
    </row>
    <row r="813" spans="3:5">
      <c r="C813" s="430"/>
      <c r="E813" s="431"/>
    </row>
    <row r="814" spans="3:5">
      <c r="C814" s="430"/>
      <c r="E814" s="431"/>
    </row>
    <row r="815" spans="3:5">
      <c r="C815" s="430"/>
      <c r="E815" s="431"/>
    </row>
    <row r="816" spans="3:5">
      <c r="C816" s="430"/>
      <c r="E816" s="431"/>
    </row>
    <row r="817" spans="3:5">
      <c r="C817" s="430"/>
      <c r="E817" s="431"/>
    </row>
    <row r="818" spans="3:5">
      <c r="C818" s="430"/>
      <c r="E818" s="431"/>
    </row>
    <row r="819" spans="3:5">
      <c r="C819" s="430"/>
      <c r="E819" s="431"/>
    </row>
    <row r="820" spans="3:5">
      <c r="C820" s="430"/>
      <c r="E820" s="431"/>
    </row>
    <row r="821" spans="3:5">
      <c r="C821" s="430"/>
      <c r="E821" s="431"/>
    </row>
    <row r="822" spans="3:5">
      <c r="C822" s="430"/>
      <c r="E822" s="431"/>
    </row>
    <row r="823" spans="3:5">
      <c r="C823" s="430"/>
      <c r="E823" s="431"/>
    </row>
    <row r="824" spans="3:5">
      <c r="C824" s="430"/>
      <c r="E824" s="431"/>
    </row>
    <row r="825" spans="3:5">
      <c r="C825" s="430"/>
      <c r="E825" s="431"/>
    </row>
    <row r="826" spans="3:5">
      <c r="C826" s="430"/>
      <c r="E826" s="431"/>
    </row>
    <row r="827" spans="3:5">
      <c r="C827" s="430"/>
      <c r="E827" s="431"/>
    </row>
    <row r="828" spans="3:5">
      <c r="C828" s="430"/>
      <c r="E828" s="431"/>
    </row>
    <row r="829" spans="3:5">
      <c r="C829" s="430"/>
      <c r="E829" s="431"/>
    </row>
    <row r="830" spans="3:5">
      <c r="C830" s="430"/>
      <c r="E830" s="431"/>
    </row>
    <row r="831" spans="3:5">
      <c r="C831" s="430"/>
      <c r="E831" s="431"/>
    </row>
    <row r="832" spans="3:5">
      <c r="C832" s="430"/>
      <c r="E832" s="431"/>
    </row>
    <row r="833" spans="3:5">
      <c r="C833" s="430"/>
      <c r="E833" s="431"/>
    </row>
    <row r="834" spans="3:5">
      <c r="C834" s="430"/>
      <c r="E834" s="431"/>
    </row>
    <row r="835" spans="3:5">
      <c r="C835" s="430"/>
      <c r="E835" s="431"/>
    </row>
    <row r="836" spans="3:5">
      <c r="C836" s="430"/>
      <c r="E836" s="431"/>
    </row>
    <row r="837" spans="3:5">
      <c r="C837" s="430"/>
      <c r="E837" s="431"/>
    </row>
    <row r="838" spans="3:5">
      <c r="C838" s="430"/>
      <c r="E838" s="431"/>
    </row>
    <row r="839" spans="3:5">
      <c r="C839" s="430"/>
      <c r="E839" s="431"/>
    </row>
    <row r="840" spans="3:5">
      <c r="C840" s="430"/>
      <c r="E840" s="431"/>
    </row>
    <row r="841" spans="3:5">
      <c r="C841" s="430"/>
      <c r="E841" s="431"/>
    </row>
    <row r="842" spans="3:5">
      <c r="C842" s="430"/>
      <c r="E842" s="431"/>
    </row>
    <row r="843" spans="3:5">
      <c r="C843" s="430"/>
      <c r="E843" s="431"/>
    </row>
    <row r="844" spans="3:5">
      <c r="C844" s="430"/>
      <c r="E844" s="431"/>
    </row>
    <row r="845" spans="3:5">
      <c r="C845" s="430"/>
      <c r="E845" s="431"/>
    </row>
    <row r="846" spans="3:5">
      <c r="C846" s="430"/>
      <c r="E846" s="431"/>
    </row>
    <row r="847" spans="3:5">
      <c r="C847" s="430"/>
      <c r="E847" s="431"/>
    </row>
    <row r="848" spans="3:5">
      <c r="C848" s="430"/>
      <c r="E848" s="431"/>
    </row>
    <row r="849" spans="3:5">
      <c r="C849" s="430"/>
      <c r="E849" s="431"/>
    </row>
    <row r="850" spans="3:5">
      <c r="C850" s="430"/>
      <c r="E850" s="431"/>
    </row>
    <row r="851" spans="3:5">
      <c r="C851" s="430"/>
      <c r="E851" s="431"/>
    </row>
    <row r="852" spans="3:5">
      <c r="C852" s="430"/>
      <c r="E852" s="431"/>
    </row>
    <row r="853" spans="3:5">
      <c r="C853" s="430"/>
      <c r="E853" s="431"/>
    </row>
    <row r="854" spans="3:5">
      <c r="C854" s="430"/>
      <c r="E854" s="431"/>
    </row>
    <row r="855" spans="3:5">
      <c r="C855" s="430"/>
      <c r="E855" s="431"/>
    </row>
    <row r="856" spans="3:5">
      <c r="C856" s="430"/>
      <c r="E856" s="431"/>
    </row>
    <row r="857" spans="3:5">
      <c r="C857" s="430"/>
      <c r="E857" s="431"/>
    </row>
    <row r="858" spans="3:5">
      <c r="C858" s="430"/>
      <c r="E858" s="431"/>
    </row>
    <row r="859" spans="3:5">
      <c r="C859" s="430"/>
      <c r="E859" s="431"/>
    </row>
    <row r="860" spans="3:5">
      <c r="C860" s="430"/>
      <c r="E860" s="431"/>
    </row>
    <row r="861" spans="3:5">
      <c r="C861" s="430"/>
      <c r="E861" s="431"/>
    </row>
    <row r="862" spans="3:5">
      <c r="C862" s="430"/>
      <c r="E862" s="431"/>
    </row>
    <row r="863" spans="3:5">
      <c r="C863" s="430"/>
      <c r="E863" s="431"/>
    </row>
    <row r="864" spans="3:5">
      <c r="C864" s="430"/>
      <c r="E864" s="431"/>
    </row>
    <row r="865" spans="3:5">
      <c r="C865" s="430"/>
      <c r="E865" s="431"/>
    </row>
    <row r="866" spans="3:5">
      <c r="C866" s="430"/>
      <c r="E866" s="431"/>
    </row>
    <row r="867" spans="3:5">
      <c r="C867" s="430"/>
      <c r="E867" s="431"/>
    </row>
    <row r="868" spans="3:5">
      <c r="C868" s="430"/>
      <c r="E868" s="431"/>
    </row>
    <row r="869" spans="3:5">
      <c r="C869" s="430"/>
      <c r="E869" s="431"/>
    </row>
    <row r="870" spans="3:5">
      <c r="C870" s="430"/>
      <c r="E870" s="431"/>
    </row>
    <row r="871" spans="3:5">
      <c r="C871" s="430"/>
      <c r="E871" s="431"/>
    </row>
    <row r="872" spans="3:5">
      <c r="C872" s="430"/>
      <c r="E872" s="431"/>
    </row>
    <row r="873" spans="3:5">
      <c r="C873" s="430"/>
      <c r="E873" s="431"/>
    </row>
    <row r="874" spans="3:5">
      <c r="C874" s="430"/>
      <c r="E874" s="431"/>
    </row>
    <row r="875" spans="3:5">
      <c r="C875" s="430"/>
      <c r="E875" s="431"/>
    </row>
    <row r="876" spans="3:5">
      <c r="C876" s="430"/>
      <c r="E876" s="431"/>
    </row>
    <row r="877" spans="3:5">
      <c r="C877" s="430"/>
      <c r="E877" s="431"/>
    </row>
    <row r="878" spans="3:5">
      <c r="C878" s="430"/>
      <c r="E878" s="431"/>
    </row>
    <row r="879" spans="3:5">
      <c r="C879" s="430"/>
      <c r="E879" s="431"/>
    </row>
    <row r="880" spans="3:5">
      <c r="C880" s="430"/>
      <c r="E880" s="431"/>
    </row>
    <row r="881" spans="3:5">
      <c r="C881" s="430"/>
      <c r="E881" s="431"/>
    </row>
    <row r="882" spans="3:5">
      <c r="C882" s="430"/>
      <c r="E882" s="431"/>
    </row>
    <row r="883" spans="3:5">
      <c r="C883" s="430"/>
      <c r="E883" s="431"/>
    </row>
    <row r="884" spans="3:5">
      <c r="C884" s="430"/>
      <c r="E884" s="431"/>
    </row>
    <row r="885" spans="3:5">
      <c r="C885" s="430"/>
      <c r="E885" s="431"/>
    </row>
    <row r="886" spans="3:5">
      <c r="C886" s="430"/>
      <c r="E886" s="431"/>
    </row>
    <row r="887" spans="3:5">
      <c r="C887" s="430"/>
      <c r="E887" s="431"/>
    </row>
    <row r="888" spans="3:5">
      <c r="C888" s="430"/>
      <c r="E888" s="431"/>
    </row>
    <row r="889" spans="3:5">
      <c r="C889" s="430"/>
      <c r="E889" s="431"/>
    </row>
    <row r="890" spans="3:5">
      <c r="C890" s="430"/>
      <c r="E890" s="431"/>
    </row>
    <row r="891" spans="3:5">
      <c r="C891" s="430"/>
      <c r="E891" s="431"/>
    </row>
    <row r="892" spans="3:5">
      <c r="C892" s="430"/>
      <c r="E892" s="431"/>
    </row>
    <row r="893" spans="3:5">
      <c r="C893" s="430"/>
      <c r="E893" s="431"/>
    </row>
    <row r="894" spans="3:5">
      <c r="C894" s="430"/>
      <c r="E894" s="431"/>
    </row>
    <row r="895" spans="3:5">
      <c r="C895" s="430"/>
      <c r="E895" s="431"/>
    </row>
    <row r="896" spans="3:5">
      <c r="C896" s="430"/>
      <c r="E896" s="431"/>
    </row>
    <row r="897" spans="3:5">
      <c r="C897" s="430"/>
      <c r="E897" s="431"/>
    </row>
    <row r="898" spans="3:5">
      <c r="C898" s="430"/>
      <c r="E898" s="431"/>
    </row>
    <row r="899" spans="3:5">
      <c r="C899" s="430"/>
      <c r="E899" s="431"/>
    </row>
    <row r="900" spans="3:5">
      <c r="C900" s="430"/>
      <c r="E900" s="431"/>
    </row>
    <row r="901" spans="3:5">
      <c r="C901" s="430"/>
      <c r="E901" s="431"/>
    </row>
    <row r="902" spans="3:5">
      <c r="C902" s="430"/>
      <c r="E902" s="431"/>
    </row>
    <row r="903" spans="3:5">
      <c r="C903" s="430"/>
      <c r="E903" s="431"/>
    </row>
    <row r="904" spans="3:5">
      <c r="C904" s="430"/>
      <c r="E904" s="431"/>
    </row>
    <row r="905" spans="3:5">
      <c r="C905" s="430"/>
      <c r="E905" s="431"/>
    </row>
    <row r="906" spans="3:5">
      <c r="C906" s="430"/>
      <c r="E906" s="431"/>
    </row>
    <row r="907" spans="3:5">
      <c r="C907" s="430"/>
      <c r="E907" s="431"/>
    </row>
    <row r="908" spans="3:5">
      <c r="C908" s="430"/>
      <c r="E908" s="431"/>
    </row>
    <row r="909" spans="3:5">
      <c r="C909" s="430"/>
      <c r="E909" s="431"/>
    </row>
    <row r="910" spans="3:5">
      <c r="C910" s="430"/>
      <c r="E910" s="431"/>
    </row>
    <row r="911" spans="3:5">
      <c r="C911" s="430"/>
      <c r="E911" s="431"/>
    </row>
    <row r="912" spans="3:5">
      <c r="C912" s="430"/>
      <c r="E912" s="431"/>
    </row>
    <row r="913" spans="3:5">
      <c r="C913" s="430"/>
      <c r="E913" s="431"/>
    </row>
    <row r="914" spans="3:5">
      <c r="C914" s="430"/>
      <c r="E914" s="431"/>
    </row>
    <row r="915" spans="3:5">
      <c r="C915" s="430"/>
      <c r="E915" s="431"/>
    </row>
    <row r="916" spans="3:5">
      <c r="C916" s="430"/>
      <c r="E916" s="431"/>
    </row>
    <row r="917" spans="3:5">
      <c r="C917" s="430"/>
      <c r="E917" s="431"/>
    </row>
    <row r="918" spans="3:5">
      <c r="C918" s="430"/>
      <c r="E918" s="431"/>
    </row>
    <row r="919" spans="3:5">
      <c r="C919" s="430"/>
      <c r="E919" s="431"/>
    </row>
    <row r="920" spans="3:5">
      <c r="C920" s="430"/>
      <c r="E920" s="431"/>
    </row>
    <row r="921" spans="3:5">
      <c r="C921" s="430"/>
      <c r="E921" s="431"/>
    </row>
    <row r="922" spans="3:5">
      <c r="C922" s="430"/>
      <c r="E922" s="431"/>
    </row>
    <row r="923" spans="3:5">
      <c r="C923" s="430"/>
      <c r="E923" s="431"/>
    </row>
    <row r="924" spans="3:5">
      <c r="C924" s="430"/>
      <c r="E924" s="431"/>
    </row>
    <row r="925" spans="3:5">
      <c r="C925" s="430"/>
      <c r="E925" s="431"/>
    </row>
    <row r="926" spans="3:5">
      <c r="C926" s="430"/>
      <c r="E926" s="431"/>
    </row>
    <row r="927" spans="3:5">
      <c r="C927" s="430"/>
      <c r="E927" s="431"/>
    </row>
    <row r="928" spans="3:5">
      <c r="C928" s="430"/>
      <c r="E928" s="431"/>
    </row>
    <row r="929" spans="3:5">
      <c r="C929" s="430"/>
      <c r="E929" s="431"/>
    </row>
    <row r="930" spans="3:5">
      <c r="C930" s="430"/>
      <c r="E930" s="431"/>
    </row>
    <row r="931" spans="3:5">
      <c r="C931" s="430"/>
      <c r="E931" s="431"/>
    </row>
    <row r="932" spans="3:5">
      <c r="C932" s="430"/>
      <c r="E932" s="431"/>
    </row>
    <row r="933" spans="3:5">
      <c r="C933" s="430"/>
      <c r="E933" s="431"/>
    </row>
    <row r="934" spans="3:5">
      <c r="C934" s="430"/>
      <c r="E934" s="431"/>
    </row>
    <row r="935" spans="3:5">
      <c r="C935" s="430"/>
      <c r="E935" s="431"/>
    </row>
    <row r="936" spans="3:5">
      <c r="C936" s="430"/>
      <c r="E936" s="431"/>
    </row>
    <row r="937" spans="3:5">
      <c r="C937" s="430"/>
      <c r="E937" s="431"/>
    </row>
    <row r="938" spans="3:5">
      <c r="C938" s="430"/>
      <c r="E938" s="431"/>
    </row>
    <row r="939" spans="3:5">
      <c r="C939" s="430"/>
      <c r="E939" s="431"/>
    </row>
    <row r="940" spans="3:5">
      <c r="C940" s="430"/>
      <c r="E940" s="431"/>
    </row>
    <row r="941" spans="3:5">
      <c r="C941" s="430"/>
      <c r="E941" s="431"/>
    </row>
    <row r="942" spans="3:5">
      <c r="C942" s="430"/>
      <c r="E942" s="431"/>
    </row>
    <row r="943" spans="3:5">
      <c r="C943" s="430"/>
      <c r="E943" s="431"/>
    </row>
    <row r="944" spans="3:5">
      <c r="C944" s="430"/>
      <c r="E944" s="431"/>
    </row>
    <row r="945" spans="3:5">
      <c r="C945" s="430"/>
      <c r="E945" s="431"/>
    </row>
    <row r="946" spans="3:5">
      <c r="C946" s="430"/>
      <c r="E946" s="431"/>
    </row>
    <row r="947" spans="3:5">
      <c r="C947" s="430"/>
      <c r="E947" s="431"/>
    </row>
    <row r="948" spans="3:5">
      <c r="C948" s="430"/>
      <c r="E948" s="431"/>
    </row>
    <row r="949" spans="3:5">
      <c r="C949" s="430"/>
      <c r="E949" s="431"/>
    </row>
    <row r="950" spans="3:5">
      <c r="C950" s="430"/>
      <c r="E950" s="431"/>
    </row>
    <row r="951" spans="3:5">
      <c r="C951" s="430"/>
      <c r="E951" s="431"/>
    </row>
    <row r="952" spans="3:5">
      <c r="C952" s="430"/>
      <c r="E952" s="431"/>
    </row>
    <row r="953" spans="3:5">
      <c r="C953" s="430"/>
      <c r="E953" s="431"/>
    </row>
    <row r="954" spans="3:5">
      <c r="C954" s="430"/>
      <c r="E954" s="431"/>
    </row>
    <row r="955" spans="3:5">
      <c r="C955" s="430"/>
      <c r="E955" s="431"/>
    </row>
    <row r="956" spans="3:5">
      <c r="C956" s="430"/>
      <c r="E956" s="431"/>
    </row>
    <row r="957" spans="3:5">
      <c r="C957" s="430"/>
      <c r="E957" s="431"/>
    </row>
    <row r="958" spans="3:5">
      <c r="C958" s="430"/>
      <c r="E958" s="431"/>
    </row>
    <row r="959" spans="3:5">
      <c r="C959" s="430"/>
      <c r="E959" s="431"/>
    </row>
    <row r="960" spans="3:5">
      <c r="C960" s="430"/>
      <c r="E960" s="431"/>
    </row>
    <row r="961" spans="3:5">
      <c r="C961" s="430"/>
      <c r="E961" s="431"/>
    </row>
    <row r="962" spans="3:5">
      <c r="C962" s="430"/>
      <c r="E962" s="431"/>
    </row>
    <row r="963" spans="3:5">
      <c r="C963" s="430"/>
      <c r="E963" s="431"/>
    </row>
    <row r="964" spans="3:5">
      <c r="C964" s="430"/>
      <c r="E964" s="431"/>
    </row>
    <row r="965" spans="3:5">
      <c r="C965" s="430"/>
      <c r="E965" s="431"/>
    </row>
    <row r="966" spans="3:5">
      <c r="C966" s="430"/>
      <c r="E966" s="431"/>
    </row>
    <row r="967" spans="3:5">
      <c r="C967" s="430"/>
      <c r="E967" s="431"/>
    </row>
    <row r="968" spans="3:5">
      <c r="C968" s="430"/>
      <c r="E968" s="431"/>
    </row>
    <row r="969" spans="3:5">
      <c r="C969" s="430"/>
      <c r="E969" s="431"/>
    </row>
    <row r="970" spans="3:5">
      <c r="C970" s="430"/>
      <c r="E970" s="431"/>
    </row>
    <row r="971" spans="3:5">
      <c r="C971" s="430"/>
      <c r="E971" s="431"/>
    </row>
    <row r="972" spans="3:5">
      <c r="C972" s="430"/>
      <c r="E972" s="431"/>
    </row>
    <row r="973" spans="3:5">
      <c r="C973" s="430"/>
      <c r="E973" s="431"/>
    </row>
    <row r="974" spans="3:5">
      <c r="C974" s="430"/>
      <c r="E974" s="431"/>
    </row>
    <row r="975" spans="3:5">
      <c r="C975" s="430"/>
      <c r="E975" s="431"/>
    </row>
    <row r="976" spans="3:5">
      <c r="C976" s="430"/>
      <c r="E976" s="431"/>
    </row>
    <row r="977" spans="3:5">
      <c r="C977" s="430"/>
      <c r="E977" s="431"/>
    </row>
    <row r="978" spans="3:5">
      <c r="C978" s="430"/>
      <c r="E978" s="431"/>
    </row>
    <row r="979" spans="3:5">
      <c r="C979" s="430"/>
      <c r="E979" s="431"/>
    </row>
    <row r="980" spans="3:5">
      <c r="C980" s="430"/>
      <c r="E980" s="431"/>
    </row>
    <row r="981" spans="3:5">
      <c r="C981" s="430"/>
      <c r="E981" s="431"/>
    </row>
    <row r="982" spans="3:5">
      <c r="C982" s="430"/>
      <c r="E982" s="431"/>
    </row>
    <row r="983" spans="3:5">
      <c r="C983" s="430"/>
      <c r="E983" s="431"/>
    </row>
    <row r="984" spans="3:5">
      <c r="C984" s="430"/>
      <c r="E984" s="431"/>
    </row>
    <row r="985" spans="3:5">
      <c r="C985" s="430"/>
      <c r="E985" s="431"/>
    </row>
    <row r="986" spans="3:5">
      <c r="C986" s="430"/>
      <c r="E986" s="431"/>
    </row>
    <row r="987" spans="3:5">
      <c r="C987" s="430"/>
      <c r="E987" s="431"/>
    </row>
    <row r="988" spans="3:5">
      <c r="C988" s="430"/>
      <c r="E988" s="431"/>
    </row>
    <row r="989" spans="3:5">
      <c r="C989" s="430"/>
      <c r="E989" s="431"/>
    </row>
    <row r="990" spans="3:5">
      <c r="C990" s="430"/>
      <c r="E990" s="431"/>
    </row>
    <row r="991" spans="3:5">
      <c r="C991" s="430"/>
      <c r="E991" s="431"/>
    </row>
    <row r="992" spans="3:5">
      <c r="C992" s="430"/>
      <c r="E992" s="431"/>
    </row>
    <row r="993" spans="3:5">
      <c r="C993" s="430"/>
      <c r="E993" s="431"/>
    </row>
    <row r="994" spans="3:5">
      <c r="C994" s="430"/>
      <c r="E994" s="431"/>
    </row>
    <row r="995" spans="3:5">
      <c r="C995" s="430"/>
      <c r="E995" s="431"/>
    </row>
    <row r="996" spans="3:5">
      <c r="C996" s="430"/>
      <c r="E996" s="431"/>
    </row>
    <row r="997" spans="3:5">
      <c r="C997" s="430"/>
      <c r="E997" s="431"/>
    </row>
    <row r="998" spans="3:5">
      <c r="C998" s="430"/>
      <c r="E998" s="431"/>
    </row>
    <row r="999" spans="3:5">
      <c r="C999" s="430"/>
      <c r="E999" s="431"/>
    </row>
    <row r="1000" spans="3:5">
      <c r="C1000" s="430"/>
      <c r="E1000" s="431"/>
    </row>
    <row r="1001" spans="3:5">
      <c r="C1001" s="430"/>
      <c r="E1001" s="431"/>
    </row>
    <row r="1002" spans="3:5">
      <c r="C1002" s="430"/>
      <c r="E1002" s="431"/>
    </row>
    <row r="1003" spans="3:5">
      <c r="C1003" s="430"/>
      <c r="E1003" s="431"/>
    </row>
    <row r="1004" spans="3:5">
      <c r="C1004" s="430"/>
      <c r="E1004" s="431"/>
    </row>
    <row r="1005" spans="3:5">
      <c r="C1005" s="430"/>
      <c r="E1005" s="431"/>
    </row>
    <row r="1006" spans="3:5">
      <c r="C1006" s="430"/>
      <c r="E1006" s="431"/>
    </row>
    <row r="1007" spans="3:5">
      <c r="C1007" s="430"/>
      <c r="E1007" s="431"/>
    </row>
    <row r="1008" spans="3:5">
      <c r="C1008" s="430"/>
      <c r="E1008" s="431"/>
    </row>
    <row r="1009" spans="3:5">
      <c r="C1009" s="430"/>
      <c r="E1009" s="431"/>
    </row>
    <row r="1010" spans="3:5">
      <c r="C1010" s="430"/>
      <c r="E1010" s="431"/>
    </row>
    <row r="1011" spans="3:5">
      <c r="C1011" s="430"/>
      <c r="E1011" s="431"/>
    </row>
    <row r="1012" spans="3:5">
      <c r="C1012" s="430"/>
      <c r="E1012" s="431"/>
    </row>
    <row r="1013" spans="3:5">
      <c r="C1013" s="430"/>
      <c r="E1013" s="431"/>
    </row>
    <row r="1014" spans="3:5">
      <c r="C1014" s="430"/>
      <c r="E1014" s="431"/>
    </row>
    <row r="1015" spans="3:5">
      <c r="C1015" s="430"/>
      <c r="E1015" s="431"/>
    </row>
    <row r="1016" spans="3:5">
      <c r="C1016" s="430"/>
      <c r="E1016" s="431"/>
    </row>
    <row r="1017" spans="3:5">
      <c r="C1017" s="430"/>
      <c r="E1017" s="431"/>
    </row>
    <row r="1018" spans="3:5">
      <c r="C1018" s="430"/>
      <c r="E1018" s="431"/>
    </row>
    <row r="1019" spans="3:5">
      <c r="C1019" s="430"/>
      <c r="E1019" s="431"/>
    </row>
    <row r="1020" spans="3:5">
      <c r="C1020" s="430"/>
      <c r="E1020" s="431"/>
    </row>
    <row r="1021" spans="3:5">
      <c r="C1021" s="430"/>
      <c r="E1021" s="431"/>
    </row>
    <row r="1022" spans="3:5">
      <c r="C1022" s="430"/>
      <c r="E1022" s="431"/>
    </row>
    <row r="1023" spans="3:5">
      <c r="C1023" s="430"/>
      <c r="E1023" s="431"/>
    </row>
    <row r="1024" spans="3:5">
      <c r="C1024" s="430"/>
      <c r="E1024" s="431"/>
    </row>
    <row r="1025" spans="3:5">
      <c r="C1025" s="430"/>
      <c r="E1025" s="431"/>
    </row>
    <row r="1026" spans="3:5">
      <c r="C1026" s="430"/>
      <c r="E1026" s="431"/>
    </row>
    <row r="1027" spans="3:5">
      <c r="C1027" s="430"/>
      <c r="E1027" s="431"/>
    </row>
    <row r="1028" spans="3:5">
      <c r="C1028" s="430"/>
      <c r="E1028" s="431"/>
    </row>
    <row r="1029" spans="3:5">
      <c r="C1029" s="430"/>
      <c r="E1029" s="431"/>
    </row>
    <row r="1030" spans="3:5">
      <c r="C1030" s="430"/>
      <c r="E1030" s="431"/>
    </row>
    <row r="1031" spans="3:5">
      <c r="C1031" s="430"/>
      <c r="E1031" s="431"/>
    </row>
    <row r="1032" spans="3:5">
      <c r="C1032" s="430"/>
      <c r="E1032" s="431"/>
    </row>
    <row r="1033" spans="3:5">
      <c r="C1033" s="430"/>
      <c r="E1033" s="431"/>
    </row>
    <row r="1034" spans="3:5">
      <c r="C1034" s="430"/>
      <c r="E1034" s="431"/>
    </row>
    <row r="1035" spans="3:5">
      <c r="C1035" s="430"/>
      <c r="E1035" s="431"/>
    </row>
    <row r="1036" spans="3:5">
      <c r="C1036" s="430"/>
      <c r="E1036" s="431"/>
    </row>
    <row r="1037" spans="3:5">
      <c r="C1037" s="430"/>
      <c r="E1037" s="431"/>
    </row>
    <row r="1038" spans="3:5">
      <c r="C1038" s="430"/>
      <c r="E1038" s="431"/>
    </row>
    <row r="1039" spans="3:5">
      <c r="C1039" s="430"/>
      <c r="E1039" s="431"/>
    </row>
    <row r="1040" spans="3:5">
      <c r="C1040" s="430"/>
      <c r="E1040" s="431"/>
    </row>
    <row r="1041" spans="3:5">
      <c r="C1041" s="430"/>
      <c r="E1041" s="431"/>
    </row>
    <row r="1042" spans="3:5">
      <c r="C1042" s="430"/>
      <c r="E1042" s="431"/>
    </row>
    <row r="1043" spans="3:5">
      <c r="C1043" s="430"/>
      <c r="E1043" s="431"/>
    </row>
    <row r="1044" spans="3:5">
      <c r="C1044" s="430"/>
      <c r="E1044" s="431"/>
    </row>
    <row r="1045" spans="3:5">
      <c r="C1045" s="430"/>
      <c r="E1045" s="431"/>
    </row>
    <row r="1046" spans="3:5">
      <c r="C1046" s="430"/>
      <c r="E1046" s="431"/>
    </row>
    <row r="1047" spans="3:5">
      <c r="C1047" s="430"/>
      <c r="E1047" s="431"/>
    </row>
    <row r="1048" spans="3:5">
      <c r="C1048" s="430"/>
      <c r="E1048" s="431"/>
    </row>
    <row r="1049" spans="3:5">
      <c r="C1049" s="430"/>
      <c r="E1049" s="431"/>
    </row>
    <row r="1050" spans="3:5">
      <c r="C1050" s="430"/>
      <c r="E1050" s="431"/>
    </row>
    <row r="1051" spans="3:5">
      <c r="C1051" s="430"/>
      <c r="E1051" s="431"/>
    </row>
    <row r="1052" spans="3:5">
      <c r="C1052" s="430"/>
      <c r="E1052" s="431"/>
    </row>
    <row r="1053" spans="3:5">
      <c r="C1053" s="430"/>
      <c r="E1053" s="431"/>
    </row>
    <row r="1054" spans="3:5">
      <c r="C1054" s="430"/>
      <c r="E1054" s="431"/>
    </row>
  </sheetData>
  <sheetProtection autoFilter="0"/>
  <mergeCells count="174">
    <mergeCell ref="C273:C290"/>
    <mergeCell ref="E150:E152"/>
    <mergeCell ref="D150:D152"/>
    <mergeCell ref="D165:D166"/>
    <mergeCell ref="E165:E166"/>
    <mergeCell ref="E195:E196"/>
    <mergeCell ref="D195:D196"/>
    <mergeCell ref="D141:D142"/>
    <mergeCell ref="E141:E142"/>
    <mergeCell ref="D143:D144"/>
    <mergeCell ref="E143:E144"/>
    <mergeCell ref="E145:E146"/>
    <mergeCell ref="D145:D146"/>
    <mergeCell ref="E155:E157"/>
    <mergeCell ref="E191:E192"/>
    <mergeCell ref="C155:C168"/>
    <mergeCell ref="E241:E242"/>
    <mergeCell ref="C171:C196"/>
    <mergeCell ref="D171:D173"/>
    <mergeCell ref="E171:E173"/>
    <mergeCell ref="D184:D185"/>
    <mergeCell ref="D186:D188"/>
    <mergeCell ref="D189:D190"/>
    <mergeCell ref="D191:D192"/>
    <mergeCell ref="E57:E59"/>
    <mergeCell ref="D60:D61"/>
    <mergeCell ref="D78:D79"/>
    <mergeCell ref="C65:C87"/>
    <mergeCell ref="D80:D81"/>
    <mergeCell ref="C199:C224"/>
    <mergeCell ref="D94:D95"/>
    <mergeCell ref="E94:E95"/>
    <mergeCell ref="E80:E81"/>
    <mergeCell ref="D70:D72"/>
    <mergeCell ref="E70:E72"/>
    <mergeCell ref="D73:D74"/>
    <mergeCell ref="E73:E74"/>
    <mergeCell ref="D65:D66"/>
    <mergeCell ref="E65:E66"/>
    <mergeCell ref="D67:D69"/>
    <mergeCell ref="E67:E69"/>
    <mergeCell ref="E186:E188"/>
    <mergeCell ref="D217:D218"/>
    <mergeCell ref="E217:E218"/>
    <mergeCell ref="D220:D221"/>
    <mergeCell ref="E220:E221"/>
    <mergeCell ref="D211:D212"/>
    <mergeCell ref="E211:E212"/>
    <mergeCell ref="C227:C270"/>
    <mergeCell ref="E265:E267"/>
    <mergeCell ref="D265:D267"/>
    <mergeCell ref="D127:D128"/>
    <mergeCell ref="E127:E128"/>
    <mergeCell ref="D84:D85"/>
    <mergeCell ref="E84:E85"/>
    <mergeCell ref="E100:E101"/>
    <mergeCell ref="D102:D103"/>
    <mergeCell ref="D115:D116"/>
    <mergeCell ref="D117:D120"/>
    <mergeCell ref="E102:E103"/>
    <mergeCell ref="E115:E116"/>
    <mergeCell ref="E117:E120"/>
    <mergeCell ref="D222:D223"/>
    <mergeCell ref="E222:E223"/>
    <mergeCell ref="D227:D228"/>
    <mergeCell ref="E227:E228"/>
    <mergeCell ref="D229:D232"/>
    <mergeCell ref="E229:E232"/>
    <mergeCell ref="E189:E190"/>
    <mergeCell ref="E174:E176"/>
    <mergeCell ref="E177:E178"/>
    <mergeCell ref="D174:D176"/>
    <mergeCell ref="D215:D216"/>
    <mergeCell ref="E215:E216"/>
    <mergeCell ref="D256:D257"/>
    <mergeCell ref="E256:E257"/>
    <mergeCell ref="D258:D260"/>
    <mergeCell ref="E258:E260"/>
    <mergeCell ref="D233:D234"/>
    <mergeCell ref="E233:E234"/>
    <mergeCell ref="D235:D238"/>
    <mergeCell ref="E235:E238"/>
    <mergeCell ref="D247:D249"/>
    <mergeCell ref="E247:E249"/>
    <mergeCell ref="D250:D253"/>
    <mergeCell ref="E250:E253"/>
    <mergeCell ref="D243:D244"/>
    <mergeCell ref="E243:E244"/>
    <mergeCell ref="D245:D246"/>
    <mergeCell ref="E245:E246"/>
    <mergeCell ref="D239:D240"/>
    <mergeCell ref="E239:E240"/>
    <mergeCell ref="D241:D242"/>
    <mergeCell ref="D167:D168"/>
    <mergeCell ref="E167:E168"/>
    <mergeCell ref="D159:D160"/>
    <mergeCell ref="E159:E160"/>
    <mergeCell ref="D177:D178"/>
    <mergeCell ref="D161:D163"/>
    <mergeCell ref="E161:E163"/>
    <mergeCell ref="E139:E140"/>
    <mergeCell ref="D139:D140"/>
    <mergeCell ref="C1:L1"/>
    <mergeCell ref="D3:E3"/>
    <mergeCell ref="K9:L9"/>
    <mergeCell ref="D96:D98"/>
    <mergeCell ref="E96:E98"/>
    <mergeCell ref="C11:C39"/>
    <mergeCell ref="D11:D15"/>
    <mergeCell ref="C90:C103"/>
    <mergeCell ref="D90:D91"/>
    <mergeCell ref="E90:E91"/>
    <mergeCell ref="D2:F2"/>
    <mergeCell ref="D31:D32"/>
    <mergeCell ref="E31:E32"/>
    <mergeCell ref="D38:D39"/>
    <mergeCell ref="E38:E39"/>
    <mergeCell ref="D54:D55"/>
    <mergeCell ref="E54:E55"/>
    <mergeCell ref="D42:D44"/>
    <mergeCell ref="E42:E44"/>
    <mergeCell ref="D45:D51"/>
    <mergeCell ref="E45:E51"/>
    <mergeCell ref="E11:E15"/>
    <mergeCell ref="D100:D101"/>
    <mergeCell ref="D16:D17"/>
    <mergeCell ref="C106:C134"/>
    <mergeCell ref="D107:D111"/>
    <mergeCell ref="E107:E111"/>
    <mergeCell ref="D112:D114"/>
    <mergeCell ref="E112:E114"/>
    <mergeCell ref="D129:D131"/>
    <mergeCell ref="E129:E131"/>
    <mergeCell ref="C137:C153"/>
    <mergeCell ref="J2:J3"/>
    <mergeCell ref="I2:I3"/>
    <mergeCell ref="E16:E17"/>
    <mergeCell ref="D21:D23"/>
    <mergeCell ref="E21:E23"/>
    <mergeCell ref="D4:F4"/>
    <mergeCell ref="D28:D30"/>
    <mergeCell ref="E28:E30"/>
    <mergeCell ref="D24:D27"/>
    <mergeCell ref="E24:E27"/>
    <mergeCell ref="D18:D19"/>
    <mergeCell ref="E18:E19"/>
    <mergeCell ref="C42:C62"/>
    <mergeCell ref="E78:E79"/>
    <mergeCell ref="E60:E61"/>
    <mergeCell ref="D57:D59"/>
    <mergeCell ref="D286:D289"/>
    <mergeCell ref="E286:E289"/>
    <mergeCell ref="D137:D138"/>
    <mergeCell ref="E137:E138"/>
    <mergeCell ref="D132:D133"/>
    <mergeCell ref="E132:E133"/>
    <mergeCell ref="D121:D122"/>
    <mergeCell ref="E121:E122"/>
    <mergeCell ref="D124:D126"/>
    <mergeCell ref="E124:E126"/>
    <mergeCell ref="D268:D269"/>
    <mergeCell ref="E268:E269"/>
    <mergeCell ref="D261:D262"/>
    <mergeCell ref="E261:E262"/>
    <mergeCell ref="D206:D207"/>
    <mergeCell ref="E206:E207"/>
    <mergeCell ref="E184:E185"/>
    <mergeCell ref="D208:D209"/>
    <mergeCell ref="E208:E209"/>
    <mergeCell ref="D199:D200"/>
    <mergeCell ref="E199:E200"/>
    <mergeCell ref="D202:D205"/>
    <mergeCell ref="E202:E205"/>
    <mergeCell ref="D155:D157"/>
  </mergeCells>
  <conditionalFormatting sqref="D2:F2">
    <cfRule type="containsText" dxfId="121" priority="22" operator="containsText" text="XXXX">
      <formula>NOT(ISERROR(SEARCH("XXXX",D2)))</formula>
    </cfRule>
  </conditionalFormatting>
  <conditionalFormatting sqref="C1:E1">
    <cfRule type="containsText" dxfId="120" priority="21" operator="containsText" text="Project Number">
      <formula>NOT(ISERROR(SEARCH("Project Number",C1)))</formula>
    </cfRule>
  </conditionalFormatting>
  <conditionalFormatting sqref="D4">
    <cfRule type="containsText" dxfId="119" priority="10" operator="containsText" text="Review Phase">
      <formula>NOT(ISERROR(SEARCH("Review Phase",D4)))</formula>
    </cfRule>
  </conditionalFormatting>
  <conditionalFormatting sqref="I290 I271 I225 I197 I169 I153 I135 I104 I88 I63 I40">
    <cfRule type="expression" dxfId="118" priority="9">
      <formula>IF(SUM(K40:L40)&lt;&gt; I40, TRUE,FALSE)</formula>
    </cfRule>
  </conditionalFormatting>
  <conditionalFormatting sqref="F8">
    <cfRule type="expression" dxfId="117" priority="3">
      <formula>IF(SUM($V$11:$V$285)&gt;0,TRUE,FALSE)</formula>
    </cfRule>
    <cfRule type="expression" dxfId="116" priority="4">
      <formula>IF(SUM($V$11:$V$285)&gt;0,TRUE,FALSE)</formula>
    </cfRule>
  </conditionalFormatting>
  <conditionalFormatting sqref="F7">
    <cfRule type="expression" dxfId="115" priority="2">
      <formula>IF(SUM($W$11:$W$285)&gt;0,TRUE,FALSE)</formula>
    </cfRule>
  </conditionalFormatting>
  <printOptions verticalCentered="1"/>
  <pageMargins left="0.7" right="0.7" top="0.5" bottom="0.5" header="0.3" footer="0.3"/>
  <pageSetup scale="24" fitToHeight="0" orientation="portrait" r:id="rId1"/>
  <rowBreaks count="1" manualBreakCount="1">
    <brk id="136" min="1" max="12" man="1"/>
  </row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D22442D-EF2C-4A55-BF29-B5D4AA67F460}">
          <x14:formula1>
            <xm:f>Lists!$A$24:$A$36</xm:f>
          </x14:formula1>
          <xm:sqref>A4:A6 D5:D6</xm:sqref>
        </x14:dataValidation>
        <x14:dataValidation type="list" allowBlank="1" showInputMessage="1" showErrorMessage="1" errorTitle="Invalid Phase" xr:uid="{C77383A1-885B-49D1-ADEE-46E87DA9FD65}">
          <x14:formula1>
            <xm:f>Lists!$A$24:$A$37</xm:f>
          </x14:formula1>
          <xm:sqref>D4:F4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A1:DS1088"/>
  <sheetViews>
    <sheetView tabSelected="1" view="pageBreakPreview" zoomScaleNormal="70" zoomScaleSheetLayoutView="100" workbookViewId="0">
      <selection activeCell="B6" sqref="B6:I6"/>
    </sheetView>
  </sheetViews>
  <sheetFormatPr defaultColWidth="14.44140625" defaultRowHeight="15"/>
  <cols>
    <col min="1" max="1" width="12.6640625" style="44" customWidth="1"/>
    <col min="2" max="2" width="17.33203125" style="56" customWidth="1"/>
    <col min="3" max="3" width="7.33203125" style="57" customWidth="1"/>
    <col min="4" max="4" width="36.6640625" style="58" customWidth="1"/>
    <col min="5" max="5" width="54" style="59" customWidth="1"/>
    <col min="6" max="6" width="17.33203125" style="172" hidden="1" customWidth="1"/>
    <col min="7" max="7" width="12.33203125" style="172" hidden="1" customWidth="1"/>
    <col min="8" max="8" width="27" style="60" customWidth="1"/>
    <col min="9" max="9" width="104.33203125" style="181" customWidth="1"/>
    <col min="10" max="10" width="12.6640625" style="61" customWidth="1"/>
    <col min="11" max="11" width="20.33203125" style="190" customWidth="1"/>
    <col min="12" max="12" width="14.33203125" style="49" customWidth="1"/>
    <col min="13" max="13" width="15.33203125" style="49" bestFit="1" customWidth="1"/>
    <col min="14" max="15" width="20.109375" style="44" customWidth="1"/>
    <col min="16" max="19" width="14.44140625" style="44" hidden="1" customWidth="1"/>
    <col min="20" max="20" width="19.5546875" style="44" hidden="1" customWidth="1"/>
    <col min="21" max="23" width="14.44140625" style="44" hidden="1" customWidth="1"/>
    <col min="24" max="16384" width="14.44140625" style="44"/>
  </cols>
  <sheetData>
    <row r="1" spans="2:23" ht="16.2" customHeight="1" thickBot="1">
      <c r="F1" s="704" t="s">
        <v>215</v>
      </c>
      <c r="G1" s="705"/>
      <c r="K1" s="706"/>
      <c r="L1" s="47"/>
      <c r="M1" s="44"/>
    </row>
    <row r="2" spans="2:23">
      <c r="B2" s="909" t="str">
        <f>Overview!C1</f>
        <v xml:space="preserve"> 	2202025367 - Shenzhen Prince Bay Mixed-use Development DY04-02</v>
      </c>
      <c r="C2" s="910"/>
      <c r="D2" s="910"/>
      <c r="E2" s="910"/>
      <c r="F2" s="910"/>
      <c r="G2" s="910"/>
      <c r="H2" s="910"/>
      <c r="I2" s="911"/>
      <c r="L2" s="47"/>
      <c r="M2" s="44"/>
    </row>
    <row r="3" spans="2:23">
      <c r="B3" s="912"/>
      <c r="C3" s="913"/>
      <c r="D3" s="913"/>
      <c r="E3" s="913"/>
      <c r="F3" s="913"/>
      <c r="G3" s="913"/>
      <c r="H3" s="913"/>
      <c r="I3" s="914"/>
      <c r="L3" s="47"/>
      <c r="M3" s="44"/>
    </row>
    <row r="4" spans="2:23" ht="31.2">
      <c r="B4" s="707" t="s">
        <v>0</v>
      </c>
      <c r="C4" s="708" t="s">
        <v>1</v>
      </c>
      <c r="D4" s="708" t="s">
        <v>2</v>
      </c>
      <c r="E4" s="708" t="s">
        <v>3</v>
      </c>
      <c r="F4" s="709" t="s">
        <v>216</v>
      </c>
      <c r="G4" s="710" t="s">
        <v>5</v>
      </c>
      <c r="H4" s="708" t="s">
        <v>6</v>
      </c>
      <c r="I4" s="711" t="s">
        <v>217</v>
      </c>
      <c r="K4" s="192"/>
      <c r="L4" s="47"/>
      <c r="M4" s="44"/>
    </row>
    <row r="5" spans="2:23" ht="17.399999999999999" customHeight="1">
      <c r="B5" s="920" t="s">
        <v>721</v>
      </c>
      <c r="C5" s="921"/>
      <c r="D5" s="921"/>
      <c r="E5" s="921"/>
      <c r="F5" s="921"/>
      <c r="G5" s="921"/>
      <c r="H5" s="921"/>
      <c r="I5" s="922"/>
      <c r="K5" s="194"/>
      <c r="L5" s="44"/>
      <c r="M5" s="44"/>
    </row>
    <row r="6" spans="2:23" ht="99.9" customHeight="1" thickBot="1">
      <c r="B6" s="923" t="s">
        <v>1152</v>
      </c>
      <c r="C6" s="924"/>
      <c r="D6" s="924"/>
      <c r="E6" s="924"/>
      <c r="F6" s="924"/>
      <c r="G6" s="924"/>
      <c r="H6" s="924"/>
      <c r="I6" s="925"/>
      <c r="K6" s="712"/>
      <c r="L6" s="713" t="s">
        <v>722</v>
      </c>
      <c r="M6" s="713" t="s">
        <v>386</v>
      </c>
      <c r="N6" s="62" t="s">
        <v>738</v>
      </c>
      <c r="O6" s="62" t="s">
        <v>739</v>
      </c>
      <c r="P6" s="47" t="s">
        <v>384</v>
      </c>
      <c r="Q6" s="47" t="s">
        <v>385</v>
      </c>
      <c r="R6" s="47" t="s">
        <v>383</v>
      </c>
      <c r="S6" s="47" t="s">
        <v>382</v>
      </c>
      <c r="T6" s="62" t="s">
        <v>723</v>
      </c>
    </row>
    <row r="7" spans="2:23" ht="15.6" customHeight="1">
      <c r="B7" s="917"/>
      <c r="C7" s="918"/>
      <c r="D7" s="918"/>
      <c r="E7" s="918"/>
      <c r="F7" s="918"/>
      <c r="G7" s="918"/>
      <c r="H7" s="918"/>
      <c r="I7" s="919"/>
      <c r="K7" s="192"/>
      <c r="L7" s="173"/>
      <c r="M7" s="173"/>
      <c r="N7" s="173"/>
      <c r="O7" s="173"/>
      <c r="P7" s="173"/>
      <c r="Q7" s="173"/>
      <c r="R7" s="173"/>
      <c r="S7" s="173"/>
      <c r="T7" s="173"/>
      <c r="U7" s="173"/>
    </row>
    <row r="8" spans="2:23" s="65" customFormat="1" ht="99.9" hidden="1" customHeight="1">
      <c r="B8" s="63"/>
      <c r="C8" s="869" t="s">
        <v>707</v>
      </c>
      <c r="D8" s="870"/>
      <c r="E8" s="870"/>
      <c r="F8" s="870"/>
      <c r="G8" s="870"/>
      <c r="H8" s="870"/>
      <c r="I8" s="871"/>
      <c r="J8" s="64"/>
      <c r="K8" s="192"/>
      <c r="L8" s="173"/>
      <c r="M8" s="173"/>
      <c r="N8" s="173"/>
      <c r="O8" s="173"/>
      <c r="P8" s="173"/>
      <c r="Q8" s="173"/>
      <c r="R8" s="173"/>
      <c r="S8" s="173"/>
      <c r="T8" s="173"/>
      <c r="U8" s="173"/>
    </row>
    <row r="9" spans="2:23" s="65" customFormat="1" hidden="1">
      <c r="B9" s="63"/>
      <c r="C9" s="915"/>
      <c r="D9" s="915"/>
      <c r="E9" s="915"/>
      <c r="F9" s="915"/>
      <c r="G9" s="915"/>
      <c r="H9" s="915"/>
      <c r="I9" s="916"/>
      <c r="J9" s="64"/>
      <c r="K9" s="190"/>
    </row>
    <row r="10" spans="2:23" ht="45.6">
      <c r="B10" s="926" t="s">
        <v>7</v>
      </c>
      <c r="C10" s="881" t="s">
        <v>8</v>
      </c>
      <c r="D10" s="883" t="s">
        <v>9</v>
      </c>
      <c r="E10" s="700" t="s">
        <v>218</v>
      </c>
      <c r="F10" s="207"/>
      <c r="G10" s="208" t="s">
        <v>219</v>
      </c>
      <c r="H10" s="701" t="s">
        <v>369</v>
      </c>
      <c r="I10" s="67" t="s">
        <v>1141</v>
      </c>
      <c r="K10" s="193"/>
      <c r="L10" s="49" t="str">
        <f>IF(OR(Overview!$D$4="Preliminary Documentation Review",Overview!$D$4="Preliminary Precertification Review"),IF(AND(P10=0,Q10=0),"",IF(AND(P10&gt;0,Q10&gt;0),"","MISMATCH")),"")</f>
        <v/>
      </c>
      <c r="M10" s="49" t="str">
        <f>IF(OR(Overview!$D$4="Preliminary Documentation Review",Overview!$D$4="Preliminary Precertification Review"),IF(AND(R10=0,S10=0),"",IF(AND(R10&gt;0,S10&gt;0),"","MISMATCH")),"")</f>
        <v/>
      </c>
      <c r="N10" s="49" t="str">
        <f>IF(OR(Overview!$D$4="Preliminary Documentation Review",Overview!$D$4="Preliminary Precertification Review"),IF(AND(T10=0,U10=0),"",IF(AND(T10&gt;0,U10&gt;0),"MISMATCH","")),"")</f>
        <v/>
      </c>
      <c r="O10" s="49" t="str">
        <f>IF(OR(Overview!$D$4="Preliminary Documentation Review",Overview!$D$4="Preliminary Precertification Review"),IF(AND(V10=0,W10=0),"",IF(AND(V10&gt;0,W10&gt;0),"","MISMATCH")),"")</f>
        <v/>
      </c>
      <c r="P10" s="44">
        <f t="shared" ref="P10:P40" si="0">IFERROR(SEARCH("COMMENTS TO BE ADDRESS",$I10),0)</f>
        <v>0</v>
      </c>
      <c r="Q10" s="44">
        <f>IFERROR(SEARCH("Pending Documentation",$H10),0)</f>
        <v>0</v>
      </c>
      <c r="R10" s="49">
        <f t="shared" ref="R10:R40" si="1">IFERROR(SEARCH("equirements of this part will be v",$I10),0)</f>
        <v>0</v>
      </c>
      <c r="S10" s="49">
        <f>IFERROR(SEARCH("Pending On",$H10),0)</f>
        <v>0</v>
      </c>
      <c r="T10" s="49">
        <f t="shared" ref="T10:T22" si="2">IFERROR(SEARCH("This Part has no",$I10),0)</f>
        <v>0</v>
      </c>
      <c r="U10" s="49">
        <f t="shared" ref="U10:U22" si="3">IFERROR(SEARCH("Anticipated",$H10),0)</f>
        <v>1</v>
      </c>
      <c r="V10" s="49">
        <f>IFERROR(SEARCH("This Part has not been attempted.",$I10),IFERROR(SEARCH("Not Attempted",$I10),0))</f>
        <v>0</v>
      </c>
      <c r="W10" s="49">
        <f t="shared" ref="W10:W21" si="4">IFERROR(SEARCH("Not Attempted",$H10),0)</f>
        <v>0</v>
      </c>
    </row>
    <row r="11" spans="2:23" ht="45.6">
      <c r="B11" s="926"/>
      <c r="C11" s="881"/>
      <c r="D11" s="883"/>
      <c r="E11" s="700" t="s">
        <v>221</v>
      </c>
      <c r="F11" s="209"/>
      <c r="G11" s="208" t="s">
        <v>219</v>
      </c>
      <c r="H11" s="701" t="s">
        <v>369</v>
      </c>
      <c r="I11" s="67" t="s">
        <v>1141</v>
      </c>
      <c r="L11" s="49" t="str">
        <f>IF(OR(Overview!$D$4="Preliminary Documentation Review",Overview!$D$4="Preliminary Precertification Review"),IF(AND(P11=0,Q11=0),"",IF(AND(P11&gt;0,Q11&gt;0),"","MISMATCH")),"")</f>
        <v/>
      </c>
      <c r="M11" s="49" t="str">
        <f>IF(OR(Overview!$D$4="Preliminary Documentation Review",Overview!$D$4="Preliminary Precertification Review"),IF(AND(R11=0,S11=0),"",IF(AND(R11&gt;0,S11&gt;0),"","MISMATCH")),"")</f>
        <v/>
      </c>
      <c r="N11" s="49" t="str">
        <f>IF(OR(Overview!$D$4="Preliminary Documentation Review",Overview!$D$4="Preliminary Precertification Review"),IF(AND(T11=0,U11=0),"",IF(AND(T11&gt;0,U11&gt;0),"MISMATCH","")),"")</f>
        <v/>
      </c>
      <c r="O11" s="49" t="str">
        <f>IF(OR(Overview!$D$4="Preliminary Documentation Review",Overview!$D$4="Preliminary Precertification Review"),IF(AND(V11=0,W11=0),"",IF(AND(V11&gt;0,W11&gt;0),"","MISMATCH")),"")</f>
        <v/>
      </c>
      <c r="P11" s="44">
        <f t="shared" si="0"/>
        <v>0</v>
      </c>
      <c r="Q11" s="44">
        <f t="shared" ref="Q11:Q80" si="5">IFERROR(SEARCH("Pending Documentation",$H11),0)</f>
        <v>0</v>
      </c>
      <c r="R11" s="49">
        <f t="shared" si="1"/>
        <v>0</v>
      </c>
      <c r="S11" s="49">
        <f t="shared" ref="S11:S80" si="6">IFERROR(SEARCH("Pending On",$H11),0)</f>
        <v>0</v>
      </c>
      <c r="T11" s="49">
        <f t="shared" si="2"/>
        <v>0</v>
      </c>
      <c r="U11" s="49">
        <f t="shared" si="3"/>
        <v>1</v>
      </c>
      <c r="V11" s="49">
        <f t="shared" ref="V11:V74" si="7">IFERROR(SEARCH("This Part has not been attempted.",$I11),IFERROR(SEARCH("Not Attempted",$I11),0))</f>
        <v>0</v>
      </c>
      <c r="W11" s="49">
        <f t="shared" si="4"/>
        <v>0</v>
      </c>
    </row>
    <row r="12" spans="2:23" ht="45.6">
      <c r="B12" s="926"/>
      <c r="C12" s="881"/>
      <c r="D12" s="883"/>
      <c r="E12" s="700" t="s">
        <v>222</v>
      </c>
      <c r="F12" s="209"/>
      <c r="G12" s="208" t="s">
        <v>219</v>
      </c>
      <c r="H12" s="701" t="s">
        <v>369</v>
      </c>
      <c r="I12" s="67" t="s">
        <v>1141</v>
      </c>
      <c r="L12" s="49" t="str">
        <f>IF(OR(Overview!$D$4="Preliminary Documentation Review",Overview!$D$4="Preliminary Precertification Review"),IF(AND(P12=0,Q12=0),"",IF(AND(P12&gt;0,Q12&gt;0),"","MISMATCH")),"")</f>
        <v/>
      </c>
      <c r="M12" s="49" t="str">
        <f>IF(OR(Overview!$D$4="Preliminary Documentation Review",Overview!$D$4="Preliminary Precertification Review"),IF(AND(R12=0,S12=0),"",IF(AND(R12&gt;0,S12&gt;0),"","MISMATCH")),"")</f>
        <v/>
      </c>
      <c r="N12" s="49" t="str">
        <f>IF(OR(Overview!$D$4="Preliminary Documentation Review",Overview!$D$4="Preliminary Precertification Review"),IF(AND(T12=0,U12=0),"",IF(AND(T12&gt;0,U12&gt;0),"MISMATCH","")),"")</f>
        <v/>
      </c>
      <c r="O12" s="49" t="str">
        <f>IF(OR(Overview!$D$4="Preliminary Documentation Review",Overview!$D$4="Preliminary Precertification Review"),IF(AND(V12=0,W12=0),"",IF(AND(V12&gt;0,W12&gt;0),"","MISMATCH")),"")</f>
        <v/>
      </c>
      <c r="P12" s="44">
        <f t="shared" si="0"/>
        <v>0</v>
      </c>
      <c r="Q12" s="44">
        <f t="shared" si="5"/>
        <v>0</v>
      </c>
      <c r="R12" s="49">
        <f t="shared" si="1"/>
        <v>0</v>
      </c>
      <c r="S12" s="49">
        <f t="shared" si="6"/>
        <v>0</v>
      </c>
      <c r="T12" s="49">
        <f t="shared" si="2"/>
        <v>0</v>
      </c>
      <c r="U12" s="49">
        <f t="shared" si="3"/>
        <v>1</v>
      </c>
      <c r="V12" s="49">
        <f t="shared" si="7"/>
        <v>0</v>
      </c>
      <c r="W12" s="49">
        <f t="shared" si="4"/>
        <v>0</v>
      </c>
    </row>
    <row r="13" spans="2:23" ht="106.2">
      <c r="B13" s="926"/>
      <c r="C13" s="881"/>
      <c r="D13" s="883"/>
      <c r="E13" s="700" t="s">
        <v>223</v>
      </c>
      <c r="F13" s="209"/>
      <c r="G13" s="208" t="s">
        <v>219</v>
      </c>
      <c r="H13" s="701" t="s">
        <v>369</v>
      </c>
      <c r="I13" s="794" t="s">
        <v>1143</v>
      </c>
      <c r="L13" s="49" t="str">
        <f>IF(OR(Overview!$D$4="Preliminary Documentation Review",Overview!$D$4="Preliminary Precertification Review"),IF(AND(P13=0,Q13=0),"",IF(AND(P13&gt;0,Q13&gt;0),"","MISMATCH")),"")</f>
        <v/>
      </c>
      <c r="M13" s="49" t="str">
        <f>IF(OR(Overview!$D$4="Preliminary Documentation Review",Overview!$D$4="Preliminary Precertification Review"),IF(AND(R13=0,S13=0),"",IF(AND(R13&gt;0,S13&gt;0),"","MISMATCH")),"")</f>
        <v/>
      </c>
      <c r="N13" s="49" t="str">
        <f>IF(OR(Overview!$D$4="Preliminary Documentation Review",Overview!$D$4="Preliminary Precertification Review"),IF(AND(T13=0,U13=0),"",IF(AND(T13&gt;0,U13&gt;0),"MISMATCH","")),"")</f>
        <v/>
      </c>
      <c r="O13" s="49" t="str">
        <f>IF(OR(Overview!$D$4="Preliminary Documentation Review",Overview!$D$4="Preliminary Precertification Review"),IF(AND(V13=0,W13=0),"",IF(AND(V13&gt;0,W13&gt;0),"","MISMATCH")),"")</f>
        <v/>
      </c>
      <c r="P13" s="44">
        <f t="shared" si="0"/>
        <v>0</v>
      </c>
      <c r="Q13" s="44">
        <f t="shared" si="5"/>
        <v>0</v>
      </c>
      <c r="R13" s="49">
        <f t="shared" si="1"/>
        <v>0</v>
      </c>
      <c r="S13" s="49">
        <f t="shared" si="6"/>
        <v>0</v>
      </c>
      <c r="T13" s="49">
        <f t="shared" si="2"/>
        <v>0</v>
      </c>
      <c r="U13" s="49">
        <f t="shared" si="3"/>
        <v>1</v>
      </c>
      <c r="V13" s="49">
        <f t="shared" si="7"/>
        <v>0</v>
      </c>
      <c r="W13" s="49">
        <f t="shared" si="4"/>
        <v>0</v>
      </c>
    </row>
    <row r="14" spans="2:23" ht="45.6">
      <c r="B14" s="926"/>
      <c r="C14" s="881"/>
      <c r="D14" s="883"/>
      <c r="E14" s="700" t="s">
        <v>224</v>
      </c>
      <c r="F14" s="209"/>
      <c r="G14" s="208" t="s">
        <v>219</v>
      </c>
      <c r="H14" s="701" t="s">
        <v>369</v>
      </c>
      <c r="I14" s="794" t="s">
        <v>1144</v>
      </c>
      <c r="L14" s="49" t="str">
        <f>IF(OR(Overview!$D$4="Preliminary Documentation Review",Overview!$D$4="Preliminary Precertification Review"),IF(AND(P14=0,Q14=0),"",IF(AND(P14&gt;0,Q14&gt;0),"","MISMATCH")),"")</f>
        <v/>
      </c>
      <c r="M14" s="49" t="str">
        <f>IF(OR(Overview!$D$4="Preliminary Documentation Review",Overview!$D$4="Preliminary Precertification Review"),IF(AND(R14=0,S14=0),"",IF(AND(R14&gt;0,S14&gt;0),"","MISMATCH")),"")</f>
        <v/>
      </c>
      <c r="N14" s="49" t="str">
        <f>IF(OR(Overview!$D$4="Preliminary Documentation Review",Overview!$D$4="Preliminary Precertification Review"),IF(AND(T14=0,U14=0),"",IF(AND(T14&gt;0,U14&gt;0),"MISMATCH","")),"")</f>
        <v/>
      </c>
      <c r="O14" s="49" t="str">
        <f>IF(OR(Overview!$D$4="Preliminary Documentation Review",Overview!$D$4="Preliminary Precertification Review"),IF(AND(V14=0,W14=0),"",IF(AND(V14&gt;0,W14&gt;0),"","MISMATCH")),"")</f>
        <v/>
      </c>
      <c r="P14" s="44">
        <f t="shared" si="0"/>
        <v>0</v>
      </c>
      <c r="Q14" s="44">
        <f t="shared" si="5"/>
        <v>0</v>
      </c>
      <c r="R14" s="49">
        <f t="shared" si="1"/>
        <v>0</v>
      </c>
      <c r="S14" s="49">
        <f t="shared" si="6"/>
        <v>0</v>
      </c>
      <c r="T14" s="49">
        <f t="shared" si="2"/>
        <v>0</v>
      </c>
      <c r="U14" s="49">
        <f t="shared" si="3"/>
        <v>1</v>
      </c>
      <c r="V14" s="49">
        <f t="shared" si="7"/>
        <v>0</v>
      </c>
      <c r="W14" s="49">
        <f t="shared" si="4"/>
        <v>0</v>
      </c>
    </row>
    <row r="15" spans="2:23" ht="45.6">
      <c r="B15" s="926"/>
      <c r="C15" s="881" t="s">
        <v>8</v>
      </c>
      <c r="D15" s="888" t="s">
        <v>15</v>
      </c>
      <c r="E15" s="700" t="s">
        <v>225</v>
      </c>
      <c r="F15" s="209"/>
      <c r="G15" s="208" t="s">
        <v>219</v>
      </c>
      <c r="H15" s="701" t="s">
        <v>369</v>
      </c>
      <c r="I15" s="794" t="s">
        <v>1144</v>
      </c>
      <c r="L15" s="49" t="str">
        <f>IF(OR(Overview!$D$4="Preliminary Documentation Review",Overview!$D$4="Preliminary Precertification Review"),IF(AND(P15=0,Q15=0),"",IF(AND(P15&gt;0,Q15&gt;0),"","MISMATCH")),"")</f>
        <v/>
      </c>
      <c r="M15" s="49" t="str">
        <f>IF(OR(Overview!$D$4="Preliminary Documentation Review",Overview!$D$4="Preliminary Precertification Review"),IF(AND(R15=0,S15=0),"",IF(AND(R15&gt;0,S15&gt;0),"","MISMATCH")),"")</f>
        <v/>
      </c>
      <c r="N15" s="49" t="str">
        <f>IF(OR(Overview!$D$4="Preliminary Documentation Review",Overview!$D$4="Preliminary Precertification Review"),IF(AND(T15=0,U15=0),"",IF(AND(T15&gt;0,U15&gt;0),"MISMATCH","")),"")</f>
        <v/>
      </c>
      <c r="O15" s="49" t="str">
        <f>IF(OR(Overview!$D$4="Preliminary Documentation Review",Overview!$D$4="Preliminary Precertification Review"),IF(AND(V15=0,W15=0),"",IF(AND(V15&gt;0,W15&gt;0),"","MISMATCH")),"")</f>
        <v/>
      </c>
      <c r="P15" s="44">
        <f t="shared" si="0"/>
        <v>0</v>
      </c>
      <c r="Q15" s="44">
        <f t="shared" si="5"/>
        <v>0</v>
      </c>
      <c r="R15" s="49">
        <f t="shared" si="1"/>
        <v>0</v>
      </c>
      <c r="S15" s="49">
        <f t="shared" si="6"/>
        <v>0</v>
      </c>
      <c r="T15" s="49">
        <f t="shared" si="2"/>
        <v>0</v>
      </c>
      <c r="U15" s="49">
        <f t="shared" si="3"/>
        <v>1</v>
      </c>
      <c r="V15" s="49">
        <f t="shared" si="7"/>
        <v>0</v>
      </c>
      <c r="W15" s="49">
        <f t="shared" si="4"/>
        <v>0</v>
      </c>
    </row>
    <row r="16" spans="2:23" ht="45.6">
      <c r="B16" s="926"/>
      <c r="C16" s="881"/>
      <c r="D16" s="888"/>
      <c r="E16" s="700" t="s">
        <v>226</v>
      </c>
      <c r="F16" s="209"/>
      <c r="G16" s="208" t="s">
        <v>219</v>
      </c>
      <c r="H16" s="701" t="s">
        <v>369</v>
      </c>
      <c r="I16" s="67" t="s">
        <v>1141</v>
      </c>
      <c r="L16" s="49" t="str">
        <f>IF(OR(Overview!$D$4="Preliminary Documentation Review",Overview!$D$4="Preliminary Precertification Review"),IF(AND(P16=0,Q16=0),"",IF(AND(P16&gt;0,Q16&gt;0),"","MISMATCH")),"")</f>
        <v/>
      </c>
      <c r="M16" s="49" t="str">
        <f>IF(OR(Overview!$D$4="Preliminary Documentation Review",Overview!$D$4="Preliminary Precertification Review"),IF(AND(R16=0,S16=0),"",IF(AND(R16&gt;0,S16&gt;0),"","MISMATCH")),"")</f>
        <v/>
      </c>
      <c r="N16" s="49" t="str">
        <f>IF(OR(Overview!$D$4="Preliminary Documentation Review",Overview!$D$4="Preliminary Precertification Review"),IF(AND(T16=0,U16=0),"",IF(AND(T16&gt;0,U16&gt;0),"MISMATCH","")),"")</f>
        <v/>
      </c>
      <c r="O16" s="49" t="str">
        <f>IF(OR(Overview!$D$4="Preliminary Documentation Review",Overview!$D$4="Preliminary Precertification Review"),IF(AND(V16=0,W16=0),"",IF(AND(V16&gt;0,W16&gt;0),"","MISMATCH")),"")</f>
        <v/>
      </c>
      <c r="P16" s="44">
        <f t="shared" si="0"/>
        <v>0</v>
      </c>
      <c r="Q16" s="44">
        <f t="shared" si="5"/>
        <v>0</v>
      </c>
      <c r="R16" s="49">
        <f t="shared" si="1"/>
        <v>0</v>
      </c>
      <c r="S16" s="49">
        <f t="shared" si="6"/>
        <v>0</v>
      </c>
      <c r="T16" s="49">
        <f t="shared" si="2"/>
        <v>0</v>
      </c>
      <c r="U16" s="49">
        <f t="shared" si="3"/>
        <v>1</v>
      </c>
      <c r="V16" s="49">
        <f t="shared" si="7"/>
        <v>0</v>
      </c>
      <c r="W16" s="49">
        <f t="shared" si="4"/>
        <v>0</v>
      </c>
    </row>
    <row r="17" spans="2:23" ht="46.8">
      <c r="B17" s="926"/>
      <c r="C17" s="857" t="s">
        <v>8</v>
      </c>
      <c r="D17" s="888" t="s">
        <v>18</v>
      </c>
      <c r="E17" s="700" t="s">
        <v>227</v>
      </c>
      <c r="F17" s="209"/>
      <c r="G17" s="208" t="s">
        <v>219</v>
      </c>
      <c r="H17" s="701" t="s">
        <v>369</v>
      </c>
      <c r="I17" s="794" t="s">
        <v>1142</v>
      </c>
      <c r="L17" s="49" t="str">
        <f>IF(OR(Overview!$D$4="Preliminary Documentation Review",Overview!$D$4="Preliminary Precertification Review"),IF(AND(P17=0,Q17=0),"",IF(AND(P17&gt;0,Q17&gt;0),"","MISMATCH")),"")</f>
        <v/>
      </c>
      <c r="M17" s="49" t="str">
        <f>IF(OR(Overview!$D$4="Preliminary Documentation Review",Overview!$D$4="Preliminary Precertification Review"),IF(AND(R17=0,S17=0),"",IF(AND(R17&gt;0,S17&gt;0),"","MISMATCH")),"")</f>
        <v/>
      </c>
      <c r="N17" s="49" t="str">
        <f>IF(OR(Overview!$D$4="Preliminary Documentation Review",Overview!$D$4="Preliminary Precertification Review"),IF(AND(T17=0,U17=0),"",IF(AND(T17&gt;0,U17&gt;0),"MISMATCH","")),"")</f>
        <v/>
      </c>
      <c r="O17" s="49" t="str">
        <f>IF(OR(Overview!$D$4="Preliminary Documentation Review",Overview!$D$4="Preliminary Precertification Review"),IF(AND(V17=0,W17=0),"",IF(AND(V17&gt;0,W17&gt;0),"","MISMATCH")),"")</f>
        <v/>
      </c>
      <c r="P17" s="44">
        <f t="shared" si="0"/>
        <v>0</v>
      </c>
      <c r="Q17" s="44">
        <f t="shared" si="5"/>
        <v>0</v>
      </c>
      <c r="R17" s="49">
        <f t="shared" si="1"/>
        <v>0</v>
      </c>
      <c r="S17" s="49">
        <f t="shared" si="6"/>
        <v>0</v>
      </c>
      <c r="T17" s="49">
        <f t="shared" si="2"/>
        <v>0</v>
      </c>
      <c r="U17" s="49">
        <f t="shared" si="3"/>
        <v>1</v>
      </c>
      <c r="V17" s="49">
        <f t="shared" si="7"/>
        <v>0</v>
      </c>
      <c r="W17" s="49">
        <f t="shared" si="4"/>
        <v>0</v>
      </c>
    </row>
    <row r="18" spans="2:23" ht="46.8">
      <c r="B18" s="926"/>
      <c r="C18" s="859"/>
      <c r="D18" s="888"/>
      <c r="E18" s="700" t="s">
        <v>228</v>
      </c>
      <c r="F18" s="209"/>
      <c r="G18" s="208" t="s">
        <v>219</v>
      </c>
      <c r="H18" s="701" t="s">
        <v>369</v>
      </c>
      <c r="I18" s="794" t="s">
        <v>1142</v>
      </c>
      <c r="L18" s="49" t="str">
        <f>IF(OR(Overview!$D$4="Preliminary Documentation Review",Overview!$D$4="Preliminary Precertification Review"),IF(AND(P18=0,Q18=0),"",IF(AND(P18&gt;0,Q18&gt;0),"","MISMATCH")),"")</f>
        <v/>
      </c>
      <c r="M18" s="49" t="str">
        <f>IF(OR(Overview!$D$4="Preliminary Documentation Review",Overview!$D$4="Preliminary Precertification Review"),IF(AND(R18=0,S18=0),"",IF(AND(R18&gt;0,S18&gt;0),"","MISMATCH")),"")</f>
        <v/>
      </c>
      <c r="N18" s="49" t="str">
        <f>IF(OR(Overview!$D$4="Preliminary Documentation Review",Overview!$D$4="Preliminary Precertification Review"),IF(AND(T18=0,U18=0),"",IF(AND(T18&gt;0,U18&gt;0),"MISMATCH","")),"")</f>
        <v/>
      </c>
      <c r="O18" s="49" t="str">
        <f>IF(OR(Overview!$D$4="Preliminary Documentation Review",Overview!$D$4="Preliminary Precertification Review"),IF(AND(V18=0,W18=0),"",IF(AND(V18&gt;0,W18&gt;0),"","MISMATCH")),"")</f>
        <v/>
      </c>
      <c r="P18" s="44">
        <f t="shared" si="0"/>
        <v>0</v>
      </c>
      <c r="Q18" s="44">
        <f t="shared" si="5"/>
        <v>0</v>
      </c>
      <c r="R18" s="49">
        <f t="shared" si="1"/>
        <v>0</v>
      </c>
      <c r="S18" s="49">
        <f t="shared" si="6"/>
        <v>0</v>
      </c>
      <c r="T18" s="49">
        <f t="shared" si="2"/>
        <v>0</v>
      </c>
      <c r="U18" s="49">
        <f t="shared" si="3"/>
        <v>1</v>
      </c>
      <c r="V18" s="49">
        <f t="shared" si="7"/>
        <v>0</v>
      </c>
      <c r="W18" s="49">
        <f t="shared" si="4"/>
        <v>0</v>
      </c>
    </row>
    <row r="19" spans="2:23" ht="46.8">
      <c r="B19" s="926"/>
      <c r="C19" s="881" t="s">
        <v>8</v>
      </c>
      <c r="D19" s="700" t="s">
        <v>21</v>
      </c>
      <c r="E19" s="700" t="s">
        <v>229</v>
      </c>
      <c r="F19" s="210"/>
      <c r="G19" s="208" t="s">
        <v>219</v>
      </c>
      <c r="H19" s="701" t="s">
        <v>369</v>
      </c>
      <c r="I19" s="794" t="s">
        <v>1142</v>
      </c>
      <c r="L19" s="49" t="str">
        <f>IF(OR(Overview!$D$4="Preliminary Documentation Review",Overview!$D$4="Preliminary Precertification Review"),IF(AND(P19=0,Q19=0),"",IF(AND(P19&gt;0,Q19&gt;0),"","MISMATCH")),"")</f>
        <v/>
      </c>
      <c r="M19" s="49" t="str">
        <f>IF(OR(Overview!$D$4="Preliminary Documentation Review",Overview!$D$4="Preliminary Precertification Review"),IF(AND(R19=0,S19=0),"",IF(AND(R19&gt;0,S19&gt;0),"","MISMATCH")),"")</f>
        <v/>
      </c>
      <c r="N19" s="49" t="str">
        <f>IF(OR(Overview!$D$4="Preliminary Documentation Review",Overview!$D$4="Preliminary Precertification Review"),IF(AND(T19=0,U19=0),"",IF(AND(T19&gt;0,U19&gt;0),"MISMATCH","")),"")</f>
        <v/>
      </c>
      <c r="O19" s="49" t="str">
        <f>IF(OR(Overview!$D$4="Preliminary Documentation Review",Overview!$D$4="Preliminary Precertification Review"),IF(AND(V19=0,W19=0),"",IF(AND(V19&gt;0,W19&gt;0),"","MISMATCH")),"")</f>
        <v/>
      </c>
      <c r="P19" s="44">
        <f t="shared" si="0"/>
        <v>0</v>
      </c>
      <c r="Q19" s="44">
        <f t="shared" si="5"/>
        <v>0</v>
      </c>
      <c r="R19" s="49">
        <f t="shared" si="1"/>
        <v>0</v>
      </c>
      <c r="S19" s="49">
        <f t="shared" si="6"/>
        <v>0</v>
      </c>
      <c r="T19" s="49">
        <f t="shared" si="2"/>
        <v>0</v>
      </c>
      <c r="U19" s="49">
        <f t="shared" si="3"/>
        <v>1</v>
      </c>
      <c r="V19" s="49">
        <f t="shared" si="7"/>
        <v>0</v>
      </c>
      <c r="W19" s="49">
        <f t="shared" si="4"/>
        <v>0</v>
      </c>
    </row>
    <row r="20" spans="2:23" ht="45.6">
      <c r="B20" s="926"/>
      <c r="C20" s="881" t="s">
        <v>23</v>
      </c>
      <c r="D20" s="888" t="s">
        <v>24</v>
      </c>
      <c r="E20" s="700" t="s">
        <v>230</v>
      </c>
      <c r="F20" s="211">
        <v>1</v>
      </c>
      <c r="G20" s="208" t="s">
        <v>1071</v>
      </c>
      <c r="H20" s="701" t="s">
        <v>369</v>
      </c>
      <c r="I20" s="67" t="s">
        <v>1141</v>
      </c>
      <c r="L20" s="49" t="str">
        <f>IF(OR(Overview!$D$4="Preliminary Documentation Review",Overview!$D$4="Preliminary Precertification Review"),IF(AND(P20=0,Q20=0),"",IF(AND(P20&gt;0,Q20&gt;0),"","MISMATCH")),"")</f>
        <v/>
      </c>
      <c r="M20" s="49" t="str">
        <f>IF(OR(Overview!$D$4="Preliminary Documentation Review",Overview!$D$4="Preliminary Precertification Review"),IF(AND(R20=0,S20=0),"",IF(AND(R20&gt;0,S20&gt;0),"","MISMATCH")),"")</f>
        <v/>
      </c>
      <c r="N20" s="49" t="str">
        <f>IF(OR(Overview!$D$4="Preliminary Documentation Review",Overview!$D$4="Preliminary Precertification Review"),IF(AND(T20=0,U20=0),"",IF(AND(T20&gt;0,U20&gt;0),"MISMATCH","")),"")</f>
        <v/>
      </c>
      <c r="O20" s="49" t="str">
        <f>IF(OR(Overview!$D$4="Preliminary Documentation Review",Overview!$D$4="Preliminary Precertification Review"),IF(AND(V20=0,W20=0),"",IF(AND(V20&gt;0,W20&gt;0),"","MISMATCH")),"")</f>
        <v/>
      </c>
      <c r="P20" s="44">
        <f t="shared" si="0"/>
        <v>0</v>
      </c>
      <c r="Q20" s="44">
        <f t="shared" si="5"/>
        <v>0</v>
      </c>
      <c r="R20" s="49">
        <f t="shared" si="1"/>
        <v>0</v>
      </c>
      <c r="S20" s="49">
        <f t="shared" si="6"/>
        <v>0</v>
      </c>
      <c r="T20" s="49">
        <f t="shared" si="2"/>
        <v>0</v>
      </c>
      <c r="U20" s="49">
        <f t="shared" si="3"/>
        <v>1</v>
      </c>
      <c r="V20" s="49">
        <f t="shared" si="7"/>
        <v>0</v>
      </c>
      <c r="W20" s="49">
        <f t="shared" si="4"/>
        <v>0</v>
      </c>
    </row>
    <row r="21" spans="2:23" ht="45.6">
      <c r="B21" s="926"/>
      <c r="C21" s="881"/>
      <c r="D21" s="888"/>
      <c r="E21" s="700" t="s">
        <v>515</v>
      </c>
      <c r="F21" s="212"/>
      <c r="G21" s="208" t="s">
        <v>1061</v>
      </c>
      <c r="H21" s="702" t="s">
        <v>324</v>
      </c>
      <c r="I21" s="67" t="s">
        <v>1145</v>
      </c>
      <c r="L21" s="49" t="str">
        <f>IF(OR(Overview!$D$4="Preliminary Documentation Review",Overview!$D$4="Preliminary Precertification Review"),IF(AND(P21=0,Q21=0),"",IF(AND(P21&gt;0,Q21&gt;0),"","MISMATCH")),"")</f>
        <v/>
      </c>
      <c r="M21" s="49" t="str">
        <f>IF(OR(Overview!$D$4="Preliminary Documentation Review",Overview!$D$4="Preliminary Precertification Review"),IF(AND(R21=0,S21=0),"",IF(AND(R21&gt;0,S21&gt;0),"","MISMATCH")),"")</f>
        <v/>
      </c>
      <c r="N21" s="49" t="str">
        <f>IF(OR(Overview!$D$4="Preliminary Documentation Review",Overview!$D$4="Preliminary Precertification Review"),IF(AND(T21=0,U21=0),"",IF(AND(T21&gt;0,U21&gt;0),"MISMATCH","")),"")</f>
        <v/>
      </c>
      <c r="O21" s="49" t="str">
        <f>IF(OR(Overview!$D$4="Preliminary Documentation Review",Overview!$D$4="Preliminary Precertification Review"),IF(AND(V21=0,W21=0),"",IF(AND(V21&gt;0,W21&gt;0),"","MISMATCH")),"")</f>
        <v/>
      </c>
      <c r="P21" s="44">
        <f t="shared" si="0"/>
        <v>0</v>
      </c>
      <c r="Q21" s="44">
        <f t="shared" si="5"/>
        <v>0</v>
      </c>
      <c r="R21" s="49">
        <f t="shared" si="1"/>
        <v>0</v>
      </c>
      <c r="S21" s="49">
        <f t="shared" si="6"/>
        <v>0</v>
      </c>
      <c r="T21" s="49">
        <f t="shared" si="2"/>
        <v>38</v>
      </c>
      <c r="U21" s="49">
        <f t="shared" si="3"/>
        <v>0</v>
      </c>
      <c r="V21" s="49">
        <f t="shared" si="7"/>
        <v>38</v>
      </c>
      <c r="W21" s="49">
        <f t="shared" si="4"/>
        <v>1</v>
      </c>
    </row>
    <row r="22" spans="2:23" ht="45.6">
      <c r="B22" s="926"/>
      <c r="C22" s="881"/>
      <c r="D22" s="888"/>
      <c r="E22" s="700" t="s">
        <v>516</v>
      </c>
      <c r="F22" s="213"/>
      <c r="G22" s="208" t="s">
        <v>1061</v>
      </c>
      <c r="H22" s="702" t="s">
        <v>324</v>
      </c>
      <c r="I22" s="67" t="s">
        <v>1145</v>
      </c>
      <c r="L22" s="49" t="str">
        <f>IF(OR(Overview!$D$4="Preliminary Documentation Review",Overview!$D$4="Preliminary Precertification Review"),IF(AND(P22=0,Q22=0),"",IF(AND(P22&gt;0,Q22&gt;0),"","MISMATCH")),"")</f>
        <v/>
      </c>
      <c r="M22" s="49" t="str">
        <f>IF(OR(Overview!$D$4="Preliminary Documentation Review",Overview!$D$4="Preliminary Precertification Review"),IF(AND(R22=0,S22=0),"",IF(AND(R22&gt;0,S22&gt;0),"","MISMATCH")),"")</f>
        <v/>
      </c>
      <c r="N22" s="49" t="str">
        <f>IF(OR(Overview!$D$4="Preliminary Documentation Review",Overview!$D$4="Preliminary Precertification Review"),IF(AND(T22=0,U22=0),"",IF(AND(T22&gt;0,U22&gt;0),"MISMATCH","")),"")</f>
        <v/>
      </c>
      <c r="O22" s="49" t="str">
        <f>IF(OR(Overview!$D$4="Preliminary Documentation Review",Overview!$D$4="Preliminary Precertification Review"),IF(AND(V22=0,W22=0),"",IF(AND(V22&gt;0,W22&gt;0),"","MISMATCH")),"")</f>
        <v/>
      </c>
      <c r="P22" s="44">
        <f t="shared" si="0"/>
        <v>0</v>
      </c>
      <c r="Q22" s="44">
        <f t="shared" si="5"/>
        <v>0</v>
      </c>
      <c r="R22" s="49">
        <f t="shared" si="1"/>
        <v>0</v>
      </c>
      <c r="S22" s="49">
        <f t="shared" si="6"/>
        <v>0</v>
      </c>
      <c r="T22" s="49">
        <f t="shared" si="2"/>
        <v>38</v>
      </c>
      <c r="U22" s="49">
        <f t="shared" si="3"/>
        <v>0</v>
      </c>
      <c r="V22" s="49">
        <f t="shared" si="7"/>
        <v>38</v>
      </c>
      <c r="W22" s="49">
        <f>IFERROR(SEARCH("Not Attempted",$H22),0)</f>
        <v>1</v>
      </c>
    </row>
    <row r="23" spans="2:23" ht="46.8">
      <c r="B23" s="926"/>
      <c r="C23" s="857" t="s">
        <v>23</v>
      </c>
      <c r="D23" s="888" t="s">
        <v>26</v>
      </c>
      <c r="E23" s="700" t="s">
        <v>231</v>
      </c>
      <c r="F23" s="211">
        <v>1</v>
      </c>
      <c r="G23" s="208" t="s">
        <v>1071</v>
      </c>
      <c r="H23" s="701" t="s">
        <v>369</v>
      </c>
      <c r="I23" s="794" t="s">
        <v>1142</v>
      </c>
      <c r="K23" s="191"/>
      <c r="L23" s="49" t="str">
        <f>IF(OR(Overview!$D$4="Preliminary Documentation Review",Overview!$D$4="Preliminary Precertification Review"),IF(AND(P23=0,Q23=0),"",IF(AND(P23&gt;0,Q23&gt;0),"","MISMATCH")),"")</f>
        <v/>
      </c>
      <c r="M23" s="49" t="str">
        <f>IF(OR(Overview!$D$4="Preliminary Documentation Review",Overview!$D$4="Preliminary Precertification Review"),IF(AND(R23=0,S23=0),"",IF(AND(R23&gt;0,S23&gt;0),"","MISMATCH")),"")</f>
        <v/>
      </c>
      <c r="N23" s="49" t="str">
        <f>IF(OR(Overview!$D$4="Preliminary Documentation Review",Overview!$D$4="Preliminary Precertification Review"),IF(AND(T23=0,U23=0),"",IF(AND(T23&gt;0,U23&gt;0),"MISMATCH","")),"")</f>
        <v/>
      </c>
      <c r="O23" s="49" t="str">
        <f>IF(OR(Overview!$D$4="Preliminary Documentation Review",Overview!$D$4="Preliminary Precertification Review"),IF(AND(V23=0,W23=0),"",IF(AND(V23&gt;0,W23&gt;0),"","MISMATCH")),"")</f>
        <v/>
      </c>
      <c r="P23" s="44">
        <f t="shared" si="0"/>
        <v>0</v>
      </c>
      <c r="Q23" s="44">
        <f t="shared" si="5"/>
        <v>0</v>
      </c>
      <c r="R23" s="49">
        <f t="shared" si="1"/>
        <v>0</v>
      </c>
      <c r="S23" s="49">
        <f t="shared" si="6"/>
        <v>0</v>
      </c>
      <c r="T23" s="49">
        <f>IFERROR(SEARCH("This Part has no",$I23),0)</f>
        <v>0</v>
      </c>
      <c r="U23" s="49">
        <f>IFERROR(SEARCH("Anticipated",$H23),0)</f>
        <v>1</v>
      </c>
      <c r="V23" s="49">
        <f t="shared" si="7"/>
        <v>0</v>
      </c>
      <c r="W23" s="49">
        <f t="shared" ref="W23:W86" si="8">IFERROR(SEARCH("Not Attempted",$H23),0)</f>
        <v>0</v>
      </c>
    </row>
    <row r="24" spans="2:23" ht="181.8">
      <c r="B24" s="926"/>
      <c r="C24" s="858"/>
      <c r="D24" s="888"/>
      <c r="E24" s="700" t="s">
        <v>232</v>
      </c>
      <c r="F24" s="212">
        <v>1</v>
      </c>
      <c r="G24" s="208" t="s">
        <v>1071</v>
      </c>
      <c r="H24" s="701" t="s">
        <v>369</v>
      </c>
      <c r="I24" s="795" t="s">
        <v>1153</v>
      </c>
      <c r="K24" s="194"/>
      <c r="L24" s="49" t="str">
        <f>IF(OR(Overview!$D$4="Preliminary Documentation Review",Overview!$D$4="Preliminary Precertification Review"),IF(AND(P24=0,Q24=0),"",IF(AND(P24&gt;0,Q24&gt;0),"","MISMATCH")),"")</f>
        <v/>
      </c>
      <c r="M24" s="49" t="str">
        <f>IF(OR(Overview!$D$4="Preliminary Documentation Review",Overview!$D$4="Preliminary Precertification Review"),IF(AND(R24=0,S24=0),"",IF(AND(R24&gt;0,S24&gt;0),"","MISMATCH")),"")</f>
        <v/>
      </c>
      <c r="N24" s="49" t="str">
        <f>IF(OR(Overview!$D$4="Preliminary Documentation Review",Overview!$D$4="Preliminary Precertification Review"),IF(AND(T24=0,U24=0),"",IF(AND(T24&gt;0,U24&gt;0),"MISMATCH","")),"")</f>
        <v/>
      </c>
      <c r="O24" s="49" t="str">
        <f>IF(OR(Overview!$D$4="Preliminary Documentation Review",Overview!$D$4="Preliminary Precertification Review"),IF(AND(V24=0,W24=0),"",IF(AND(V24&gt;0,W24&gt;0),"","MISMATCH")),"")</f>
        <v/>
      </c>
      <c r="P24" s="44">
        <f t="shared" si="0"/>
        <v>282</v>
      </c>
      <c r="Q24" s="44">
        <f t="shared" si="5"/>
        <v>0</v>
      </c>
      <c r="R24" s="49">
        <f t="shared" si="1"/>
        <v>0</v>
      </c>
      <c r="S24" s="49">
        <f t="shared" si="6"/>
        <v>0</v>
      </c>
      <c r="T24" s="49">
        <f t="shared" ref="T24:T87" si="9">IFERROR(SEARCH("This Part has no",$I24),0)</f>
        <v>0</v>
      </c>
      <c r="U24" s="49">
        <f t="shared" ref="U24:U87" si="10">IFERROR(SEARCH("Anticipated",$H24),0)</f>
        <v>1</v>
      </c>
      <c r="V24" s="49">
        <f t="shared" si="7"/>
        <v>0</v>
      </c>
      <c r="W24" s="49">
        <f t="shared" si="8"/>
        <v>0</v>
      </c>
    </row>
    <row r="25" spans="2:23" ht="45.6">
      <c r="B25" s="926"/>
      <c r="C25" s="858"/>
      <c r="D25" s="888"/>
      <c r="E25" s="700" t="s">
        <v>517</v>
      </c>
      <c r="F25" s="212"/>
      <c r="G25" s="208" t="s">
        <v>1061</v>
      </c>
      <c r="H25" s="701" t="s">
        <v>324</v>
      </c>
      <c r="I25" s="67" t="s">
        <v>1145</v>
      </c>
      <c r="L25" s="49" t="str">
        <f>IF(OR(Overview!$D$4="Preliminary Documentation Review",Overview!$D$4="Preliminary Precertification Review"),IF(AND(P25=0,Q25=0),"",IF(AND(P25&gt;0,Q25&gt;0),"","MISMATCH")),"")</f>
        <v/>
      </c>
      <c r="M25" s="49" t="str">
        <f>IF(OR(Overview!$D$4="Preliminary Documentation Review",Overview!$D$4="Preliminary Precertification Review"),IF(AND(R25=0,S25=0),"",IF(AND(R25&gt;0,S25&gt;0),"","MISMATCH")),"")</f>
        <v/>
      </c>
      <c r="N25" s="49" t="str">
        <f>IF(OR(Overview!$D$4="Preliminary Documentation Review",Overview!$D$4="Preliminary Precertification Review"),IF(AND(T25=0,U25=0),"",IF(AND(T25&gt;0,U25&gt;0),"MISMATCH","")),"")</f>
        <v/>
      </c>
      <c r="O25" s="49" t="str">
        <f>IF(OR(Overview!$D$4="Preliminary Documentation Review",Overview!$D$4="Preliminary Precertification Review"),IF(AND(V25=0,W25=0),"",IF(AND(V25&gt;0,W25&gt;0),"","MISMATCH")),"")</f>
        <v/>
      </c>
      <c r="P25" s="44">
        <f t="shared" si="0"/>
        <v>0</v>
      </c>
      <c r="Q25" s="44">
        <f t="shared" si="5"/>
        <v>0</v>
      </c>
      <c r="R25" s="49">
        <f t="shared" si="1"/>
        <v>0</v>
      </c>
      <c r="S25" s="49">
        <f t="shared" si="6"/>
        <v>0</v>
      </c>
      <c r="T25" s="49">
        <f t="shared" si="9"/>
        <v>38</v>
      </c>
      <c r="U25" s="49">
        <f t="shared" si="10"/>
        <v>0</v>
      </c>
      <c r="V25" s="49">
        <f t="shared" si="7"/>
        <v>38</v>
      </c>
      <c r="W25" s="49">
        <f t="shared" si="8"/>
        <v>1</v>
      </c>
    </row>
    <row r="26" spans="2:23" ht="45.6">
      <c r="B26" s="926"/>
      <c r="C26" s="859"/>
      <c r="D26" s="888"/>
      <c r="E26" s="700" t="s">
        <v>233</v>
      </c>
      <c r="F26" s="213"/>
      <c r="G26" s="208" t="s">
        <v>1061</v>
      </c>
      <c r="H26" s="701" t="s">
        <v>324</v>
      </c>
      <c r="I26" s="67" t="s">
        <v>1145</v>
      </c>
      <c r="L26" s="49" t="str">
        <f>IF(OR(Overview!$D$4="Preliminary Documentation Review",Overview!$D$4="Preliminary Precertification Review"),IF(AND(P26=0,Q26=0),"",IF(AND(P26&gt;0,Q26&gt;0),"","MISMATCH")),"")</f>
        <v/>
      </c>
      <c r="M26" s="49" t="str">
        <f>IF(OR(Overview!$D$4="Preliminary Documentation Review",Overview!$D$4="Preliminary Precertification Review"),IF(AND(R26=0,S26=0),"",IF(AND(R26&gt;0,S26&gt;0),"","MISMATCH")),"")</f>
        <v/>
      </c>
      <c r="N26" s="49" t="str">
        <f>IF(OR(Overview!$D$4="Preliminary Documentation Review",Overview!$D$4="Preliminary Precertification Review"),IF(AND(T26=0,U26=0),"",IF(AND(T26&gt;0,U26&gt;0),"MISMATCH","")),"")</f>
        <v/>
      </c>
      <c r="O26" s="49" t="str">
        <f>IF(OR(Overview!$D$4="Preliminary Documentation Review",Overview!$D$4="Preliminary Precertification Review"),IF(AND(V26=0,W26=0),"",IF(AND(V26&gt;0,W26&gt;0),"","MISMATCH")),"")</f>
        <v/>
      </c>
      <c r="P26" s="44">
        <f t="shared" si="0"/>
        <v>0</v>
      </c>
      <c r="Q26" s="44">
        <f t="shared" si="5"/>
        <v>0</v>
      </c>
      <c r="R26" s="49">
        <f t="shared" si="1"/>
        <v>0</v>
      </c>
      <c r="S26" s="49">
        <f t="shared" si="6"/>
        <v>0</v>
      </c>
      <c r="T26" s="49">
        <f t="shared" si="9"/>
        <v>38</v>
      </c>
      <c r="U26" s="49">
        <f t="shared" si="10"/>
        <v>0</v>
      </c>
      <c r="V26" s="49">
        <f t="shared" si="7"/>
        <v>38</v>
      </c>
      <c r="W26" s="49">
        <f t="shared" si="8"/>
        <v>1</v>
      </c>
    </row>
    <row r="27" spans="2:23" ht="45.6">
      <c r="B27" s="926"/>
      <c r="C27" s="881" t="s">
        <v>23</v>
      </c>
      <c r="D27" s="888" t="s">
        <v>30</v>
      </c>
      <c r="E27" s="700" t="s">
        <v>518</v>
      </c>
      <c r="F27" s="211"/>
      <c r="G27" s="208" t="s">
        <v>1061</v>
      </c>
      <c r="H27" s="701" t="s">
        <v>324</v>
      </c>
      <c r="I27" s="67" t="s">
        <v>1145</v>
      </c>
      <c r="L27" s="49" t="str">
        <f>IF(OR(Overview!$D$4="Preliminary Documentation Review",Overview!$D$4="Preliminary Precertification Review"),IF(AND(P27=0,Q27=0),"",IF(AND(P27&gt;0,Q27&gt;0),"","MISMATCH")),"")</f>
        <v/>
      </c>
      <c r="M27" s="49" t="str">
        <f>IF(OR(Overview!$D$4="Preliminary Documentation Review",Overview!$D$4="Preliminary Precertification Review"),IF(AND(R27=0,S27=0),"",IF(AND(R27&gt;0,S27&gt;0),"","MISMATCH")),"")</f>
        <v/>
      </c>
      <c r="N27" s="49" t="str">
        <f>IF(OR(Overview!$D$4="Preliminary Documentation Review",Overview!$D$4="Preliminary Precertification Review"),IF(AND(T27=0,U27=0),"",IF(AND(T27&gt;0,U27&gt;0),"MISMATCH","")),"")</f>
        <v/>
      </c>
      <c r="O27" s="49" t="str">
        <f>IF(OR(Overview!$D$4="Preliminary Documentation Review",Overview!$D$4="Preliminary Precertification Review"),IF(AND(V27=0,W27=0),"",IF(AND(V27&gt;0,W27&gt;0),"","MISMATCH")),"")</f>
        <v/>
      </c>
      <c r="P27" s="44">
        <f t="shared" si="0"/>
        <v>0</v>
      </c>
      <c r="Q27" s="44">
        <f t="shared" si="5"/>
        <v>0</v>
      </c>
      <c r="R27" s="49">
        <f t="shared" si="1"/>
        <v>0</v>
      </c>
      <c r="S27" s="49">
        <f t="shared" si="6"/>
        <v>0</v>
      </c>
      <c r="T27" s="49">
        <f t="shared" si="9"/>
        <v>38</v>
      </c>
      <c r="U27" s="49">
        <f t="shared" si="10"/>
        <v>0</v>
      </c>
      <c r="V27" s="49">
        <f t="shared" si="7"/>
        <v>38</v>
      </c>
      <c r="W27" s="49">
        <f t="shared" si="8"/>
        <v>1</v>
      </c>
    </row>
    <row r="28" spans="2:23" ht="45.6">
      <c r="B28" s="926"/>
      <c r="C28" s="881"/>
      <c r="D28" s="888"/>
      <c r="E28" s="700" t="s">
        <v>519</v>
      </c>
      <c r="F28" s="212"/>
      <c r="G28" s="208" t="s">
        <v>1061</v>
      </c>
      <c r="H28" s="701" t="s">
        <v>324</v>
      </c>
      <c r="I28" s="67" t="s">
        <v>1145</v>
      </c>
      <c r="L28" s="49" t="str">
        <f>IF(OR(Overview!$D$4="Preliminary Documentation Review",Overview!$D$4="Preliminary Precertification Review"),IF(AND(P28=0,Q28=0),"",IF(AND(P28&gt;0,Q28&gt;0),"","MISMATCH")),"")</f>
        <v/>
      </c>
      <c r="M28" s="49" t="str">
        <f>IF(OR(Overview!$D$4="Preliminary Documentation Review",Overview!$D$4="Preliminary Precertification Review"),IF(AND(R28=0,S28=0),"",IF(AND(R28&gt;0,S28&gt;0),"","MISMATCH")),"")</f>
        <v/>
      </c>
      <c r="N28" s="49" t="str">
        <f>IF(OR(Overview!$D$4="Preliminary Documentation Review",Overview!$D$4="Preliminary Precertification Review"),IF(AND(T28=0,U28=0),"",IF(AND(T28&gt;0,U28&gt;0),"MISMATCH","")),"")</f>
        <v/>
      </c>
      <c r="O28" s="49" t="str">
        <f>IF(OR(Overview!$D$4="Preliminary Documentation Review",Overview!$D$4="Preliminary Precertification Review"),IF(AND(V28=0,W28=0),"",IF(AND(V28&gt;0,W28&gt;0),"","MISMATCH")),"")</f>
        <v/>
      </c>
      <c r="P28" s="44">
        <f t="shared" si="0"/>
        <v>0</v>
      </c>
      <c r="Q28" s="44">
        <f t="shared" si="5"/>
        <v>0</v>
      </c>
      <c r="R28" s="49">
        <f t="shared" si="1"/>
        <v>0</v>
      </c>
      <c r="S28" s="49">
        <f t="shared" si="6"/>
        <v>0</v>
      </c>
      <c r="T28" s="49">
        <f t="shared" si="9"/>
        <v>38</v>
      </c>
      <c r="U28" s="49">
        <f t="shared" si="10"/>
        <v>0</v>
      </c>
      <c r="V28" s="49">
        <f t="shared" si="7"/>
        <v>38</v>
      </c>
      <c r="W28" s="49">
        <f t="shared" si="8"/>
        <v>1</v>
      </c>
    </row>
    <row r="29" spans="2:23" ht="45.6">
      <c r="B29" s="926"/>
      <c r="C29" s="881"/>
      <c r="D29" s="888"/>
      <c r="E29" s="700" t="s">
        <v>520</v>
      </c>
      <c r="F29" s="213"/>
      <c r="G29" s="208" t="s">
        <v>1061</v>
      </c>
      <c r="H29" s="701" t="s">
        <v>324</v>
      </c>
      <c r="I29" s="67" t="s">
        <v>1145</v>
      </c>
      <c r="L29" s="49" t="str">
        <f>IF(OR(Overview!$D$4="Preliminary Documentation Review",Overview!$D$4="Preliminary Precertification Review"),IF(AND(P29=0,Q29=0),"",IF(AND(P29&gt;0,Q29&gt;0),"","MISMATCH")),"")</f>
        <v/>
      </c>
      <c r="M29" s="49" t="str">
        <f>IF(OR(Overview!$D$4="Preliminary Documentation Review",Overview!$D$4="Preliminary Precertification Review"),IF(AND(R29=0,S29=0),"",IF(AND(R29&gt;0,S29&gt;0),"","MISMATCH")),"")</f>
        <v/>
      </c>
      <c r="N29" s="49" t="str">
        <f>IF(OR(Overview!$D$4="Preliminary Documentation Review",Overview!$D$4="Preliminary Precertification Review"),IF(AND(T29=0,U29=0),"",IF(AND(T29&gt;0,U29&gt;0),"MISMATCH","")),"")</f>
        <v/>
      </c>
      <c r="O29" s="49" t="str">
        <f>IF(OR(Overview!$D$4="Preliminary Documentation Review",Overview!$D$4="Preliminary Precertification Review"),IF(AND(V29=0,W29=0),"",IF(AND(V29&gt;0,W29&gt;0),"","MISMATCH")),"")</f>
        <v/>
      </c>
      <c r="P29" s="44">
        <f t="shared" si="0"/>
        <v>0</v>
      </c>
      <c r="Q29" s="44">
        <f t="shared" si="5"/>
        <v>0</v>
      </c>
      <c r="R29" s="49">
        <f t="shared" si="1"/>
        <v>0</v>
      </c>
      <c r="S29" s="49">
        <f t="shared" si="6"/>
        <v>0</v>
      </c>
      <c r="T29" s="49">
        <f t="shared" si="9"/>
        <v>38</v>
      </c>
      <c r="U29" s="49">
        <f t="shared" si="10"/>
        <v>0</v>
      </c>
      <c r="V29" s="49">
        <f t="shared" si="7"/>
        <v>38</v>
      </c>
      <c r="W29" s="49">
        <f t="shared" si="8"/>
        <v>1</v>
      </c>
    </row>
    <row r="30" spans="2:23" ht="46.8">
      <c r="B30" s="926"/>
      <c r="C30" s="881" t="s">
        <v>23</v>
      </c>
      <c r="D30" s="888" t="s">
        <v>31</v>
      </c>
      <c r="E30" s="700" t="s">
        <v>521</v>
      </c>
      <c r="F30" s="211">
        <v>1</v>
      </c>
      <c r="G30" s="208" t="s">
        <v>1071</v>
      </c>
      <c r="H30" s="701" t="s">
        <v>369</v>
      </c>
      <c r="I30" s="794" t="s">
        <v>1142</v>
      </c>
      <c r="L30" s="49" t="str">
        <f>IF(OR(Overview!$D$4="Preliminary Documentation Review",Overview!$D$4="Preliminary Precertification Review"),IF(AND(P30=0,Q30=0),"",IF(AND(P30&gt;0,Q30&gt;0),"","MISMATCH")),"")</f>
        <v/>
      </c>
      <c r="M30" s="49" t="str">
        <f>IF(OR(Overview!$D$4="Preliminary Documentation Review",Overview!$D$4="Preliminary Precertification Review"),IF(AND(R30=0,S30=0),"",IF(AND(R30&gt;0,S30&gt;0),"","MISMATCH")),"")</f>
        <v/>
      </c>
      <c r="N30" s="49" t="str">
        <f>IF(OR(Overview!$D$4="Preliminary Documentation Review",Overview!$D$4="Preliminary Precertification Review"),IF(AND(T30=0,U30=0),"",IF(AND(T30&gt;0,U30&gt;0),"MISMATCH","")),"")</f>
        <v/>
      </c>
      <c r="O30" s="49" t="str">
        <f>IF(OR(Overview!$D$4="Preliminary Documentation Review",Overview!$D$4="Preliminary Precertification Review"),IF(AND(V30=0,W30=0),"",IF(AND(V30&gt;0,W30&gt;0),"","MISMATCH")),"")</f>
        <v/>
      </c>
      <c r="P30" s="44">
        <f t="shared" si="0"/>
        <v>0</v>
      </c>
      <c r="Q30" s="44">
        <f t="shared" si="5"/>
        <v>0</v>
      </c>
      <c r="R30" s="49">
        <f t="shared" si="1"/>
        <v>0</v>
      </c>
      <c r="S30" s="49">
        <f t="shared" si="6"/>
        <v>0</v>
      </c>
      <c r="T30" s="49">
        <f t="shared" si="9"/>
        <v>0</v>
      </c>
      <c r="U30" s="49">
        <f t="shared" si="10"/>
        <v>1</v>
      </c>
      <c r="V30" s="49">
        <f t="shared" si="7"/>
        <v>0</v>
      </c>
      <c r="W30" s="49">
        <f t="shared" si="8"/>
        <v>0</v>
      </c>
    </row>
    <row r="31" spans="2:23" ht="196.8">
      <c r="B31" s="926"/>
      <c r="C31" s="881"/>
      <c r="D31" s="888"/>
      <c r="E31" s="700" t="s">
        <v>522</v>
      </c>
      <c r="F31" s="213">
        <v>1</v>
      </c>
      <c r="G31" s="208" t="s">
        <v>1071</v>
      </c>
      <c r="H31" s="701" t="s">
        <v>369</v>
      </c>
      <c r="I31" s="67" t="s">
        <v>1154</v>
      </c>
      <c r="L31" s="49" t="str">
        <f>IF(OR(Overview!$D$4="Preliminary Documentation Review",Overview!$D$4="Preliminary Precertification Review"),IF(AND(P31=0,Q31=0),"",IF(AND(P31&gt;0,Q31&gt;0),"","MISMATCH")),"")</f>
        <v/>
      </c>
      <c r="M31" s="49" t="str">
        <f>IF(OR(Overview!$D$4="Preliminary Documentation Review",Overview!$D$4="Preliminary Precertification Review"),IF(AND(R31=0,S31=0),"",IF(AND(R31&gt;0,S31&gt;0),"","MISMATCH")),"")</f>
        <v/>
      </c>
      <c r="N31" s="49" t="str">
        <f>IF(OR(Overview!$D$4="Preliminary Documentation Review",Overview!$D$4="Preliminary Precertification Review"),IF(AND(T31=0,U31=0),"",IF(AND(T31&gt;0,U31&gt;0),"MISMATCH","")),"")</f>
        <v/>
      </c>
      <c r="O31" s="49" t="str">
        <f>IF(OR(Overview!$D$4="Preliminary Documentation Review",Overview!$D$4="Preliminary Precertification Review"),IF(AND(V31=0,W31=0),"",IF(AND(V31&gt;0,W31&gt;0),"","MISMATCH")),"")</f>
        <v/>
      </c>
      <c r="P31" s="44">
        <f t="shared" si="0"/>
        <v>314</v>
      </c>
      <c r="Q31" s="44">
        <f t="shared" si="5"/>
        <v>0</v>
      </c>
      <c r="R31" s="49">
        <f t="shared" si="1"/>
        <v>0</v>
      </c>
      <c r="S31" s="49">
        <f t="shared" si="6"/>
        <v>0</v>
      </c>
      <c r="T31" s="49">
        <f t="shared" si="9"/>
        <v>0</v>
      </c>
      <c r="U31" s="49">
        <f t="shared" si="10"/>
        <v>1</v>
      </c>
      <c r="V31" s="49">
        <f t="shared" si="7"/>
        <v>0</v>
      </c>
      <c r="W31" s="49">
        <f t="shared" si="8"/>
        <v>0</v>
      </c>
    </row>
    <row r="32" spans="2:23" ht="46.8">
      <c r="B32" s="926"/>
      <c r="C32" s="881" t="s">
        <v>23</v>
      </c>
      <c r="D32" s="700" t="s">
        <v>32</v>
      </c>
      <c r="E32" s="700" t="s">
        <v>523</v>
      </c>
      <c r="F32" s="214">
        <v>1</v>
      </c>
      <c r="G32" s="208" t="s">
        <v>1071</v>
      </c>
      <c r="H32" s="701" t="s">
        <v>369</v>
      </c>
      <c r="I32" s="794" t="s">
        <v>1142</v>
      </c>
      <c r="L32" s="49" t="str">
        <f>IF(OR(Overview!$D$4="Preliminary Documentation Review",Overview!$D$4="Preliminary Precertification Review"),IF(AND(P32=0,Q32=0),"",IF(AND(P32&gt;0,Q32&gt;0),"","MISMATCH")),"")</f>
        <v/>
      </c>
      <c r="M32" s="49" t="str">
        <f>IF(OR(Overview!$D$4="Preliminary Documentation Review",Overview!$D$4="Preliminary Precertification Review"),IF(AND(R32=0,S32=0),"",IF(AND(R32&gt;0,S32&gt;0),"","MISMATCH")),"")</f>
        <v/>
      </c>
      <c r="N32" s="49" t="str">
        <f>IF(OR(Overview!$D$4="Preliminary Documentation Review",Overview!$D$4="Preliminary Precertification Review"),IF(AND(T32=0,U32=0),"",IF(AND(T32&gt;0,U32&gt;0),"MISMATCH","")),"")</f>
        <v/>
      </c>
      <c r="O32" s="49" t="str">
        <f>IF(OR(Overview!$D$4="Preliminary Documentation Review",Overview!$D$4="Preliminary Precertification Review"),IF(AND(V32=0,W32=0),"",IF(AND(V32&gt;0,W32&gt;0),"","MISMATCH")),"")</f>
        <v/>
      </c>
      <c r="P32" s="44">
        <f t="shared" si="0"/>
        <v>0</v>
      </c>
      <c r="Q32" s="44">
        <f t="shared" si="5"/>
        <v>0</v>
      </c>
      <c r="R32" s="49">
        <f t="shared" si="1"/>
        <v>0</v>
      </c>
      <c r="S32" s="49">
        <f t="shared" si="6"/>
        <v>0</v>
      </c>
      <c r="T32" s="49">
        <f t="shared" si="9"/>
        <v>0</v>
      </c>
      <c r="U32" s="49">
        <f t="shared" si="10"/>
        <v>1</v>
      </c>
      <c r="V32" s="49">
        <f t="shared" si="7"/>
        <v>0</v>
      </c>
      <c r="W32" s="49">
        <f t="shared" si="8"/>
        <v>0</v>
      </c>
    </row>
    <row r="33" spans="2:23" ht="181.8">
      <c r="B33" s="926"/>
      <c r="C33" s="881" t="s">
        <v>23</v>
      </c>
      <c r="D33" s="700" t="s">
        <v>33</v>
      </c>
      <c r="E33" s="700" t="s">
        <v>524</v>
      </c>
      <c r="F33" s="214">
        <v>1</v>
      </c>
      <c r="G33" s="208" t="s">
        <v>1071</v>
      </c>
      <c r="H33" s="701" t="s">
        <v>369</v>
      </c>
      <c r="I33" s="795" t="s">
        <v>1155</v>
      </c>
      <c r="L33" s="49" t="str">
        <f>IF(OR(Overview!$D$4="Preliminary Documentation Review",Overview!$D$4="Preliminary Precertification Review"),IF(AND(P33=0,Q33=0),"",IF(AND(P33&gt;0,Q33&gt;0),"","MISMATCH")),"")</f>
        <v/>
      </c>
      <c r="M33" s="49" t="str">
        <f>IF(OR(Overview!$D$4="Preliminary Documentation Review",Overview!$D$4="Preliminary Precertification Review"),IF(AND(R33=0,S33=0),"",IF(AND(R33&gt;0,S33&gt;0),"","MISMATCH")),"")</f>
        <v/>
      </c>
      <c r="N33" s="49" t="str">
        <f>IF(OR(Overview!$D$4="Preliminary Documentation Review",Overview!$D$4="Preliminary Precertification Review"),IF(AND(T33=0,U33=0),"",IF(AND(T33&gt;0,U33&gt;0),"MISMATCH","")),"")</f>
        <v/>
      </c>
      <c r="O33" s="49" t="str">
        <f>IF(OR(Overview!$D$4="Preliminary Documentation Review",Overview!$D$4="Preliminary Precertification Review"),IF(AND(V33=0,W33=0),"",IF(AND(V33&gt;0,W33&gt;0),"","MISMATCH")),"")</f>
        <v/>
      </c>
      <c r="P33" s="44">
        <f t="shared" si="0"/>
        <v>282</v>
      </c>
      <c r="Q33" s="44">
        <f t="shared" si="5"/>
        <v>0</v>
      </c>
      <c r="R33" s="49">
        <f t="shared" si="1"/>
        <v>0</v>
      </c>
      <c r="S33" s="49">
        <f t="shared" si="6"/>
        <v>0</v>
      </c>
      <c r="T33" s="49">
        <f t="shared" si="9"/>
        <v>0</v>
      </c>
      <c r="U33" s="49">
        <f t="shared" si="10"/>
        <v>1</v>
      </c>
      <c r="V33" s="49">
        <f t="shared" si="7"/>
        <v>0</v>
      </c>
      <c r="W33" s="49">
        <f t="shared" si="8"/>
        <v>0</v>
      </c>
    </row>
    <row r="34" spans="2:23" ht="46.8">
      <c r="B34" s="926"/>
      <c r="C34" s="881" t="s">
        <v>23</v>
      </c>
      <c r="D34" s="700" t="s">
        <v>34</v>
      </c>
      <c r="E34" s="700" t="s">
        <v>525</v>
      </c>
      <c r="F34" s="214">
        <v>1</v>
      </c>
      <c r="G34" s="208" t="s">
        <v>1071</v>
      </c>
      <c r="H34" s="701" t="s">
        <v>369</v>
      </c>
      <c r="I34" s="794" t="s">
        <v>1142</v>
      </c>
      <c r="L34" s="49" t="str">
        <f>IF(OR(Overview!$D$4="Preliminary Documentation Review",Overview!$D$4="Preliminary Precertification Review"),IF(AND(P34=0,Q34=0),"",IF(AND(P34&gt;0,Q34&gt;0),"","MISMATCH")),"")</f>
        <v/>
      </c>
      <c r="M34" s="49" t="str">
        <f>IF(OR(Overview!$D$4="Preliminary Documentation Review",Overview!$D$4="Preliminary Precertification Review"),IF(AND(R34=0,S34=0),"",IF(AND(R34&gt;0,S34&gt;0),"","MISMATCH")),"")</f>
        <v/>
      </c>
      <c r="N34" s="49" t="str">
        <f>IF(OR(Overview!$D$4="Preliminary Documentation Review",Overview!$D$4="Preliminary Precertification Review"),IF(AND(T34=0,U34=0),"",IF(AND(T34&gt;0,U34&gt;0),"MISMATCH","")),"")</f>
        <v/>
      </c>
      <c r="O34" s="49" t="str">
        <f>IF(OR(Overview!$D$4="Preliminary Documentation Review",Overview!$D$4="Preliminary Precertification Review"),IF(AND(V34=0,W34=0),"",IF(AND(V34&gt;0,W34&gt;0),"","MISMATCH")),"")</f>
        <v/>
      </c>
      <c r="P34" s="44">
        <f t="shared" si="0"/>
        <v>0</v>
      </c>
      <c r="Q34" s="44">
        <f t="shared" si="5"/>
        <v>0</v>
      </c>
      <c r="R34" s="49">
        <f t="shared" si="1"/>
        <v>0</v>
      </c>
      <c r="S34" s="49">
        <f t="shared" si="6"/>
        <v>0</v>
      </c>
      <c r="T34" s="49">
        <f t="shared" si="9"/>
        <v>0</v>
      </c>
      <c r="U34" s="49">
        <f t="shared" si="10"/>
        <v>1</v>
      </c>
      <c r="V34" s="49">
        <f t="shared" si="7"/>
        <v>0</v>
      </c>
      <c r="W34" s="49">
        <f t="shared" si="8"/>
        <v>0</v>
      </c>
    </row>
    <row r="35" spans="2:23" ht="46.8">
      <c r="B35" s="926"/>
      <c r="C35" s="881" t="s">
        <v>23</v>
      </c>
      <c r="D35" s="700" t="s">
        <v>35</v>
      </c>
      <c r="E35" s="700" t="s">
        <v>526</v>
      </c>
      <c r="F35" s="214">
        <v>1</v>
      </c>
      <c r="G35" s="208" t="s">
        <v>1071</v>
      </c>
      <c r="H35" s="701" t="s">
        <v>369</v>
      </c>
      <c r="I35" s="794" t="s">
        <v>1142</v>
      </c>
      <c r="L35" s="49" t="str">
        <f>IF(OR(Overview!$D$4="Preliminary Documentation Review",Overview!$D$4="Preliminary Precertification Review"),IF(AND(P35=0,Q35=0),"",IF(AND(P35&gt;0,Q35&gt;0),"","MISMATCH")),"")</f>
        <v/>
      </c>
      <c r="M35" s="49" t="str">
        <f>IF(OR(Overview!$D$4="Preliminary Documentation Review",Overview!$D$4="Preliminary Precertification Review"),IF(AND(R35=0,S35=0),"",IF(AND(R35&gt;0,S35&gt;0),"","MISMATCH")),"")</f>
        <v/>
      </c>
      <c r="N35" s="49" t="str">
        <f>IF(OR(Overview!$D$4="Preliminary Documentation Review",Overview!$D$4="Preliminary Precertification Review"),IF(AND(T35=0,U35=0),"",IF(AND(T35&gt;0,U35&gt;0),"MISMATCH","")),"")</f>
        <v/>
      </c>
      <c r="O35" s="49" t="str">
        <f>IF(OR(Overview!$D$4="Preliminary Documentation Review",Overview!$D$4="Preliminary Precertification Review"),IF(AND(V35=0,W35=0),"",IF(AND(V35&gt;0,W35&gt;0),"","MISMATCH")),"")</f>
        <v/>
      </c>
      <c r="P35" s="44">
        <f t="shared" si="0"/>
        <v>0</v>
      </c>
      <c r="Q35" s="44">
        <f t="shared" si="5"/>
        <v>0</v>
      </c>
      <c r="R35" s="49">
        <f t="shared" si="1"/>
        <v>0</v>
      </c>
      <c r="S35" s="49">
        <f t="shared" si="6"/>
        <v>0</v>
      </c>
      <c r="T35" s="49">
        <f t="shared" si="9"/>
        <v>0</v>
      </c>
      <c r="U35" s="49">
        <f t="shared" si="10"/>
        <v>1</v>
      </c>
      <c r="V35" s="49">
        <f t="shared" si="7"/>
        <v>0</v>
      </c>
      <c r="W35" s="49">
        <f t="shared" si="8"/>
        <v>0</v>
      </c>
    </row>
    <row r="36" spans="2:23" ht="46.8">
      <c r="B36" s="926"/>
      <c r="C36" s="881" t="s">
        <v>23</v>
      </c>
      <c r="D36" s="700" t="s">
        <v>36</v>
      </c>
      <c r="E36" s="700" t="s">
        <v>527</v>
      </c>
      <c r="F36" s="214">
        <v>1</v>
      </c>
      <c r="G36" s="208" t="s">
        <v>1071</v>
      </c>
      <c r="H36" s="701" t="s">
        <v>369</v>
      </c>
      <c r="I36" s="794" t="s">
        <v>1142</v>
      </c>
      <c r="L36" s="49" t="str">
        <f>IF(OR(Overview!$D$4="Preliminary Documentation Review",Overview!$D$4="Preliminary Precertification Review"),IF(AND(P36=0,Q36=0),"",IF(AND(P36&gt;0,Q36&gt;0),"","MISMATCH")),"")</f>
        <v/>
      </c>
      <c r="M36" s="49" t="str">
        <f>IF(OR(Overview!$D$4="Preliminary Documentation Review",Overview!$D$4="Preliminary Precertification Review"),IF(AND(R36=0,S36=0),"",IF(AND(R36&gt;0,S36&gt;0),"","MISMATCH")),"")</f>
        <v/>
      </c>
      <c r="N36" s="49" t="str">
        <f>IF(OR(Overview!$D$4="Preliminary Documentation Review",Overview!$D$4="Preliminary Precertification Review"),IF(AND(T36=0,U36=0),"",IF(AND(T36&gt;0,U36&gt;0),"MISMATCH","")),"")</f>
        <v/>
      </c>
      <c r="O36" s="49" t="str">
        <f>IF(OR(Overview!$D$4="Preliminary Documentation Review",Overview!$D$4="Preliminary Precertification Review"),IF(AND(V36=0,W36=0),"",IF(AND(V36&gt;0,W36&gt;0),"","MISMATCH")),"")</f>
        <v/>
      </c>
      <c r="P36" s="44">
        <f t="shared" si="0"/>
        <v>0</v>
      </c>
      <c r="Q36" s="44">
        <f t="shared" si="5"/>
        <v>0</v>
      </c>
      <c r="R36" s="49">
        <f t="shared" si="1"/>
        <v>0</v>
      </c>
      <c r="S36" s="49">
        <f t="shared" si="6"/>
        <v>0</v>
      </c>
      <c r="T36" s="49">
        <f t="shared" si="9"/>
        <v>0</v>
      </c>
      <c r="U36" s="49">
        <f t="shared" si="10"/>
        <v>1</v>
      </c>
      <c r="V36" s="49">
        <f t="shared" si="7"/>
        <v>0</v>
      </c>
      <c r="W36" s="49">
        <f t="shared" si="8"/>
        <v>0</v>
      </c>
    </row>
    <row r="37" spans="2:23" ht="46.8">
      <c r="B37" s="926"/>
      <c r="C37" s="881" t="s">
        <v>23</v>
      </c>
      <c r="D37" s="888" t="s">
        <v>37</v>
      </c>
      <c r="E37" s="700" t="s">
        <v>528</v>
      </c>
      <c r="F37" s="215">
        <v>1</v>
      </c>
      <c r="G37" s="208" t="s">
        <v>1071</v>
      </c>
      <c r="H37" s="701" t="s">
        <v>369</v>
      </c>
      <c r="I37" s="794" t="s">
        <v>1142</v>
      </c>
      <c r="L37" s="49" t="str">
        <f>IF(OR(Overview!$D$4="Preliminary Documentation Review",Overview!$D$4="Preliminary Precertification Review"),IF(AND(P37=0,Q37=0),"",IF(AND(P37&gt;0,Q37&gt;0),"","MISMATCH")),"")</f>
        <v/>
      </c>
      <c r="M37" s="49" t="str">
        <f>IF(OR(Overview!$D$4="Preliminary Documentation Review",Overview!$D$4="Preliminary Precertification Review"),IF(AND(R37=0,S37=0),"",IF(AND(R37&gt;0,S37&gt;0),"","MISMATCH")),"")</f>
        <v/>
      </c>
      <c r="N37" s="49" t="str">
        <f>IF(OR(Overview!$D$4="Preliminary Documentation Review",Overview!$D$4="Preliminary Precertification Review"),IF(AND(T37=0,U37=0),"",IF(AND(T37&gt;0,U37&gt;0),"MISMATCH","")),"")</f>
        <v/>
      </c>
      <c r="O37" s="49" t="str">
        <f>IF(OR(Overview!$D$4="Preliminary Documentation Review",Overview!$D$4="Preliminary Precertification Review"),IF(AND(V37=0,W37=0),"",IF(AND(V37&gt;0,W37&gt;0),"","MISMATCH")),"")</f>
        <v/>
      </c>
      <c r="P37" s="44">
        <f t="shared" si="0"/>
        <v>0</v>
      </c>
      <c r="Q37" s="44">
        <f t="shared" si="5"/>
        <v>0</v>
      </c>
      <c r="R37" s="49">
        <f t="shared" si="1"/>
        <v>0</v>
      </c>
      <c r="S37" s="49">
        <f t="shared" si="6"/>
        <v>0</v>
      </c>
      <c r="T37" s="49">
        <f t="shared" si="9"/>
        <v>0</v>
      </c>
      <c r="U37" s="49">
        <f t="shared" si="10"/>
        <v>1</v>
      </c>
      <c r="V37" s="49">
        <f t="shared" si="7"/>
        <v>0</v>
      </c>
      <c r="W37" s="49">
        <f t="shared" si="8"/>
        <v>0</v>
      </c>
    </row>
    <row r="38" spans="2:23" ht="46.8">
      <c r="B38" s="926"/>
      <c r="C38" s="881"/>
      <c r="D38" s="888"/>
      <c r="E38" s="700" t="s">
        <v>529</v>
      </c>
      <c r="F38" s="215">
        <v>1</v>
      </c>
      <c r="G38" s="208" t="s">
        <v>1071</v>
      </c>
      <c r="H38" s="701" t="s">
        <v>369</v>
      </c>
      <c r="I38" s="794" t="s">
        <v>1142</v>
      </c>
      <c r="L38" s="49" t="str">
        <f>IF(OR(Overview!$D$4="Preliminary Documentation Review",Overview!$D$4="Preliminary Precertification Review"),IF(AND(P38=0,Q38=0),"",IF(AND(P38&gt;0,Q38&gt;0),"","MISMATCH")),"")</f>
        <v/>
      </c>
      <c r="M38" s="49" t="str">
        <f>IF(OR(Overview!$D$4="Preliminary Documentation Review",Overview!$D$4="Preliminary Precertification Review"),IF(AND(R38=0,S38=0),"",IF(AND(R38&gt;0,S38&gt;0),"","MISMATCH")),"")</f>
        <v/>
      </c>
      <c r="N38" s="49" t="str">
        <f>IF(OR(Overview!$D$4="Preliminary Documentation Review",Overview!$D$4="Preliminary Precertification Review"),IF(AND(T38=0,U38=0),"",IF(AND(T38&gt;0,U38&gt;0),"MISMATCH","")),"")</f>
        <v/>
      </c>
      <c r="O38" s="49" t="str">
        <f>IF(OR(Overview!$D$4="Preliminary Documentation Review",Overview!$D$4="Preliminary Precertification Review"),IF(AND(V38=0,W38=0),"",IF(AND(V38&gt;0,W38&gt;0),"","MISMATCH")),"")</f>
        <v/>
      </c>
      <c r="P38" s="44">
        <f t="shared" si="0"/>
        <v>0</v>
      </c>
      <c r="Q38" s="44">
        <f t="shared" si="5"/>
        <v>0</v>
      </c>
      <c r="R38" s="49">
        <f t="shared" si="1"/>
        <v>0</v>
      </c>
      <c r="S38" s="49">
        <f t="shared" si="6"/>
        <v>0</v>
      </c>
      <c r="T38" s="49">
        <f t="shared" si="9"/>
        <v>0</v>
      </c>
      <c r="U38" s="49">
        <f t="shared" si="10"/>
        <v>1</v>
      </c>
      <c r="V38" s="49">
        <f t="shared" si="7"/>
        <v>0</v>
      </c>
      <c r="W38" s="49">
        <f t="shared" si="8"/>
        <v>0</v>
      </c>
    </row>
    <row r="39" spans="2:23">
      <c r="B39" s="63"/>
      <c r="C39" s="69"/>
      <c r="D39" s="70"/>
      <c r="E39" s="71"/>
      <c r="F39" s="72"/>
      <c r="G39" s="72"/>
      <c r="H39" s="73"/>
      <c r="I39" s="74"/>
      <c r="L39" s="49" t="str">
        <f>IF(OR(Overview!$D$4="Preliminary Documentation Review",Overview!$D$4="Preliminary Precertification Review"),IF(AND(P39=0,Q39=0),"",IF(AND(P39&gt;0,Q39&gt;0),"","MISMATCH")),"")</f>
        <v/>
      </c>
      <c r="M39" s="49" t="str">
        <f>IF(OR(Overview!$D$4="Preliminary Documentation Review",Overview!$D$4="Preliminary Precertification Review"),IF(AND(R39=0,S39=0),"",IF(AND(R39&gt;0,S39&gt;0),"","MISMATCH")),"")</f>
        <v/>
      </c>
      <c r="N39" s="49" t="str">
        <f>IF(OR(Overview!$D$4="Preliminary Documentation Review",Overview!$D$4="Preliminary Precertification Review"),IF(AND(T39=0,U39=0),"",IF(AND(T39&gt;0,U39&gt;0),"MISMATCH","")),"")</f>
        <v/>
      </c>
      <c r="O39" s="49" t="str">
        <f>IF(OR(Overview!$D$4="Preliminary Documentation Review",Overview!$D$4="Preliminary Precertification Review"),IF(AND(V39=0,W39=0),"",IF(AND(V39&gt;0,W39&gt;0),"","MISMATCH")),"")</f>
        <v/>
      </c>
      <c r="P39" s="44">
        <f t="shared" si="0"/>
        <v>0</v>
      </c>
      <c r="Q39" s="44">
        <f t="shared" si="5"/>
        <v>0</v>
      </c>
      <c r="R39" s="49">
        <f t="shared" si="1"/>
        <v>0</v>
      </c>
      <c r="S39" s="49">
        <f t="shared" si="6"/>
        <v>0</v>
      </c>
      <c r="T39" s="49">
        <f t="shared" si="9"/>
        <v>0</v>
      </c>
      <c r="U39" s="49">
        <f t="shared" si="10"/>
        <v>0</v>
      </c>
      <c r="V39" s="49">
        <f t="shared" si="7"/>
        <v>0</v>
      </c>
      <c r="W39" s="49">
        <f t="shared" si="8"/>
        <v>0</v>
      </c>
    </row>
    <row r="40" spans="2:23">
      <c r="B40" s="75"/>
      <c r="C40" s="76"/>
      <c r="D40" s="77"/>
      <c r="E40" s="78"/>
      <c r="F40" s="79"/>
      <c r="G40" s="79"/>
      <c r="H40" s="80"/>
      <c r="I40" s="81"/>
      <c r="L40" s="49" t="str">
        <f>IF(OR(Overview!$D$4="Preliminary Documentation Review",Overview!$D$4="Preliminary Precertification Review"),IF(AND(P40=0,Q40=0),"",IF(AND(P40&gt;0,Q40&gt;0),"","MISMATCH")),"")</f>
        <v/>
      </c>
      <c r="M40" s="49" t="str">
        <f>IF(OR(Overview!$D$4="Preliminary Documentation Review",Overview!$D$4="Preliminary Precertification Review"),IF(AND(R40=0,S40=0),"",IF(AND(R40&gt;0,S40&gt;0),"","MISMATCH")),"")</f>
        <v/>
      </c>
      <c r="N40" s="49" t="str">
        <f>IF(OR(Overview!$D$4="Preliminary Documentation Review",Overview!$D$4="Preliminary Precertification Review"),IF(AND(T40=0,U40=0),"",IF(AND(T40&gt;0,U40&gt;0),"MISMATCH","")),"")</f>
        <v/>
      </c>
      <c r="O40" s="49" t="str">
        <f>IF(OR(Overview!$D$4="Preliminary Documentation Review",Overview!$D$4="Preliminary Precertification Review"),IF(AND(V40=0,W40=0),"",IF(AND(V40&gt;0,W40&gt;0),"","MISMATCH")),"")</f>
        <v/>
      </c>
      <c r="P40" s="44">
        <f t="shared" si="0"/>
        <v>0</v>
      </c>
      <c r="Q40" s="44">
        <f t="shared" si="5"/>
        <v>0</v>
      </c>
      <c r="R40" s="49">
        <f t="shared" si="1"/>
        <v>0</v>
      </c>
      <c r="S40" s="49">
        <f t="shared" si="6"/>
        <v>0</v>
      </c>
      <c r="T40" s="49">
        <f t="shared" si="9"/>
        <v>0</v>
      </c>
      <c r="U40" s="49">
        <f t="shared" si="10"/>
        <v>0</v>
      </c>
      <c r="V40" s="49">
        <f t="shared" si="7"/>
        <v>0</v>
      </c>
      <c r="W40" s="49">
        <f t="shared" si="8"/>
        <v>0</v>
      </c>
    </row>
    <row r="41" spans="2:23">
      <c r="B41" s="82"/>
      <c r="C41" s="83"/>
      <c r="D41" s="83"/>
      <c r="E41" s="83"/>
      <c r="F41" s="83"/>
      <c r="G41" s="83"/>
      <c r="H41" s="83"/>
      <c r="I41" s="182"/>
      <c r="L41" s="49" t="str">
        <f>IF(OR(Overview!$D$4="Preliminary Documentation Review",Overview!$D$4="Preliminary Precertification Review"),IF(AND(P41=0,Q41=0),"",IF(AND(P41&gt;0,Q41&gt;0),"","MISMATCH")),"")</f>
        <v/>
      </c>
      <c r="M41" s="49" t="str">
        <f>IF(OR(Overview!$D$4="Preliminary Documentation Review",Overview!$D$4="Preliminary Precertification Review"),IF(AND(R41=0,S41=0),"",IF(AND(R41&gt;0,S41&gt;0),"","MISMATCH")),"")</f>
        <v/>
      </c>
      <c r="N41" s="49" t="str">
        <f>IF(OR(Overview!$D$4="Preliminary Documentation Review",Overview!$D$4="Preliminary Precertification Review"),IF(AND(T41=0,U41=0),"",IF(AND(T41&gt;0,U41&gt;0),"MISMATCH","")),"")</f>
        <v/>
      </c>
      <c r="O41" s="49" t="str">
        <f>IF(OR(Overview!$D$4="Preliminary Documentation Review",Overview!$D$4="Preliminary Precertification Review"),IF(AND(V41=0,W41=0),"",IF(AND(V41&gt;0,W41&gt;0),"","MISMATCH")),"")</f>
        <v/>
      </c>
      <c r="T41" s="49">
        <f t="shared" si="9"/>
        <v>0</v>
      </c>
      <c r="U41" s="49">
        <f t="shared" si="10"/>
        <v>0</v>
      </c>
      <c r="V41" s="49">
        <f t="shared" si="7"/>
        <v>0</v>
      </c>
      <c r="W41" s="49">
        <f t="shared" si="8"/>
        <v>0</v>
      </c>
    </row>
    <row r="42" spans="2:23" s="65" customFormat="1" ht="99.9" hidden="1" customHeight="1">
      <c r="B42" s="84"/>
      <c r="C42" s="927" t="s">
        <v>708</v>
      </c>
      <c r="D42" s="928"/>
      <c r="E42" s="928"/>
      <c r="F42" s="928"/>
      <c r="G42" s="928"/>
      <c r="H42" s="928"/>
      <c r="I42" s="929"/>
      <c r="J42" s="64"/>
      <c r="K42" s="190"/>
      <c r="L42" s="49" t="str">
        <f>IF(OR(Overview!$D$4="Preliminary Documentation Review",Overview!$D$4="Preliminary Precertification Review"),IF(AND(P42=0,Q42=0),"",IF(AND(P42&gt;0,Q42&gt;0),"","MISMATCH")),"")</f>
        <v/>
      </c>
      <c r="M42" s="49" t="str">
        <f>IF(OR(Overview!$D$4="Preliminary Documentation Review",Overview!$D$4="Preliminary Precertification Review"),IF(AND(R42=0,S42=0),"",IF(AND(R42&gt;0,S42&gt;0),"","MISMATCH")),"")</f>
        <v/>
      </c>
      <c r="N42" s="49" t="str">
        <f>IF(OR(Overview!$D$4="Preliminary Documentation Review",Overview!$D$4="Preliminary Precertification Review"),IF(AND(T42=0,U42=0),"",IF(AND(T42&gt;0,U42&gt;0),"MISMATCH","")),"")</f>
        <v/>
      </c>
      <c r="O42" s="49" t="str">
        <f>IF(OR(Overview!$D$4="Preliminary Documentation Review",Overview!$D$4="Preliminary Precertification Review"),IF(AND(V42=0,W42=0),"",IF(AND(V42&gt;0,W42&gt;0),"","MISMATCH")),"")</f>
        <v/>
      </c>
      <c r="T42" s="49">
        <f t="shared" si="9"/>
        <v>0</v>
      </c>
      <c r="U42" s="49">
        <f t="shared" si="10"/>
        <v>0</v>
      </c>
      <c r="V42" s="49">
        <f t="shared" si="7"/>
        <v>0</v>
      </c>
      <c r="W42" s="49">
        <f t="shared" si="8"/>
        <v>0</v>
      </c>
    </row>
    <row r="43" spans="2:23" s="65" customFormat="1" ht="15.6" hidden="1" customHeight="1">
      <c r="B43" s="84"/>
      <c r="C43" s="930"/>
      <c r="D43" s="930"/>
      <c r="E43" s="930"/>
      <c r="F43" s="930"/>
      <c r="G43" s="930"/>
      <c r="H43" s="930"/>
      <c r="I43" s="931"/>
      <c r="J43" s="64"/>
      <c r="K43" s="190"/>
      <c r="L43" s="49" t="str">
        <f>IF(OR(Overview!$D$4="Preliminary Documentation Review",Overview!$D$4="Preliminary Precertification Review"),IF(AND(P43=0,Q43=0),"",IF(AND(P43&gt;0,Q43&gt;0),"","MISMATCH")),"")</f>
        <v/>
      </c>
      <c r="M43" s="49" t="str">
        <f>IF(OR(Overview!$D$4="Preliminary Documentation Review",Overview!$D$4="Preliminary Precertification Review"),IF(AND(R43=0,S43=0),"",IF(AND(R43&gt;0,S43&gt;0),"","MISMATCH")),"")</f>
        <v/>
      </c>
      <c r="N43" s="49" t="str">
        <f>IF(OR(Overview!$D$4="Preliminary Documentation Review",Overview!$D$4="Preliminary Precertification Review"),IF(AND(T43=0,U43=0),"",IF(AND(T43&gt;0,U43&gt;0),"MISMATCH","")),"")</f>
        <v/>
      </c>
      <c r="O43" s="49" t="str">
        <f>IF(OR(Overview!$D$4="Preliminary Documentation Review",Overview!$D$4="Preliminary Precertification Review"),IF(AND(V43=0,W43=0),"",IF(AND(V43&gt;0,W43&gt;0),"","MISMATCH")),"")</f>
        <v/>
      </c>
      <c r="T43" s="49">
        <f t="shared" si="9"/>
        <v>0</v>
      </c>
      <c r="U43" s="49">
        <f t="shared" si="10"/>
        <v>0</v>
      </c>
      <c r="V43" s="49">
        <f t="shared" si="7"/>
        <v>0</v>
      </c>
      <c r="W43" s="49">
        <f t="shared" si="8"/>
        <v>0</v>
      </c>
    </row>
    <row r="44" spans="2:23" ht="45.6">
      <c r="B44" s="932" t="s">
        <v>38</v>
      </c>
      <c r="C44" s="881" t="s">
        <v>8</v>
      </c>
      <c r="D44" s="888" t="s">
        <v>39</v>
      </c>
      <c r="E44" s="700" t="s">
        <v>234</v>
      </c>
      <c r="F44" s="714"/>
      <c r="G44" s="208" t="s">
        <v>219</v>
      </c>
      <c r="H44" s="701" t="s">
        <v>369</v>
      </c>
      <c r="I44" s="67" t="s">
        <v>1141</v>
      </c>
      <c r="L44" s="49" t="str">
        <f>IF(OR(Overview!$D$4="Preliminary Documentation Review",Overview!$D$4="Preliminary Precertification Review"),IF(AND(P44=0,Q44=0),"",IF(AND(P44&gt;0,Q44&gt;0),"","MISMATCH")),"")</f>
        <v/>
      </c>
      <c r="M44" s="49" t="str">
        <f>IF(OR(Overview!$D$4="Preliminary Documentation Review",Overview!$D$4="Preliminary Precertification Review"),IF(AND(R44=0,S44=0),"",IF(AND(R44&gt;0,S44&gt;0),"","MISMATCH")),"")</f>
        <v/>
      </c>
      <c r="N44" s="49" t="str">
        <f>IF(OR(Overview!$D$4="Preliminary Documentation Review",Overview!$D$4="Preliminary Precertification Review"),IF(AND(T44=0,U44=0),"",IF(AND(T44&gt;0,U44&gt;0),"MISMATCH","")),"")</f>
        <v/>
      </c>
      <c r="O44" s="49" t="str">
        <f>IF(OR(Overview!$D$4="Preliminary Documentation Review",Overview!$D$4="Preliminary Precertification Review"),IF(AND(V44=0,W44=0),"",IF(AND(V44&gt;0,W44&gt;0),"","MISMATCH")),"")</f>
        <v/>
      </c>
      <c r="P44" s="44">
        <f t="shared" ref="P44:P66" si="11">IFERROR(SEARCH("COMMENTS TO BE ADDRESS",$I44),0)</f>
        <v>0</v>
      </c>
      <c r="Q44" s="44">
        <f t="shared" si="5"/>
        <v>0</v>
      </c>
      <c r="R44" s="49">
        <f t="shared" ref="R44:R66" si="12">IFERROR(SEARCH("equirements of this part will be v",$I44),0)</f>
        <v>0</v>
      </c>
      <c r="S44" s="49">
        <f t="shared" si="6"/>
        <v>0</v>
      </c>
      <c r="T44" s="49">
        <f t="shared" si="9"/>
        <v>0</v>
      </c>
      <c r="U44" s="49">
        <f t="shared" si="10"/>
        <v>1</v>
      </c>
      <c r="V44" s="49">
        <f t="shared" si="7"/>
        <v>0</v>
      </c>
      <c r="W44" s="49">
        <f t="shared" si="8"/>
        <v>0</v>
      </c>
    </row>
    <row r="45" spans="2:23" ht="45.6">
      <c r="B45" s="932"/>
      <c r="C45" s="881"/>
      <c r="D45" s="888"/>
      <c r="E45" s="700" t="s">
        <v>235</v>
      </c>
      <c r="F45" s="715"/>
      <c r="G45" s="208" t="s">
        <v>219</v>
      </c>
      <c r="H45" s="701" t="s">
        <v>369</v>
      </c>
      <c r="I45" s="67" t="s">
        <v>1141</v>
      </c>
      <c r="L45" s="49" t="str">
        <f>IF(OR(Overview!$D$4="Preliminary Documentation Review",Overview!$D$4="Preliminary Precertification Review"),IF(AND(P45=0,Q45=0),"",IF(AND(P45&gt;0,Q45&gt;0),"","MISMATCH")),"")</f>
        <v/>
      </c>
      <c r="M45" s="49" t="str">
        <f>IF(OR(Overview!$D$4="Preliminary Documentation Review",Overview!$D$4="Preliminary Precertification Review"),IF(AND(R45=0,S45=0),"",IF(AND(R45&gt;0,S45&gt;0),"","MISMATCH")),"")</f>
        <v/>
      </c>
      <c r="N45" s="49" t="str">
        <f>IF(OR(Overview!$D$4="Preliminary Documentation Review",Overview!$D$4="Preliminary Precertification Review"),IF(AND(T45=0,U45=0),"",IF(AND(T45&gt;0,U45&gt;0),"MISMATCH","")),"")</f>
        <v/>
      </c>
      <c r="O45" s="49" t="str">
        <f>IF(OR(Overview!$D$4="Preliminary Documentation Review",Overview!$D$4="Preliminary Precertification Review"),IF(AND(V45=0,W45=0),"",IF(AND(V45&gt;0,W45&gt;0),"","MISMATCH")),"")</f>
        <v/>
      </c>
      <c r="P45" s="44">
        <f t="shared" si="11"/>
        <v>0</v>
      </c>
      <c r="Q45" s="44">
        <f t="shared" si="5"/>
        <v>0</v>
      </c>
      <c r="R45" s="49">
        <f t="shared" si="12"/>
        <v>0</v>
      </c>
      <c r="S45" s="49">
        <f t="shared" si="6"/>
        <v>0</v>
      </c>
      <c r="T45" s="49">
        <f t="shared" si="9"/>
        <v>0</v>
      </c>
      <c r="U45" s="49">
        <f t="shared" si="10"/>
        <v>1</v>
      </c>
      <c r="V45" s="49">
        <f t="shared" si="7"/>
        <v>0</v>
      </c>
      <c r="W45" s="49">
        <f t="shared" si="8"/>
        <v>0</v>
      </c>
    </row>
    <row r="46" spans="2:23" ht="45.6">
      <c r="B46" s="932"/>
      <c r="C46" s="881"/>
      <c r="D46" s="888"/>
      <c r="E46" s="700" t="s">
        <v>236</v>
      </c>
      <c r="F46" s="715"/>
      <c r="G46" s="208" t="s">
        <v>219</v>
      </c>
      <c r="H46" s="701" t="s">
        <v>369</v>
      </c>
      <c r="I46" s="794" t="s">
        <v>1144</v>
      </c>
      <c r="L46" s="49" t="str">
        <f>IF(OR(Overview!$D$4="Preliminary Documentation Review",Overview!$D$4="Preliminary Precertification Review"),IF(AND(P46=0,Q46=0),"",IF(AND(P46&gt;0,Q46&gt;0),"","MISMATCH")),"")</f>
        <v/>
      </c>
      <c r="M46" s="49" t="str">
        <f>IF(OR(Overview!$D$4="Preliminary Documentation Review",Overview!$D$4="Preliminary Precertification Review"),IF(AND(R46=0,S46=0),"",IF(AND(R46&gt;0,S46&gt;0),"","MISMATCH")),"")</f>
        <v/>
      </c>
      <c r="N46" s="49" t="str">
        <f>IF(OR(Overview!$D$4="Preliminary Documentation Review",Overview!$D$4="Preliminary Precertification Review"),IF(AND(T46=0,U46=0),"",IF(AND(T46&gt;0,U46&gt;0),"MISMATCH","")),"")</f>
        <v/>
      </c>
      <c r="O46" s="49" t="str">
        <f>IF(OR(Overview!$D$4="Preliminary Documentation Review",Overview!$D$4="Preliminary Precertification Review"),IF(AND(V46=0,W46=0),"",IF(AND(V46&gt;0,W46&gt;0),"","MISMATCH")),"")</f>
        <v/>
      </c>
      <c r="P46" s="44">
        <f t="shared" si="11"/>
        <v>0</v>
      </c>
      <c r="Q46" s="44">
        <f t="shared" si="5"/>
        <v>0</v>
      </c>
      <c r="R46" s="49">
        <f t="shared" si="12"/>
        <v>0</v>
      </c>
      <c r="S46" s="49">
        <f t="shared" si="6"/>
        <v>0</v>
      </c>
      <c r="T46" s="49">
        <f t="shared" si="9"/>
        <v>0</v>
      </c>
      <c r="U46" s="49">
        <f t="shared" si="10"/>
        <v>1</v>
      </c>
      <c r="V46" s="49">
        <f t="shared" si="7"/>
        <v>0</v>
      </c>
      <c r="W46" s="49">
        <f t="shared" si="8"/>
        <v>0</v>
      </c>
    </row>
    <row r="47" spans="2:23" ht="45.6">
      <c r="B47" s="932"/>
      <c r="C47" s="881" t="s">
        <v>8</v>
      </c>
      <c r="D47" s="888" t="s">
        <v>43</v>
      </c>
      <c r="E47" s="700" t="s">
        <v>237</v>
      </c>
      <c r="F47" s="715"/>
      <c r="G47" s="208" t="s">
        <v>219</v>
      </c>
      <c r="H47" s="701" t="s">
        <v>369</v>
      </c>
      <c r="I47" s="67" t="s">
        <v>1141</v>
      </c>
      <c r="L47" s="49" t="str">
        <f>IF(OR(Overview!$D$4="Preliminary Documentation Review",Overview!$D$4="Preliminary Precertification Review"),IF(AND(P47=0,Q47=0),"",IF(AND(P47&gt;0,Q47&gt;0),"","MISMATCH")),"")</f>
        <v/>
      </c>
      <c r="M47" s="49" t="str">
        <f>IF(OR(Overview!$D$4="Preliminary Documentation Review",Overview!$D$4="Preliminary Precertification Review"),IF(AND(R47=0,S47=0),"",IF(AND(R47&gt;0,S47&gt;0),"","MISMATCH")),"")</f>
        <v/>
      </c>
      <c r="N47" s="49" t="str">
        <f>IF(OR(Overview!$D$4="Preliminary Documentation Review",Overview!$D$4="Preliminary Precertification Review"),IF(AND(T47=0,U47=0),"",IF(AND(T47&gt;0,U47&gt;0),"MISMATCH","")),"")</f>
        <v/>
      </c>
      <c r="O47" s="49" t="str">
        <f>IF(OR(Overview!$D$4="Preliminary Documentation Review",Overview!$D$4="Preliminary Precertification Review"),IF(AND(V47=0,W47=0),"",IF(AND(V47&gt;0,W47&gt;0),"","MISMATCH")),"")</f>
        <v/>
      </c>
      <c r="P47" s="44">
        <f t="shared" si="11"/>
        <v>0</v>
      </c>
      <c r="Q47" s="44">
        <f t="shared" si="5"/>
        <v>0</v>
      </c>
      <c r="R47" s="49">
        <f t="shared" si="12"/>
        <v>0</v>
      </c>
      <c r="S47" s="49">
        <f t="shared" si="6"/>
        <v>0</v>
      </c>
      <c r="T47" s="49">
        <f t="shared" si="9"/>
        <v>0</v>
      </c>
      <c r="U47" s="49">
        <f t="shared" si="10"/>
        <v>1</v>
      </c>
      <c r="V47" s="49">
        <f t="shared" si="7"/>
        <v>0</v>
      </c>
      <c r="W47" s="49">
        <f t="shared" si="8"/>
        <v>0</v>
      </c>
    </row>
    <row r="48" spans="2:23" ht="45.6">
      <c r="B48" s="932"/>
      <c r="C48" s="881"/>
      <c r="D48" s="888"/>
      <c r="E48" s="700" t="s">
        <v>238</v>
      </c>
      <c r="F48" s="715"/>
      <c r="G48" s="208" t="s">
        <v>219</v>
      </c>
      <c r="H48" s="701" t="s">
        <v>369</v>
      </c>
      <c r="I48" s="67" t="s">
        <v>1141</v>
      </c>
      <c r="L48" s="49" t="str">
        <f>IF(OR(Overview!$D$4="Preliminary Documentation Review",Overview!$D$4="Preliminary Precertification Review"),IF(AND(P48=0,Q48=0),"",IF(AND(P48&gt;0,Q48&gt;0),"","MISMATCH")),"")</f>
        <v/>
      </c>
      <c r="M48" s="49" t="str">
        <f>IF(OR(Overview!$D$4="Preliminary Documentation Review",Overview!$D$4="Preliminary Precertification Review"),IF(AND(R48=0,S48=0),"",IF(AND(R48&gt;0,S48&gt;0),"","MISMATCH")),"")</f>
        <v/>
      </c>
      <c r="N48" s="49" t="str">
        <f>IF(OR(Overview!$D$4="Preliminary Documentation Review",Overview!$D$4="Preliminary Precertification Review"),IF(AND(T48=0,U48=0),"",IF(AND(T48&gt;0,U48&gt;0),"MISMATCH","")),"")</f>
        <v/>
      </c>
      <c r="O48" s="49" t="str">
        <f>IF(OR(Overview!$D$4="Preliminary Documentation Review",Overview!$D$4="Preliminary Precertification Review"),IF(AND(V48=0,W48=0),"",IF(AND(V48&gt;0,W48&gt;0),"","MISMATCH")),"")</f>
        <v/>
      </c>
      <c r="P48" s="44">
        <f t="shared" si="11"/>
        <v>0</v>
      </c>
      <c r="Q48" s="44">
        <f t="shared" si="5"/>
        <v>0</v>
      </c>
      <c r="R48" s="49">
        <f t="shared" si="12"/>
        <v>0</v>
      </c>
      <c r="S48" s="49">
        <f t="shared" si="6"/>
        <v>0</v>
      </c>
      <c r="T48" s="49">
        <f t="shared" si="9"/>
        <v>0</v>
      </c>
      <c r="U48" s="49">
        <f t="shared" si="10"/>
        <v>1</v>
      </c>
      <c r="V48" s="49">
        <f t="shared" si="7"/>
        <v>0</v>
      </c>
      <c r="W48" s="49">
        <f t="shared" si="8"/>
        <v>0</v>
      </c>
    </row>
    <row r="49" spans="2:23" ht="45.6">
      <c r="B49" s="932"/>
      <c r="C49" s="881"/>
      <c r="D49" s="888"/>
      <c r="E49" s="700" t="s">
        <v>239</v>
      </c>
      <c r="F49" s="715"/>
      <c r="G49" s="208" t="s">
        <v>219</v>
      </c>
      <c r="H49" s="701" t="s">
        <v>369</v>
      </c>
      <c r="I49" s="67" t="s">
        <v>1141</v>
      </c>
      <c r="L49" s="49" t="str">
        <f>IF(OR(Overview!$D$4="Preliminary Documentation Review",Overview!$D$4="Preliminary Precertification Review"),IF(AND(P49=0,Q49=0),"",IF(AND(P49&gt;0,Q49&gt;0),"","MISMATCH")),"")</f>
        <v/>
      </c>
      <c r="M49" s="49" t="str">
        <f>IF(OR(Overview!$D$4="Preliminary Documentation Review",Overview!$D$4="Preliminary Precertification Review"),IF(AND(R49=0,S49=0),"",IF(AND(R49&gt;0,S49&gt;0),"","MISMATCH")),"")</f>
        <v/>
      </c>
      <c r="N49" s="49" t="str">
        <f>IF(OR(Overview!$D$4="Preliminary Documentation Review",Overview!$D$4="Preliminary Precertification Review"),IF(AND(T49=0,U49=0),"",IF(AND(T49&gt;0,U49&gt;0),"MISMATCH","")),"")</f>
        <v/>
      </c>
      <c r="O49" s="49" t="str">
        <f>IF(OR(Overview!$D$4="Preliminary Documentation Review",Overview!$D$4="Preliminary Precertification Review"),IF(AND(V49=0,W49=0),"",IF(AND(V49&gt;0,W49&gt;0),"","MISMATCH")),"")</f>
        <v/>
      </c>
      <c r="P49" s="44">
        <f t="shared" si="11"/>
        <v>0</v>
      </c>
      <c r="Q49" s="44">
        <f t="shared" si="5"/>
        <v>0</v>
      </c>
      <c r="R49" s="49">
        <f t="shared" si="12"/>
        <v>0</v>
      </c>
      <c r="S49" s="49">
        <f t="shared" si="6"/>
        <v>0</v>
      </c>
      <c r="T49" s="49">
        <f t="shared" si="9"/>
        <v>0</v>
      </c>
      <c r="U49" s="49">
        <f t="shared" si="10"/>
        <v>1</v>
      </c>
      <c r="V49" s="49">
        <f t="shared" si="7"/>
        <v>0</v>
      </c>
      <c r="W49" s="49">
        <f t="shared" si="8"/>
        <v>0</v>
      </c>
    </row>
    <row r="50" spans="2:23" ht="45.6">
      <c r="B50" s="932"/>
      <c r="C50" s="881"/>
      <c r="D50" s="888"/>
      <c r="E50" s="700" t="s">
        <v>240</v>
      </c>
      <c r="F50" s="715"/>
      <c r="G50" s="208" t="s">
        <v>219</v>
      </c>
      <c r="H50" s="701" t="s">
        <v>369</v>
      </c>
      <c r="I50" s="67" t="s">
        <v>1141</v>
      </c>
      <c r="L50" s="49" t="str">
        <f>IF(OR(Overview!$D$4="Preliminary Documentation Review",Overview!$D$4="Preliminary Precertification Review"),IF(AND(P50=0,Q50=0),"",IF(AND(P50&gt;0,Q50&gt;0),"","MISMATCH")),"")</f>
        <v/>
      </c>
      <c r="M50" s="49" t="str">
        <f>IF(OR(Overview!$D$4="Preliminary Documentation Review",Overview!$D$4="Preliminary Precertification Review"),IF(AND(R50=0,S50=0),"",IF(AND(R50&gt;0,S50&gt;0),"","MISMATCH")),"")</f>
        <v/>
      </c>
      <c r="N50" s="49" t="str">
        <f>IF(OR(Overview!$D$4="Preliminary Documentation Review",Overview!$D$4="Preliminary Precertification Review"),IF(AND(T50=0,U50=0),"",IF(AND(T50&gt;0,U50&gt;0),"MISMATCH","")),"")</f>
        <v/>
      </c>
      <c r="O50" s="49" t="str">
        <f>IF(OR(Overview!$D$4="Preliminary Documentation Review",Overview!$D$4="Preliminary Precertification Review"),IF(AND(V50=0,W50=0),"",IF(AND(V50&gt;0,W50&gt;0),"","MISMATCH")),"")</f>
        <v/>
      </c>
      <c r="P50" s="44">
        <f t="shared" si="11"/>
        <v>0</v>
      </c>
      <c r="Q50" s="44">
        <f t="shared" si="5"/>
        <v>0</v>
      </c>
      <c r="R50" s="49">
        <f t="shared" si="12"/>
        <v>0</v>
      </c>
      <c r="S50" s="49">
        <f t="shared" si="6"/>
        <v>0</v>
      </c>
      <c r="T50" s="49">
        <f t="shared" si="9"/>
        <v>0</v>
      </c>
      <c r="U50" s="49">
        <f t="shared" si="10"/>
        <v>1</v>
      </c>
      <c r="V50" s="49">
        <f t="shared" si="7"/>
        <v>0</v>
      </c>
      <c r="W50" s="49">
        <f t="shared" si="8"/>
        <v>0</v>
      </c>
    </row>
    <row r="51" spans="2:23" ht="45.6">
      <c r="B51" s="932"/>
      <c r="C51" s="881"/>
      <c r="D51" s="888"/>
      <c r="E51" s="700" t="s">
        <v>241</v>
      </c>
      <c r="F51" s="715"/>
      <c r="G51" s="208" t="s">
        <v>219</v>
      </c>
      <c r="H51" s="701" t="s">
        <v>369</v>
      </c>
      <c r="I51" s="67" t="s">
        <v>1141</v>
      </c>
      <c r="L51" s="49" t="str">
        <f>IF(OR(Overview!$D$4="Preliminary Documentation Review",Overview!$D$4="Preliminary Precertification Review"),IF(AND(P51=0,Q51=0),"",IF(AND(P51&gt;0,Q51&gt;0),"","MISMATCH")),"")</f>
        <v/>
      </c>
      <c r="M51" s="49" t="str">
        <f>IF(OR(Overview!$D$4="Preliminary Documentation Review",Overview!$D$4="Preliminary Precertification Review"),IF(AND(R51=0,S51=0),"",IF(AND(R51&gt;0,S51&gt;0),"","MISMATCH")),"")</f>
        <v/>
      </c>
      <c r="N51" s="49" t="str">
        <f>IF(OR(Overview!$D$4="Preliminary Documentation Review",Overview!$D$4="Preliminary Precertification Review"),IF(AND(T51=0,U51=0),"",IF(AND(T51&gt;0,U51&gt;0),"MISMATCH","")),"")</f>
        <v/>
      </c>
      <c r="O51" s="49" t="str">
        <f>IF(OR(Overview!$D$4="Preliminary Documentation Review",Overview!$D$4="Preliminary Precertification Review"),IF(AND(V51=0,W51=0),"",IF(AND(V51&gt;0,W51&gt;0),"","MISMATCH")),"")</f>
        <v/>
      </c>
      <c r="P51" s="44">
        <f t="shared" si="11"/>
        <v>0</v>
      </c>
      <c r="Q51" s="44">
        <f t="shared" si="5"/>
        <v>0</v>
      </c>
      <c r="R51" s="49">
        <f t="shared" si="12"/>
        <v>0</v>
      </c>
      <c r="S51" s="49">
        <f t="shared" si="6"/>
        <v>0</v>
      </c>
      <c r="T51" s="49">
        <f t="shared" si="9"/>
        <v>0</v>
      </c>
      <c r="U51" s="49">
        <f t="shared" si="10"/>
        <v>1</v>
      </c>
      <c r="V51" s="49">
        <f t="shared" si="7"/>
        <v>0</v>
      </c>
      <c r="W51" s="49">
        <f t="shared" si="8"/>
        <v>0</v>
      </c>
    </row>
    <row r="52" spans="2:23" ht="45.6">
      <c r="B52" s="932"/>
      <c r="C52" s="881"/>
      <c r="D52" s="888"/>
      <c r="E52" s="700" t="s">
        <v>242</v>
      </c>
      <c r="F52" s="715"/>
      <c r="G52" s="208" t="s">
        <v>219</v>
      </c>
      <c r="H52" s="701" t="s">
        <v>369</v>
      </c>
      <c r="I52" s="67" t="s">
        <v>1141</v>
      </c>
      <c r="L52" s="49" t="str">
        <f>IF(OR(Overview!$D$4="Preliminary Documentation Review",Overview!$D$4="Preliminary Precertification Review"),IF(AND(P52=0,Q52=0),"",IF(AND(P52&gt;0,Q52&gt;0),"","MISMATCH")),"")</f>
        <v/>
      </c>
      <c r="M52" s="49" t="str">
        <f>IF(OR(Overview!$D$4="Preliminary Documentation Review",Overview!$D$4="Preliminary Precertification Review"),IF(AND(R52=0,S52=0),"",IF(AND(R52&gt;0,S52&gt;0),"","MISMATCH")),"")</f>
        <v/>
      </c>
      <c r="N52" s="49" t="str">
        <f>IF(OR(Overview!$D$4="Preliminary Documentation Review",Overview!$D$4="Preliminary Precertification Review"),IF(AND(T52=0,U52=0),"",IF(AND(T52&gt;0,U52&gt;0),"MISMATCH","")),"")</f>
        <v/>
      </c>
      <c r="O52" s="49" t="str">
        <f>IF(OR(Overview!$D$4="Preliminary Documentation Review",Overview!$D$4="Preliminary Precertification Review"),IF(AND(V52=0,W52=0),"",IF(AND(V52&gt;0,W52&gt;0),"","MISMATCH")),"")</f>
        <v/>
      </c>
      <c r="P52" s="44">
        <f t="shared" si="11"/>
        <v>0</v>
      </c>
      <c r="Q52" s="44">
        <f t="shared" si="5"/>
        <v>0</v>
      </c>
      <c r="R52" s="49">
        <f t="shared" si="12"/>
        <v>0</v>
      </c>
      <c r="S52" s="49">
        <f t="shared" si="6"/>
        <v>0</v>
      </c>
      <c r="T52" s="49">
        <f t="shared" si="9"/>
        <v>0</v>
      </c>
      <c r="U52" s="49">
        <f t="shared" si="10"/>
        <v>1</v>
      </c>
      <c r="V52" s="49">
        <f t="shared" si="7"/>
        <v>0</v>
      </c>
      <c r="W52" s="49">
        <f t="shared" si="8"/>
        <v>0</v>
      </c>
    </row>
    <row r="53" spans="2:23" ht="45.6">
      <c r="B53" s="932"/>
      <c r="C53" s="881"/>
      <c r="D53" s="888"/>
      <c r="E53" s="700" t="s">
        <v>243</v>
      </c>
      <c r="F53" s="715"/>
      <c r="G53" s="208" t="s">
        <v>219</v>
      </c>
      <c r="H53" s="701" t="s">
        <v>369</v>
      </c>
      <c r="I53" s="794" t="s">
        <v>1144</v>
      </c>
      <c r="L53" s="49" t="str">
        <f>IF(OR(Overview!$D$4="Preliminary Documentation Review",Overview!$D$4="Preliminary Precertification Review"),IF(AND(P53=0,Q53=0),"",IF(AND(P53&gt;0,Q53&gt;0),"","MISMATCH")),"")</f>
        <v/>
      </c>
      <c r="M53" s="49" t="str">
        <f>IF(OR(Overview!$D$4="Preliminary Documentation Review",Overview!$D$4="Preliminary Precertification Review"),IF(AND(R53=0,S53=0),"",IF(AND(R53&gt;0,S53&gt;0),"","MISMATCH")),"")</f>
        <v/>
      </c>
      <c r="N53" s="49" t="str">
        <f>IF(OR(Overview!$D$4="Preliminary Documentation Review",Overview!$D$4="Preliminary Precertification Review"),IF(AND(T53=0,U53=0),"",IF(AND(T53&gt;0,U53&gt;0),"MISMATCH","")),"")</f>
        <v/>
      </c>
      <c r="O53" s="49" t="str">
        <f>IF(OR(Overview!$D$4="Preliminary Documentation Review",Overview!$D$4="Preliminary Precertification Review"),IF(AND(V53=0,W53=0),"",IF(AND(V53&gt;0,W53&gt;0),"","MISMATCH")),"")</f>
        <v/>
      </c>
      <c r="P53" s="44">
        <f t="shared" si="11"/>
        <v>0</v>
      </c>
      <c r="Q53" s="44">
        <f t="shared" si="5"/>
        <v>0</v>
      </c>
      <c r="R53" s="49">
        <f t="shared" si="12"/>
        <v>0</v>
      </c>
      <c r="S53" s="49">
        <f t="shared" si="6"/>
        <v>0</v>
      </c>
      <c r="T53" s="49">
        <f t="shared" si="9"/>
        <v>0</v>
      </c>
      <c r="U53" s="49">
        <f t="shared" si="10"/>
        <v>1</v>
      </c>
      <c r="V53" s="49">
        <f t="shared" si="7"/>
        <v>0</v>
      </c>
      <c r="W53" s="49">
        <f t="shared" si="8"/>
        <v>0</v>
      </c>
    </row>
    <row r="54" spans="2:23" ht="45.6">
      <c r="B54" s="932"/>
      <c r="C54" s="881" t="s">
        <v>8</v>
      </c>
      <c r="D54" s="888" t="s">
        <v>51</v>
      </c>
      <c r="E54" s="700" t="s">
        <v>244</v>
      </c>
      <c r="F54" s="716"/>
      <c r="G54" s="208" t="s">
        <v>219</v>
      </c>
      <c r="H54" s="701" t="s">
        <v>369</v>
      </c>
      <c r="I54" s="794" t="s">
        <v>1144</v>
      </c>
      <c r="L54" s="49" t="str">
        <f>IF(OR(Overview!$D$4="Preliminary Documentation Review",Overview!$D$4="Preliminary Precertification Review"),IF(AND(P54=0,Q54=0),"",IF(AND(P54&gt;0,Q54&gt;0),"","MISMATCH")),"")</f>
        <v/>
      </c>
      <c r="M54" s="49" t="str">
        <f>IF(OR(Overview!$D$4="Preliminary Documentation Review",Overview!$D$4="Preliminary Precertification Review"),IF(AND(R54=0,S54=0),"",IF(AND(R54&gt;0,S54&gt;0),"","MISMATCH")),"")</f>
        <v/>
      </c>
      <c r="N54" s="49" t="str">
        <f>IF(OR(Overview!$D$4="Preliminary Documentation Review",Overview!$D$4="Preliminary Precertification Review"),IF(AND(T54=0,U54=0),"",IF(AND(T54&gt;0,U54&gt;0),"MISMATCH","")),"")</f>
        <v/>
      </c>
      <c r="O54" s="49" t="str">
        <f>IF(OR(Overview!$D$4="Preliminary Documentation Review",Overview!$D$4="Preliminary Precertification Review"),IF(AND(V54=0,W54=0),"",IF(AND(V54&gt;0,W54&gt;0),"","MISMATCH")),"")</f>
        <v/>
      </c>
      <c r="P54" s="44">
        <f t="shared" si="11"/>
        <v>0</v>
      </c>
      <c r="Q54" s="44">
        <f t="shared" si="5"/>
        <v>0</v>
      </c>
      <c r="R54" s="49">
        <f t="shared" si="12"/>
        <v>0</v>
      </c>
      <c r="S54" s="49">
        <f t="shared" si="6"/>
        <v>0</v>
      </c>
      <c r="T54" s="49">
        <f t="shared" si="9"/>
        <v>0</v>
      </c>
      <c r="U54" s="49">
        <f t="shared" si="10"/>
        <v>1</v>
      </c>
      <c r="V54" s="49">
        <f t="shared" si="7"/>
        <v>0</v>
      </c>
      <c r="W54" s="49">
        <f t="shared" si="8"/>
        <v>0</v>
      </c>
    </row>
    <row r="55" spans="2:23" ht="45.6">
      <c r="B55" s="932"/>
      <c r="C55" s="881" t="s">
        <v>23</v>
      </c>
      <c r="D55" s="888" t="s">
        <v>53</v>
      </c>
      <c r="E55" s="700" t="s">
        <v>530</v>
      </c>
      <c r="F55" s="717">
        <v>1</v>
      </c>
      <c r="G55" s="208" t="s">
        <v>1071</v>
      </c>
      <c r="H55" s="701" t="s">
        <v>369</v>
      </c>
      <c r="I55" s="67" t="s">
        <v>1141</v>
      </c>
      <c r="L55" s="49" t="str">
        <f>IF(OR(Overview!$D$4="Preliminary Documentation Review",Overview!$D$4="Preliminary Precertification Review"),IF(AND(P55=0,Q55=0),"",IF(AND(P55&gt;0,Q55&gt;0),"","MISMATCH")),"")</f>
        <v/>
      </c>
      <c r="M55" s="49" t="str">
        <f>IF(OR(Overview!$D$4="Preliminary Documentation Review",Overview!$D$4="Preliminary Precertification Review"),IF(AND(R55=0,S55=0),"",IF(AND(R55&gt;0,S55&gt;0),"","MISMATCH")),"")</f>
        <v/>
      </c>
      <c r="N55" s="49" t="str">
        <f>IF(OR(Overview!$D$4="Preliminary Documentation Review",Overview!$D$4="Preliminary Precertification Review"),IF(AND(T55=0,U55=0),"",IF(AND(T55&gt;0,U55&gt;0),"MISMATCH","")),"")</f>
        <v/>
      </c>
      <c r="O55" s="49" t="str">
        <f>IF(OR(Overview!$D$4="Preliminary Documentation Review",Overview!$D$4="Preliminary Precertification Review"),IF(AND(V55=0,W55=0),"",IF(AND(V55&gt;0,W55&gt;0),"","MISMATCH")),"")</f>
        <v/>
      </c>
      <c r="P55" s="44">
        <f t="shared" si="11"/>
        <v>0</v>
      </c>
      <c r="Q55" s="44">
        <f t="shared" si="5"/>
        <v>0</v>
      </c>
      <c r="R55" s="49">
        <f t="shared" si="12"/>
        <v>0</v>
      </c>
      <c r="S55" s="49">
        <f t="shared" si="6"/>
        <v>0</v>
      </c>
      <c r="T55" s="49">
        <f t="shared" si="9"/>
        <v>0</v>
      </c>
      <c r="U55" s="49">
        <f t="shared" si="10"/>
        <v>1</v>
      </c>
      <c r="V55" s="49">
        <f t="shared" si="7"/>
        <v>0</v>
      </c>
      <c r="W55" s="49">
        <f t="shared" si="8"/>
        <v>0</v>
      </c>
    </row>
    <row r="56" spans="2:23" ht="45.6">
      <c r="B56" s="932"/>
      <c r="C56" s="881" t="s">
        <v>23</v>
      </c>
      <c r="D56" s="888" t="s">
        <v>54</v>
      </c>
      <c r="E56" s="700" t="s">
        <v>531</v>
      </c>
      <c r="F56" s="718"/>
      <c r="G56" s="208" t="s">
        <v>1061</v>
      </c>
      <c r="H56" s="701" t="s">
        <v>324</v>
      </c>
      <c r="I56" s="67" t="s">
        <v>1145</v>
      </c>
      <c r="L56" s="49" t="str">
        <f>IF(OR(Overview!$D$4="Preliminary Documentation Review",Overview!$D$4="Preliminary Precertification Review"),IF(AND(P56=0,Q56=0),"",IF(AND(P56&gt;0,Q56&gt;0),"","MISMATCH")),"")</f>
        <v/>
      </c>
      <c r="M56" s="49" t="str">
        <f>IF(OR(Overview!$D$4="Preliminary Documentation Review",Overview!$D$4="Preliminary Precertification Review"),IF(AND(R56=0,S56=0),"",IF(AND(R56&gt;0,S56&gt;0),"","MISMATCH")),"")</f>
        <v/>
      </c>
      <c r="N56" s="49" t="str">
        <f>IF(OR(Overview!$D$4="Preliminary Documentation Review",Overview!$D$4="Preliminary Precertification Review"),IF(AND(T56=0,U56=0),"",IF(AND(T56&gt;0,U56&gt;0),"MISMATCH","")),"")</f>
        <v/>
      </c>
      <c r="O56" s="49" t="str">
        <f>IF(OR(Overview!$D$4="Preliminary Documentation Review",Overview!$D$4="Preliminary Precertification Review"),IF(AND(V56=0,W56=0),"",IF(AND(V56&gt;0,W56&gt;0),"","MISMATCH")),"")</f>
        <v/>
      </c>
      <c r="P56" s="44">
        <f t="shared" si="11"/>
        <v>0</v>
      </c>
      <c r="Q56" s="44">
        <f t="shared" si="5"/>
        <v>0</v>
      </c>
      <c r="R56" s="49">
        <f t="shared" si="12"/>
        <v>0</v>
      </c>
      <c r="S56" s="49">
        <f t="shared" si="6"/>
        <v>0</v>
      </c>
      <c r="T56" s="49">
        <f t="shared" si="9"/>
        <v>38</v>
      </c>
      <c r="U56" s="49">
        <f t="shared" si="10"/>
        <v>0</v>
      </c>
      <c r="V56" s="49">
        <f t="shared" si="7"/>
        <v>38</v>
      </c>
      <c r="W56" s="49">
        <f t="shared" si="8"/>
        <v>1</v>
      </c>
    </row>
    <row r="57" spans="2:23" ht="45.6">
      <c r="B57" s="932"/>
      <c r="C57" s="881"/>
      <c r="D57" s="888"/>
      <c r="E57" s="700" t="s">
        <v>532</v>
      </c>
      <c r="F57" s="719"/>
      <c r="G57" s="208" t="s">
        <v>1061</v>
      </c>
      <c r="H57" s="701" t="s">
        <v>324</v>
      </c>
      <c r="I57" s="67" t="s">
        <v>1145</v>
      </c>
      <c r="L57" s="49" t="str">
        <f>IF(OR(Overview!$D$4="Preliminary Documentation Review",Overview!$D$4="Preliminary Precertification Review"),IF(AND(P57=0,Q57=0),"",IF(AND(P57&gt;0,Q57&gt;0),"","MISMATCH")),"")</f>
        <v/>
      </c>
      <c r="M57" s="49" t="str">
        <f>IF(OR(Overview!$D$4="Preliminary Documentation Review",Overview!$D$4="Preliminary Precertification Review"),IF(AND(R57=0,S57=0),"",IF(AND(R57&gt;0,S57&gt;0),"","MISMATCH")),"")</f>
        <v/>
      </c>
      <c r="N57" s="49" t="str">
        <f>IF(OR(Overview!$D$4="Preliminary Documentation Review",Overview!$D$4="Preliminary Precertification Review"),IF(AND(T57=0,U57=0),"",IF(AND(T57&gt;0,U57&gt;0),"MISMATCH","")),"")</f>
        <v/>
      </c>
      <c r="O57" s="49" t="str">
        <f>IF(OR(Overview!$D$4="Preliminary Documentation Review",Overview!$D$4="Preliminary Precertification Review"),IF(AND(V57=0,W57=0),"",IF(AND(V57&gt;0,W57&gt;0),"","MISMATCH")),"")</f>
        <v/>
      </c>
      <c r="P57" s="44">
        <f t="shared" si="11"/>
        <v>0</v>
      </c>
      <c r="Q57" s="44">
        <f t="shared" si="5"/>
        <v>0</v>
      </c>
      <c r="R57" s="49">
        <f t="shared" si="12"/>
        <v>0</v>
      </c>
      <c r="S57" s="49">
        <f t="shared" si="6"/>
        <v>0</v>
      </c>
      <c r="T57" s="49">
        <f t="shared" si="9"/>
        <v>38</v>
      </c>
      <c r="U57" s="49">
        <f t="shared" si="10"/>
        <v>0</v>
      </c>
      <c r="V57" s="49">
        <f t="shared" si="7"/>
        <v>38</v>
      </c>
      <c r="W57" s="49">
        <f t="shared" si="8"/>
        <v>1</v>
      </c>
    </row>
    <row r="58" spans="2:23" ht="45.6">
      <c r="B58" s="932"/>
      <c r="C58" s="881" t="s">
        <v>23</v>
      </c>
      <c r="D58" s="888" t="s">
        <v>55</v>
      </c>
      <c r="E58" s="700" t="s">
        <v>533</v>
      </c>
      <c r="F58" s="717"/>
      <c r="G58" s="208" t="s">
        <v>1061</v>
      </c>
      <c r="H58" s="701" t="s">
        <v>324</v>
      </c>
      <c r="I58" s="67" t="s">
        <v>1145</v>
      </c>
      <c r="L58" s="49" t="str">
        <f>IF(OR(Overview!$D$4="Preliminary Documentation Review",Overview!$D$4="Preliminary Precertification Review"),IF(AND(P58=0,Q58=0),"",IF(AND(P58&gt;0,Q58&gt;0),"","MISMATCH")),"")</f>
        <v/>
      </c>
      <c r="M58" s="49" t="str">
        <f>IF(OR(Overview!$D$4="Preliminary Documentation Review",Overview!$D$4="Preliminary Precertification Review"),IF(AND(R58=0,S58=0),"",IF(AND(R58&gt;0,S58&gt;0),"","MISMATCH")),"")</f>
        <v/>
      </c>
      <c r="N58" s="49" t="str">
        <f>IF(OR(Overview!$D$4="Preliminary Documentation Review",Overview!$D$4="Preliminary Precertification Review"),IF(AND(T58=0,U58=0),"",IF(AND(T58&gt;0,U58&gt;0),"MISMATCH","")),"")</f>
        <v/>
      </c>
      <c r="O58" s="49" t="str">
        <f>IF(OR(Overview!$D$4="Preliminary Documentation Review",Overview!$D$4="Preliminary Precertification Review"),IF(AND(V58=0,W58=0),"",IF(AND(V58&gt;0,W58&gt;0),"","MISMATCH")),"")</f>
        <v/>
      </c>
      <c r="P58" s="44">
        <f t="shared" si="11"/>
        <v>0</v>
      </c>
      <c r="Q58" s="44">
        <f t="shared" si="5"/>
        <v>0</v>
      </c>
      <c r="R58" s="49">
        <f t="shared" si="12"/>
        <v>0</v>
      </c>
      <c r="S58" s="49">
        <f t="shared" si="6"/>
        <v>0</v>
      </c>
      <c r="T58" s="49">
        <f t="shared" si="9"/>
        <v>38</v>
      </c>
      <c r="U58" s="49">
        <f t="shared" si="10"/>
        <v>0</v>
      </c>
      <c r="V58" s="49">
        <f t="shared" si="7"/>
        <v>38</v>
      </c>
      <c r="W58" s="49">
        <f t="shared" si="8"/>
        <v>1</v>
      </c>
    </row>
    <row r="59" spans="2:23" ht="46.8">
      <c r="B59" s="932"/>
      <c r="C59" s="881" t="s">
        <v>23</v>
      </c>
      <c r="D59" s="888" t="s">
        <v>56</v>
      </c>
      <c r="E59" s="700" t="s">
        <v>534</v>
      </c>
      <c r="F59" s="718">
        <v>1</v>
      </c>
      <c r="G59" s="208" t="s">
        <v>1071</v>
      </c>
      <c r="H59" s="701" t="s">
        <v>369</v>
      </c>
      <c r="I59" s="794" t="s">
        <v>1142</v>
      </c>
      <c r="L59" s="49" t="str">
        <f>IF(OR(Overview!$D$4="Preliminary Documentation Review",Overview!$D$4="Preliminary Precertification Review"),IF(AND(P59=0,Q59=0),"",IF(AND(P59&gt;0,Q59&gt;0),"","MISMATCH")),"")</f>
        <v/>
      </c>
      <c r="M59" s="49" t="str">
        <f>IF(OR(Overview!$D$4="Preliminary Documentation Review",Overview!$D$4="Preliminary Precertification Review"),IF(AND(R59=0,S59=0),"",IF(AND(R59&gt;0,S59&gt;0),"","MISMATCH")),"")</f>
        <v/>
      </c>
      <c r="N59" s="49" t="str">
        <f>IF(OR(Overview!$D$4="Preliminary Documentation Review",Overview!$D$4="Preliminary Precertification Review"),IF(AND(T59=0,U59=0),"",IF(AND(T59&gt;0,U59&gt;0),"MISMATCH","")),"")</f>
        <v/>
      </c>
      <c r="O59" s="49" t="str">
        <f>IF(OR(Overview!$D$4="Preliminary Documentation Review",Overview!$D$4="Preliminary Precertification Review"),IF(AND(V59=0,W59=0),"",IF(AND(V59&gt;0,W59&gt;0),"","MISMATCH")),"")</f>
        <v/>
      </c>
      <c r="P59" s="44">
        <f t="shared" si="11"/>
        <v>0</v>
      </c>
      <c r="Q59" s="44">
        <f t="shared" si="5"/>
        <v>0</v>
      </c>
      <c r="R59" s="49">
        <f t="shared" si="12"/>
        <v>0</v>
      </c>
      <c r="S59" s="49">
        <f t="shared" si="6"/>
        <v>0</v>
      </c>
      <c r="T59" s="49">
        <f t="shared" si="9"/>
        <v>0</v>
      </c>
      <c r="U59" s="49">
        <f t="shared" si="10"/>
        <v>1</v>
      </c>
      <c r="V59" s="49">
        <f t="shared" si="7"/>
        <v>0</v>
      </c>
      <c r="W59" s="49">
        <f t="shared" si="8"/>
        <v>0</v>
      </c>
    </row>
    <row r="60" spans="2:23" ht="45.6">
      <c r="B60" s="932"/>
      <c r="C60" s="881"/>
      <c r="D60" s="888"/>
      <c r="E60" s="700" t="s">
        <v>535</v>
      </c>
      <c r="F60" s="720">
        <v>1</v>
      </c>
      <c r="G60" s="208" t="s">
        <v>1071</v>
      </c>
      <c r="H60" s="701" t="s">
        <v>369</v>
      </c>
      <c r="I60" s="794" t="s">
        <v>1144</v>
      </c>
      <c r="L60" s="49" t="str">
        <f>IF(OR(Overview!$D$4="Preliminary Documentation Review",Overview!$D$4="Preliminary Precertification Review"),IF(AND(P60=0,Q60=0),"",IF(AND(P60&gt;0,Q60&gt;0),"","MISMATCH")),"")</f>
        <v/>
      </c>
      <c r="M60" s="49" t="str">
        <f>IF(OR(Overview!$D$4="Preliminary Documentation Review",Overview!$D$4="Preliminary Precertification Review"),IF(AND(R60=0,S60=0),"",IF(AND(R60&gt;0,S60&gt;0),"","MISMATCH")),"")</f>
        <v/>
      </c>
      <c r="N60" s="49" t="str">
        <f>IF(OR(Overview!$D$4="Preliminary Documentation Review",Overview!$D$4="Preliminary Precertification Review"),IF(AND(T60=0,U60=0),"",IF(AND(T60&gt;0,U60&gt;0),"MISMATCH","")),"")</f>
        <v/>
      </c>
      <c r="O60" s="49" t="str">
        <f>IF(OR(Overview!$D$4="Preliminary Documentation Review",Overview!$D$4="Preliminary Precertification Review"),IF(AND(V60=0,W60=0),"",IF(AND(V60&gt;0,W60&gt;0),"","MISMATCH")),"")</f>
        <v/>
      </c>
      <c r="P60" s="44">
        <f t="shared" si="11"/>
        <v>0</v>
      </c>
      <c r="Q60" s="44">
        <f t="shared" si="5"/>
        <v>0</v>
      </c>
      <c r="R60" s="49">
        <f t="shared" si="12"/>
        <v>0</v>
      </c>
      <c r="S60" s="49">
        <f t="shared" si="6"/>
        <v>0</v>
      </c>
      <c r="T60" s="49">
        <f t="shared" si="9"/>
        <v>0</v>
      </c>
      <c r="U60" s="49">
        <f t="shared" si="10"/>
        <v>1</v>
      </c>
      <c r="V60" s="49">
        <f t="shared" si="7"/>
        <v>0</v>
      </c>
      <c r="W60" s="49">
        <f t="shared" si="8"/>
        <v>0</v>
      </c>
    </row>
    <row r="61" spans="2:23" ht="46.8">
      <c r="B61" s="932"/>
      <c r="C61" s="881"/>
      <c r="D61" s="888"/>
      <c r="E61" s="700" t="s">
        <v>536</v>
      </c>
      <c r="F61" s="719">
        <v>1</v>
      </c>
      <c r="G61" s="208" t="s">
        <v>1071</v>
      </c>
      <c r="H61" s="701" t="s">
        <v>369</v>
      </c>
      <c r="I61" s="794" t="s">
        <v>1142</v>
      </c>
      <c r="L61" s="49" t="str">
        <f>IF(OR(Overview!$D$4="Preliminary Documentation Review",Overview!$D$4="Preliminary Precertification Review"),IF(AND(P61=0,Q61=0),"",IF(AND(P61&gt;0,Q61&gt;0),"","MISMATCH")),"")</f>
        <v/>
      </c>
      <c r="M61" s="49" t="str">
        <f>IF(OR(Overview!$D$4="Preliminary Documentation Review",Overview!$D$4="Preliminary Precertification Review"),IF(AND(R61=0,S61=0),"",IF(AND(R61&gt;0,S61&gt;0),"","MISMATCH")),"")</f>
        <v/>
      </c>
      <c r="N61" s="49" t="str">
        <f>IF(OR(Overview!$D$4="Preliminary Documentation Review",Overview!$D$4="Preliminary Precertification Review"),IF(AND(T61=0,U61=0),"",IF(AND(T61&gt;0,U61&gt;0),"MISMATCH","")),"")</f>
        <v/>
      </c>
      <c r="O61" s="49" t="str">
        <f>IF(OR(Overview!$D$4="Preliminary Documentation Review",Overview!$D$4="Preliminary Precertification Review"),IF(AND(V61=0,W61=0),"",IF(AND(V61&gt;0,W61&gt;0),"","MISMATCH")),"")</f>
        <v/>
      </c>
      <c r="P61" s="44">
        <f t="shared" si="11"/>
        <v>0</v>
      </c>
      <c r="Q61" s="44">
        <f t="shared" si="5"/>
        <v>0</v>
      </c>
      <c r="R61" s="49">
        <f t="shared" si="12"/>
        <v>0</v>
      </c>
      <c r="S61" s="49">
        <f t="shared" si="6"/>
        <v>0</v>
      </c>
      <c r="T61" s="49">
        <f t="shared" si="9"/>
        <v>0</v>
      </c>
      <c r="U61" s="49">
        <f t="shared" si="10"/>
        <v>1</v>
      </c>
      <c r="V61" s="49">
        <f t="shared" si="7"/>
        <v>0</v>
      </c>
      <c r="W61" s="49">
        <f t="shared" si="8"/>
        <v>0</v>
      </c>
    </row>
    <row r="62" spans="2:23" ht="46.8">
      <c r="B62" s="932"/>
      <c r="C62" s="881" t="s">
        <v>23</v>
      </c>
      <c r="D62" s="888" t="s">
        <v>57</v>
      </c>
      <c r="E62" s="700" t="s">
        <v>537</v>
      </c>
      <c r="F62" s="718">
        <v>1</v>
      </c>
      <c r="G62" s="208" t="s">
        <v>1071</v>
      </c>
      <c r="H62" s="701" t="s">
        <v>369</v>
      </c>
      <c r="I62" s="794" t="s">
        <v>1142</v>
      </c>
      <c r="L62" s="49" t="str">
        <f>IF(OR(Overview!$D$4="Preliminary Documentation Review",Overview!$D$4="Preliminary Precertification Review"),IF(AND(P62=0,Q62=0),"",IF(AND(P62&gt;0,Q62&gt;0),"","MISMATCH")),"")</f>
        <v/>
      </c>
      <c r="M62" s="49" t="str">
        <f>IF(OR(Overview!$D$4="Preliminary Documentation Review",Overview!$D$4="Preliminary Precertification Review"),IF(AND(R62=0,S62=0),"",IF(AND(R62&gt;0,S62&gt;0),"","MISMATCH")),"")</f>
        <v/>
      </c>
      <c r="N62" s="49" t="str">
        <f>IF(OR(Overview!$D$4="Preliminary Documentation Review",Overview!$D$4="Preliminary Precertification Review"),IF(AND(T62=0,U62=0),"",IF(AND(T62&gt;0,U62&gt;0),"MISMATCH","")),"")</f>
        <v/>
      </c>
      <c r="O62" s="49" t="str">
        <f>IF(OR(Overview!$D$4="Preliminary Documentation Review",Overview!$D$4="Preliminary Precertification Review"),IF(AND(V62=0,W62=0),"",IF(AND(V62&gt;0,W62&gt;0),"","MISMATCH")),"")</f>
        <v/>
      </c>
      <c r="P62" s="44">
        <f t="shared" si="11"/>
        <v>0</v>
      </c>
      <c r="Q62" s="44">
        <f t="shared" si="5"/>
        <v>0</v>
      </c>
      <c r="R62" s="49">
        <f t="shared" si="12"/>
        <v>0</v>
      </c>
      <c r="S62" s="49">
        <f t="shared" si="6"/>
        <v>0</v>
      </c>
      <c r="T62" s="49">
        <f t="shared" si="9"/>
        <v>0</v>
      </c>
      <c r="U62" s="49">
        <f t="shared" si="10"/>
        <v>1</v>
      </c>
      <c r="V62" s="49">
        <f t="shared" si="7"/>
        <v>0</v>
      </c>
      <c r="W62" s="49">
        <f t="shared" si="8"/>
        <v>0</v>
      </c>
    </row>
    <row r="63" spans="2:23" ht="45.6">
      <c r="B63" s="932"/>
      <c r="C63" s="881"/>
      <c r="D63" s="888"/>
      <c r="E63" s="700" t="s">
        <v>538</v>
      </c>
      <c r="F63" s="719">
        <v>1</v>
      </c>
      <c r="G63" s="208" t="s">
        <v>1071</v>
      </c>
      <c r="H63" s="701" t="s">
        <v>369</v>
      </c>
      <c r="I63" s="67" t="s">
        <v>1141</v>
      </c>
      <c r="K63" s="193" t="s">
        <v>729</v>
      </c>
      <c r="L63" s="49" t="str">
        <f>IF(OR(Overview!$D$4="Preliminary Documentation Review",Overview!$D$4="Preliminary Precertification Review"),IF(AND(P63=0,Q63=0),"",IF(AND(P63&gt;0,Q63&gt;0),"","MISMATCH")),"")</f>
        <v/>
      </c>
      <c r="M63" s="49" t="str">
        <f>IF(OR(Overview!$D$4="Preliminary Documentation Review",Overview!$D$4="Preliminary Precertification Review"),IF(AND(R63=0,S63=0),"",IF(AND(R63&gt;0,S63&gt;0),"","MISMATCH")),"")</f>
        <v/>
      </c>
      <c r="N63" s="49" t="str">
        <f>IF(OR(Overview!$D$4="Preliminary Documentation Review",Overview!$D$4="Preliminary Precertification Review"),IF(AND(T63=0,U63=0),"",IF(AND(T63&gt;0,U63&gt;0),"MISMATCH","")),"")</f>
        <v/>
      </c>
      <c r="O63" s="49" t="str">
        <f>IF(OR(Overview!$D$4="Preliminary Documentation Review",Overview!$D$4="Preliminary Precertification Review"),IF(AND(V63=0,W63=0),"",IF(AND(V63&gt;0,W63&gt;0),"","MISMATCH")),"")</f>
        <v/>
      </c>
      <c r="P63" s="44">
        <f t="shared" si="11"/>
        <v>0</v>
      </c>
      <c r="Q63" s="44">
        <f t="shared" si="5"/>
        <v>0</v>
      </c>
      <c r="R63" s="49">
        <f t="shared" si="12"/>
        <v>0</v>
      </c>
      <c r="S63" s="49">
        <f t="shared" si="6"/>
        <v>0</v>
      </c>
      <c r="T63" s="49">
        <f t="shared" si="9"/>
        <v>0</v>
      </c>
      <c r="U63" s="49">
        <f t="shared" si="10"/>
        <v>1</v>
      </c>
      <c r="V63" s="49">
        <f t="shared" si="7"/>
        <v>0</v>
      </c>
      <c r="W63" s="49">
        <f t="shared" si="8"/>
        <v>0</v>
      </c>
    </row>
    <row r="64" spans="2:23" ht="60" hidden="1">
      <c r="B64" s="932"/>
      <c r="C64" s="698" t="s">
        <v>23</v>
      </c>
      <c r="D64" s="700" t="s">
        <v>361</v>
      </c>
      <c r="E64" s="700" t="s">
        <v>705</v>
      </c>
      <c r="F64" s="216"/>
      <c r="G64" s="216"/>
      <c r="H64" s="66"/>
      <c r="I64" s="67"/>
      <c r="L64" s="49" t="str">
        <f>IF(OR(Overview!$D$4="Preliminary Documentation Review",Overview!$D$4="Preliminary Precertification Review"),IF(AND(P64=0,Q64=0),"",IF(AND(P64&gt;0,Q64&gt;0),"","MISMATCH")),"")</f>
        <v/>
      </c>
      <c r="M64" s="49" t="str">
        <f>IF(OR(Overview!$D$4="Preliminary Documentation Review",Overview!$D$4="Preliminary Precertification Review"),IF(AND(R64=0,S64=0),"",IF(AND(R64&gt;0,S64&gt;0),"","MISMATCH")),"")</f>
        <v/>
      </c>
      <c r="N64" s="49" t="str">
        <f>IF(OR(Overview!$D$4="Preliminary Documentation Review",Overview!$D$4="Preliminary Precertification Review"),IF(AND(T64=0,U64=0),"",IF(AND(T64&gt;0,U64&gt;0),"MISMATCH","")),"")</f>
        <v/>
      </c>
      <c r="O64" s="49" t="str">
        <f>IF(OR(Overview!$D$4="Preliminary Documentation Review",Overview!$D$4="Preliminary Precertification Review"),IF(AND(V64=0,W64=0),"",IF(AND(V64&gt;0,W64&gt;0),"","MISMATCH")),"")</f>
        <v/>
      </c>
      <c r="P64" s="44">
        <f t="shared" si="11"/>
        <v>0</v>
      </c>
      <c r="Q64" s="44">
        <f t="shared" si="5"/>
        <v>0</v>
      </c>
      <c r="R64" s="49">
        <f t="shared" si="12"/>
        <v>0</v>
      </c>
      <c r="S64" s="49">
        <f t="shared" si="6"/>
        <v>0</v>
      </c>
      <c r="T64" s="49">
        <f t="shared" si="9"/>
        <v>0</v>
      </c>
      <c r="U64" s="49">
        <f t="shared" si="10"/>
        <v>0</v>
      </c>
      <c r="V64" s="49">
        <f t="shared" si="7"/>
        <v>0</v>
      </c>
      <c r="W64" s="49">
        <f t="shared" si="8"/>
        <v>0</v>
      </c>
    </row>
    <row r="65" spans="2:23">
      <c r="B65" s="85"/>
      <c r="C65" s="86"/>
      <c r="D65" s="87"/>
      <c r="E65" s="88"/>
      <c r="F65" s="89"/>
      <c r="G65" s="79"/>
      <c r="H65" s="90"/>
      <c r="I65" s="91"/>
      <c r="L65" s="49" t="str">
        <f>IF(OR(Overview!$D$4="Preliminary Documentation Review",Overview!$D$4="Preliminary Precertification Review"),IF(AND(P65=0,Q65=0),"",IF(AND(P65&gt;0,Q65&gt;0),"","MISMATCH")),"")</f>
        <v/>
      </c>
      <c r="M65" s="49" t="str">
        <f>IF(OR(Overview!$D$4="Preliminary Documentation Review",Overview!$D$4="Preliminary Precertification Review"),IF(AND(R65=0,S65=0),"",IF(AND(R65&gt;0,S65&gt;0),"","MISMATCH")),"")</f>
        <v/>
      </c>
      <c r="N65" s="49" t="str">
        <f>IF(OR(Overview!$D$4="Preliminary Documentation Review",Overview!$D$4="Preliminary Precertification Review"),IF(AND(T65=0,U65=0),"",IF(AND(T65&gt;0,U65&gt;0),"MISMATCH","")),"")</f>
        <v/>
      </c>
      <c r="O65" s="49" t="str">
        <f>IF(OR(Overview!$D$4="Preliminary Documentation Review",Overview!$D$4="Preliminary Precertification Review"),IF(AND(V65=0,W65=0),"",IF(AND(V65&gt;0,W65&gt;0),"","MISMATCH")),"")</f>
        <v/>
      </c>
      <c r="P65" s="44">
        <f t="shared" si="11"/>
        <v>0</v>
      </c>
      <c r="Q65" s="44">
        <f t="shared" si="5"/>
        <v>0</v>
      </c>
      <c r="R65" s="49">
        <f t="shared" si="12"/>
        <v>0</v>
      </c>
      <c r="S65" s="49">
        <f t="shared" si="6"/>
        <v>0</v>
      </c>
      <c r="T65" s="49">
        <f t="shared" si="9"/>
        <v>0</v>
      </c>
      <c r="U65" s="49">
        <f t="shared" si="10"/>
        <v>0</v>
      </c>
      <c r="V65" s="49">
        <f t="shared" si="7"/>
        <v>0</v>
      </c>
      <c r="W65" s="49">
        <f t="shared" si="8"/>
        <v>0</v>
      </c>
    </row>
    <row r="66" spans="2:23">
      <c r="B66" s="75"/>
      <c r="C66" s="76"/>
      <c r="D66" s="77"/>
      <c r="E66" s="78"/>
      <c r="F66" s="79"/>
      <c r="G66" s="79"/>
      <c r="H66" s="80"/>
      <c r="I66" s="81"/>
      <c r="L66" s="49" t="str">
        <f>IF(OR(Overview!$D$4="Preliminary Documentation Review",Overview!$D$4="Preliminary Precertification Review"),IF(AND(P66=0,Q66=0),"",IF(AND(P66&gt;0,Q66&gt;0),"","MISMATCH")),"")</f>
        <v/>
      </c>
      <c r="M66" s="49" t="str">
        <f>IF(OR(Overview!$D$4="Preliminary Documentation Review",Overview!$D$4="Preliminary Precertification Review"),IF(AND(R66=0,S66=0),"",IF(AND(R66&gt;0,S66&gt;0),"","MISMATCH")),"")</f>
        <v/>
      </c>
      <c r="N66" s="49" t="str">
        <f>IF(OR(Overview!$D$4="Preliminary Documentation Review",Overview!$D$4="Preliminary Precertification Review"),IF(AND(T66=0,U66=0),"",IF(AND(T66&gt;0,U66&gt;0),"MISMATCH","")),"")</f>
        <v/>
      </c>
      <c r="O66" s="49" t="str">
        <f>IF(OR(Overview!$D$4="Preliminary Documentation Review",Overview!$D$4="Preliminary Precertification Review"),IF(AND(V66=0,W66=0),"",IF(AND(V66&gt;0,W66&gt;0),"","MISMATCH")),"")</f>
        <v/>
      </c>
      <c r="P66" s="44">
        <f t="shared" si="11"/>
        <v>0</v>
      </c>
      <c r="Q66" s="44">
        <f t="shared" si="5"/>
        <v>0</v>
      </c>
      <c r="R66" s="49">
        <f t="shared" si="12"/>
        <v>0</v>
      </c>
      <c r="S66" s="49">
        <f t="shared" si="6"/>
        <v>0</v>
      </c>
      <c r="T66" s="49">
        <f t="shared" si="9"/>
        <v>0</v>
      </c>
      <c r="U66" s="49">
        <f t="shared" si="10"/>
        <v>0</v>
      </c>
      <c r="V66" s="49">
        <f t="shared" si="7"/>
        <v>0</v>
      </c>
      <c r="W66" s="49">
        <f t="shared" si="8"/>
        <v>0</v>
      </c>
    </row>
    <row r="67" spans="2:23">
      <c r="B67" s="92"/>
      <c r="C67" s="93"/>
      <c r="D67" s="93"/>
      <c r="E67" s="93"/>
      <c r="F67" s="93"/>
      <c r="G67" s="93"/>
      <c r="H67" s="93"/>
      <c r="I67" s="176"/>
      <c r="L67" s="49" t="str">
        <f>IF(OR(Overview!$D$4="Preliminary Documentation Review",Overview!$D$4="Preliminary Precertification Review"),IF(AND(P67=0,Q67=0),"",IF(AND(P67&gt;0,Q67&gt;0),"","MISMATCH")),"")</f>
        <v/>
      </c>
      <c r="M67" s="49" t="str">
        <f>IF(OR(Overview!$D$4="Preliminary Documentation Review",Overview!$D$4="Preliminary Precertification Review"),IF(AND(R67=0,S67=0),"",IF(AND(R67&gt;0,S67&gt;0),"","MISMATCH")),"")</f>
        <v/>
      </c>
      <c r="N67" s="49" t="str">
        <f>IF(OR(Overview!$D$4="Preliminary Documentation Review",Overview!$D$4="Preliminary Precertification Review"),IF(AND(T67=0,U67=0),"",IF(AND(T67&gt;0,U67&gt;0),"MISMATCH","")),"")</f>
        <v/>
      </c>
      <c r="O67" s="49" t="str">
        <f>IF(OR(Overview!$D$4="Preliminary Documentation Review",Overview!$D$4="Preliminary Precertification Review"),IF(AND(V67=0,W67=0),"",IF(AND(V67&gt;0,W67&gt;0),"","MISMATCH")),"")</f>
        <v/>
      </c>
      <c r="T67" s="49">
        <f t="shared" si="9"/>
        <v>0</v>
      </c>
      <c r="U67" s="49">
        <f t="shared" si="10"/>
        <v>0</v>
      </c>
      <c r="V67" s="49">
        <f t="shared" si="7"/>
        <v>0</v>
      </c>
      <c r="W67" s="49">
        <f t="shared" si="8"/>
        <v>0</v>
      </c>
    </row>
    <row r="68" spans="2:23" s="65" customFormat="1" ht="99.9" hidden="1" customHeight="1">
      <c r="B68" s="94"/>
      <c r="C68" s="869" t="s">
        <v>709</v>
      </c>
      <c r="D68" s="870"/>
      <c r="E68" s="870"/>
      <c r="F68" s="870"/>
      <c r="G68" s="870"/>
      <c r="H68" s="870"/>
      <c r="I68" s="871"/>
      <c r="J68" s="64"/>
      <c r="K68" s="190"/>
      <c r="L68" s="49" t="str">
        <f>IF(OR(Overview!$D$4="Preliminary Documentation Review",Overview!$D$4="Preliminary Precertification Review"),IF(AND(P68=0,Q68=0),"",IF(AND(P68&gt;0,Q68&gt;0),"","MISMATCH")),"")</f>
        <v/>
      </c>
      <c r="M68" s="49" t="str">
        <f>IF(OR(Overview!$D$4="Preliminary Documentation Review",Overview!$D$4="Preliminary Precertification Review"),IF(AND(R68=0,S68=0),"",IF(AND(R68&gt;0,S68&gt;0),"","MISMATCH")),"")</f>
        <v/>
      </c>
      <c r="N68" s="49" t="str">
        <f>IF(OR(Overview!$D$4="Preliminary Documentation Review",Overview!$D$4="Preliminary Precertification Review"),IF(AND(T68=0,U68=0),"",IF(AND(T68&gt;0,U68&gt;0),"MISMATCH","")),"")</f>
        <v/>
      </c>
      <c r="O68" s="49" t="str">
        <f>IF(OR(Overview!$D$4="Preliminary Documentation Review",Overview!$D$4="Preliminary Precertification Review"),IF(AND(V68=0,W68=0),"",IF(AND(V68&gt;0,W68&gt;0),"","MISMATCH")),"")</f>
        <v/>
      </c>
      <c r="T68" s="49">
        <f t="shared" si="9"/>
        <v>0</v>
      </c>
      <c r="U68" s="49">
        <f t="shared" si="10"/>
        <v>0</v>
      </c>
      <c r="V68" s="49">
        <f t="shared" si="7"/>
        <v>0</v>
      </c>
      <c r="W68" s="49">
        <f t="shared" si="8"/>
        <v>0</v>
      </c>
    </row>
    <row r="69" spans="2:23" s="65" customFormat="1" ht="15.6" hidden="1" customHeight="1">
      <c r="B69" s="94"/>
      <c r="C69" s="872"/>
      <c r="D69" s="872"/>
      <c r="E69" s="872"/>
      <c r="F69" s="872"/>
      <c r="G69" s="872"/>
      <c r="H69" s="872"/>
      <c r="I69" s="873"/>
      <c r="J69" s="64"/>
      <c r="K69" s="190"/>
      <c r="L69" s="49" t="str">
        <f>IF(OR(Overview!$D$4="Preliminary Documentation Review",Overview!$D$4="Preliminary Precertification Review"),IF(AND(P69=0,Q69=0),"",IF(AND(P69&gt;0,Q69&gt;0),"","MISMATCH")),"")</f>
        <v/>
      </c>
      <c r="M69" s="49" t="str">
        <f>IF(OR(Overview!$D$4="Preliminary Documentation Review",Overview!$D$4="Preliminary Precertification Review"),IF(AND(R69=0,S69=0),"",IF(AND(R69&gt;0,S69&gt;0),"","MISMATCH")),"")</f>
        <v/>
      </c>
      <c r="N69" s="49" t="str">
        <f>IF(OR(Overview!$D$4="Preliminary Documentation Review",Overview!$D$4="Preliminary Precertification Review"),IF(AND(T69=0,U69=0),"",IF(AND(T69&gt;0,U69&gt;0),"MISMATCH","")),"")</f>
        <v/>
      </c>
      <c r="O69" s="49" t="str">
        <f>IF(OR(Overview!$D$4="Preliminary Documentation Review",Overview!$D$4="Preliminary Precertification Review"),IF(AND(V69=0,W69=0),"",IF(AND(V69&gt;0,W69&gt;0),"","MISMATCH")),"")</f>
        <v/>
      </c>
      <c r="T69" s="49">
        <f t="shared" si="9"/>
        <v>0</v>
      </c>
      <c r="U69" s="49">
        <f t="shared" si="10"/>
        <v>0</v>
      </c>
      <c r="V69" s="49">
        <f t="shared" si="7"/>
        <v>0</v>
      </c>
      <c r="W69" s="49">
        <f t="shared" si="8"/>
        <v>0</v>
      </c>
    </row>
    <row r="70" spans="2:23" ht="45.6">
      <c r="B70" s="877" t="s">
        <v>58</v>
      </c>
      <c r="C70" s="881" t="s">
        <v>8</v>
      </c>
      <c r="D70" s="888" t="s">
        <v>59</v>
      </c>
      <c r="E70" s="700" t="s">
        <v>245</v>
      </c>
      <c r="F70" s="714"/>
      <c r="G70" s="208" t="s">
        <v>219</v>
      </c>
      <c r="H70" s="701" t="s">
        <v>369</v>
      </c>
      <c r="I70" s="794" t="s">
        <v>1144</v>
      </c>
      <c r="L70" s="49" t="str">
        <f>IF(OR(Overview!$D$4="Preliminary Documentation Review",Overview!$D$4="Preliminary Precertification Review"),IF(AND(P70=0,Q70=0),"",IF(AND(P70&gt;0,Q70&gt;0),"","MISMATCH")),"")</f>
        <v/>
      </c>
      <c r="M70" s="49" t="str">
        <f>IF(OR(Overview!$D$4="Preliminary Documentation Review",Overview!$D$4="Preliminary Precertification Review"),IF(AND(R70=0,S70=0),"",IF(AND(R70&gt;0,S70&gt;0),"","MISMATCH")),"")</f>
        <v/>
      </c>
      <c r="N70" s="49" t="str">
        <f>IF(OR(Overview!$D$4="Preliminary Documentation Review",Overview!$D$4="Preliminary Precertification Review"),IF(AND(T70=0,U70=0),"",IF(AND(T70&gt;0,U70&gt;0),"MISMATCH","")),"")</f>
        <v/>
      </c>
      <c r="O70" s="49" t="str">
        <f>IF(OR(Overview!$D$4="Preliminary Documentation Review",Overview!$D$4="Preliminary Precertification Review"),IF(AND(V70=0,W70=0),"",IF(AND(V70&gt;0,W70&gt;0),"","MISMATCH")),"")</f>
        <v/>
      </c>
      <c r="P70" s="44">
        <f t="shared" ref="P70:P94" si="13">IFERROR(SEARCH("COMMENTS TO BE ADDRESS",$I70),0)</f>
        <v>0</v>
      </c>
      <c r="Q70" s="44">
        <f t="shared" si="5"/>
        <v>0</v>
      </c>
      <c r="R70" s="49">
        <f t="shared" ref="R70:R94" si="14">IFERROR(SEARCH("equirements of this part will be v",$I70),0)</f>
        <v>0</v>
      </c>
      <c r="S70" s="49">
        <f t="shared" si="6"/>
        <v>0</v>
      </c>
      <c r="T70" s="49">
        <f t="shared" si="9"/>
        <v>0</v>
      </c>
      <c r="U70" s="49">
        <f t="shared" si="10"/>
        <v>1</v>
      </c>
      <c r="V70" s="49">
        <f t="shared" si="7"/>
        <v>0</v>
      </c>
      <c r="W70" s="49">
        <f t="shared" si="8"/>
        <v>0</v>
      </c>
    </row>
    <row r="71" spans="2:23" ht="45.6">
      <c r="B71" s="877"/>
      <c r="C71" s="881"/>
      <c r="D71" s="888"/>
      <c r="E71" s="700" t="s">
        <v>246</v>
      </c>
      <c r="F71" s="715"/>
      <c r="G71" s="208" t="s">
        <v>219</v>
      </c>
      <c r="H71" s="701" t="s">
        <v>369</v>
      </c>
      <c r="I71" s="67" t="s">
        <v>1141</v>
      </c>
      <c r="L71" s="49" t="str">
        <f>IF(OR(Overview!$D$4="Preliminary Documentation Review",Overview!$D$4="Preliminary Precertification Review"),IF(AND(P71=0,Q71=0),"",IF(AND(P71&gt;0,Q71&gt;0),"","MISMATCH")),"")</f>
        <v/>
      </c>
      <c r="M71" s="49" t="str">
        <f>IF(OR(Overview!$D$4="Preliminary Documentation Review",Overview!$D$4="Preliminary Precertification Review"),IF(AND(R71=0,S71=0),"",IF(AND(R71&gt;0,S71&gt;0),"","MISMATCH")),"")</f>
        <v/>
      </c>
      <c r="N71" s="49" t="str">
        <f>IF(OR(Overview!$D$4="Preliminary Documentation Review",Overview!$D$4="Preliminary Precertification Review"),IF(AND(T71=0,U71=0),"",IF(AND(T71&gt;0,U71&gt;0),"MISMATCH","")),"")</f>
        <v/>
      </c>
      <c r="O71" s="49" t="str">
        <f>IF(OR(Overview!$D$4="Preliminary Documentation Review",Overview!$D$4="Preliminary Precertification Review"),IF(AND(V71=0,W71=0),"",IF(AND(V71&gt;0,W71&gt;0),"","MISMATCH")),"")</f>
        <v/>
      </c>
      <c r="P71" s="44">
        <f t="shared" si="13"/>
        <v>0</v>
      </c>
      <c r="Q71" s="44">
        <f t="shared" si="5"/>
        <v>0</v>
      </c>
      <c r="R71" s="49">
        <f t="shared" si="14"/>
        <v>0</v>
      </c>
      <c r="S71" s="49">
        <f t="shared" si="6"/>
        <v>0</v>
      </c>
      <c r="T71" s="49">
        <f t="shared" si="9"/>
        <v>0</v>
      </c>
      <c r="U71" s="49">
        <f t="shared" si="10"/>
        <v>1</v>
      </c>
      <c r="V71" s="49">
        <f t="shared" si="7"/>
        <v>0</v>
      </c>
      <c r="W71" s="49">
        <f t="shared" si="8"/>
        <v>0</v>
      </c>
    </row>
    <row r="72" spans="2:23" ht="45.6">
      <c r="B72" s="877"/>
      <c r="C72" s="881" t="s">
        <v>8</v>
      </c>
      <c r="D72" s="888" t="s">
        <v>62</v>
      </c>
      <c r="E72" s="700" t="s">
        <v>247</v>
      </c>
      <c r="F72" s="715"/>
      <c r="G72" s="208" t="s">
        <v>219</v>
      </c>
      <c r="H72" s="701" t="s">
        <v>369</v>
      </c>
      <c r="I72" s="67" t="s">
        <v>1141</v>
      </c>
      <c r="L72" s="49" t="str">
        <f>IF(OR(Overview!$D$4="Preliminary Documentation Review",Overview!$D$4="Preliminary Precertification Review"),IF(AND(P72=0,Q72=0),"",IF(AND(P72&gt;0,Q72&gt;0),"","MISMATCH")),"")</f>
        <v/>
      </c>
      <c r="M72" s="49" t="str">
        <f>IF(OR(Overview!$D$4="Preliminary Documentation Review",Overview!$D$4="Preliminary Precertification Review"),IF(AND(R72=0,S72=0),"",IF(AND(R72&gt;0,S72&gt;0),"","MISMATCH")),"")</f>
        <v/>
      </c>
      <c r="N72" s="49" t="str">
        <f>IF(OR(Overview!$D$4="Preliminary Documentation Review",Overview!$D$4="Preliminary Precertification Review"),IF(AND(T72=0,U72=0),"",IF(AND(T72&gt;0,U72&gt;0),"MISMATCH","")),"")</f>
        <v/>
      </c>
      <c r="O72" s="49" t="str">
        <f>IF(OR(Overview!$D$4="Preliminary Documentation Review",Overview!$D$4="Preliminary Precertification Review"),IF(AND(V72=0,W72=0),"",IF(AND(V72&gt;0,W72&gt;0),"","MISMATCH")),"")</f>
        <v/>
      </c>
      <c r="P72" s="44">
        <f t="shared" si="13"/>
        <v>0</v>
      </c>
      <c r="Q72" s="44">
        <f t="shared" si="5"/>
        <v>0</v>
      </c>
      <c r="R72" s="49">
        <f t="shared" si="14"/>
        <v>0</v>
      </c>
      <c r="S72" s="49">
        <f t="shared" si="6"/>
        <v>0</v>
      </c>
      <c r="T72" s="49">
        <f t="shared" si="9"/>
        <v>0</v>
      </c>
      <c r="U72" s="49">
        <f t="shared" si="10"/>
        <v>1</v>
      </c>
      <c r="V72" s="49">
        <f t="shared" si="7"/>
        <v>0</v>
      </c>
      <c r="W72" s="49">
        <f t="shared" si="8"/>
        <v>0</v>
      </c>
    </row>
    <row r="73" spans="2:23" ht="45.6">
      <c r="B73" s="877"/>
      <c r="C73" s="881"/>
      <c r="D73" s="888"/>
      <c r="E73" s="700" t="s">
        <v>248</v>
      </c>
      <c r="F73" s="715"/>
      <c r="G73" s="208" t="s">
        <v>219</v>
      </c>
      <c r="H73" s="701" t="s">
        <v>369</v>
      </c>
      <c r="I73" s="67" t="s">
        <v>1141</v>
      </c>
      <c r="L73" s="49" t="str">
        <f>IF(OR(Overview!$D$4="Preliminary Documentation Review",Overview!$D$4="Preliminary Precertification Review"),IF(AND(P73=0,Q73=0),"",IF(AND(P73&gt;0,Q73&gt;0),"","MISMATCH")),"")</f>
        <v/>
      </c>
      <c r="M73" s="49" t="str">
        <f>IF(OR(Overview!$D$4="Preliminary Documentation Review",Overview!$D$4="Preliminary Precertification Review"),IF(AND(R73=0,S73=0),"",IF(AND(R73&gt;0,S73&gt;0),"","MISMATCH")),"")</f>
        <v/>
      </c>
      <c r="N73" s="49" t="str">
        <f>IF(OR(Overview!$D$4="Preliminary Documentation Review",Overview!$D$4="Preliminary Precertification Review"),IF(AND(T73=0,U73=0),"",IF(AND(T73&gt;0,U73&gt;0),"MISMATCH","")),"")</f>
        <v/>
      </c>
      <c r="O73" s="49" t="str">
        <f>IF(OR(Overview!$D$4="Preliminary Documentation Review",Overview!$D$4="Preliminary Precertification Review"),IF(AND(V73=0,W73=0),"",IF(AND(V73&gt;0,W73&gt;0),"","MISMATCH")),"")</f>
        <v/>
      </c>
      <c r="P73" s="44">
        <f t="shared" si="13"/>
        <v>0</v>
      </c>
      <c r="Q73" s="44">
        <f t="shared" si="5"/>
        <v>0</v>
      </c>
      <c r="R73" s="49">
        <f t="shared" si="14"/>
        <v>0</v>
      </c>
      <c r="S73" s="49">
        <f t="shared" si="6"/>
        <v>0</v>
      </c>
      <c r="T73" s="49">
        <f t="shared" si="9"/>
        <v>0</v>
      </c>
      <c r="U73" s="49">
        <f t="shared" si="10"/>
        <v>1</v>
      </c>
      <c r="V73" s="49">
        <f t="shared" si="7"/>
        <v>0</v>
      </c>
      <c r="W73" s="49">
        <f t="shared" si="8"/>
        <v>0</v>
      </c>
    </row>
    <row r="74" spans="2:23" ht="45.6">
      <c r="B74" s="877"/>
      <c r="C74" s="881"/>
      <c r="D74" s="888"/>
      <c r="E74" s="700" t="s">
        <v>249</v>
      </c>
      <c r="F74" s="716"/>
      <c r="G74" s="208" t="s">
        <v>219</v>
      </c>
      <c r="H74" s="701" t="s">
        <v>369</v>
      </c>
      <c r="I74" s="67" t="s">
        <v>1141</v>
      </c>
      <c r="L74" s="49" t="str">
        <f>IF(OR(Overview!$D$4="Preliminary Documentation Review",Overview!$D$4="Preliminary Precertification Review"),IF(AND(P74=0,Q74=0),"",IF(AND(P74&gt;0,Q74&gt;0),"","MISMATCH")),"")</f>
        <v/>
      </c>
      <c r="M74" s="49" t="str">
        <f>IF(OR(Overview!$D$4="Preliminary Documentation Review",Overview!$D$4="Preliminary Precertification Review"),IF(AND(R74=0,S74=0),"",IF(AND(R74&gt;0,S74&gt;0),"","MISMATCH")),"")</f>
        <v/>
      </c>
      <c r="N74" s="49" t="str">
        <f>IF(OR(Overview!$D$4="Preliminary Documentation Review",Overview!$D$4="Preliminary Precertification Review"),IF(AND(T74=0,U74=0),"",IF(AND(T74&gt;0,U74&gt;0),"MISMATCH","")),"")</f>
        <v/>
      </c>
      <c r="O74" s="49" t="str">
        <f>IF(OR(Overview!$D$4="Preliminary Documentation Review",Overview!$D$4="Preliminary Precertification Review"),IF(AND(V74=0,W74=0),"",IF(AND(V74&gt;0,W74&gt;0),"","MISMATCH")),"")</f>
        <v/>
      </c>
      <c r="P74" s="44">
        <f t="shared" si="13"/>
        <v>0</v>
      </c>
      <c r="Q74" s="44">
        <f t="shared" si="5"/>
        <v>0</v>
      </c>
      <c r="R74" s="49">
        <f t="shared" si="14"/>
        <v>0</v>
      </c>
      <c r="S74" s="49">
        <f t="shared" si="6"/>
        <v>0</v>
      </c>
      <c r="T74" s="49">
        <f t="shared" si="9"/>
        <v>0</v>
      </c>
      <c r="U74" s="49">
        <f t="shared" si="10"/>
        <v>1</v>
      </c>
      <c r="V74" s="49">
        <f t="shared" si="7"/>
        <v>0</v>
      </c>
      <c r="W74" s="49">
        <f t="shared" si="8"/>
        <v>0</v>
      </c>
    </row>
    <row r="75" spans="2:23" ht="45.6">
      <c r="B75" s="877"/>
      <c r="C75" s="881" t="s">
        <v>23</v>
      </c>
      <c r="D75" s="888" t="s">
        <v>66</v>
      </c>
      <c r="E75" s="700" t="s">
        <v>539</v>
      </c>
      <c r="F75" s="211"/>
      <c r="G75" s="208" t="s">
        <v>1061</v>
      </c>
      <c r="H75" s="701" t="s">
        <v>324</v>
      </c>
      <c r="I75" s="67" t="s">
        <v>1145</v>
      </c>
      <c r="L75" s="49" t="str">
        <f>IF(OR(Overview!$D$4="Preliminary Documentation Review",Overview!$D$4="Preliminary Precertification Review"),IF(AND(P75=0,Q75=0),"",IF(AND(P75&gt;0,Q75&gt;0),"","MISMATCH")),"")</f>
        <v/>
      </c>
      <c r="M75" s="49" t="str">
        <f>IF(OR(Overview!$D$4="Preliminary Documentation Review",Overview!$D$4="Preliminary Precertification Review"),IF(AND(R75=0,S75=0),"",IF(AND(R75&gt;0,S75&gt;0),"","MISMATCH")),"")</f>
        <v/>
      </c>
      <c r="N75" s="49" t="str">
        <f>IF(OR(Overview!$D$4="Preliminary Documentation Review",Overview!$D$4="Preliminary Precertification Review"),IF(AND(T75=0,U75=0),"",IF(AND(T75&gt;0,U75&gt;0),"MISMATCH","")),"")</f>
        <v/>
      </c>
      <c r="O75" s="49" t="str">
        <f>IF(OR(Overview!$D$4="Preliminary Documentation Review",Overview!$D$4="Preliminary Precertification Review"),IF(AND(V75=0,W75=0),"",IF(AND(V75&gt;0,W75&gt;0),"","MISMATCH")),"")</f>
        <v/>
      </c>
      <c r="P75" s="44">
        <f t="shared" si="13"/>
        <v>0</v>
      </c>
      <c r="Q75" s="44">
        <f t="shared" si="5"/>
        <v>0</v>
      </c>
      <c r="R75" s="49">
        <f t="shared" si="14"/>
        <v>0</v>
      </c>
      <c r="S75" s="49">
        <f t="shared" si="6"/>
        <v>0</v>
      </c>
      <c r="T75" s="49">
        <f t="shared" si="9"/>
        <v>38</v>
      </c>
      <c r="U75" s="49">
        <f t="shared" si="10"/>
        <v>0</v>
      </c>
      <c r="V75" s="49">
        <f t="shared" ref="V75:V138" si="15">IFERROR(SEARCH("This Part has not been attempted.",$I75),IFERROR(SEARCH("Not Attempted",$I75),0))</f>
        <v>38</v>
      </c>
      <c r="W75" s="49">
        <f t="shared" si="8"/>
        <v>1</v>
      </c>
    </row>
    <row r="76" spans="2:23" ht="45.6">
      <c r="B76" s="877"/>
      <c r="C76" s="881"/>
      <c r="D76" s="888"/>
      <c r="E76" s="700" t="s">
        <v>540</v>
      </c>
      <c r="F76" s="212"/>
      <c r="G76" s="208" t="s">
        <v>1061</v>
      </c>
      <c r="H76" s="701" t="s">
        <v>324</v>
      </c>
      <c r="I76" s="67" t="s">
        <v>1145</v>
      </c>
      <c r="L76" s="49" t="str">
        <f>IF(OR(Overview!$D$4="Preliminary Documentation Review",Overview!$D$4="Preliminary Precertification Review"),IF(AND(P76=0,Q76=0),"",IF(AND(P76&gt;0,Q76&gt;0),"","MISMATCH")),"")</f>
        <v/>
      </c>
      <c r="M76" s="49" t="str">
        <f>IF(OR(Overview!$D$4="Preliminary Documentation Review",Overview!$D$4="Preliminary Precertification Review"),IF(AND(R76=0,S76=0),"",IF(AND(R76&gt;0,S76&gt;0),"","MISMATCH")),"")</f>
        <v/>
      </c>
      <c r="N76" s="49" t="str">
        <f>IF(OR(Overview!$D$4="Preliminary Documentation Review",Overview!$D$4="Preliminary Precertification Review"),IF(AND(T76=0,U76=0),"",IF(AND(T76&gt;0,U76&gt;0),"MISMATCH","")),"")</f>
        <v/>
      </c>
      <c r="O76" s="49" t="str">
        <f>IF(OR(Overview!$D$4="Preliminary Documentation Review",Overview!$D$4="Preliminary Precertification Review"),IF(AND(V76=0,W76=0),"",IF(AND(V76&gt;0,W76&gt;0),"","MISMATCH")),"")</f>
        <v/>
      </c>
      <c r="P76" s="44">
        <f t="shared" si="13"/>
        <v>0</v>
      </c>
      <c r="Q76" s="44">
        <f t="shared" si="5"/>
        <v>0</v>
      </c>
      <c r="R76" s="49">
        <f t="shared" si="14"/>
        <v>0</v>
      </c>
      <c r="S76" s="49">
        <f t="shared" si="6"/>
        <v>0</v>
      </c>
      <c r="T76" s="49">
        <f t="shared" si="9"/>
        <v>38</v>
      </c>
      <c r="U76" s="49">
        <f t="shared" si="10"/>
        <v>0</v>
      </c>
      <c r="V76" s="49">
        <f t="shared" si="15"/>
        <v>38</v>
      </c>
      <c r="W76" s="49">
        <f t="shared" si="8"/>
        <v>1</v>
      </c>
    </row>
    <row r="77" spans="2:23" ht="45.6">
      <c r="B77" s="877"/>
      <c r="C77" s="881"/>
      <c r="D77" s="888"/>
      <c r="E77" s="700" t="s">
        <v>541</v>
      </c>
      <c r="F77" s="213"/>
      <c r="G77" s="208" t="s">
        <v>1061</v>
      </c>
      <c r="H77" s="701" t="s">
        <v>324</v>
      </c>
      <c r="I77" s="67" t="s">
        <v>1145</v>
      </c>
      <c r="L77" s="49" t="str">
        <f>IF(OR(Overview!$D$4="Preliminary Documentation Review",Overview!$D$4="Preliminary Precertification Review"),IF(AND(P77=0,Q77=0),"",IF(AND(P77&gt;0,Q77&gt;0),"","MISMATCH")),"")</f>
        <v/>
      </c>
      <c r="M77" s="49" t="str">
        <f>IF(OR(Overview!$D$4="Preliminary Documentation Review",Overview!$D$4="Preliminary Precertification Review"),IF(AND(R77=0,S77=0),"",IF(AND(R77&gt;0,S77&gt;0),"","MISMATCH")),"")</f>
        <v/>
      </c>
      <c r="N77" s="49" t="str">
        <f>IF(OR(Overview!$D$4="Preliminary Documentation Review",Overview!$D$4="Preliminary Precertification Review"),IF(AND(T77=0,U77=0),"",IF(AND(T77&gt;0,U77&gt;0),"MISMATCH","")),"")</f>
        <v/>
      </c>
      <c r="O77" s="49" t="str">
        <f>IF(OR(Overview!$D$4="Preliminary Documentation Review",Overview!$D$4="Preliminary Precertification Review"),IF(AND(V77=0,W77=0),"",IF(AND(V77&gt;0,W77&gt;0),"","MISMATCH")),"")</f>
        <v/>
      </c>
      <c r="P77" s="44">
        <f t="shared" si="13"/>
        <v>0</v>
      </c>
      <c r="Q77" s="44">
        <f t="shared" si="5"/>
        <v>0</v>
      </c>
      <c r="R77" s="49">
        <f t="shared" si="14"/>
        <v>0</v>
      </c>
      <c r="S77" s="49">
        <f t="shared" si="6"/>
        <v>0</v>
      </c>
      <c r="T77" s="49">
        <f t="shared" si="9"/>
        <v>38</v>
      </c>
      <c r="U77" s="49">
        <f t="shared" si="10"/>
        <v>0</v>
      </c>
      <c r="V77" s="49">
        <f t="shared" si="15"/>
        <v>38</v>
      </c>
      <c r="W77" s="49">
        <f t="shared" si="8"/>
        <v>1</v>
      </c>
    </row>
    <row r="78" spans="2:23" ht="45.6">
      <c r="B78" s="877"/>
      <c r="C78" s="881" t="s">
        <v>23</v>
      </c>
      <c r="D78" s="888" t="s">
        <v>67</v>
      </c>
      <c r="E78" s="700" t="s">
        <v>542</v>
      </c>
      <c r="F78" s="211">
        <v>1</v>
      </c>
      <c r="G78" s="208" t="s">
        <v>1071</v>
      </c>
      <c r="H78" s="701" t="s">
        <v>369</v>
      </c>
      <c r="I78" s="794" t="s">
        <v>1144</v>
      </c>
      <c r="L78" s="49" t="str">
        <f>IF(OR(Overview!$D$4="Preliminary Documentation Review",Overview!$D$4="Preliminary Precertification Review"),IF(AND(P78=0,Q78=0),"",IF(AND(P78&gt;0,Q78&gt;0),"","MISMATCH")),"")</f>
        <v/>
      </c>
      <c r="M78" s="49" t="str">
        <f>IF(OR(Overview!$D$4="Preliminary Documentation Review",Overview!$D$4="Preliminary Precertification Review"),IF(AND(R78=0,S78=0),"",IF(AND(R78&gt;0,S78&gt;0),"","MISMATCH")),"")</f>
        <v/>
      </c>
      <c r="N78" s="49" t="str">
        <f>IF(OR(Overview!$D$4="Preliminary Documentation Review",Overview!$D$4="Preliminary Precertification Review"),IF(AND(T78=0,U78=0),"",IF(AND(T78&gt;0,U78&gt;0),"MISMATCH","")),"")</f>
        <v/>
      </c>
      <c r="O78" s="49" t="str">
        <f>IF(OR(Overview!$D$4="Preliminary Documentation Review",Overview!$D$4="Preliminary Precertification Review"),IF(AND(V78=0,W78=0),"",IF(AND(V78&gt;0,W78&gt;0),"","MISMATCH")),"")</f>
        <v/>
      </c>
      <c r="P78" s="44">
        <f t="shared" si="13"/>
        <v>0</v>
      </c>
      <c r="Q78" s="44">
        <f t="shared" si="5"/>
        <v>0</v>
      </c>
      <c r="R78" s="49">
        <f t="shared" si="14"/>
        <v>0</v>
      </c>
      <c r="S78" s="49">
        <f t="shared" si="6"/>
        <v>0</v>
      </c>
      <c r="T78" s="49">
        <f t="shared" si="9"/>
        <v>0</v>
      </c>
      <c r="U78" s="49">
        <f t="shared" si="10"/>
        <v>1</v>
      </c>
      <c r="V78" s="49">
        <f t="shared" si="15"/>
        <v>0</v>
      </c>
      <c r="W78" s="49">
        <f t="shared" si="8"/>
        <v>0</v>
      </c>
    </row>
    <row r="79" spans="2:23" ht="45.6">
      <c r="B79" s="877"/>
      <c r="C79" s="881"/>
      <c r="D79" s="888"/>
      <c r="E79" s="700" t="s">
        <v>543</v>
      </c>
      <c r="F79" s="213"/>
      <c r="G79" s="208" t="s">
        <v>1061</v>
      </c>
      <c r="H79" s="701" t="s">
        <v>324</v>
      </c>
      <c r="I79" s="67" t="s">
        <v>1145</v>
      </c>
      <c r="L79" s="49" t="str">
        <f>IF(OR(Overview!$D$4="Preliminary Documentation Review",Overview!$D$4="Preliminary Precertification Review"),IF(AND(P79=0,Q79=0),"",IF(AND(P79&gt;0,Q79&gt;0),"","MISMATCH")),"")</f>
        <v/>
      </c>
      <c r="M79" s="49" t="str">
        <f>IF(OR(Overview!$D$4="Preliminary Documentation Review",Overview!$D$4="Preliminary Precertification Review"),IF(AND(R79=0,S79=0),"",IF(AND(R79&gt;0,S79&gt;0),"","MISMATCH")),"")</f>
        <v/>
      </c>
      <c r="N79" s="49" t="str">
        <f>IF(OR(Overview!$D$4="Preliminary Documentation Review",Overview!$D$4="Preliminary Precertification Review"),IF(AND(T79=0,U79=0),"",IF(AND(T79&gt;0,U79&gt;0),"MISMATCH","")),"")</f>
        <v/>
      </c>
      <c r="O79" s="49" t="str">
        <f>IF(OR(Overview!$D$4="Preliminary Documentation Review",Overview!$D$4="Preliminary Precertification Review"),IF(AND(V79=0,W79=0),"",IF(AND(V79&gt;0,W79&gt;0),"","MISMATCH")),"")</f>
        <v/>
      </c>
      <c r="P79" s="44">
        <f t="shared" si="13"/>
        <v>0</v>
      </c>
      <c r="Q79" s="44">
        <f t="shared" si="5"/>
        <v>0</v>
      </c>
      <c r="R79" s="49">
        <f t="shared" si="14"/>
        <v>0</v>
      </c>
      <c r="S79" s="49">
        <f t="shared" si="6"/>
        <v>0</v>
      </c>
      <c r="T79" s="49">
        <f t="shared" si="9"/>
        <v>38</v>
      </c>
      <c r="U79" s="49">
        <f t="shared" si="10"/>
        <v>0</v>
      </c>
      <c r="V79" s="49">
        <f t="shared" si="15"/>
        <v>38</v>
      </c>
      <c r="W79" s="49">
        <f t="shared" si="8"/>
        <v>1</v>
      </c>
    </row>
    <row r="80" spans="2:23" ht="45.6">
      <c r="B80" s="877"/>
      <c r="C80" s="881" t="s">
        <v>23</v>
      </c>
      <c r="D80" s="888" t="s">
        <v>68</v>
      </c>
      <c r="E80" s="700" t="s">
        <v>544</v>
      </c>
      <c r="F80" s="214"/>
      <c r="G80" s="208" t="s">
        <v>1061</v>
      </c>
      <c r="H80" s="701" t="s">
        <v>324</v>
      </c>
      <c r="I80" s="67" t="s">
        <v>1145</v>
      </c>
      <c r="L80" s="49" t="str">
        <f>IF(OR(Overview!$D$4="Preliminary Documentation Review",Overview!$D$4="Preliminary Precertification Review"),IF(AND(P80=0,Q80=0),"",IF(AND(P80&gt;0,Q80&gt;0),"","MISMATCH")),"")</f>
        <v/>
      </c>
      <c r="M80" s="49" t="str">
        <f>IF(OR(Overview!$D$4="Preliminary Documentation Review",Overview!$D$4="Preliminary Precertification Review"),IF(AND(R80=0,S80=0),"",IF(AND(R80&gt;0,S80&gt;0),"","MISMATCH")),"")</f>
        <v/>
      </c>
      <c r="N80" s="49" t="str">
        <f>IF(OR(Overview!$D$4="Preliminary Documentation Review",Overview!$D$4="Preliminary Precertification Review"),IF(AND(T80=0,U80=0),"",IF(AND(T80&gt;0,U80&gt;0),"MISMATCH","")),"")</f>
        <v/>
      </c>
      <c r="O80" s="49" t="str">
        <f>IF(OR(Overview!$D$4="Preliminary Documentation Review",Overview!$D$4="Preliminary Precertification Review"),IF(AND(V80=0,W80=0),"",IF(AND(V80&gt;0,W80&gt;0),"","MISMATCH")),"")</f>
        <v/>
      </c>
      <c r="P80" s="44">
        <f t="shared" si="13"/>
        <v>0</v>
      </c>
      <c r="Q80" s="44">
        <f t="shared" si="5"/>
        <v>0</v>
      </c>
      <c r="R80" s="49">
        <f t="shared" si="14"/>
        <v>0</v>
      </c>
      <c r="S80" s="49">
        <f t="shared" si="6"/>
        <v>0</v>
      </c>
      <c r="T80" s="49">
        <f t="shared" si="9"/>
        <v>38</v>
      </c>
      <c r="U80" s="49">
        <f t="shared" si="10"/>
        <v>0</v>
      </c>
      <c r="V80" s="49">
        <f t="shared" si="15"/>
        <v>38</v>
      </c>
      <c r="W80" s="49">
        <f t="shared" si="8"/>
        <v>1</v>
      </c>
    </row>
    <row r="81" spans="2:23" ht="45.6">
      <c r="B81" s="877"/>
      <c r="C81" s="881" t="s">
        <v>23</v>
      </c>
      <c r="D81" s="888" t="s">
        <v>69</v>
      </c>
      <c r="E81" s="700" t="s">
        <v>545</v>
      </c>
      <c r="F81" s="214"/>
      <c r="G81" s="208" t="s">
        <v>1061</v>
      </c>
      <c r="H81" s="701" t="s">
        <v>324</v>
      </c>
      <c r="I81" s="67" t="s">
        <v>1145</v>
      </c>
      <c r="L81" s="49" t="str">
        <f>IF(OR(Overview!$D$4="Preliminary Documentation Review",Overview!$D$4="Preliminary Precertification Review"),IF(AND(P81=0,Q81=0),"",IF(AND(P81&gt;0,Q81&gt;0),"","MISMATCH")),"")</f>
        <v/>
      </c>
      <c r="M81" s="49" t="str">
        <f>IF(OR(Overview!$D$4="Preliminary Documentation Review",Overview!$D$4="Preliminary Precertification Review"),IF(AND(R81=0,S81=0),"",IF(AND(R81&gt;0,S81&gt;0),"","MISMATCH")),"")</f>
        <v/>
      </c>
      <c r="N81" s="49" t="str">
        <f>IF(OR(Overview!$D$4="Preliminary Documentation Review",Overview!$D$4="Preliminary Precertification Review"),IF(AND(T81=0,U81=0),"",IF(AND(T81&gt;0,U81&gt;0),"MISMATCH","")),"")</f>
        <v/>
      </c>
      <c r="O81" s="49" t="str">
        <f>IF(OR(Overview!$D$4="Preliminary Documentation Review",Overview!$D$4="Preliminary Precertification Review"),IF(AND(V81=0,W81=0),"",IF(AND(V81&gt;0,W81&gt;0),"","MISMATCH")),"")</f>
        <v/>
      </c>
      <c r="P81" s="44">
        <f t="shared" si="13"/>
        <v>0</v>
      </c>
      <c r="Q81" s="44">
        <f t="shared" ref="Q81:Q156" si="16">IFERROR(SEARCH("Pending Documentation",$H81),0)</f>
        <v>0</v>
      </c>
      <c r="R81" s="49">
        <f t="shared" si="14"/>
        <v>0</v>
      </c>
      <c r="S81" s="49">
        <f t="shared" ref="S81:S156" si="17">IFERROR(SEARCH("Pending On",$H81),0)</f>
        <v>0</v>
      </c>
      <c r="T81" s="49">
        <f t="shared" si="9"/>
        <v>38</v>
      </c>
      <c r="U81" s="49">
        <f t="shared" si="10"/>
        <v>0</v>
      </c>
      <c r="V81" s="49">
        <f t="shared" si="15"/>
        <v>38</v>
      </c>
      <c r="W81" s="49">
        <f t="shared" si="8"/>
        <v>1</v>
      </c>
    </row>
    <row r="82" spans="2:23" ht="45.6">
      <c r="B82" s="877"/>
      <c r="C82" s="881" t="s">
        <v>23</v>
      </c>
      <c r="D82" s="888" t="s">
        <v>70</v>
      </c>
      <c r="E82" s="700" t="s">
        <v>546</v>
      </c>
      <c r="F82" s="214">
        <v>1</v>
      </c>
      <c r="G82" s="208" t="s">
        <v>1071</v>
      </c>
      <c r="H82" s="701" t="s">
        <v>369</v>
      </c>
      <c r="I82" s="794" t="s">
        <v>1144</v>
      </c>
      <c r="L82" s="49" t="str">
        <f>IF(OR(Overview!$D$4="Preliminary Documentation Review",Overview!$D$4="Preliminary Precertification Review"),IF(AND(P82=0,Q82=0),"",IF(AND(P82&gt;0,Q82&gt;0),"","MISMATCH")),"")</f>
        <v/>
      </c>
      <c r="M82" s="49" t="str">
        <f>IF(OR(Overview!$D$4="Preliminary Documentation Review",Overview!$D$4="Preliminary Precertification Review"),IF(AND(R82=0,S82=0),"",IF(AND(R82&gt;0,S82&gt;0),"","MISMATCH")),"")</f>
        <v/>
      </c>
      <c r="N82" s="49" t="str">
        <f>IF(OR(Overview!$D$4="Preliminary Documentation Review",Overview!$D$4="Preliminary Precertification Review"),IF(AND(T82=0,U82=0),"",IF(AND(T82&gt;0,U82&gt;0),"MISMATCH","")),"")</f>
        <v/>
      </c>
      <c r="O82" s="49" t="str">
        <f>IF(OR(Overview!$D$4="Preliminary Documentation Review",Overview!$D$4="Preliminary Precertification Review"),IF(AND(V82=0,W82=0),"",IF(AND(V82&gt;0,W82&gt;0),"","MISMATCH")),"")</f>
        <v/>
      </c>
      <c r="P82" s="44">
        <f t="shared" si="13"/>
        <v>0</v>
      </c>
      <c r="Q82" s="44">
        <f t="shared" si="16"/>
        <v>0</v>
      </c>
      <c r="R82" s="49">
        <f t="shared" si="14"/>
        <v>0</v>
      </c>
      <c r="S82" s="49">
        <f t="shared" si="17"/>
        <v>0</v>
      </c>
      <c r="T82" s="49">
        <f t="shared" si="9"/>
        <v>0</v>
      </c>
      <c r="U82" s="49">
        <f t="shared" si="10"/>
        <v>1</v>
      </c>
      <c r="V82" s="49">
        <f t="shared" si="15"/>
        <v>0</v>
      </c>
      <c r="W82" s="49">
        <f t="shared" si="8"/>
        <v>0</v>
      </c>
    </row>
    <row r="83" spans="2:23" ht="196.8">
      <c r="B83" s="877"/>
      <c r="C83" s="881" t="s">
        <v>23</v>
      </c>
      <c r="D83" s="888" t="s">
        <v>71</v>
      </c>
      <c r="E83" s="700" t="s">
        <v>547</v>
      </c>
      <c r="F83" s="211">
        <v>1</v>
      </c>
      <c r="G83" s="208" t="s">
        <v>1071</v>
      </c>
      <c r="H83" s="701" t="s">
        <v>369</v>
      </c>
      <c r="I83" s="67" t="s">
        <v>1154</v>
      </c>
      <c r="L83" s="49" t="str">
        <f>IF(OR(Overview!$D$4="Preliminary Documentation Review",Overview!$D$4="Preliminary Precertification Review"),IF(AND(P83=0,Q83=0),"",IF(AND(P83&gt;0,Q83&gt;0),"","MISMATCH")),"")</f>
        <v/>
      </c>
      <c r="M83" s="49" t="str">
        <f>IF(OR(Overview!$D$4="Preliminary Documentation Review",Overview!$D$4="Preliminary Precertification Review"),IF(AND(R83=0,S83=0),"",IF(AND(R83&gt;0,S83&gt;0),"","MISMATCH")),"")</f>
        <v/>
      </c>
      <c r="N83" s="49" t="str">
        <f>IF(OR(Overview!$D$4="Preliminary Documentation Review",Overview!$D$4="Preliminary Precertification Review"),IF(AND(T83=0,U83=0),"",IF(AND(T83&gt;0,U83&gt;0),"MISMATCH","")),"")</f>
        <v/>
      </c>
      <c r="O83" s="49" t="str">
        <f>IF(OR(Overview!$D$4="Preliminary Documentation Review",Overview!$D$4="Preliminary Precertification Review"),IF(AND(V83=0,W83=0),"",IF(AND(V83&gt;0,W83&gt;0),"","MISMATCH")),"")</f>
        <v/>
      </c>
      <c r="P83" s="44">
        <f t="shared" si="13"/>
        <v>314</v>
      </c>
      <c r="Q83" s="44">
        <f t="shared" si="16"/>
        <v>0</v>
      </c>
      <c r="R83" s="49">
        <f t="shared" si="14"/>
        <v>0</v>
      </c>
      <c r="S83" s="49">
        <f t="shared" si="17"/>
        <v>0</v>
      </c>
      <c r="T83" s="49">
        <f t="shared" si="9"/>
        <v>0</v>
      </c>
      <c r="U83" s="49">
        <f t="shared" si="10"/>
        <v>1</v>
      </c>
      <c r="V83" s="49">
        <f t="shared" si="15"/>
        <v>0</v>
      </c>
      <c r="W83" s="49">
        <f t="shared" si="8"/>
        <v>0</v>
      </c>
    </row>
    <row r="84" spans="2:23" ht="196.8">
      <c r="B84" s="877"/>
      <c r="C84" s="881"/>
      <c r="D84" s="888"/>
      <c r="E84" s="700" t="s">
        <v>548</v>
      </c>
      <c r="F84" s="213">
        <v>1</v>
      </c>
      <c r="G84" s="208" t="s">
        <v>1071</v>
      </c>
      <c r="H84" s="701" t="s">
        <v>369</v>
      </c>
      <c r="I84" s="67" t="s">
        <v>1154</v>
      </c>
      <c r="L84" s="49" t="str">
        <f>IF(OR(Overview!$D$4="Preliminary Documentation Review",Overview!$D$4="Preliminary Precertification Review"),IF(AND(P84=0,Q84=0),"",IF(AND(P84&gt;0,Q84&gt;0),"","MISMATCH")),"")</f>
        <v/>
      </c>
      <c r="M84" s="49" t="str">
        <f>IF(OR(Overview!$D$4="Preliminary Documentation Review",Overview!$D$4="Preliminary Precertification Review"),IF(AND(R84=0,S84=0),"",IF(AND(R84&gt;0,S84&gt;0),"","MISMATCH")),"")</f>
        <v/>
      </c>
      <c r="N84" s="49" t="str">
        <f>IF(OR(Overview!$D$4="Preliminary Documentation Review",Overview!$D$4="Preliminary Precertification Review"),IF(AND(T84=0,U84=0),"",IF(AND(T84&gt;0,U84&gt;0),"MISMATCH","")),"")</f>
        <v/>
      </c>
      <c r="O84" s="49" t="str">
        <f>IF(OR(Overview!$D$4="Preliminary Documentation Review",Overview!$D$4="Preliminary Precertification Review"),IF(AND(V84=0,W84=0),"",IF(AND(V84&gt;0,W84&gt;0),"","MISMATCH")),"")</f>
        <v/>
      </c>
      <c r="P84" s="44">
        <f t="shared" si="13"/>
        <v>314</v>
      </c>
      <c r="Q84" s="44">
        <f t="shared" si="16"/>
        <v>0</v>
      </c>
      <c r="R84" s="49">
        <f t="shared" si="14"/>
        <v>0</v>
      </c>
      <c r="S84" s="49">
        <f t="shared" si="17"/>
        <v>0</v>
      </c>
      <c r="T84" s="49">
        <f t="shared" si="9"/>
        <v>0</v>
      </c>
      <c r="U84" s="49">
        <f t="shared" si="10"/>
        <v>1</v>
      </c>
      <c r="V84" s="49">
        <f t="shared" si="15"/>
        <v>0</v>
      </c>
      <c r="W84" s="49">
        <f t="shared" si="8"/>
        <v>0</v>
      </c>
    </row>
    <row r="85" spans="2:23" ht="45.6">
      <c r="B85" s="877"/>
      <c r="C85" s="881" t="s">
        <v>23</v>
      </c>
      <c r="D85" s="888" t="s">
        <v>72</v>
      </c>
      <c r="E85" s="700" t="s">
        <v>549</v>
      </c>
      <c r="F85" s="211"/>
      <c r="G85" s="208" t="s">
        <v>1061</v>
      </c>
      <c r="H85" s="701" t="s">
        <v>324</v>
      </c>
      <c r="I85" s="67" t="s">
        <v>1145</v>
      </c>
      <c r="L85" s="49" t="str">
        <f>IF(OR(Overview!$D$4="Preliminary Documentation Review",Overview!$D$4="Preliminary Precertification Review"),IF(AND(P85=0,Q85=0),"",IF(AND(P85&gt;0,Q85&gt;0),"","MISMATCH")),"")</f>
        <v/>
      </c>
      <c r="M85" s="49" t="str">
        <f>IF(OR(Overview!$D$4="Preliminary Documentation Review",Overview!$D$4="Preliminary Precertification Review"),IF(AND(R85=0,S85=0),"",IF(AND(R85&gt;0,S85&gt;0),"","MISMATCH")),"")</f>
        <v/>
      </c>
      <c r="N85" s="49" t="str">
        <f>IF(OR(Overview!$D$4="Preliminary Documentation Review",Overview!$D$4="Preliminary Precertification Review"),IF(AND(T85=0,U85=0),"",IF(AND(T85&gt;0,U85&gt;0),"MISMATCH","")),"")</f>
        <v/>
      </c>
      <c r="O85" s="49" t="str">
        <f>IF(OR(Overview!$D$4="Preliminary Documentation Review",Overview!$D$4="Preliminary Precertification Review"),IF(AND(V85=0,W85=0),"",IF(AND(V85&gt;0,W85&gt;0),"","MISMATCH")),"")</f>
        <v/>
      </c>
      <c r="P85" s="44">
        <f t="shared" si="13"/>
        <v>0</v>
      </c>
      <c r="Q85" s="44">
        <f t="shared" si="16"/>
        <v>0</v>
      </c>
      <c r="R85" s="49">
        <f t="shared" si="14"/>
        <v>0</v>
      </c>
      <c r="S85" s="49">
        <f t="shared" si="17"/>
        <v>0</v>
      </c>
      <c r="T85" s="49">
        <f t="shared" si="9"/>
        <v>38</v>
      </c>
      <c r="U85" s="49">
        <f t="shared" si="10"/>
        <v>0</v>
      </c>
      <c r="V85" s="49">
        <f t="shared" si="15"/>
        <v>38</v>
      </c>
      <c r="W85" s="49">
        <f t="shared" si="8"/>
        <v>1</v>
      </c>
    </row>
    <row r="86" spans="2:23" ht="45.6">
      <c r="B86" s="877"/>
      <c r="C86" s="881"/>
      <c r="D86" s="888"/>
      <c r="E86" s="700" t="s">
        <v>550</v>
      </c>
      <c r="F86" s="213"/>
      <c r="G86" s="208" t="s">
        <v>1061</v>
      </c>
      <c r="H86" s="701" t="s">
        <v>324</v>
      </c>
      <c r="I86" s="67" t="s">
        <v>1145</v>
      </c>
      <c r="L86" s="49" t="str">
        <f>IF(OR(Overview!$D$4="Preliminary Documentation Review",Overview!$D$4="Preliminary Precertification Review"),IF(AND(P86=0,Q86=0),"",IF(AND(P86&gt;0,Q86&gt;0),"","MISMATCH")),"")</f>
        <v/>
      </c>
      <c r="M86" s="49" t="str">
        <f>IF(OR(Overview!$D$4="Preliminary Documentation Review",Overview!$D$4="Preliminary Precertification Review"),IF(AND(R86=0,S86=0),"",IF(AND(R86&gt;0,S86&gt;0),"","MISMATCH")),"")</f>
        <v/>
      </c>
      <c r="N86" s="49" t="str">
        <f>IF(OR(Overview!$D$4="Preliminary Documentation Review",Overview!$D$4="Preliminary Precertification Review"),IF(AND(T86=0,U86=0),"",IF(AND(T86&gt;0,U86&gt;0),"MISMATCH","")),"")</f>
        <v/>
      </c>
      <c r="O86" s="49" t="str">
        <f>IF(OR(Overview!$D$4="Preliminary Documentation Review",Overview!$D$4="Preliminary Precertification Review"),IF(AND(V86=0,W86=0),"",IF(AND(V86&gt;0,W86&gt;0),"","MISMATCH")),"")</f>
        <v/>
      </c>
      <c r="P86" s="44">
        <f t="shared" si="13"/>
        <v>0</v>
      </c>
      <c r="Q86" s="44">
        <f t="shared" si="16"/>
        <v>0</v>
      </c>
      <c r="R86" s="49">
        <f t="shared" si="14"/>
        <v>0</v>
      </c>
      <c r="S86" s="49">
        <f t="shared" si="17"/>
        <v>0</v>
      </c>
      <c r="T86" s="49">
        <f t="shared" si="9"/>
        <v>38</v>
      </c>
      <c r="U86" s="49">
        <f t="shared" si="10"/>
        <v>0</v>
      </c>
      <c r="V86" s="49">
        <f t="shared" si="15"/>
        <v>38</v>
      </c>
      <c r="W86" s="49">
        <f t="shared" si="8"/>
        <v>1</v>
      </c>
    </row>
    <row r="87" spans="2:23" ht="46.8">
      <c r="B87" s="877"/>
      <c r="C87" s="881" t="s">
        <v>23</v>
      </c>
      <c r="D87" s="888" t="s">
        <v>73</v>
      </c>
      <c r="E87" s="700" t="s">
        <v>551</v>
      </c>
      <c r="F87" s="214">
        <v>1</v>
      </c>
      <c r="G87" s="208" t="s">
        <v>1071</v>
      </c>
      <c r="H87" s="701" t="s">
        <v>369</v>
      </c>
      <c r="I87" s="794" t="s">
        <v>1142</v>
      </c>
      <c r="L87" s="49" t="str">
        <f>IF(OR(Overview!$D$4="Preliminary Documentation Review",Overview!$D$4="Preliminary Precertification Review"),IF(AND(P87=0,Q87=0),"",IF(AND(P87&gt;0,Q87&gt;0),"","MISMATCH")),"")</f>
        <v/>
      </c>
      <c r="M87" s="49" t="str">
        <f>IF(OR(Overview!$D$4="Preliminary Documentation Review",Overview!$D$4="Preliminary Precertification Review"),IF(AND(R87=0,S87=0),"",IF(AND(R87&gt;0,S87&gt;0),"","MISMATCH")),"")</f>
        <v/>
      </c>
      <c r="N87" s="49" t="str">
        <f>IF(OR(Overview!$D$4="Preliminary Documentation Review",Overview!$D$4="Preliminary Precertification Review"),IF(AND(T87=0,U87=0),"",IF(AND(T87&gt;0,U87&gt;0),"MISMATCH","")),"")</f>
        <v/>
      </c>
      <c r="O87" s="49" t="str">
        <f>IF(OR(Overview!$D$4="Preliminary Documentation Review",Overview!$D$4="Preliminary Precertification Review"),IF(AND(V87=0,W87=0),"",IF(AND(V87&gt;0,W87&gt;0),"","MISMATCH")),"")</f>
        <v/>
      </c>
      <c r="P87" s="44">
        <f t="shared" si="13"/>
        <v>0</v>
      </c>
      <c r="Q87" s="44">
        <f t="shared" si="16"/>
        <v>0</v>
      </c>
      <c r="R87" s="49">
        <f t="shared" si="14"/>
        <v>0</v>
      </c>
      <c r="S87" s="49">
        <f t="shared" si="17"/>
        <v>0</v>
      </c>
      <c r="T87" s="49">
        <f t="shared" si="9"/>
        <v>0</v>
      </c>
      <c r="U87" s="49">
        <f t="shared" si="10"/>
        <v>1</v>
      </c>
      <c r="V87" s="49">
        <f t="shared" si="15"/>
        <v>0</v>
      </c>
      <c r="W87" s="49">
        <f t="shared" ref="W87:W152" si="18">IFERROR(SEARCH("Not Attempted",$H87),0)</f>
        <v>0</v>
      </c>
    </row>
    <row r="88" spans="2:23" ht="45.6">
      <c r="B88" s="877"/>
      <c r="C88" s="881" t="s">
        <v>23</v>
      </c>
      <c r="D88" s="888" t="s">
        <v>74</v>
      </c>
      <c r="E88" s="700" t="s">
        <v>552</v>
      </c>
      <c r="F88" s="214"/>
      <c r="G88" s="208" t="s">
        <v>1061</v>
      </c>
      <c r="H88" s="701" t="s">
        <v>324</v>
      </c>
      <c r="I88" s="67" t="s">
        <v>1145</v>
      </c>
      <c r="L88" s="49" t="str">
        <f>IF(OR(Overview!$D$4="Preliminary Documentation Review",Overview!$D$4="Preliminary Precertification Review"),IF(AND(P88=0,Q88=0),"",IF(AND(P88&gt;0,Q88&gt;0),"","MISMATCH")),"")</f>
        <v/>
      </c>
      <c r="M88" s="49" t="str">
        <f>IF(OR(Overview!$D$4="Preliminary Documentation Review",Overview!$D$4="Preliminary Precertification Review"),IF(AND(R88=0,S88=0),"",IF(AND(R88&gt;0,S88&gt;0),"","MISMATCH")),"")</f>
        <v/>
      </c>
      <c r="N88" s="49" t="str">
        <f>IF(OR(Overview!$D$4="Preliminary Documentation Review",Overview!$D$4="Preliminary Precertification Review"),IF(AND(T88=0,U88=0),"",IF(AND(T88&gt;0,U88&gt;0),"MISMATCH","")),"")</f>
        <v/>
      </c>
      <c r="O88" s="49" t="str">
        <f>IF(OR(Overview!$D$4="Preliminary Documentation Review",Overview!$D$4="Preliminary Precertification Review"),IF(AND(V88=0,W88=0),"",IF(AND(V88&gt;0,W88&gt;0),"","MISMATCH")),"")</f>
        <v/>
      </c>
      <c r="P88" s="44">
        <f t="shared" si="13"/>
        <v>0</v>
      </c>
      <c r="Q88" s="44">
        <f t="shared" si="16"/>
        <v>0</v>
      </c>
      <c r="R88" s="49">
        <f t="shared" si="14"/>
        <v>0</v>
      </c>
      <c r="S88" s="49">
        <f t="shared" si="17"/>
        <v>0</v>
      </c>
      <c r="T88" s="49">
        <f t="shared" ref="T88:T153" si="19">IFERROR(SEARCH("This Part has no",$I88),0)</f>
        <v>38</v>
      </c>
      <c r="U88" s="49">
        <f t="shared" ref="U88:U153" si="20">IFERROR(SEARCH("Anticipated",$H88),0)</f>
        <v>0</v>
      </c>
      <c r="V88" s="49">
        <f t="shared" si="15"/>
        <v>38</v>
      </c>
      <c r="W88" s="49">
        <f t="shared" si="18"/>
        <v>1</v>
      </c>
    </row>
    <row r="89" spans="2:23" ht="45.6">
      <c r="B89" s="877"/>
      <c r="C89" s="881" t="s">
        <v>23</v>
      </c>
      <c r="D89" s="888" t="s">
        <v>75</v>
      </c>
      <c r="E89" s="700" t="s">
        <v>553</v>
      </c>
      <c r="F89" s="211"/>
      <c r="G89" s="208" t="s">
        <v>1061</v>
      </c>
      <c r="H89" s="701" t="s">
        <v>324</v>
      </c>
      <c r="I89" s="67" t="s">
        <v>1145</v>
      </c>
      <c r="L89" s="49" t="str">
        <f>IF(OR(Overview!$D$4="Preliminary Documentation Review",Overview!$D$4="Preliminary Precertification Review"),IF(AND(P89=0,Q89=0),"",IF(AND(P89&gt;0,Q89&gt;0),"","MISMATCH")),"")</f>
        <v/>
      </c>
      <c r="M89" s="49" t="str">
        <f>IF(OR(Overview!$D$4="Preliminary Documentation Review",Overview!$D$4="Preliminary Precertification Review"),IF(AND(R89=0,S89=0),"",IF(AND(R89&gt;0,S89&gt;0),"","MISMATCH")),"")</f>
        <v/>
      </c>
      <c r="N89" s="49" t="str">
        <f>IF(OR(Overview!$D$4="Preliminary Documentation Review",Overview!$D$4="Preliminary Precertification Review"),IF(AND(T89=0,U89=0),"",IF(AND(T89&gt;0,U89&gt;0),"MISMATCH","")),"")</f>
        <v/>
      </c>
      <c r="O89" s="49" t="str">
        <f>IF(OR(Overview!$D$4="Preliminary Documentation Review",Overview!$D$4="Preliminary Precertification Review"),IF(AND(V89=0,W89=0),"",IF(AND(V89&gt;0,W89&gt;0),"","MISMATCH")),"")</f>
        <v/>
      </c>
      <c r="P89" s="44">
        <f t="shared" si="13"/>
        <v>0</v>
      </c>
      <c r="Q89" s="44">
        <f t="shared" si="16"/>
        <v>0</v>
      </c>
      <c r="R89" s="49">
        <f t="shared" si="14"/>
        <v>0</v>
      </c>
      <c r="S89" s="49">
        <f t="shared" si="17"/>
        <v>0</v>
      </c>
      <c r="T89" s="49">
        <f t="shared" si="19"/>
        <v>38</v>
      </c>
      <c r="U89" s="49">
        <f t="shared" si="20"/>
        <v>0</v>
      </c>
      <c r="V89" s="49">
        <f t="shared" si="15"/>
        <v>38</v>
      </c>
      <c r="W89" s="49">
        <f t="shared" si="18"/>
        <v>1</v>
      </c>
    </row>
    <row r="90" spans="2:23" ht="45.6">
      <c r="B90" s="877"/>
      <c r="C90" s="881"/>
      <c r="D90" s="888"/>
      <c r="E90" s="700" t="s">
        <v>554</v>
      </c>
      <c r="F90" s="213"/>
      <c r="G90" s="208" t="s">
        <v>1061</v>
      </c>
      <c r="H90" s="701" t="s">
        <v>324</v>
      </c>
      <c r="I90" s="67" t="s">
        <v>1145</v>
      </c>
      <c r="L90" s="49" t="str">
        <f>IF(OR(Overview!$D$4="Preliminary Documentation Review",Overview!$D$4="Preliminary Precertification Review"),IF(AND(P90=0,Q90=0),"",IF(AND(P90&gt;0,Q90&gt;0),"","MISMATCH")),"")</f>
        <v/>
      </c>
      <c r="M90" s="49" t="str">
        <f>IF(OR(Overview!$D$4="Preliminary Documentation Review",Overview!$D$4="Preliminary Precertification Review"),IF(AND(R90=0,S90=0),"",IF(AND(R90&gt;0,S90&gt;0),"","MISMATCH")),"")</f>
        <v/>
      </c>
      <c r="N90" s="49" t="str">
        <f>IF(OR(Overview!$D$4="Preliminary Documentation Review",Overview!$D$4="Preliminary Precertification Review"),IF(AND(T90=0,U90=0),"",IF(AND(T90&gt;0,U90&gt;0),"MISMATCH","")),"")</f>
        <v/>
      </c>
      <c r="O90" s="49" t="str">
        <f>IF(OR(Overview!$D$4="Preliminary Documentation Review",Overview!$D$4="Preliminary Precertification Review"),IF(AND(V90=0,W90=0),"",IF(AND(V90&gt;0,W90&gt;0),"","MISMATCH")),"")</f>
        <v/>
      </c>
      <c r="P90" s="44">
        <f t="shared" si="13"/>
        <v>0</v>
      </c>
      <c r="Q90" s="44">
        <f t="shared" si="16"/>
        <v>0</v>
      </c>
      <c r="R90" s="49">
        <f t="shared" si="14"/>
        <v>0</v>
      </c>
      <c r="S90" s="49">
        <f t="shared" si="17"/>
        <v>0</v>
      </c>
      <c r="T90" s="49">
        <f t="shared" si="19"/>
        <v>38</v>
      </c>
      <c r="U90" s="49">
        <f t="shared" si="20"/>
        <v>0</v>
      </c>
      <c r="V90" s="49">
        <f t="shared" si="15"/>
        <v>38</v>
      </c>
      <c r="W90" s="49">
        <f t="shared" si="18"/>
        <v>1</v>
      </c>
    </row>
    <row r="91" spans="2:23" ht="45.6">
      <c r="B91" s="877"/>
      <c r="C91" s="881" t="s">
        <v>23</v>
      </c>
      <c r="D91" s="888" t="s">
        <v>76</v>
      </c>
      <c r="E91" s="700" t="s">
        <v>555</v>
      </c>
      <c r="F91" s="214"/>
      <c r="G91" s="208" t="s">
        <v>1061</v>
      </c>
      <c r="H91" s="701" t="s">
        <v>324</v>
      </c>
      <c r="I91" s="67" t="s">
        <v>1145</v>
      </c>
      <c r="K91" s="193" t="s">
        <v>730</v>
      </c>
      <c r="L91" s="49" t="str">
        <f>IF(OR(Overview!$D$4="Preliminary Documentation Review",Overview!$D$4="Preliminary Precertification Review"),IF(AND(P91=0,Q91=0),"",IF(AND(P91&gt;0,Q91&gt;0),"","MISMATCH")),"")</f>
        <v/>
      </c>
      <c r="M91" s="49" t="str">
        <f>IF(OR(Overview!$D$4="Preliminary Documentation Review",Overview!$D$4="Preliminary Precertification Review"),IF(AND(R91=0,S91=0),"",IF(AND(R91&gt;0,S91&gt;0),"","MISMATCH")),"")</f>
        <v/>
      </c>
      <c r="N91" s="49" t="str">
        <f>IF(OR(Overview!$D$4="Preliminary Documentation Review",Overview!$D$4="Preliminary Precertification Review"),IF(AND(T91=0,U91=0),"",IF(AND(T91&gt;0,U91&gt;0),"MISMATCH","")),"")</f>
        <v/>
      </c>
      <c r="O91" s="49" t="str">
        <f>IF(OR(Overview!$D$4="Preliminary Documentation Review",Overview!$D$4="Preliminary Precertification Review"),IF(AND(V91=0,W91=0),"",IF(AND(V91&gt;0,W91&gt;0),"","MISMATCH")),"")</f>
        <v/>
      </c>
      <c r="P91" s="44">
        <f t="shared" si="13"/>
        <v>0</v>
      </c>
      <c r="Q91" s="44">
        <f t="shared" si="16"/>
        <v>0</v>
      </c>
      <c r="R91" s="49">
        <f t="shared" si="14"/>
        <v>0</v>
      </c>
      <c r="S91" s="49">
        <f t="shared" si="17"/>
        <v>0</v>
      </c>
      <c r="T91" s="49">
        <f t="shared" si="19"/>
        <v>38</v>
      </c>
      <c r="U91" s="49">
        <f t="shared" si="20"/>
        <v>0</v>
      </c>
      <c r="V91" s="49">
        <f t="shared" si="15"/>
        <v>38</v>
      </c>
      <c r="W91" s="49">
        <f t="shared" si="18"/>
        <v>1</v>
      </c>
    </row>
    <row r="92" spans="2:23" ht="30" hidden="1">
      <c r="B92" s="877"/>
      <c r="C92" s="698" t="s">
        <v>23</v>
      </c>
      <c r="D92" s="700" t="s">
        <v>509</v>
      </c>
      <c r="E92" s="700" t="s">
        <v>510</v>
      </c>
      <c r="F92" s="221"/>
      <c r="G92" s="216"/>
      <c r="H92" s="66"/>
      <c r="I92" s="68"/>
      <c r="L92" s="49" t="str">
        <f>IF(OR(Overview!$D$4="Preliminary Documentation Review",Overview!$D$4="Preliminary Precertification Review"),IF(AND(P92=0,Q92=0),"",IF(AND(P92&gt;0,Q92&gt;0),"","MISMATCH")),"")</f>
        <v/>
      </c>
      <c r="M92" s="49" t="str">
        <f>IF(OR(Overview!$D$4="Preliminary Documentation Review",Overview!$D$4="Preliminary Precertification Review"),IF(AND(R92=0,S92=0),"",IF(AND(R92&gt;0,S92&gt;0),"","MISMATCH")),"")</f>
        <v/>
      </c>
      <c r="N92" s="49" t="str">
        <f>IF(OR(Overview!$D$4="Preliminary Documentation Review",Overview!$D$4="Preliminary Precertification Review"),IF(AND(T92=0,U92=0),"",IF(AND(T92&gt;0,U92&gt;0),"MISMATCH","")),"")</f>
        <v/>
      </c>
      <c r="O92" s="49" t="str">
        <f>IF(OR(Overview!$D$4="Preliminary Documentation Review",Overview!$D$4="Preliminary Precertification Review"),IF(AND(V92=0,W92=0),"",IF(AND(V92&gt;0,W92&gt;0),"","MISMATCH")),"")</f>
        <v/>
      </c>
      <c r="P92" s="44">
        <f t="shared" si="13"/>
        <v>0</v>
      </c>
      <c r="Q92" s="44">
        <f t="shared" si="16"/>
        <v>0</v>
      </c>
      <c r="R92" s="49">
        <f t="shared" si="14"/>
        <v>0</v>
      </c>
      <c r="S92" s="49">
        <f t="shared" si="17"/>
        <v>0</v>
      </c>
      <c r="T92" s="49">
        <f t="shared" si="19"/>
        <v>0</v>
      </c>
      <c r="U92" s="49">
        <f t="shared" si="20"/>
        <v>0</v>
      </c>
      <c r="V92" s="49">
        <f t="shared" si="15"/>
        <v>0</v>
      </c>
      <c r="W92" s="49">
        <f t="shared" si="18"/>
        <v>0</v>
      </c>
    </row>
    <row r="93" spans="2:23">
      <c r="B93" s="95"/>
      <c r="C93" s="96"/>
      <c r="D93" s="97"/>
      <c r="E93" s="98"/>
      <c r="F93" s="89"/>
      <c r="G93" s="79"/>
      <c r="H93" s="99"/>
      <c r="I93" s="100"/>
      <c r="L93" s="49" t="str">
        <f>IF(OR(Overview!$D$4="Preliminary Documentation Review",Overview!$D$4="Preliminary Precertification Review"),IF(AND(P93=0,Q93=0),"",IF(AND(P93&gt;0,Q93&gt;0),"","MISMATCH")),"")</f>
        <v/>
      </c>
      <c r="M93" s="49" t="str">
        <f>IF(OR(Overview!$D$4="Preliminary Documentation Review",Overview!$D$4="Preliminary Precertification Review"),IF(AND(R93=0,S93=0),"",IF(AND(R93&gt;0,S93&gt;0),"","MISMATCH")),"")</f>
        <v/>
      </c>
      <c r="N93" s="49" t="str">
        <f>IF(OR(Overview!$D$4="Preliminary Documentation Review",Overview!$D$4="Preliminary Precertification Review"),IF(AND(T93=0,U93=0),"",IF(AND(T93&gt;0,U93&gt;0),"MISMATCH","")),"")</f>
        <v/>
      </c>
      <c r="O93" s="49" t="str">
        <f>IF(OR(Overview!$D$4="Preliminary Documentation Review",Overview!$D$4="Preliminary Precertification Review"),IF(AND(V93=0,W93=0),"",IF(AND(V93&gt;0,W93&gt;0),"","MISMATCH")),"")</f>
        <v/>
      </c>
      <c r="P93" s="44">
        <f t="shared" si="13"/>
        <v>0</v>
      </c>
      <c r="Q93" s="44">
        <f t="shared" si="16"/>
        <v>0</v>
      </c>
      <c r="R93" s="49">
        <f t="shared" si="14"/>
        <v>0</v>
      </c>
      <c r="S93" s="49">
        <f t="shared" si="17"/>
        <v>0</v>
      </c>
      <c r="T93" s="49">
        <f t="shared" si="19"/>
        <v>0</v>
      </c>
      <c r="U93" s="49">
        <f t="shared" si="20"/>
        <v>0</v>
      </c>
      <c r="V93" s="49">
        <f t="shared" si="15"/>
        <v>0</v>
      </c>
      <c r="W93" s="49">
        <f t="shared" si="18"/>
        <v>0</v>
      </c>
    </row>
    <row r="94" spans="2:23">
      <c r="B94" s="75"/>
      <c r="C94" s="76"/>
      <c r="D94" s="77"/>
      <c r="E94" s="78"/>
      <c r="F94" s="89"/>
      <c r="G94" s="79"/>
      <c r="H94" s="80"/>
      <c r="I94" s="81"/>
      <c r="L94" s="49" t="str">
        <f>IF(OR(Overview!$D$4="Preliminary Documentation Review",Overview!$D$4="Preliminary Precertification Review"),IF(AND(P94=0,Q94=0),"",IF(AND(P94&gt;0,Q94&gt;0),"","MISMATCH")),"")</f>
        <v/>
      </c>
      <c r="M94" s="49" t="str">
        <f>IF(OR(Overview!$D$4="Preliminary Documentation Review",Overview!$D$4="Preliminary Precertification Review"),IF(AND(R94=0,S94=0),"",IF(AND(R94&gt;0,S94&gt;0),"","MISMATCH")),"")</f>
        <v/>
      </c>
      <c r="N94" s="49" t="str">
        <f>IF(OR(Overview!$D$4="Preliminary Documentation Review",Overview!$D$4="Preliminary Precertification Review"),IF(AND(T94=0,U94=0),"",IF(AND(T94&gt;0,U94&gt;0),"MISMATCH","")),"")</f>
        <v/>
      </c>
      <c r="O94" s="49" t="str">
        <f>IF(OR(Overview!$D$4="Preliminary Documentation Review",Overview!$D$4="Preliminary Precertification Review"),IF(AND(V94=0,W94=0),"",IF(AND(V94&gt;0,W94&gt;0),"","MISMATCH")),"")</f>
        <v/>
      </c>
      <c r="P94" s="44">
        <f t="shared" si="13"/>
        <v>0</v>
      </c>
      <c r="Q94" s="44">
        <f t="shared" si="16"/>
        <v>0</v>
      </c>
      <c r="R94" s="49">
        <f t="shared" si="14"/>
        <v>0</v>
      </c>
      <c r="S94" s="49">
        <f t="shared" si="17"/>
        <v>0</v>
      </c>
      <c r="T94" s="49">
        <f t="shared" si="19"/>
        <v>0</v>
      </c>
      <c r="U94" s="49">
        <f t="shared" si="20"/>
        <v>0</v>
      </c>
      <c r="V94" s="49">
        <f t="shared" si="15"/>
        <v>0</v>
      </c>
      <c r="W94" s="49">
        <f t="shared" si="18"/>
        <v>0</v>
      </c>
    </row>
    <row r="95" spans="2:23">
      <c r="B95" s="876"/>
      <c r="C95" s="874"/>
      <c r="D95" s="874"/>
      <c r="E95" s="874"/>
      <c r="F95" s="874"/>
      <c r="G95" s="874"/>
      <c r="H95" s="874"/>
      <c r="I95" s="875"/>
      <c r="L95" s="49" t="str">
        <f>IF(OR(Overview!$D$4="Preliminary Documentation Review",Overview!$D$4="Preliminary Precertification Review"),IF(AND(P95=0,Q95=0),"",IF(AND(P95&gt;0,Q95&gt;0),"","MISMATCH")),"")</f>
        <v/>
      </c>
      <c r="M95" s="49" t="str">
        <f>IF(OR(Overview!$D$4="Preliminary Documentation Review",Overview!$D$4="Preliminary Precertification Review"),IF(AND(R95=0,S95=0),"",IF(AND(R95&gt;0,S95&gt;0),"","MISMATCH")),"")</f>
        <v/>
      </c>
      <c r="N95" s="49" t="str">
        <f>IF(OR(Overview!$D$4="Preliminary Documentation Review",Overview!$D$4="Preliminary Precertification Review"),IF(AND(T95=0,U95=0),"",IF(AND(T95&gt;0,U95&gt;0),"MISMATCH","")),"")</f>
        <v/>
      </c>
      <c r="O95" s="49" t="str">
        <f>IF(OR(Overview!$D$4="Preliminary Documentation Review",Overview!$D$4="Preliminary Precertification Review"),IF(AND(V95=0,W95=0),"",IF(AND(V95&gt;0,W95&gt;0),"","MISMATCH")),"")</f>
        <v/>
      </c>
      <c r="T95" s="49">
        <f t="shared" si="19"/>
        <v>0</v>
      </c>
      <c r="U95" s="49">
        <f t="shared" si="20"/>
        <v>0</v>
      </c>
      <c r="V95" s="49">
        <f t="shared" si="15"/>
        <v>0</v>
      </c>
      <c r="W95" s="49">
        <f t="shared" si="18"/>
        <v>0</v>
      </c>
    </row>
    <row r="96" spans="2:23" s="65" customFormat="1" ht="99.9" hidden="1" customHeight="1">
      <c r="B96" s="101"/>
      <c r="C96" s="869" t="s">
        <v>710</v>
      </c>
      <c r="D96" s="870"/>
      <c r="E96" s="870"/>
      <c r="F96" s="870"/>
      <c r="G96" s="870"/>
      <c r="H96" s="870"/>
      <c r="I96" s="871"/>
      <c r="J96" s="64"/>
      <c r="K96" s="190"/>
      <c r="L96" s="49" t="str">
        <f>IF(OR(Overview!$D$4="Preliminary Documentation Review",Overview!$D$4="Preliminary Precertification Review"),IF(AND(P96=0,Q96=0),"",IF(AND(P96&gt;0,Q96&gt;0),"","MISMATCH")),"")</f>
        <v/>
      </c>
      <c r="M96" s="49" t="str">
        <f>IF(OR(Overview!$D$4="Preliminary Documentation Review",Overview!$D$4="Preliminary Precertification Review"),IF(AND(R96=0,S96=0),"",IF(AND(R96&gt;0,S96&gt;0),"","MISMATCH")),"")</f>
        <v/>
      </c>
      <c r="N96" s="49" t="str">
        <f>IF(OR(Overview!$D$4="Preliminary Documentation Review",Overview!$D$4="Preliminary Precertification Review"),IF(AND(T96=0,U96=0),"",IF(AND(T96&gt;0,U96&gt;0),"MISMATCH","")),"")</f>
        <v/>
      </c>
      <c r="O96" s="49" t="str">
        <f>IF(OR(Overview!$D$4="Preliminary Documentation Review",Overview!$D$4="Preliminary Precertification Review"),IF(AND(V96=0,W96=0),"",IF(AND(V96&gt;0,W96&gt;0),"","MISMATCH")),"")</f>
        <v/>
      </c>
      <c r="T96" s="49">
        <f t="shared" si="19"/>
        <v>0</v>
      </c>
      <c r="U96" s="49">
        <f t="shared" si="20"/>
        <v>0</v>
      </c>
      <c r="V96" s="49">
        <f t="shared" si="15"/>
        <v>0</v>
      </c>
      <c r="W96" s="49">
        <f t="shared" si="18"/>
        <v>0</v>
      </c>
    </row>
    <row r="97" spans="2:23" s="65" customFormat="1" ht="15.6" hidden="1" customHeight="1">
      <c r="B97" s="101"/>
      <c r="C97" s="874"/>
      <c r="D97" s="874"/>
      <c r="E97" s="874"/>
      <c r="F97" s="874"/>
      <c r="G97" s="874"/>
      <c r="H97" s="874"/>
      <c r="I97" s="875"/>
      <c r="J97" s="64"/>
      <c r="K97" s="190"/>
      <c r="L97" s="49" t="str">
        <f>IF(OR(Overview!$D$4="Preliminary Documentation Review",Overview!$D$4="Preliminary Precertification Review"),IF(AND(P97=0,Q97=0),"",IF(AND(P97&gt;0,Q97&gt;0),"","MISMATCH")),"")</f>
        <v/>
      </c>
      <c r="M97" s="49" t="str">
        <f>IF(OR(Overview!$D$4="Preliminary Documentation Review",Overview!$D$4="Preliminary Precertification Review"),IF(AND(R97=0,S97=0),"",IF(AND(R97&gt;0,S97&gt;0),"","MISMATCH")),"")</f>
        <v/>
      </c>
      <c r="N97" s="49" t="str">
        <f>IF(OR(Overview!$D$4="Preliminary Documentation Review",Overview!$D$4="Preliminary Precertification Review"),IF(AND(T97=0,U97=0),"",IF(AND(T97&gt;0,U97&gt;0),"MISMATCH","")),"")</f>
        <v/>
      </c>
      <c r="O97" s="49" t="str">
        <f>IF(OR(Overview!$D$4="Preliminary Documentation Review",Overview!$D$4="Preliminary Precertification Review"),IF(AND(V97=0,W97=0),"",IF(AND(V97&gt;0,W97&gt;0),"","MISMATCH")),"")</f>
        <v/>
      </c>
      <c r="T97" s="49">
        <f t="shared" si="19"/>
        <v>0</v>
      </c>
      <c r="U97" s="49">
        <f t="shared" si="20"/>
        <v>0</v>
      </c>
      <c r="V97" s="49">
        <f t="shared" si="15"/>
        <v>0</v>
      </c>
      <c r="W97" s="49">
        <f t="shared" si="18"/>
        <v>0</v>
      </c>
    </row>
    <row r="98" spans="2:23" ht="45.6">
      <c r="B98" s="908" t="s">
        <v>77</v>
      </c>
      <c r="C98" s="881" t="s">
        <v>8</v>
      </c>
      <c r="D98" s="888" t="s">
        <v>78</v>
      </c>
      <c r="E98" s="700" t="s">
        <v>250</v>
      </c>
      <c r="F98" s="207"/>
      <c r="G98" s="208" t="s">
        <v>219</v>
      </c>
      <c r="H98" s="701" t="s">
        <v>369</v>
      </c>
      <c r="I98" s="794" t="s">
        <v>1144</v>
      </c>
      <c r="L98" s="49" t="str">
        <f>IF(OR(Overview!$D$4="Preliminary Documentation Review",Overview!$D$4="Preliminary Precertification Review"),IF(AND(P98=0,Q98=0),"",IF(AND(P98&gt;0,Q98&gt;0),"","MISMATCH")),"")</f>
        <v/>
      </c>
      <c r="M98" s="49" t="str">
        <f>IF(OR(Overview!$D$4="Preliminary Documentation Review",Overview!$D$4="Preliminary Precertification Review"),IF(AND(R98=0,S98=0),"",IF(AND(R98&gt;0,S98&gt;0),"","MISMATCH")),"")</f>
        <v/>
      </c>
      <c r="N98" s="49" t="str">
        <f>IF(OR(Overview!$D$4="Preliminary Documentation Review",Overview!$D$4="Preliminary Precertification Review"),IF(AND(T98=0,U98=0),"",IF(AND(T98&gt;0,U98&gt;0),"MISMATCH","")),"")</f>
        <v/>
      </c>
      <c r="O98" s="49" t="str">
        <f>IF(OR(Overview!$D$4="Preliminary Documentation Review",Overview!$D$4="Preliminary Precertification Review"),IF(AND(V98=0,W98=0),"",IF(AND(V98&gt;0,W98&gt;0),"","MISMATCH")),"")</f>
        <v/>
      </c>
      <c r="P98" s="44">
        <f t="shared" ref="P98:P113" si="21">IFERROR(SEARCH("COMMENTS TO BE ADDRESS",$I98),0)</f>
        <v>0</v>
      </c>
      <c r="Q98" s="44">
        <f t="shared" si="16"/>
        <v>0</v>
      </c>
      <c r="R98" s="49">
        <f t="shared" ref="R98:R113" si="22">IFERROR(SEARCH("equirements of this part will be v",$I98),0)</f>
        <v>0</v>
      </c>
      <c r="S98" s="49">
        <f t="shared" si="17"/>
        <v>0</v>
      </c>
      <c r="T98" s="49">
        <f t="shared" si="19"/>
        <v>0</v>
      </c>
      <c r="U98" s="49">
        <f t="shared" si="20"/>
        <v>1</v>
      </c>
      <c r="V98" s="49">
        <f t="shared" si="15"/>
        <v>0</v>
      </c>
      <c r="W98" s="49">
        <f t="shared" si="18"/>
        <v>0</v>
      </c>
    </row>
    <row r="99" spans="2:23" ht="45.6">
      <c r="B99" s="908"/>
      <c r="C99" s="881"/>
      <c r="D99" s="888"/>
      <c r="E99" s="700" t="s">
        <v>251</v>
      </c>
      <c r="F99" s="209"/>
      <c r="G99" s="208" t="s">
        <v>219</v>
      </c>
      <c r="H99" s="701" t="s">
        <v>369</v>
      </c>
      <c r="I99" s="794" t="s">
        <v>1144</v>
      </c>
      <c r="L99" s="49" t="str">
        <f>IF(OR(Overview!$D$4="Preliminary Documentation Review",Overview!$D$4="Preliminary Precertification Review"),IF(AND(P99=0,Q99=0),"",IF(AND(P99&gt;0,Q99&gt;0),"","MISMATCH")),"")</f>
        <v/>
      </c>
      <c r="M99" s="49" t="str">
        <f>IF(OR(Overview!$D$4="Preliminary Documentation Review",Overview!$D$4="Preliminary Precertification Review"),IF(AND(R99=0,S99=0),"",IF(AND(R99&gt;0,S99&gt;0),"","MISMATCH")),"")</f>
        <v/>
      </c>
      <c r="N99" s="49" t="str">
        <f>IF(OR(Overview!$D$4="Preliminary Documentation Review",Overview!$D$4="Preliminary Precertification Review"),IF(AND(T99=0,U99=0),"",IF(AND(T99&gt;0,U99&gt;0),"MISMATCH","")),"")</f>
        <v/>
      </c>
      <c r="O99" s="49" t="str">
        <f>IF(OR(Overview!$D$4="Preliminary Documentation Review",Overview!$D$4="Preliminary Precertification Review"),IF(AND(V99=0,W99=0),"",IF(AND(V99&gt;0,W99&gt;0),"","MISMATCH")),"")</f>
        <v/>
      </c>
      <c r="P99" s="44">
        <f t="shared" si="21"/>
        <v>0</v>
      </c>
      <c r="Q99" s="44">
        <f t="shared" si="16"/>
        <v>0</v>
      </c>
      <c r="R99" s="49">
        <f t="shared" si="22"/>
        <v>0</v>
      </c>
      <c r="S99" s="49">
        <f t="shared" si="17"/>
        <v>0</v>
      </c>
      <c r="T99" s="49">
        <f t="shared" si="19"/>
        <v>0</v>
      </c>
      <c r="U99" s="49">
        <f t="shared" si="20"/>
        <v>1</v>
      </c>
      <c r="V99" s="49">
        <f t="shared" si="15"/>
        <v>0</v>
      </c>
      <c r="W99" s="49">
        <f t="shared" si="18"/>
        <v>0</v>
      </c>
    </row>
    <row r="100" spans="2:23" ht="45.6">
      <c r="B100" s="908"/>
      <c r="C100" s="881" t="s">
        <v>8</v>
      </c>
      <c r="D100" s="888" t="s">
        <v>81</v>
      </c>
      <c r="E100" s="700" t="s">
        <v>252</v>
      </c>
      <c r="F100" s="210"/>
      <c r="G100" s="208" t="s">
        <v>219</v>
      </c>
      <c r="H100" s="701" t="s">
        <v>369</v>
      </c>
      <c r="I100" s="794" t="s">
        <v>1144</v>
      </c>
      <c r="L100" s="49" t="str">
        <f>IF(OR(Overview!$D$4="Preliminary Documentation Review",Overview!$D$4="Preliminary Precertification Review"),IF(AND(P100=0,Q100=0),"",IF(AND(P100&gt;0,Q100&gt;0),"","MISMATCH")),"")</f>
        <v/>
      </c>
      <c r="M100" s="49" t="str">
        <f>IF(OR(Overview!$D$4="Preliminary Documentation Review",Overview!$D$4="Preliminary Precertification Review"),IF(AND(R100=0,S100=0),"",IF(AND(R100&gt;0,S100&gt;0),"","MISMATCH")),"")</f>
        <v/>
      </c>
      <c r="N100" s="49" t="str">
        <f>IF(OR(Overview!$D$4="Preliminary Documentation Review",Overview!$D$4="Preliminary Precertification Review"),IF(AND(T100=0,U100=0),"",IF(AND(T100&gt;0,U100&gt;0),"MISMATCH","")),"")</f>
        <v/>
      </c>
      <c r="O100" s="49" t="str">
        <f>IF(OR(Overview!$D$4="Preliminary Documentation Review",Overview!$D$4="Preliminary Precertification Review"),IF(AND(V100=0,W100=0),"",IF(AND(V100&gt;0,W100&gt;0),"","MISMATCH")),"")</f>
        <v/>
      </c>
      <c r="P100" s="44">
        <f t="shared" si="21"/>
        <v>0</v>
      </c>
      <c r="Q100" s="44">
        <f t="shared" si="16"/>
        <v>0</v>
      </c>
      <c r="R100" s="49">
        <f t="shared" si="22"/>
        <v>0</v>
      </c>
      <c r="S100" s="49">
        <f t="shared" si="17"/>
        <v>0</v>
      </c>
      <c r="T100" s="49">
        <f t="shared" si="19"/>
        <v>0</v>
      </c>
      <c r="U100" s="49">
        <f t="shared" si="20"/>
        <v>1</v>
      </c>
      <c r="V100" s="49">
        <f t="shared" si="15"/>
        <v>0</v>
      </c>
      <c r="W100" s="49">
        <f t="shared" si="18"/>
        <v>0</v>
      </c>
    </row>
    <row r="101" spans="2:23" ht="45.6">
      <c r="B101" s="908"/>
      <c r="C101" s="881" t="s">
        <v>23</v>
      </c>
      <c r="D101" s="888" t="s">
        <v>83</v>
      </c>
      <c r="E101" s="700" t="s">
        <v>253</v>
      </c>
      <c r="F101" s="213"/>
      <c r="G101" s="208" t="s">
        <v>1061</v>
      </c>
      <c r="H101" s="701" t="s">
        <v>324</v>
      </c>
      <c r="I101" s="67" t="s">
        <v>1145</v>
      </c>
      <c r="L101" s="49" t="str">
        <f>IF(OR(Overview!$D$4="Preliminary Documentation Review",Overview!$D$4="Preliminary Precertification Review"),IF(AND(P101=0,Q101=0),"",IF(AND(P101&gt;0,Q101&gt;0),"","MISMATCH")),"")</f>
        <v/>
      </c>
      <c r="M101" s="49" t="str">
        <f>IF(OR(Overview!$D$4="Preliminary Documentation Review",Overview!$D$4="Preliminary Precertification Review"),IF(AND(R101=0,S101=0),"",IF(AND(R101&gt;0,S101&gt;0),"","MISMATCH")),"")</f>
        <v/>
      </c>
      <c r="N101" s="49" t="str">
        <f>IF(OR(Overview!$D$4="Preliminary Documentation Review",Overview!$D$4="Preliminary Precertification Review"),IF(AND(T101=0,U101=0),"",IF(AND(T101&gt;0,U101&gt;0),"MISMATCH","")),"")</f>
        <v/>
      </c>
      <c r="O101" s="49" t="str">
        <f>IF(OR(Overview!$D$4="Preliminary Documentation Review",Overview!$D$4="Preliminary Precertification Review"),IF(AND(V101=0,W101=0),"",IF(AND(V101&gt;0,W101&gt;0),"","MISMATCH")),"")</f>
        <v/>
      </c>
      <c r="P101" s="44">
        <f t="shared" si="21"/>
        <v>0</v>
      </c>
      <c r="Q101" s="44">
        <f t="shared" si="16"/>
        <v>0</v>
      </c>
      <c r="R101" s="49">
        <f t="shared" si="22"/>
        <v>0</v>
      </c>
      <c r="S101" s="49">
        <f t="shared" si="17"/>
        <v>0</v>
      </c>
      <c r="T101" s="49">
        <f t="shared" si="19"/>
        <v>38</v>
      </c>
      <c r="U101" s="49">
        <f t="shared" si="20"/>
        <v>0</v>
      </c>
      <c r="V101" s="49">
        <f t="shared" si="15"/>
        <v>38</v>
      </c>
      <c r="W101" s="49">
        <f t="shared" si="18"/>
        <v>1</v>
      </c>
    </row>
    <row r="102" spans="2:23" ht="45.6">
      <c r="B102" s="908"/>
      <c r="C102" s="881" t="s">
        <v>23</v>
      </c>
      <c r="D102" s="888" t="s">
        <v>85</v>
      </c>
      <c r="E102" s="700" t="s">
        <v>254</v>
      </c>
      <c r="F102" s="211"/>
      <c r="G102" s="208" t="s">
        <v>1061</v>
      </c>
      <c r="H102" s="701" t="s">
        <v>324</v>
      </c>
      <c r="I102" s="67" t="s">
        <v>1145</v>
      </c>
      <c r="L102" s="49" t="str">
        <f>IF(OR(Overview!$D$4="Preliminary Documentation Review",Overview!$D$4="Preliminary Precertification Review"),IF(AND(P102=0,Q102=0),"",IF(AND(P102&gt;0,Q102&gt;0),"","MISMATCH")),"")</f>
        <v/>
      </c>
      <c r="M102" s="49" t="str">
        <f>IF(OR(Overview!$D$4="Preliminary Documentation Review",Overview!$D$4="Preliminary Precertification Review"),IF(AND(R102=0,S102=0),"",IF(AND(R102&gt;0,S102&gt;0),"","MISMATCH")),"")</f>
        <v/>
      </c>
      <c r="N102" s="49" t="str">
        <f>IF(OR(Overview!$D$4="Preliminary Documentation Review",Overview!$D$4="Preliminary Precertification Review"),IF(AND(T102=0,U102=0),"",IF(AND(T102&gt;0,U102&gt;0),"MISMATCH","")),"")</f>
        <v/>
      </c>
      <c r="O102" s="49" t="str">
        <f>IF(OR(Overview!$D$4="Preliminary Documentation Review",Overview!$D$4="Preliminary Precertification Review"),IF(AND(V102=0,W102=0),"",IF(AND(V102&gt;0,W102&gt;0),"","MISMATCH")),"")</f>
        <v/>
      </c>
      <c r="P102" s="44">
        <f t="shared" si="21"/>
        <v>0</v>
      </c>
      <c r="Q102" s="44">
        <f t="shared" si="16"/>
        <v>0</v>
      </c>
      <c r="R102" s="49">
        <f t="shared" si="22"/>
        <v>0</v>
      </c>
      <c r="S102" s="49">
        <f t="shared" si="17"/>
        <v>0</v>
      </c>
      <c r="T102" s="49">
        <f t="shared" si="19"/>
        <v>38</v>
      </c>
      <c r="U102" s="49">
        <f t="shared" si="20"/>
        <v>0</v>
      </c>
      <c r="V102" s="49">
        <f t="shared" si="15"/>
        <v>38</v>
      </c>
      <c r="W102" s="49">
        <f t="shared" si="18"/>
        <v>1</v>
      </c>
    </row>
    <row r="103" spans="2:23" ht="46.8">
      <c r="B103" s="908"/>
      <c r="C103" s="881"/>
      <c r="D103" s="888"/>
      <c r="E103" s="700" t="s">
        <v>255</v>
      </c>
      <c r="F103" s="721">
        <v>2</v>
      </c>
      <c r="G103" s="208" t="s">
        <v>1071</v>
      </c>
      <c r="H103" s="701" t="s">
        <v>369</v>
      </c>
      <c r="I103" s="794" t="s">
        <v>1142</v>
      </c>
      <c r="L103" s="49" t="str">
        <f>IF(OR(Overview!$D$4="Preliminary Documentation Review",Overview!$D$4="Preliminary Precertification Review"),IF(AND(P103=0,Q103=0),"",IF(AND(P103&gt;0,Q103&gt;0),"","MISMATCH")),"")</f>
        <v/>
      </c>
      <c r="M103" s="49" t="str">
        <f>IF(OR(Overview!$D$4="Preliminary Documentation Review",Overview!$D$4="Preliminary Precertification Review"),IF(AND(R103=0,S103=0),"",IF(AND(R103&gt;0,S103&gt;0),"","MISMATCH")),"")</f>
        <v/>
      </c>
      <c r="N103" s="49" t="str">
        <f>IF(OR(Overview!$D$4="Preliminary Documentation Review",Overview!$D$4="Preliminary Precertification Review"),IF(AND(T103=0,U103=0),"",IF(AND(T103&gt;0,U103&gt;0),"MISMATCH","")),"")</f>
        <v/>
      </c>
      <c r="O103" s="49" t="str">
        <f>IF(OR(Overview!$D$4="Preliminary Documentation Review",Overview!$D$4="Preliminary Precertification Review"),IF(AND(V103=0,W103=0),"",IF(AND(V103&gt;0,W103&gt;0),"","MISMATCH")),"")</f>
        <v/>
      </c>
      <c r="P103" s="44">
        <f t="shared" si="21"/>
        <v>0</v>
      </c>
      <c r="Q103" s="44">
        <f t="shared" si="16"/>
        <v>0</v>
      </c>
      <c r="R103" s="49">
        <f t="shared" si="22"/>
        <v>0</v>
      </c>
      <c r="S103" s="49">
        <f t="shared" si="17"/>
        <v>0</v>
      </c>
      <c r="T103" s="49">
        <f t="shared" si="19"/>
        <v>0</v>
      </c>
      <c r="U103" s="49">
        <f t="shared" si="20"/>
        <v>1</v>
      </c>
      <c r="V103" s="49">
        <f t="shared" si="15"/>
        <v>0</v>
      </c>
      <c r="W103" s="49">
        <f t="shared" si="18"/>
        <v>0</v>
      </c>
    </row>
    <row r="104" spans="2:23" ht="45.6">
      <c r="B104" s="908"/>
      <c r="C104" s="881" t="s">
        <v>23</v>
      </c>
      <c r="D104" s="888" t="s">
        <v>88</v>
      </c>
      <c r="E104" s="700" t="s">
        <v>556</v>
      </c>
      <c r="F104" s="211">
        <v>1</v>
      </c>
      <c r="G104" s="208" t="s">
        <v>1071</v>
      </c>
      <c r="H104" s="701" t="s">
        <v>369</v>
      </c>
      <c r="I104" s="794" t="s">
        <v>1144</v>
      </c>
      <c r="L104" s="49" t="str">
        <f>IF(OR(Overview!$D$4="Preliminary Documentation Review",Overview!$D$4="Preliminary Precertification Review"),IF(AND(P104=0,Q104=0),"",IF(AND(P104&gt;0,Q104&gt;0),"","MISMATCH")),"")</f>
        <v/>
      </c>
      <c r="M104" s="49" t="str">
        <f>IF(OR(Overview!$D$4="Preliminary Documentation Review",Overview!$D$4="Preliminary Precertification Review"),IF(AND(R104=0,S104=0),"",IF(AND(R104&gt;0,S104&gt;0),"","MISMATCH")),"")</f>
        <v/>
      </c>
      <c r="N104" s="49" t="str">
        <f>IF(OR(Overview!$D$4="Preliminary Documentation Review",Overview!$D$4="Preliminary Precertification Review"),IF(AND(T104=0,U104=0),"",IF(AND(T104&gt;0,U104&gt;0),"MISMATCH","")),"")</f>
        <v/>
      </c>
      <c r="O104" s="49" t="str">
        <f>IF(OR(Overview!$D$4="Preliminary Documentation Review",Overview!$D$4="Preliminary Precertification Review"),IF(AND(V104=0,W104=0),"",IF(AND(V104&gt;0,W104&gt;0),"","MISMATCH")),"")</f>
        <v/>
      </c>
      <c r="P104" s="44">
        <f t="shared" si="21"/>
        <v>0</v>
      </c>
      <c r="Q104" s="44">
        <f t="shared" si="16"/>
        <v>0</v>
      </c>
      <c r="R104" s="49">
        <f t="shared" si="22"/>
        <v>0</v>
      </c>
      <c r="S104" s="49">
        <f t="shared" si="17"/>
        <v>0</v>
      </c>
      <c r="T104" s="49">
        <f t="shared" si="19"/>
        <v>0</v>
      </c>
      <c r="U104" s="49">
        <f t="shared" si="20"/>
        <v>1</v>
      </c>
      <c r="V104" s="49">
        <f t="shared" si="15"/>
        <v>0</v>
      </c>
      <c r="W104" s="49">
        <f t="shared" si="18"/>
        <v>0</v>
      </c>
    </row>
    <row r="105" spans="2:23" ht="45.6">
      <c r="B105" s="908"/>
      <c r="C105" s="881"/>
      <c r="D105" s="888"/>
      <c r="E105" s="700" t="s">
        <v>256</v>
      </c>
      <c r="F105" s="212"/>
      <c r="G105" s="208" t="s">
        <v>1061</v>
      </c>
      <c r="H105" s="701" t="s">
        <v>324</v>
      </c>
      <c r="I105" s="67" t="s">
        <v>1145</v>
      </c>
      <c r="L105" s="49" t="str">
        <f>IF(OR(Overview!$D$4="Preliminary Documentation Review",Overview!$D$4="Preliminary Precertification Review"),IF(AND(P105=0,Q105=0),"",IF(AND(P105&gt;0,Q105&gt;0),"","MISMATCH")),"")</f>
        <v/>
      </c>
      <c r="M105" s="49" t="str">
        <f>IF(OR(Overview!$D$4="Preliminary Documentation Review",Overview!$D$4="Preliminary Precertification Review"),IF(AND(R105=0,S105=0),"",IF(AND(R105&gt;0,S105&gt;0),"","MISMATCH")),"")</f>
        <v/>
      </c>
      <c r="N105" s="49" t="str">
        <f>IF(OR(Overview!$D$4="Preliminary Documentation Review",Overview!$D$4="Preliminary Precertification Review"),IF(AND(T105=0,U105=0),"",IF(AND(T105&gt;0,U105&gt;0),"MISMATCH","")),"")</f>
        <v/>
      </c>
      <c r="O105" s="49" t="str">
        <f>IF(OR(Overview!$D$4="Preliminary Documentation Review",Overview!$D$4="Preliminary Precertification Review"),IF(AND(V105=0,W105=0),"",IF(AND(V105&gt;0,W105&gt;0),"","MISMATCH")),"")</f>
        <v/>
      </c>
      <c r="P105" s="44">
        <f t="shared" si="21"/>
        <v>0</v>
      </c>
      <c r="Q105" s="44">
        <f t="shared" si="16"/>
        <v>0</v>
      </c>
      <c r="R105" s="49">
        <f t="shared" si="22"/>
        <v>0</v>
      </c>
      <c r="S105" s="49">
        <f t="shared" si="17"/>
        <v>0</v>
      </c>
      <c r="T105" s="49">
        <f t="shared" si="19"/>
        <v>38</v>
      </c>
      <c r="U105" s="49">
        <f t="shared" si="20"/>
        <v>0</v>
      </c>
      <c r="V105" s="49">
        <f t="shared" si="15"/>
        <v>38</v>
      </c>
      <c r="W105" s="49">
        <f t="shared" si="18"/>
        <v>1</v>
      </c>
    </row>
    <row r="106" spans="2:23" ht="45.6">
      <c r="B106" s="908"/>
      <c r="C106" s="881"/>
      <c r="D106" s="888"/>
      <c r="E106" s="700" t="s">
        <v>557</v>
      </c>
      <c r="F106" s="213"/>
      <c r="G106" s="208" t="s">
        <v>1061</v>
      </c>
      <c r="H106" s="701" t="s">
        <v>324</v>
      </c>
      <c r="I106" s="67" t="s">
        <v>1145</v>
      </c>
      <c r="L106" s="49" t="str">
        <f>IF(OR(Overview!$D$4="Preliminary Documentation Review",Overview!$D$4="Preliminary Precertification Review"),IF(AND(P106=0,Q106=0),"",IF(AND(P106&gt;0,Q106&gt;0),"","MISMATCH")),"")</f>
        <v/>
      </c>
      <c r="M106" s="49" t="str">
        <f>IF(OR(Overview!$D$4="Preliminary Documentation Review",Overview!$D$4="Preliminary Precertification Review"),IF(AND(R106=0,S106=0),"",IF(AND(R106&gt;0,S106&gt;0),"","MISMATCH")),"")</f>
        <v/>
      </c>
      <c r="N106" s="49" t="str">
        <f>IF(OR(Overview!$D$4="Preliminary Documentation Review",Overview!$D$4="Preliminary Precertification Review"),IF(AND(T106=0,U106=0),"",IF(AND(T106&gt;0,U106&gt;0),"MISMATCH","")),"")</f>
        <v/>
      </c>
      <c r="O106" s="49" t="str">
        <f>IF(OR(Overview!$D$4="Preliminary Documentation Review",Overview!$D$4="Preliminary Precertification Review"),IF(AND(V106=0,W106=0),"",IF(AND(V106&gt;0,W106&gt;0),"","MISMATCH")),"")</f>
        <v/>
      </c>
      <c r="P106" s="44">
        <f t="shared" si="21"/>
        <v>0</v>
      </c>
      <c r="Q106" s="44">
        <f t="shared" si="16"/>
        <v>0</v>
      </c>
      <c r="R106" s="49">
        <f t="shared" si="22"/>
        <v>0</v>
      </c>
      <c r="S106" s="49">
        <f t="shared" si="17"/>
        <v>0</v>
      </c>
      <c r="T106" s="49">
        <f t="shared" si="19"/>
        <v>38</v>
      </c>
      <c r="U106" s="49">
        <f t="shared" si="20"/>
        <v>0</v>
      </c>
      <c r="V106" s="49">
        <f t="shared" si="15"/>
        <v>38</v>
      </c>
      <c r="W106" s="49">
        <f t="shared" si="18"/>
        <v>1</v>
      </c>
    </row>
    <row r="107" spans="2:23" ht="45.6">
      <c r="B107" s="908"/>
      <c r="C107" s="881" t="s">
        <v>23</v>
      </c>
      <c r="D107" s="888" t="s">
        <v>90</v>
      </c>
      <c r="E107" s="700" t="s">
        <v>558</v>
      </c>
      <c r="F107" s="214"/>
      <c r="G107" s="208" t="s">
        <v>1061</v>
      </c>
      <c r="H107" s="701" t="s">
        <v>324</v>
      </c>
      <c r="I107" s="67" t="s">
        <v>1145</v>
      </c>
      <c r="L107" s="49" t="str">
        <f>IF(OR(Overview!$D$4="Preliminary Documentation Review",Overview!$D$4="Preliminary Precertification Review"),IF(AND(P107=0,Q107=0),"",IF(AND(P107&gt;0,Q107&gt;0),"","MISMATCH")),"")</f>
        <v/>
      </c>
      <c r="M107" s="49" t="str">
        <f>IF(OR(Overview!$D$4="Preliminary Documentation Review",Overview!$D$4="Preliminary Precertification Review"),IF(AND(R107=0,S107=0),"",IF(AND(R107&gt;0,S107&gt;0),"","MISMATCH")),"")</f>
        <v/>
      </c>
      <c r="N107" s="49" t="str">
        <f>IF(OR(Overview!$D$4="Preliminary Documentation Review",Overview!$D$4="Preliminary Precertification Review"),IF(AND(T107=0,U107=0),"",IF(AND(T107&gt;0,U107&gt;0),"MISMATCH","")),"")</f>
        <v/>
      </c>
      <c r="O107" s="49" t="str">
        <f>IF(OR(Overview!$D$4="Preliminary Documentation Review",Overview!$D$4="Preliminary Precertification Review"),IF(AND(V107=0,W107=0),"",IF(AND(V107&gt;0,W107&gt;0),"","MISMATCH")),"")</f>
        <v/>
      </c>
      <c r="P107" s="44">
        <f t="shared" si="21"/>
        <v>0</v>
      </c>
      <c r="Q107" s="44">
        <f t="shared" si="16"/>
        <v>0</v>
      </c>
      <c r="R107" s="49">
        <f t="shared" si="22"/>
        <v>0</v>
      </c>
      <c r="S107" s="49">
        <f t="shared" si="17"/>
        <v>0</v>
      </c>
      <c r="T107" s="49">
        <f t="shared" si="19"/>
        <v>38</v>
      </c>
      <c r="U107" s="49">
        <f t="shared" si="20"/>
        <v>0</v>
      </c>
      <c r="V107" s="49">
        <f t="shared" si="15"/>
        <v>38</v>
      </c>
      <c r="W107" s="49">
        <f t="shared" si="18"/>
        <v>1</v>
      </c>
    </row>
    <row r="108" spans="2:23" ht="45.6">
      <c r="B108" s="908"/>
      <c r="C108" s="881" t="s">
        <v>23</v>
      </c>
      <c r="D108" s="888" t="s">
        <v>91</v>
      </c>
      <c r="E108" s="700" t="s">
        <v>559</v>
      </c>
      <c r="F108" s="211"/>
      <c r="G108" s="208" t="s">
        <v>1061</v>
      </c>
      <c r="H108" s="701" t="s">
        <v>324</v>
      </c>
      <c r="I108" s="67" t="s">
        <v>1145</v>
      </c>
      <c r="L108" s="49" t="str">
        <f>IF(OR(Overview!$D$4="Preliminary Documentation Review",Overview!$D$4="Preliminary Precertification Review"),IF(AND(P108=0,Q108=0),"",IF(AND(P108&gt;0,Q108&gt;0),"","MISMATCH")),"")</f>
        <v/>
      </c>
      <c r="M108" s="49" t="str">
        <f>IF(OR(Overview!$D$4="Preliminary Documentation Review",Overview!$D$4="Preliminary Precertification Review"),IF(AND(R108=0,S108=0),"",IF(AND(R108&gt;0,S108&gt;0),"","MISMATCH")),"")</f>
        <v/>
      </c>
      <c r="N108" s="49" t="str">
        <f>IF(OR(Overview!$D$4="Preliminary Documentation Review",Overview!$D$4="Preliminary Precertification Review"),IF(AND(T108=0,U108=0),"",IF(AND(T108&gt;0,U108&gt;0),"MISMATCH","")),"")</f>
        <v/>
      </c>
      <c r="O108" s="49" t="str">
        <f>IF(OR(Overview!$D$4="Preliminary Documentation Review",Overview!$D$4="Preliminary Precertification Review"),IF(AND(V108=0,W108=0),"",IF(AND(V108&gt;0,W108&gt;0),"","MISMATCH")),"")</f>
        <v/>
      </c>
      <c r="P108" s="44">
        <f t="shared" si="21"/>
        <v>0</v>
      </c>
      <c r="Q108" s="44">
        <f t="shared" si="16"/>
        <v>0</v>
      </c>
      <c r="R108" s="49">
        <f t="shared" si="22"/>
        <v>0</v>
      </c>
      <c r="S108" s="49">
        <f t="shared" si="17"/>
        <v>0</v>
      </c>
      <c r="T108" s="49">
        <f t="shared" si="19"/>
        <v>38</v>
      </c>
      <c r="U108" s="49">
        <f t="shared" si="20"/>
        <v>0</v>
      </c>
      <c r="V108" s="49">
        <f t="shared" si="15"/>
        <v>38</v>
      </c>
      <c r="W108" s="49">
        <f t="shared" si="18"/>
        <v>1</v>
      </c>
    </row>
    <row r="109" spans="2:23" ht="45.6">
      <c r="B109" s="908"/>
      <c r="C109" s="881"/>
      <c r="D109" s="888"/>
      <c r="E109" s="700" t="s">
        <v>560</v>
      </c>
      <c r="F109" s="213"/>
      <c r="G109" s="208" t="s">
        <v>1061</v>
      </c>
      <c r="H109" s="701" t="s">
        <v>324</v>
      </c>
      <c r="I109" s="67" t="s">
        <v>1145</v>
      </c>
      <c r="L109" s="49" t="str">
        <f>IF(OR(Overview!$D$4="Preliminary Documentation Review",Overview!$D$4="Preliminary Precertification Review"),IF(AND(P109=0,Q109=0),"",IF(AND(P109&gt;0,Q109&gt;0),"","MISMATCH")),"")</f>
        <v/>
      </c>
      <c r="M109" s="49" t="str">
        <f>IF(OR(Overview!$D$4="Preliminary Documentation Review",Overview!$D$4="Preliminary Precertification Review"),IF(AND(R109=0,S109=0),"",IF(AND(R109&gt;0,S109&gt;0),"","MISMATCH")),"")</f>
        <v/>
      </c>
      <c r="N109" s="49" t="str">
        <f>IF(OR(Overview!$D$4="Preliminary Documentation Review",Overview!$D$4="Preliminary Precertification Review"),IF(AND(T109=0,U109=0),"",IF(AND(T109&gt;0,U109&gt;0),"MISMATCH","")),"")</f>
        <v/>
      </c>
      <c r="O109" s="49" t="str">
        <f>IF(OR(Overview!$D$4="Preliminary Documentation Review",Overview!$D$4="Preliminary Precertification Review"),IF(AND(V109=0,W109=0),"",IF(AND(V109&gt;0,W109&gt;0),"","MISMATCH")),"")</f>
        <v/>
      </c>
      <c r="P109" s="44">
        <f t="shared" si="21"/>
        <v>0</v>
      </c>
      <c r="Q109" s="44">
        <f t="shared" si="16"/>
        <v>0</v>
      </c>
      <c r="R109" s="49">
        <f t="shared" si="22"/>
        <v>0</v>
      </c>
      <c r="S109" s="49">
        <f t="shared" si="17"/>
        <v>0</v>
      </c>
      <c r="T109" s="49">
        <f t="shared" si="19"/>
        <v>38</v>
      </c>
      <c r="U109" s="49">
        <f t="shared" si="20"/>
        <v>0</v>
      </c>
      <c r="V109" s="49">
        <f t="shared" si="15"/>
        <v>38</v>
      </c>
      <c r="W109" s="49">
        <f t="shared" si="18"/>
        <v>1</v>
      </c>
    </row>
    <row r="110" spans="2:23" ht="45.6">
      <c r="B110" s="908"/>
      <c r="C110" s="881" t="s">
        <v>23</v>
      </c>
      <c r="D110" s="888" t="s">
        <v>92</v>
      </c>
      <c r="E110" s="700" t="s">
        <v>561</v>
      </c>
      <c r="F110" s="215"/>
      <c r="G110" s="208" t="s">
        <v>1061</v>
      </c>
      <c r="H110" s="701" t="s">
        <v>324</v>
      </c>
      <c r="I110" s="67" t="s">
        <v>1145</v>
      </c>
      <c r="L110" s="49" t="str">
        <f>IF(OR(Overview!$D$4="Preliminary Documentation Review",Overview!$D$4="Preliminary Precertification Review"),IF(AND(P110=0,Q110=0),"",IF(AND(P110&gt;0,Q110&gt;0),"","MISMATCH")),"")</f>
        <v/>
      </c>
      <c r="M110" s="49" t="str">
        <f>IF(OR(Overview!$D$4="Preliminary Documentation Review",Overview!$D$4="Preliminary Precertification Review"),IF(AND(R110=0,S110=0),"",IF(AND(R110&gt;0,S110&gt;0),"","MISMATCH")),"")</f>
        <v/>
      </c>
      <c r="N110" s="49" t="str">
        <f>IF(OR(Overview!$D$4="Preliminary Documentation Review",Overview!$D$4="Preliminary Precertification Review"),IF(AND(T110=0,U110=0),"",IF(AND(T110&gt;0,U110&gt;0),"MISMATCH","")),"")</f>
        <v/>
      </c>
      <c r="O110" s="49" t="str">
        <f>IF(OR(Overview!$D$4="Preliminary Documentation Review",Overview!$D$4="Preliminary Precertification Review"),IF(AND(V110=0,W110=0),"",IF(AND(V110&gt;0,W110&gt;0),"","MISMATCH")),"")</f>
        <v/>
      </c>
      <c r="P110" s="44">
        <f t="shared" si="21"/>
        <v>0</v>
      </c>
      <c r="Q110" s="44">
        <f t="shared" si="16"/>
        <v>0</v>
      </c>
      <c r="R110" s="49">
        <f t="shared" si="22"/>
        <v>0</v>
      </c>
      <c r="S110" s="49">
        <f t="shared" si="17"/>
        <v>0</v>
      </c>
      <c r="T110" s="49">
        <f t="shared" si="19"/>
        <v>38</v>
      </c>
      <c r="U110" s="49">
        <f t="shared" si="20"/>
        <v>0</v>
      </c>
      <c r="V110" s="49">
        <f t="shared" si="15"/>
        <v>38</v>
      </c>
      <c r="W110" s="49">
        <f t="shared" si="18"/>
        <v>1</v>
      </c>
    </row>
    <row r="111" spans="2:23" ht="45.6">
      <c r="B111" s="908"/>
      <c r="C111" s="881"/>
      <c r="D111" s="888"/>
      <c r="E111" s="700" t="s">
        <v>562</v>
      </c>
      <c r="F111" s="215">
        <v>1</v>
      </c>
      <c r="G111" s="208" t="s">
        <v>1071</v>
      </c>
      <c r="H111" s="701" t="s">
        <v>369</v>
      </c>
      <c r="I111" s="794" t="s">
        <v>1144</v>
      </c>
      <c r="L111" s="49" t="str">
        <f>IF(OR(Overview!$D$4="Preliminary Documentation Review",Overview!$D$4="Preliminary Precertification Review"),IF(AND(P111=0,Q111=0),"",IF(AND(P111&gt;0,Q111&gt;0),"","MISMATCH")),"")</f>
        <v/>
      </c>
      <c r="M111" s="49" t="str">
        <f>IF(OR(Overview!$D$4="Preliminary Documentation Review",Overview!$D$4="Preliminary Precertification Review"),IF(AND(R111=0,S111=0),"",IF(AND(R111&gt;0,S111&gt;0),"","MISMATCH")),"")</f>
        <v/>
      </c>
      <c r="N111" s="49" t="str">
        <f>IF(OR(Overview!$D$4="Preliminary Documentation Review",Overview!$D$4="Preliminary Precertification Review"),IF(AND(T111=0,U111=0),"",IF(AND(T111&gt;0,U111&gt;0),"MISMATCH","")),"")</f>
        <v/>
      </c>
      <c r="O111" s="49" t="str">
        <f>IF(OR(Overview!$D$4="Preliminary Documentation Review",Overview!$D$4="Preliminary Precertification Review"),IF(AND(V111=0,W111=0),"",IF(AND(V111&gt;0,W111&gt;0),"","MISMATCH")),"")</f>
        <v/>
      </c>
      <c r="P111" s="44">
        <f t="shared" si="21"/>
        <v>0</v>
      </c>
      <c r="Q111" s="44">
        <f t="shared" si="16"/>
        <v>0</v>
      </c>
      <c r="R111" s="49">
        <f t="shared" si="22"/>
        <v>0</v>
      </c>
      <c r="S111" s="49">
        <f t="shared" si="17"/>
        <v>0</v>
      </c>
      <c r="T111" s="49">
        <f t="shared" si="19"/>
        <v>0</v>
      </c>
      <c r="U111" s="49">
        <f t="shared" si="20"/>
        <v>1</v>
      </c>
      <c r="V111" s="49">
        <f t="shared" si="15"/>
        <v>0</v>
      </c>
      <c r="W111" s="49">
        <f t="shared" si="18"/>
        <v>0</v>
      </c>
    </row>
    <row r="112" spans="2:23">
      <c r="B112" s="102"/>
      <c r="C112" s="103"/>
      <c r="D112" s="104"/>
      <c r="E112" s="105"/>
      <c r="F112" s="89"/>
      <c r="G112" s="79"/>
      <c r="H112" s="106"/>
      <c r="I112" s="107"/>
      <c r="L112" s="49" t="str">
        <f>IF(OR(Overview!$D$4="Preliminary Documentation Review",Overview!$D$4="Preliminary Precertification Review"),IF(AND(P112=0,Q112=0),"",IF(AND(P112&gt;0,Q112&gt;0),"","MISMATCH")),"")</f>
        <v/>
      </c>
      <c r="M112" s="49" t="str">
        <f>IF(OR(Overview!$D$4="Preliminary Documentation Review",Overview!$D$4="Preliminary Precertification Review"),IF(AND(R112=0,S112=0),"",IF(AND(R112&gt;0,S112&gt;0),"","MISMATCH")),"")</f>
        <v/>
      </c>
      <c r="N112" s="49" t="str">
        <f>IF(OR(Overview!$D$4="Preliminary Documentation Review",Overview!$D$4="Preliminary Precertification Review"),IF(AND(T112=0,U112=0),"",IF(AND(T112&gt;0,U112&gt;0),"MISMATCH","")),"")</f>
        <v/>
      </c>
      <c r="O112" s="49" t="str">
        <f>IF(OR(Overview!$D$4="Preliminary Documentation Review",Overview!$D$4="Preliminary Precertification Review"),IF(AND(V112=0,W112=0),"",IF(AND(V112&gt;0,W112&gt;0),"","MISMATCH")),"")</f>
        <v/>
      </c>
      <c r="P112" s="44">
        <f t="shared" si="21"/>
        <v>0</v>
      </c>
      <c r="Q112" s="44">
        <f t="shared" si="16"/>
        <v>0</v>
      </c>
      <c r="R112" s="49">
        <f t="shared" si="22"/>
        <v>0</v>
      </c>
      <c r="S112" s="49">
        <f t="shared" si="17"/>
        <v>0</v>
      </c>
      <c r="T112" s="49">
        <f t="shared" si="19"/>
        <v>0</v>
      </c>
      <c r="U112" s="49">
        <f t="shared" si="20"/>
        <v>0</v>
      </c>
      <c r="V112" s="49">
        <f t="shared" si="15"/>
        <v>0</v>
      </c>
      <c r="W112" s="49">
        <f t="shared" si="18"/>
        <v>0</v>
      </c>
    </row>
    <row r="113" spans="2:23">
      <c r="B113" s="75"/>
      <c r="C113" s="76"/>
      <c r="D113" s="77"/>
      <c r="E113" s="78"/>
      <c r="F113" s="79"/>
      <c r="G113" s="79"/>
      <c r="H113" s="80"/>
      <c r="I113" s="81"/>
      <c r="L113" s="49" t="str">
        <f>IF(OR(Overview!$D$4="Preliminary Documentation Review",Overview!$D$4="Preliminary Precertification Review"),IF(AND(P113=0,Q113=0),"",IF(AND(P113&gt;0,Q113&gt;0),"","MISMATCH")),"")</f>
        <v/>
      </c>
      <c r="M113" s="49" t="str">
        <f>IF(OR(Overview!$D$4="Preliminary Documentation Review",Overview!$D$4="Preliminary Precertification Review"),IF(AND(R113=0,S113=0),"",IF(AND(R113&gt;0,S113&gt;0),"","MISMATCH")),"")</f>
        <v/>
      </c>
      <c r="N113" s="49" t="str">
        <f>IF(OR(Overview!$D$4="Preliminary Documentation Review",Overview!$D$4="Preliminary Precertification Review"),IF(AND(T113=0,U113=0),"",IF(AND(T113&gt;0,U113&gt;0),"MISMATCH","")),"")</f>
        <v/>
      </c>
      <c r="O113" s="49" t="str">
        <f>IF(OR(Overview!$D$4="Preliminary Documentation Review",Overview!$D$4="Preliminary Precertification Review"),IF(AND(V113=0,W113=0),"",IF(AND(V113&gt;0,W113&gt;0),"","MISMATCH")),"")</f>
        <v/>
      </c>
      <c r="P113" s="44">
        <f t="shared" si="21"/>
        <v>0</v>
      </c>
      <c r="Q113" s="44">
        <f t="shared" si="16"/>
        <v>0</v>
      </c>
      <c r="R113" s="49">
        <f t="shared" si="22"/>
        <v>0</v>
      </c>
      <c r="S113" s="49">
        <f t="shared" si="17"/>
        <v>0</v>
      </c>
      <c r="T113" s="49">
        <f t="shared" si="19"/>
        <v>0</v>
      </c>
      <c r="U113" s="49">
        <f t="shared" si="20"/>
        <v>0</v>
      </c>
      <c r="V113" s="49">
        <f t="shared" si="15"/>
        <v>0</v>
      </c>
      <c r="W113" s="49">
        <f t="shared" si="18"/>
        <v>0</v>
      </c>
    </row>
    <row r="114" spans="2:23">
      <c r="B114" s="878"/>
      <c r="C114" s="879"/>
      <c r="D114" s="879"/>
      <c r="E114" s="879"/>
      <c r="F114" s="879"/>
      <c r="G114" s="879"/>
      <c r="H114" s="879"/>
      <c r="I114" s="177"/>
      <c r="L114" s="49" t="str">
        <f>IF(OR(Overview!$D$4="Preliminary Documentation Review",Overview!$D$4="Preliminary Precertification Review"),IF(AND(P114=0,Q114=0),"",IF(AND(P114&gt;0,Q114&gt;0),"","MISMATCH")),"")</f>
        <v/>
      </c>
      <c r="M114" s="49" t="str">
        <f>IF(OR(Overview!$D$4="Preliminary Documentation Review",Overview!$D$4="Preliminary Precertification Review"),IF(AND(R114=0,S114=0),"",IF(AND(R114&gt;0,S114&gt;0),"","MISMATCH")),"")</f>
        <v/>
      </c>
      <c r="N114" s="49" t="str">
        <f>IF(OR(Overview!$D$4="Preliminary Documentation Review",Overview!$D$4="Preliminary Precertification Review"),IF(AND(T114=0,U114=0),"",IF(AND(T114&gt;0,U114&gt;0),"MISMATCH","")),"")</f>
        <v/>
      </c>
      <c r="O114" s="49" t="str">
        <f>IF(OR(Overview!$D$4="Preliminary Documentation Review",Overview!$D$4="Preliminary Precertification Review"),IF(AND(V114=0,W114=0),"",IF(AND(V114&gt;0,W114&gt;0),"","MISMATCH")),"")</f>
        <v/>
      </c>
      <c r="T114" s="49">
        <f t="shared" si="19"/>
        <v>0</v>
      </c>
      <c r="U114" s="49">
        <f t="shared" si="20"/>
        <v>0</v>
      </c>
      <c r="V114" s="49">
        <f t="shared" si="15"/>
        <v>0</v>
      </c>
      <c r="W114" s="49">
        <f t="shared" si="18"/>
        <v>0</v>
      </c>
    </row>
    <row r="115" spans="2:23" s="65" customFormat="1" ht="99.9" hidden="1" customHeight="1">
      <c r="B115" s="108"/>
      <c r="C115" s="869" t="s">
        <v>1151</v>
      </c>
      <c r="D115" s="870"/>
      <c r="E115" s="870"/>
      <c r="F115" s="870"/>
      <c r="G115" s="870"/>
      <c r="H115" s="870"/>
      <c r="I115" s="871"/>
      <c r="J115" s="64"/>
      <c r="K115" s="190"/>
      <c r="L115" s="49" t="str">
        <f>IF(OR(Overview!$D$4="Preliminary Documentation Review",Overview!$D$4="Preliminary Precertification Review"),IF(AND(P115=0,Q115=0),"",IF(AND(P115&gt;0,Q115&gt;0),"","MISMATCH")),"")</f>
        <v/>
      </c>
      <c r="M115" s="49" t="str">
        <f>IF(OR(Overview!$D$4="Preliminary Documentation Review",Overview!$D$4="Preliminary Precertification Review"),IF(AND(R115=0,S115=0),"",IF(AND(R115&gt;0,S115&gt;0),"","MISMATCH")),"")</f>
        <v/>
      </c>
      <c r="N115" s="49" t="str">
        <f>IF(OR(Overview!$D$4="Preliminary Documentation Review",Overview!$D$4="Preliminary Precertification Review"),IF(AND(T115=0,U115=0),"",IF(AND(T115&gt;0,U115&gt;0),"MISMATCH","")),"")</f>
        <v/>
      </c>
      <c r="O115" s="49" t="str">
        <f>IF(OR(Overview!$D$4="Preliminary Documentation Review",Overview!$D$4="Preliminary Precertification Review"),IF(AND(V115=0,W115=0),"",IF(AND(V115&gt;0,W115&gt;0),"","MISMATCH")),"")</f>
        <v/>
      </c>
      <c r="T115" s="49">
        <f t="shared" si="19"/>
        <v>0</v>
      </c>
      <c r="U115" s="49">
        <f t="shared" si="20"/>
        <v>0</v>
      </c>
      <c r="V115" s="49">
        <f t="shared" si="15"/>
        <v>0</v>
      </c>
      <c r="W115" s="49">
        <f t="shared" si="18"/>
        <v>0</v>
      </c>
    </row>
    <row r="116" spans="2:23" s="65" customFormat="1" ht="15.6" hidden="1" customHeight="1">
      <c r="B116" s="108"/>
      <c r="C116" s="879"/>
      <c r="D116" s="879"/>
      <c r="E116" s="879"/>
      <c r="F116" s="879"/>
      <c r="G116" s="879"/>
      <c r="H116" s="879"/>
      <c r="I116" s="880"/>
      <c r="J116" s="64"/>
      <c r="K116" s="190"/>
      <c r="L116" s="49" t="str">
        <f>IF(OR(Overview!$D$4="Preliminary Documentation Review",Overview!$D$4="Preliminary Precertification Review"),IF(AND(P116=0,Q116=0),"",IF(AND(P116&gt;0,Q116&gt;0),"","MISMATCH")),"")</f>
        <v/>
      </c>
      <c r="M116" s="49" t="str">
        <f>IF(OR(Overview!$D$4="Preliminary Documentation Review",Overview!$D$4="Preliminary Precertification Review"),IF(AND(R116=0,S116=0),"",IF(AND(R116&gt;0,S116&gt;0),"","MISMATCH")),"")</f>
        <v/>
      </c>
      <c r="N116" s="49" t="str">
        <f>IF(OR(Overview!$D$4="Preliminary Documentation Review",Overview!$D$4="Preliminary Precertification Review"),IF(AND(T116=0,U116=0),"",IF(AND(T116&gt;0,U116&gt;0),"MISMATCH","")),"")</f>
        <v/>
      </c>
      <c r="O116" s="49" t="str">
        <f>IF(OR(Overview!$D$4="Preliminary Documentation Review",Overview!$D$4="Preliminary Precertification Review"),IF(AND(V116=0,W116=0),"",IF(AND(V116&gt;0,W116&gt;0),"","MISMATCH")),"")</f>
        <v/>
      </c>
      <c r="T116" s="49">
        <f t="shared" si="19"/>
        <v>0</v>
      </c>
      <c r="U116" s="49">
        <f t="shared" si="20"/>
        <v>0</v>
      </c>
      <c r="V116" s="49">
        <f t="shared" si="15"/>
        <v>0</v>
      </c>
      <c r="W116" s="49">
        <f t="shared" si="18"/>
        <v>0</v>
      </c>
    </row>
    <row r="117" spans="2:23" ht="135.6">
      <c r="B117" s="907" t="s">
        <v>93</v>
      </c>
      <c r="C117" s="881" t="s">
        <v>8</v>
      </c>
      <c r="D117" s="888" t="s">
        <v>94</v>
      </c>
      <c r="E117" s="700" t="s">
        <v>257</v>
      </c>
      <c r="F117" s="207"/>
      <c r="G117" s="208" t="s">
        <v>219</v>
      </c>
      <c r="H117" s="701" t="s">
        <v>369</v>
      </c>
      <c r="I117" s="725" t="s">
        <v>1146</v>
      </c>
      <c r="K117" s="191"/>
      <c r="L117" s="49" t="str">
        <f>IF(OR(Overview!$D$4="Preliminary Documentation Review",Overview!$D$4="Preliminary Precertification Review"),IF(AND(P117=0,Q117=0),"",IF(AND(P117&gt;0,Q117&gt;0),"","MISMATCH")),"")</f>
        <v/>
      </c>
      <c r="M117" s="49" t="str">
        <f>IF(OR(Overview!$D$4="Preliminary Documentation Review",Overview!$D$4="Preliminary Precertification Review"),IF(AND(R117=0,S117=0),"",IF(AND(R117&gt;0,S117&gt;0),"","MISMATCH")),"")</f>
        <v/>
      </c>
      <c r="N117" s="49" t="str">
        <f>IF(OR(Overview!$D$4="Preliminary Documentation Review",Overview!$D$4="Preliminary Precertification Review"),IF(AND(T117=0,U117=0),"",IF(AND(T117&gt;0,U117&gt;0),"MISMATCH","")),"")</f>
        <v/>
      </c>
      <c r="O117" s="49" t="str">
        <f>IF(OR(Overview!$D$4="Preliminary Documentation Review",Overview!$D$4="Preliminary Precertification Review"),IF(AND(V117=0,W117=0),"",IF(AND(V117&gt;0,W117&gt;0),"","MISMATCH")),"")</f>
        <v/>
      </c>
      <c r="P117" s="44">
        <f t="shared" ref="P117:P147" si="23">IFERROR(SEARCH("COMMENTS TO BE ADDRESS",$I117),0)</f>
        <v>0</v>
      </c>
      <c r="Q117" s="44">
        <f t="shared" si="16"/>
        <v>0</v>
      </c>
      <c r="R117" s="49">
        <f>IFERROR(SEARCH("Theequirements of this part will be v",$I117),0)</f>
        <v>0</v>
      </c>
      <c r="S117" s="49">
        <f t="shared" si="17"/>
        <v>0</v>
      </c>
      <c r="T117" s="49">
        <f t="shared" si="19"/>
        <v>0</v>
      </c>
      <c r="U117" s="49">
        <f t="shared" si="20"/>
        <v>1</v>
      </c>
      <c r="V117" s="49">
        <f t="shared" si="15"/>
        <v>0</v>
      </c>
      <c r="W117" s="49">
        <f t="shared" si="18"/>
        <v>0</v>
      </c>
    </row>
    <row r="118" spans="2:23" ht="46.8">
      <c r="B118" s="907"/>
      <c r="C118" s="881" t="s">
        <v>8</v>
      </c>
      <c r="D118" s="888" t="s">
        <v>96</v>
      </c>
      <c r="E118" s="700" t="s">
        <v>258</v>
      </c>
      <c r="F118" s="209"/>
      <c r="G118" s="208" t="s">
        <v>219</v>
      </c>
      <c r="H118" s="701" t="s">
        <v>369</v>
      </c>
      <c r="I118" s="794" t="s">
        <v>1142</v>
      </c>
      <c r="L118" s="49" t="str">
        <f>IF(OR(Overview!$D$4="Preliminary Documentation Review",Overview!$D$4="Preliminary Precertification Review"),IF(AND(P118=0,Q118=0),"",IF(AND(P118&gt;0,Q118&gt;0),"","MISMATCH")),"")</f>
        <v/>
      </c>
      <c r="M118" s="49" t="str">
        <f>IF(OR(Overview!$D$4="Preliminary Documentation Review",Overview!$D$4="Preliminary Precertification Review"),IF(AND(R118=0,S118=0),"",IF(AND(R118&gt;0,S118&gt;0),"","MISMATCH")),"")</f>
        <v/>
      </c>
      <c r="N118" s="49" t="str">
        <f>IF(OR(Overview!$D$4="Preliminary Documentation Review",Overview!$D$4="Preliminary Precertification Review"),IF(AND(T118=0,U118=0),"",IF(AND(T118&gt;0,U118&gt;0),"MISMATCH","")),"")</f>
        <v/>
      </c>
      <c r="O118" s="49" t="str">
        <f>IF(OR(Overview!$D$4="Preliminary Documentation Review",Overview!$D$4="Preliminary Precertification Review"),IF(AND(V118=0,W118=0),"",IF(AND(V118&gt;0,W118&gt;0),"","MISMATCH")),"")</f>
        <v/>
      </c>
      <c r="P118" s="44">
        <f t="shared" si="23"/>
        <v>0</v>
      </c>
      <c r="Q118" s="44">
        <f t="shared" si="16"/>
        <v>0</v>
      </c>
      <c r="R118" s="49">
        <f t="shared" ref="R118:R147" si="24">IFERROR(SEARCH("equirements of this part will be v",$I118),0)</f>
        <v>0</v>
      </c>
      <c r="S118" s="49">
        <f t="shared" si="17"/>
        <v>0</v>
      </c>
      <c r="T118" s="49">
        <f t="shared" si="19"/>
        <v>0</v>
      </c>
      <c r="U118" s="49">
        <f t="shared" si="20"/>
        <v>1</v>
      </c>
      <c r="V118" s="49">
        <f t="shared" si="15"/>
        <v>0</v>
      </c>
      <c r="W118" s="49">
        <f t="shared" si="18"/>
        <v>0</v>
      </c>
    </row>
    <row r="119" spans="2:23" ht="46.8">
      <c r="B119" s="907"/>
      <c r="C119" s="881"/>
      <c r="D119" s="888"/>
      <c r="E119" s="700" t="s">
        <v>259</v>
      </c>
      <c r="F119" s="209"/>
      <c r="G119" s="208" t="s">
        <v>219</v>
      </c>
      <c r="H119" s="701" t="s">
        <v>369</v>
      </c>
      <c r="I119" s="794" t="s">
        <v>1142</v>
      </c>
      <c r="L119" s="49" t="str">
        <f>IF(OR(Overview!$D$4="Preliminary Documentation Review",Overview!$D$4="Preliminary Precertification Review"),IF(AND(P119=0,Q119=0),"",IF(AND(P119&gt;0,Q119&gt;0),"","MISMATCH")),"")</f>
        <v/>
      </c>
      <c r="M119" s="49" t="str">
        <f>IF(OR(Overview!$D$4="Preliminary Documentation Review",Overview!$D$4="Preliminary Precertification Review"),IF(AND(R119=0,S119=0),"",IF(AND(R119&gt;0,S119&gt;0),"","MISMATCH")),"")</f>
        <v/>
      </c>
      <c r="N119" s="49" t="str">
        <f>IF(OR(Overview!$D$4="Preliminary Documentation Review",Overview!$D$4="Preliminary Precertification Review"),IF(AND(T119=0,U119=0),"",IF(AND(T119&gt;0,U119&gt;0),"MISMATCH","")),"")</f>
        <v/>
      </c>
      <c r="O119" s="49" t="str">
        <f>IF(OR(Overview!$D$4="Preliminary Documentation Review",Overview!$D$4="Preliminary Precertification Review"),IF(AND(V119=0,W119=0),"",IF(AND(V119&gt;0,W119&gt;0),"","MISMATCH")),"")</f>
        <v/>
      </c>
      <c r="P119" s="44">
        <f t="shared" si="23"/>
        <v>0</v>
      </c>
      <c r="Q119" s="44">
        <f t="shared" si="16"/>
        <v>0</v>
      </c>
      <c r="R119" s="49">
        <f t="shared" si="24"/>
        <v>0</v>
      </c>
      <c r="S119" s="49">
        <f t="shared" si="17"/>
        <v>0</v>
      </c>
      <c r="T119" s="49">
        <f t="shared" si="19"/>
        <v>0</v>
      </c>
      <c r="U119" s="49">
        <f t="shared" si="20"/>
        <v>1</v>
      </c>
      <c r="V119" s="49">
        <f t="shared" si="15"/>
        <v>0</v>
      </c>
      <c r="W119" s="49">
        <f t="shared" si="18"/>
        <v>0</v>
      </c>
    </row>
    <row r="120" spans="2:23" ht="46.8">
      <c r="B120" s="907"/>
      <c r="C120" s="881"/>
      <c r="D120" s="888"/>
      <c r="E120" s="700" t="s">
        <v>260</v>
      </c>
      <c r="F120" s="209"/>
      <c r="G120" s="208" t="s">
        <v>219</v>
      </c>
      <c r="H120" s="701" t="s">
        <v>369</v>
      </c>
      <c r="I120" s="794" t="s">
        <v>1142</v>
      </c>
      <c r="L120" s="49" t="str">
        <f>IF(OR(Overview!$D$4="Preliminary Documentation Review",Overview!$D$4="Preliminary Precertification Review"),IF(AND(P120=0,Q120=0),"",IF(AND(P120&gt;0,Q120&gt;0),"","MISMATCH")),"")</f>
        <v/>
      </c>
      <c r="M120" s="49" t="str">
        <f>IF(OR(Overview!$D$4="Preliminary Documentation Review",Overview!$D$4="Preliminary Precertification Review"),IF(AND(R120=0,S120=0),"",IF(AND(R120&gt;0,S120&gt;0),"","MISMATCH")),"")</f>
        <v/>
      </c>
      <c r="N120" s="49" t="str">
        <f>IF(OR(Overview!$D$4="Preliminary Documentation Review",Overview!$D$4="Preliminary Precertification Review"),IF(AND(T120=0,U120=0),"",IF(AND(T120&gt;0,U120&gt;0),"MISMATCH","")),"")</f>
        <v/>
      </c>
      <c r="O120" s="49" t="str">
        <f>IF(OR(Overview!$D$4="Preliminary Documentation Review",Overview!$D$4="Preliminary Precertification Review"),IF(AND(V120=0,W120=0),"",IF(AND(V120&gt;0,W120&gt;0),"","MISMATCH")),"")</f>
        <v/>
      </c>
      <c r="P120" s="44">
        <f t="shared" si="23"/>
        <v>0</v>
      </c>
      <c r="Q120" s="44">
        <f t="shared" si="16"/>
        <v>0</v>
      </c>
      <c r="R120" s="49">
        <f t="shared" si="24"/>
        <v>0</v>
      </c>
      <c r="S120" s="49">
        <f t="shared" si="17"/>
        <v>0</v>
      </c>
      <c r="T120" s="49">
        <f t="shared" si="19"/>
        <v>0</v>
      </c>
      <c r="U120" s="49">
        <f t="shared" si="20"/>
        <v>1</v>
      </c>
      <c r="V120" s="49">
        <f t="shared" si="15"/>
        <v>0</v>
      </c>
      <c r="W120" s="49">
        <f t="shared" si="18"/>
        <v>0</v>
      </c>
    </row>
    <row r="121" spans="2:23" ht="46.8">
      <c r="B121" s="907"/>
      <c r="C121" s="881"/>
      <c r="D121" s="888"/>
      <c r="E121" s="700" t="s">
        <v>261</v>
      </c>
      <c r="F121" s="209"/>
      <c r="G121" s="208" t="s">
        <v>219</v>
      </c>
      <c r="H121" s="701" t="s">
        <v>369</v>
      </c>
      <c r="I121" s="794" t="s">
        <v>1142</v>
      </c>
      <c r="L121" s="49" t="str">
        <f>IF(OR(Overview!$D$4="Preliminary Documentation Review",Overview!$D$4="Preliminary Precertification Review"),IF(AND(P121=0,Q121=0),"",IF(AND(P121&gt;0,Q121&gt;0),"","MISMATCH")),"")</f>
        <v/>
      </c>
      <c r="M121" s="49" t="str">
        <f>IF(OR(Overview!$D$4="Preliminary Documentation Review",Overview!$D$4="Preliminary Precertification Review"),IF(AND(R121=0,S121=0),"",IF(AND(R121&gt;0,S121&gt;0),"","MISMATCH")),"")</f>
        <v/>
      </c>
      <c r="N121" s="49" t="str">
        <f>IF(OR(Overview!$D$4="Preliminary Documentation Review",Overview!$D$4="Preliminary Precertification Review"),IF(AND(T121=0,U121=0),"",IF(AND(T121&gt;0,U121&gt;0),"MISMATCH","")),"")</f>
        <v/>
      </c>
      <c r="O121" s="49" t="str">
        <f>IF(OR(Overview!$D$4="Preliminary Documentation Review",Overview!$D$4="Preliminary Precertification Review"),IF(AND(V121=0,W121=0),"",IF(AND(V121&gt;0,W121&gt;0),"","MISMATCH")),"")</f>
        <v/>
      </c>
      <c r="P121" s="44">
        <f t="shared" si="23"/>
        <v>0</v>
      </c>
      <c r="Q121" s="44">
        <f t="shared" si="16"/>
        <v>0</v>
      </c>
      <c r="R121" s="49">
        <f t="shared" si="24"/>
        <v>0</v>
      </c>
      <c r="S121" s="49">
        <f t="shared" si="17"/>
        <v>0</v>
      </c>
      <c r="T121" s="49">
        <f t="shared" si="19"/>
        <v>0</v>
      </c>
      <c r="U121" s="49">
        <f t="shared" si="20"/>
        <v>1</v>
      </c>
      <c r="V121" s="49">
        <f t="shared" si="15"/>
        <v>0</v>
      </c>
      <c r="W121" s="49">
        <f t="shared" si="18"/>
        <v>0</v>
      </c>
    </row>
    <row r="122" spans="2:23" ht="46.8">
      <c r="B122" s="907"/>
      <c r="C122" s="881"/>
      <c r="D122" s="888"/>
      <c r="E122" s="700" t="s">
        <v>262</v>
      </c>
      <c r="F122" s="210"/>
      <c r="G122" s="208" t="s">
        <v>219</v>
      </c>
      <c r="H122" s="701" t="s">
        <v>369</v>
      </c>
      <c r="I122" s="794" t="s">
        <v>1142</v>
      </c>
      <c r="L122" s="49" t="str">
        <f>IF(OR(Overview!$D$4="Preliminary Documentation Review",Overview!$D$4="Preliminary Precertification Review"),IF(AND(P122=0,Q122=0),"",IF(AND(P122&gt;0,Q122&gt;0),"","MISMATCH")),"")</f>
        <v/>
      </c>
      <c r="M122" s="49" t="str">
        <f>IF(OR(Overview!$D$4="Preliminary Documentation Review",Overview!$D$4="Preliminary Precertification Review"),IF(AND(R122=0,S122=0),"",IF(AND(R122&gt;0,S122&gt;0),"","MISMATCH")),"")</f>
        <v/>
      </c>
      <c r="N122" s="49" t="str">
        <f>IF(OR(Overview!$D$4="Preliminary Documentation Review",Overview!$D$4="Preliminary Precertification Review"),IF(AND(T122=0,U122=0),"",IF(AND(T122&gt;0,U122&gt;0),"MISMATCH","")),"")</f>
        <v/>
      </c>
      <c r="O122" s="49" t="str">
        <f>IF(OR(Overview!$D$4="Preliminary Documentation Review",Overview!$D$4="Preliminary Precertification Review"),IF(AND(V122=0,W122=0),"",IF(AND(V122&gt;0,W122&gt;0),"","MISMATCH")),"")</f>
        <v/>
      </c>
      <c r="P122" s="44">
        <f t="shared" si="23"/>
        <v>0</v>
      </c>
      <c r="Q122" s="44">
        <f t="shared" si="16"/>
        <v>0</v>
      </c>
      <c r="R122" s="49">
        <f t="shared" si="24"/>
        <v>0</v>
      </c>
      <c r="S122" s="49">
        <f t="shared" si="17"/>
        <v>0</v>
      </c>
      <c r="T122" s="49">
        <f t="shared" si="19"/>
        <v>0</v>
      </c>
      <c r="U122" s="49">
        <f t="shared" si="20"/>
        <v>1</v>
      </c>
      <c r="V122" s="49">
        <f t="shared" si="15"/>
        <v>0</v>
      </c>
      <c r="W122" s="49">
        <f t="shared" si="18"/>
        <v>0</v>
      </c>
    </row>
    <row r="123" spans="2:23" ht="46.8">
      <c r="B123" s="907"/>
      <c r="C123" s="881" t="s">
        <v>23</v>
      </c>
      <c r="D123" s="888" t="s">
        <v>102</v>
      </c>
      <c r="E123" s="700" t="s">
        <v>563</v>
      </c>
      <c r="F123" s="211">
        <v>1</v>
      </c>
      <c r="G123" s="208" t="s">
        <v>1071</v>
      </c>
      <c r="H123" s="701" t="s">
        <v>369</v>
      </c>
      <c r="I123" s="794" t="s">
        <v>1142</v>
      </c>
      <c r="L123" s="49" t="str">
        <f>IF(OR(Overview!$D$4="Preliminary Documentation Review",Overview!$D$4="Preliminary Precertification Review"),IF(AND(P123=0,Q123=0),"",IF(AND(P123&gt;0,Q123&gt;0),"","MISMATCH")),"")</f>
        <v/>
      </c>
      <c r="M123" s="49" t="str">
        <f>IF(OR(Overview!$D$4="Preliminary Documentation Review",Overview!$D$4="Preliminary Precertification Review"),IF(AND(R123=0,S123=0),"",IF(AND(R123&gt;0,S123&gt;0),"","MISMATCH")),"")</f>
        <v/>
      </c>
      <c r="N123" s="49" t="str">
        <f>IF(OR(Overview!$D$4="Preliminary Documentation Review",Overview!$D$4="Preliminary Precertification Review"),IF(AND(T123=0,U123=0),"",IF(AND(T123&gt;0,U123&gt;0),"MISMATCH","")),"")</f>
        <v/>
      </c>
      <c r="O123" s="49" t="str">
        <f>IF(OR(Overview!$D$4="Preliminary Documentation Review",Overview!$D$4="Preliminary Precertification Review"),IF(AND(V123=0,W123=0),"",IF(AND(V123&gt;0,W123&gt;0),"","MISMATCH")),"")</f>
        <v/>
      </c>
      <c r="P123" s="44">
        <f t="shared" si="23"/>
        <v>0</v>
      </c>
      <c r="Q123" s="44">
        <f t="shared" si="16"/>
        <v>0</v>
      </c>
      <c r="R123" s="49">
        <f t="shared" si="24"/>
        <v>0</v>
      </c>
      <c r="S123" s="49">
        <f t="shared" si="17"/>
        <v>0</v>
      </c>
      <c r="T123" s="49">
        <f t="shared" si="19"/>
        <v>0</v>
      </c>
      <c r="U123" s="49">
        <f t="shared" si="20"/>
        <v>1</v>
      </c>
      <c r="V123" s="49">
        <f t="shared" si="15"/>
        <v>0</v>
      </c>
      <c r="W123" s="49">
        <f t="shared" si="18"/>
        <v>0</v>
      </c>
    </row>
    <row r="124" spans="2:23" ht="46.8">
      <c r="B124" s="907"/>
      <c r="C124" s="881"/>
      <c r="D124" s="888"/>
      <c r="E124" s="700" t="s">
        <v>564</v>
      </c>
      <c r="F124" s="212">
        <v>1</v>
      </c>
      <c r="G124" s="208" t="s">
        <v>1071</v>
      </c>
      <c r="H124" s="701" t="s">
        <v>369</v>
      </c>
      <c r="I124" s="794" t="s">
        <v>1142</v>
      </c>
      <c r="L124" s="49" t="str">
        <f>IF(OR(Overview!$D$4="Preliminary Documentation Review",Overview!$D$4="Preliminary Precertification Review"),IF(AND(P124=0,Q124=0),"",IF(AND(P124&gt;0,Q124&gt;0),"","MISMATCH")),"")</f>
        <v/>
      </c>
      <c r="M124" s="49" t="str">
        <f>IF(OR(Overview!$D$4="Preliminary Documentation Review",Overview!$D$4="Preliminary Precertification Review"),IF(AND(R124=0,S124=0),"",IF(AND(R124&gt;0,S124&gt;0),"","MISMATCH")),"")</f>
        <v/>
      </c>
      <c r="N124" s="49" t="str">
        <f>IF(OR(Overview!$D$4="Preliminary Documentation Review",Overview!$D$4="Preliminary Precertification Review"),IF(AND(T124=0,U124=0),"",IF(AND(T124&gt;0,U124&gt;0),"MISMATCH","")),"")</f>
        <v/>
      </c>
      <c r="O124" s="49" t="str">
        <f>IF(OR(Overview!$D$4="Preliminary Documentation Review",Overview!$D$4="Preliminary Precertification Review"),IF(AND(V124=0,W124=0),"",IF(AND(V124&gt;0,W124&gt;0),"","MISMATCH")),"")</f>
        <v/>
      </c>
      <c r="P124" s="44">
        <f t="shared" si="23"/>
        <v>0</v>
      </c>
      <c r="Q124" s="44">
        <f t="shared" si="16"/>
        <v>0</v>
      </c>
      <c r="R124" s="49">
        <f t="shared" si="24"/>
        <v>0</v>
      </c>
      <c r="S124" s="49">
        <f t="shared" si="17"/>
        <v>0</v>
      </c>
      <c r="T124" s="49">
        <f t="shared" si="19"/>
        <v>0</v>
      </c>
      <c r="U124" s="49">
        <f t="shared" si="20"/>
        <v>1</v>
      </c>
      <c r="V124" s="49">
        <f t="shared" si="15"/>
        <v>0</v>
      </c>
      <c r="W124" s="49">
        <f t="shared" si="18"/>
        <v>0</v>
      </c>
    </row>
    <row r="125" spans="2:23" ht="45.6">
      <c r="B125" s="907"/>
      <c r="C125" s="881"/>
      <c r="D125" s="888"/>
      <c r="E125" s="700" t="s">
        <v>565</v>
      </c>
      <c r="F125" s="213"/>
      <c r="G125" s="208" t="s">
        <v>1061</v>
      </c>
      <c r="H125" s="701" t="s">
        <v>324</v>
      </c>
      <c r="I125" s="67" t="s">
        <v>1145</v>
      </c>
      <c r="L125" s="49" t="str">
        <f>IF(OR(Overview!$D$4="Preliminary Documentation Review",Overview!$D$4="Preliminary Precertification Review"),IF(AND(P125=0,Q125=0),"",IF(AND(P125&gt;0,Q125&gt;0),"","MISMATCH")),"")</f>
        <v/>
      </c>
      <c r="M125" s="49" t="str">
        <f>IF(OR(Overview!$D$4="Preliminary Documentation Review",Overview!$D$4="Preliminary Precertification Review"),IF(AND(R125=0,S125=0),"",IF(AND(R125&gt;0,S125&gt;0),"","MISMATCH")),"")</f>
        <v/>
      </c>
      <c r="N125" s="49" t="str">
        <f>IF(OR(Overview!$D$4="Preliminary Documentation Review",Overview!$D$4="Preliminary Precertification Review"),IF(AND(T125=0,U125=0),"",IF(AND(T125&gt;0,U125&gt;0),"MISMATCH","")),"")</f>
        <v/>
      </c>
      <c r="O125" s="49" t="str">
        <f>IF(OR(Overview!$D$4="Preliminary Documentation Review",Overview!$D$4="Preliminary Precertification Review"),IF(AND(V125=0,W125=0),"",IF(AND(V125&gt;0,W125&gt;0),"","MISMATCH")),"")</f>
        <v/>
      </c>
      <c r="P125" s="44">
        <f t="shared" si="23"/>
        <v>0</v>
      </c>
      <c r="Q125" s="44">
        <f t="shared" si="16"/>
        <v>0</v>
      </c>
      <c r="R125" s="49">
        <f t="shared" si="24"/>
        <v>0</v>
      </c>
      <c r="S125" s="49">
        <f t="shared" si="17"/>
        <v>0</v>
      </c>
      <c r="T125" s="49">
        <f t="shared" si="19"/>
        <v>38</v>
      </c>
      <c r="U125" s="49">
        <f t="shared" si="20"/>
        <v>0</v>
      </c>
      <c r="V125" s="49">
        <f t="shared" si="15"/>
        <v>38</v>
      </c>
      <c r="W125" s="49">
        <f t="shared" si="18"/>
        <v>1</v>
      </c>
    </row>
    <row r="126" spans="2:23" ht="181.8">
      <c r="B126" s="907"/>
      <c r="C126" s="881" t="s">
        <v>23</v>
      </c>
      <c r="D126" s="888" t="s">
        <v>103</v>
      </c>
      <c r="E126" s="700" t="s">
        <v>263</v>
      </c>
      <c r="F126" s="211">
        <v>2</v>
      </c>
      <c r="G126" s="208" t="s">
        <v>1071</v>
      </c>
      <c r="H126" s="701" t="s">
        <v>369</v>
      </c>
      <c r="I126" s="795" t="s">
        <v>1156</v>
      </c>
      <c r="L126" s="49" t="str">
        <f>IF(OR(Overview!$D$4="Preliminary Documentation Review",Overview!$D$4="Preliminary Precertification Review"),IF(AND(P126=0,Q126=0),"",IF(AND(P126&gt;0,Q126&gt;0),"","MISMATCH")),"")</f>
        <v/>
      </c>
      <c r="M126" s="49" t="str">
        <f>IF(OR(Overview!$D$4="Preliminary Documentation Review",Overview!$D$4="Preliminary Precertification Review"),IF(AND(R126=0,S126=0),"",IF(AND(R126&gt;0,S126&gt;0),"","MISMATCH")),"")</f>
        <v/>
      </c>
      <c r="N126" s="49" t="str">
        <f>IF(OR(Overview!$D$4="Preliminary Documentation Review",Overview!$D$4="Preliminary Precertification Review"),IF(AND(T126=0,U126=0),"",IF(AND(T126&gt;0,U126&gt;0),"MISMATCH","")),"")</f>
        <v/>
      </c>
      <c r="O126" s="49" t="str">
        <f>IF(OR(Overview!$D$4="Preliminary Documentation Review",Overview!$D$4="Preliminary Precertification Review"),IF(AND(V126=0,W126=0),"",IF(AND(V126&gt;0,W126&gt;0),"","MISMATCH")),"")</f>
        <v/>
      </c>
      <c r="P126" s="44">
        <f t="shared" si="23"/>
        <v>282</v>
      </c>
      <c r="Q126" s="44">
        <f t="shared" si="16"/>
        <v>0</v>
      </c>
      <c r="R126" s="49">
        <f t="shared" si="24"/>
        <v>0</v>
      </c>
      <c r="S126" s="49">
        <f t="shared" si="17"/>
        <v>0</v>
      </c>
      <c r="T126" s="49">
        <f t="shared" si="19"/>
        <v>0</v>
      </c>
      <c r="U126" s="49">
        <f t="shared" si="20"/>
        <v>1</v>
      </c>
      <c r="V126" s="49">
        <f t="shared" si="15"/>
        <v>0</v>
      </c>
      <c r="W126" s="49">
        <f t="shared" si="18"/>
        <v>0</v>
      </c>
    </row>
    <row r="127" spans="2:23" ht="45.6">
      <c r="B127" s="907"/>
      <c r="C127" s="881"/>
      <c r="D127" s="888"/>
      <c r="E127" s="700" t="s">
        <v>264</v>
      </c>
      <c r="F127" s="213"/>
      <c r="G127" s="208" t="s">
        <v>1061</v>
      </c>
      <c r="H127" s="701" t="s">
        <v>324</v>
      </c>
      <c r="I127" s="67" t="s">
        <v>1145</v>
      </c>
      <c r="L127" s="49" t="str">
        <f>IF(OR(Overview!$D$4="Preliminary Documentation Review",Overview!$D$4="Preliminary Precertification Review"),IF(AND(P127=0,Q127=0),"",IF(AND(P127&gt;0,Q127&gt;0),"","MISMATCH")),"")</f>
        <v/>
      </c>
      <c r="M127" s="49" t="str">
        <f>IF(OR(Overview!$D$4="Preliminary Documentation Review",Overview!$D$4="Preliminary Precertification Review"),IF(AND(R127=0,S127=0),"",IF(AND(R127&gt;0,S127&gt;0),"","MISMATCH")),"")</f>
        <v/>
      </c>
      <c r="N127" s="49" t="str">
        <f>IF(OR(Overview!$D$4="Preliminary Documentation Review",Overview!$D$4="Preliminary Precertification Review"),IF(AND(T127=0,U127=0),"",IF(AND(T127&gt;0,U127&gt;0),"MISMATCH","")),"")</f>
        <v/>
      </c>
      <c r="O127" s="49" t="str">
        <f>IF(OR(Overview!$D$4="Preliminary Documentation Review",Overview!$D$4="Preliminary Precertification Review"),IF(AND(V127=0,W127=0),"",IF(AND(V127&gt;0,W127&gt;0),"","MISMATCH")),"")</f>
        <v/>
      </c>
      <c r="P127" s="44">
        <f t="shared" si="23"/>
        <v>0</v>
      </c>
      <c r="Q127" s="44">
        <f t="shared" si="16"/>
        <v>0</v>
      </c>
      <c r="R127" s="49">
        <f t="shared" si="24"/>
        <v>0</v>
      </c>
      <c r="S127" s="49">
        <f t="shared" si="17"/>
        <v>0</v>
      </c>
      <c r="T127" s="49">
        <f t="shared" si="19"/>
        <v>38</v>
      </c>
      <c r="U127" s="49">
        <f t="shared" si="20"/>
        <v>0</v>
      </c>
      <c r="V127" s="49">
        <f t="shared" si="15"/>
        <v>38</v>
      </c>
      <c r="W127" s="49">
        <f t="shared" si="18"/>
        <v>1</v>
      </c>
    </row>
    <row r="128" spans="2:23" ht="196.8">
      <c r="B128" s="907"/>
      <c r="C128" s="881" t="s">
        <v>23</v>
      </c>
      <c r="D128" s="888" t="s">
        <v>106</v>
      </c>
      <c r="E128" s="700" t="s">
        <v>265</v>
      </c>
      <c r="F128" s="211">
        <v>2</v>
      </c>
      <c r="G128" s="208" t="s">
        <v>1071</v>
      </c>
      <c r="H128" s="701" t="s">
        <v>369</v>
      </c>
      <c r="I128" s="67" t="s">
        <v>1154</v>
      </c>
      <c r="L128" s="49" t="str">
        <f>IF(OR(Overview!$D$4="Preliminary Documentation Review",Overview!$D$4="Preliminary Precertification Review"),IF(AND(P128=0,Q128=0),"",IF(AND(P128&gt;0,Q128&gt;0),"","MISMATCH")),"")</f>
        <v/>
      </c>
      <c r="M128" s="49" t="str">
        <f>IF(OR(Overview!$D$4="Preliminary Documentation Review",Overview!$D$4="Preliminary Precertification Review"),IF(AND(R128=0,S128=0),"",IF(AND(R128&gt;0,S128&gt;0),"","MISMATCH")),"")</f>
        <v/>
      </c>
      <c r="N128" s="49" t="str">
        <f>IF(OR(Overview!$D$4="Preliminary Documentation Review",Overview!$D$4="Preliminary Precertification Review"),IF(AND(T128=0,U128=0),"",IF(AND(T128&gt;0,U128&gt;0),"MISMATCH","")),"")</f>
        <v/>
      </c>
      <c r="O128" s="49" t="str">
        <f>IF(OR(Overview!$D$4="Preliminary Documentation Review",Overview!$D$4="Preliminary Precertification Review"),IF(AND(V128=0,W128=0),"",IF(AND(V128&gt;0,W128&gt;0),"","MISMATCH")),"")</f>
        <v/>
      </c>
      <c r="P128" s="44">
        <f t="shared" si="23"/>
        <v>314</v>
      </c>
      <c r="Q128" s="44">
        <f t="shared" si="16"/>
        <v>0</v>
      </c>
      <c r="R128" s="49">
        <f t="shared" si="24"/>
        <v>0</v>
      </c>
      <c r="S128" s="49">
        <f t="shared" si="17"/>
        <v>0</v>
      </c>
      <c r="T128" s="49">
        <f t="shared" si="19"/>
        <v>0</v>
      </c>
      <c r="U128" s="49">
        <f t="shared" si="20"/>
        <v>1</v>
      </c>
      <c r="V128" s="49">
        <f t="shared" si="15"/>
        <v>0</v>
      </c>
      <c r="W128" s="49">
        <f t="shared" si="18"/>
        <v>0</v>
      </c>
    </row>
    <row r="129" spans="2:23" ht="256.8">
      <c r="B129" s="907"/>
      <c r="C129" s="881"/>
      <c r="D129" s="888"/>
      <c r="E129" s="700" t="s">
        <v>266</v>
      </c>
      <c r="F129" s="797">
        <v>1</v>
      </c>
      <c r="G129" s="208" t="s">
        <v>1071</v>
      </c>
      <c r="H129" s="701" t="s">
        <v>369</v>
      </c>
      <c r="I129" s="67" t="s">
        <v>1157</v>
      </c>
      <c r="L129" s="49" t="str">
        <f>IF(OR(Overview!$D$4="Preliminary Documentation Review",Overview!$D$4="Preliminary Precertification Review"),IF(AND(P129=0,Q129=0),"",IF(AND(P129&gt;0,Q129&gt;0),"","MISMATCH")),"")</f>
        <v/>
      </c>
      <c r="M129" s="49" t="str">
        <f>IF(OR(Overview!$D$4="Preliminary Documentation Review",Overview!$D$4="Preliminary Precertification Review"),IF(AND(R129=0,S129=0),"",IF(AND(R129&gt;0,S129&gt;0),"","MISMATCH")),"")</f>
        <v/>
      </c>
      <c r="N129" s="49" t="str">
        <f>IF(OR(Overview!$D$4="Preliminary Documentation Review",Overview!$D$4="Preliminary Precertification Review"),IF(AND(T129=0,U129=0),"",IF(AND(T129&gt;0,U129&gt;0),"MISMATCH","")),"")</f>
        <v/>
      </c>
      <c r="O129" s="49" t="str">
        <f>IF(OR(Overview!$D$4="Preliminary Documentation Review",Overview!$D$4="Preliminary Precertification Review"),IF(AND(V129=0,W129=0),"",IF(AND(V129&gt;0,W129&gt;0),"","MISMATCH")),"")</f>
        <v/>
      </c>
      <c r="P129" s="44">
        <f t="shared" si="23"/>
        <v>314</v>
      </c>
      <c r="Q129" s="44">
        <f t="shared" si="16"/>
        <v>0</v>
      </c>
      <c r="R129" s="49">
        <f t="shared" si="24"/>
        <v>0</v>
      </c>
      <c r="S129" s="49">
        <f t="shared" si="17"/>
        <v>0</v>
      </c>
      <c r="T129" s="49">
        <f t="shared" si="19"/>
        <v>0</v>
      </c>
      <c r="U129" s="49">
        <f t="shared" si="20"/>
        <v>1</v>
      </c>
      <c r="V129" s="49">
        <f t="shared" si="15"/>
        <v>0</v>
      </c>
      <c r="W129" s="49">
        <f t="shared" si="18"/>
        <v>0</v>
      </c>
    </row>
    <row r="130" spans="2:23" ht="45.6">
      <c r="B130" s="907"/>
      <c r="C130" s="881"/>
      <c r="D130" s="888"/>
      <c r="E130" s="700" t="s">
        <v>267</v>
      </c>
      <c r="F130" s="212"/>
      <c r="G130" s="208" t="s">
        <v>1061</v>
      </c>
      <c r="H130" s="701" t="s">
        <v>324</v>
      </c>
      <c r="I130" s="67" t="s">
        <v>1145</v>
      </c>
      <c r="L130" s="49" t="str">
        <f>IF(OR(Overview!$D$4="Preliminary Documentation Review",Overview!$D$4="Preliminary Precertification Review"),IF(AND(P130=0,Q130=0),"",IF(AND(P130&gt;0,Q130&gt;0),"","MISMATCH")),"")</f>
        <v/>
      </c>
      <c r="M130" s="49" t="str">
        <f>IF(OR(Overview!$D$4="Preliminary Documentation Review",Overview!$D$4="Preliminary Precertification Review"),IF(AND(R130=0,S130=0),"",IF(AND(R130&gt;0,S130&gt;0),"","MISMATCH")),"")</f>
        <v/>
      </c>
      <c r="N130" s="49" t="str">
        <f>IF(OR(Overview!$D$4="Preliminary Documentation Review",Overview!$D$4="Preliminary Precertification Review"),IF(AND(T130=0,U130=0),"",IF(AND(T130&gt;0,U130&gt;0),"MISMATCH","")),"")</f>
        <v/>
      </c>
      <c r="O130" s="49" t="str">
        <f>IF(OR(Overview!$D$4="Preliminary Documentation Review",Overview!$D$4="Preliminary Precertification Review"),IF(AND(V130=0,W130=0),"",IF(AND(V130&gt;0,W130&gt;0),"","MISMATCH")),"")</f>
        <v/>
      </c>
      <c r="P130" s="44">
        <f t="shared" si="23"/>
        <v>0</v>
      </c>
      <c r="Q130" s="44">
        <f t="shared" si="16"/>
        <v>0</v>
      </c>
      <c r="R130" s="49">
        <f t="shared" si="24"/>
        <v>0</v>
      </c>
      <c r="S130" s="49">
        <f t="shared" si="17"/>
        <v>0</v>
      </c>
      <c r="T130" s="49">
        <f t="shared" si="19"/>
        <v>38</v>
      </c>
      <c r="U130" s="49">
        <f t="shared" si="20"/>
        <v>0</v>
      </c>
      <c r="V130" s="49">
        <f t="shared" si="15"/>
        <v>38</v>
      </c>
      <c r="W130" s="49">
        <f t="shared" si="18"/>
        <v>1</v>
      </c>
    </row>
    <row r="131" spans="2:23" ht="45.6">
      <c r="B131" s="907"/>
      <c r="C131" s="881"/>
      <c r="D131" s="888"/>
      <c r="E131" s="700" t="s">
        <v>268</v>
      </c>
      <c r="F131" s="213"/>
      <c r="G131" s="208" t="s">
        <v>1061</v>
      </c>
      <c r="H131" s="701" t="s">
        <v>324</v>
      </c>
      <c r="I131" s="67" t="s">
        <v>1145</v>
      </c>
      <c r="L131" s="49" t="str">
        <f>IF(OR(Overview!$D$4="Preliminary Documentation Review",Overview!$D$4="Preliminary Precertification Review"),IF(AND(P131=0,Q131=0),"",IF(AND(P131&gt;0,Q131&gt;0),"","MISMATCH")),"")</f>
        <v/>
      </c>
      <c r="M131" s="49" t="str">
        <f>IF(OR(Overview!$D$4="Preliminary Documentation Review",Overview!$D$4="Preliminary Precertification Review"),IF(AND(R131=0,S131=0),"",IF(AND(R131&gt;0,S131&gt;0),"","MISMATCH")),"")</f>
        <v/>
      </c>
      <c r="N131" s="49" t="str">
        <f>IF(OR(Overview!$D$4="Preliminary Documentation Review",Overview!$D$4="Preliminary Precertification Review"),IF(AND(T131=0,U131=0),"",IF(AND(T131&gt;0,U131&gt;0),"MISMATCH","")),"")</f>
        <v/>
      </c>
      <c r="O131" s="49" t="str">
        <f>IF(OR(Overview!$D$4="Preliminary Documentation Review",Overview!$D$4="Preliminary Precertification Review"),IF(AND(V131=0,W131=0),"",IF(AND(V131&gt;0,W131&gt;0),"","MISMATCH")),"")</f>
        <v/>
      </c>
      <c r="P131" s="44">
        <f t="shared" si="23"/>
        <v>0</v>
      </c>
      <c r="Q131" s="44">
        <f t="shared" si="16"/>
        <v>0</v>
      </c>
      <c r="R131" s="49">
        <f t="shared" si="24"/>
        <v>0</v>
      </c>
      <c r="S131" s="49">
        <f t="shared" si="17"/>
        <v>0</v>
      </c>
      <c r="T131" s="49">
        <f t="shared" si="19"/>
        <v>38</v>
      </c>
      <c r="U131" s="49">
        <f t="shared" si="20"/>
        <v>0</v>
      </c>
      <c r="V131" s="49">
        <f t="shared" si="15"/>
        <v>38</v>
      </c>
      <c r="W131" s="49">
        <f t="shared" si="18"/>
        <v>1</v>
      </c>
    </row>
    <row r="132" spans="2:23" ht="45.6">
      <c r="B132" s="907"/>
      <c r="C132" s="881" t="s">
        <v>23</v>
      </c>
      <c r="D132" s="888" t="s">
        <v>111</v>
      </c>
      <c r="E132" s="700" t="s">
        <v>269</v>
      </c>
      <c r="F132" s="211"/>
      <c r="G132" s="208" t="s">
        <v>1061</v>
      </c>
      <c r="H132" s="701" t="s">
        <v>324</v>
      </c>
      <c r="I132" s="67" t="s">
        <v>1145</v>
      </c>
      <c r="L132" s="49" t="str">
        <f>IF(OR(Overview!$D$4="Preliminary Documentation Review",Overview!$D$4="Preliminary Precertification Review"),IF(AND(P132=0,Q132=0),"",IF(AND(P132&gt;0,Q132&gt;0),"","MISMATCH")),"")</f>
        <v/>
      </c>
      <c r="M132" s="49" t="str">
        <f>IF(OR(Overview!$D$4="Preliminary Documentation Review",Overview!$D$4="Preliminary Precertification Review"),IF(AND(R132=0,S132=0),"",IF(AND(R132&gt;0,S132&gt;0),"","MISMATCH")),"")</f>
        <v/>
      </c>
      <c r="N132" s="49" t="str">
        <f>IF(OR(Overview!$D$4="Preliminary Documentation Review",Overview!$D$4="Preliminary Precertification Review"),IF(AND(T132=0,U132=0),"",IF(AND(T132&gt;0,U132&gt;0),"MISMATCH","")),"")</f>
        <v/>
      </c>
      <c r="O132" s="49" t="str">
        <f>IF(OR(Overview!$D$4="Preliminary Documentation Review",Overview!$D$4="Preliminary Precertification Review"),IF(AND(V132=0,W132=0),"",IF(AND(V132&gt;0,W132&gt;0),"","MISMATCH")),"")</f>
        <v/>
      </c>
      <c r="P132" s="44">
        <f t="shared" si="23"/>
        <v>0</v>
      </c>
      <c r="Q132" s="44">
        <f t="shared" si="16"/>
        <v>0</v>
      </c>
      <c r="R132" s="49">
        <f t="shared" si="24"/>
        <v>0</v>
      </c>
      <c r="S132" s="49">
        <f t="shared" si="17"/>
        <v>0</v>
      </c>
      <c r="T132" s="49">
        <f t="shared" si="19"/>
        <v>38</v>
      </c>
      <c r="U132" s="49">
        <f t="shared" si="20"/>
        <v>0</v>
      </c>
      <c r="V132" s="49">
        <f t="shared" si="15"/>
        <v>38</v>
      </c>
      <c r="W132" s="49">
        <f t="shared" si="18"/>
        <v>1</v>
      </c>
    </row>
    <row r="133" spans="2:23" ht="45.6">
      <c r="B133" s="907"/>
      <c r="C133" s="881"/>
      <c r="D133" s="888"/>
      <c r="E133" s="700" t="s">
        <v>270</v>
      </c>
      <c r="F133" s="213"/>
      <c r="G133" s="208" t="s">
        <v>1061</v>
      </c>
      <c r="H133" s="701" t="s">
        <v>324</v>
      </c>
      <c r="I133" s="67" t="s">
        <v>1145</v>
      </c>
      <c r="L133" s="49" t="str">
        <f>IF(OR(Overview!$D$4="Preliminary Documentation Review",Overview!$D$4="Preliminary Precertification Review"),IF(AND(P133=0,Q133=0),"",IF(AND(P133&gt;0,Q133&gt;0),"","MISMATCH")),"")</f>
        <v/>
      </c>
      <c r="M133" s="49" t="str">
        <f>IF(OR(Overview!$D$4="Preliminary Documentation Review",Overview!$D$4="Preliminary Precertification Review"),IF(AND(R133=0,S133=0),"",IF(AND(R133&gt;0,S133&gt;0),"","MISMATCH")),"")</f>
        <v/>
      </c>
      <c r="N133" s="49" t="str">
        <f>IF(OR(Overview!$D$4="Preliminary Documentation Review",Overview!$D$4="Preliminary Precertification Review"),IF(AND(T133=0,U133=0),"",IF(AND(T133&gt;0,U133&gt;0),"MISMATCH","")),"")</f>
        <v/>
      </c>
      <c r="O133" s="49" t="str">
        <f>IF(OR(Overview!$D$4="Preliminary Documentation Review",Overview!$D$4="Preliminary Precertification Review"),IF(AND(V133=0,W133=0),"",IF(AND(V133&gt;0,W133&gt;0),"","MISMATCH")),"")</f>
        <v/>
      </c>
      <c r="P133" s="44">
        <f t="shared" si="23"/>
        <v>0</v>
      </c>
      <c r="Q133" s="44">
        <f t="shared" si="16"/>
        <v>0</v>
      </c>
      <c r="R133" s="49">
        <f t="shared" si="24"/>
        <v>0</v>
      </c>
      <c r="S133" s="49">
        <f t="shared" si="17"/>
        <v>0</v>
      </c>
      <c r="T133" s="49">
        <f t="shared" si="19"/>
        <v>38</v>
      </c>
      <c r="U133" s="49">
        <f t="shared" si="20"/>
        <v>0</v>
      </c>
      <c r="V133" s="49">
        <f t="shared" si="15"/>
        <v>38</v>
      </c>
      <c r="W133" s="49">
        <f t="shared" si="18"/>
        <v>1</v>
      </c>
    </row>
    <row r="134" spans="2:23" ht="46.8">
      <c r="B134" s="907"/>
      <c r="C134" s="881" t="s">
        <v>23</v>
      </c>
      <c r="D134" s="888" t="s">
        <v>112</v>
      </c>
      <c r="E134" s="700" t="s">
        <v>271</v>
      </c>
      <c r="F134" s="214">
        <v>2</v>
      </c>
      <c r="G134" s="208" t="s">
        <v>1071</v>
      </c>
      <c r="H134" s="701" t="s">
        <v>369</v>
      </c>
      <c r="I134" s="794" t="s">
        <v>1142</v>
      </c>
      <c r="L134" s="49" t="str">
        <f>IF(OR(Overview!$D$4="Preliminary Documentation Review",Overview!$D$4="Preliminary Precertification Review"),IF(AND(P134=0,Q134=0),"",IF(AND(P134&gt;0,Q134&gt;0),"","MISMATCH")),"")</f>
        <v/>
      </c>
      <c r="M134" s="49" t="str">
        <f>IF(OR(Overview!$D$4="Preliminary Documentation Review",Overview!$D$4="Preliminary Precertification Review"),IF(AND(R134=0,S134=0),"",IF(AND(R134&gt;0,S134&gt;0),"","MISMATCH")),"")</f>
        <v/>
      </c>
      <c r="N134" s="49" t="str">
        <f>IF(OR(Overview!$D$4="Preliminary Documentation Review",Overview!$D$4="Preliminary Precertification Review"),IF(AND(T134=0,U134=0),"",IF(AND(T134&gt;0,U134&gt;0),"MISMATCH","")),"")</f>
        <v/>
      </c>
      <c r="O134" s="49" t="str">
        <f>IF(OR(Overview!$D$4="Preliminary Documentation Review",Overview!$D$4="Preliminary Precertification Review"),IF(AND(V134=0,W134=0),"",IF(AND(V134&gt;0,W134&gt;0),"","MISMATCH")),"")</f>
        <v/>
      </c>
      <c r="P134" s="44">
        <f t="shared" si="23"/>
        <v>0</v>
      </c>
      <c r="Q134" s="44">
        <f t="shared" si="16"/>
        <v>0</v>
      </c>
      <c r="R134" s="49">
        <f t="shared" si="24"/>
        <v>0</v>
      </c>
      <c r="S134" s="49">
        <f t="shared" si="17"/>
        <v>0</v>
      </c>
      <c r="T134" s="49">
        <f t="shared" si="19"/>
        <v>0</v>
      </c>
      <c r="U134" s="49">
        <f t="shared" si="20"/>
        <v>1</v>
      </c>
      <c r="V134" s="49">
        <f t="shared" si="15"/>
        <v>0</v>
      </c>
      <c r="W134" s="49">
        <f t="shared" si="18"/>
        <v>0</v>
      </c>
    </row>
    <row r="135" spans="2:23" ht="196.8">
      <c r="B135" s="907"/>
      <c r="C135" s="881" t="s">
        <v>23</v>
      </c>
      <c r="D135" s="888" t="s">
        <v>113</v>
      </c>
      <c r="E135" s="700" t="s">
        <v>566</v>
      </c>
      <c r="F135" s="211"/>
      <c r="G135" s="208" t="s">
        <v>1061</v>
      </c>
      <c r="H135" s="701" t="s">
        <v>328</v>
      </c>
      <c r="I135" s="67" t="s">
        <v>1158</v>
      </c>
      <c r="L135" s="49" t="str">
        <f>IF(OR(Overview!$D$4="Preliminary Documentation Review",Overview!$D$4="Preliminary Precertification Review"),IF(AND(P135=0,Q135=0),"",IF(AND(P135&gt;0,Q135&gt;0),"","MISMATCH")),"")</f>
        <v/>
      </c>
      <c r="M135" s="49" t="str">
        <f>IF(OR(Overview!$D$4="Preliminary Documentation Review",Overview!$D$4="Preliminary Precertification Review"),IF(AND(R135=0,S135=0),"",IF(AND(R135&gt;0,S135&gt;0),"","MISMATCH")),"")</f>
        <v/>
      </c>
      <c r="N135" s="49" t="str">
        <f>IF(OR(Overview!$D$4="Preliminary Documentation Review",Overview!$D$4="Preliminary Precertification Review"),IF(AND(T135=0,U135=0),"",IF(AND(T135&gt;0,U135&gt;0),"MISMATCH","")),"")</f>
        <v/>
      </c>
      <c r="O135" s="49" t="str">
        <f>IF(OR(Overview!$D$4="Preliminary Documentation Review",Overview!$D$4="Preliminary Precertification Review"),IF(AND(V135=0,W135=0),"",IF(AND(V135&gt;0,W135&gt;0),"","MISMATCH")),"")</f>
        <v/>
      </c>
      <c r="P135" s="44">
        <f t="shared" si="23"/>
        <v>248</v>
      </c>
      <c r="Q135" s="44">
        <f t="shared" si="16"/>
        <v>0</v>
      </c>
      <c r="R135" s="49">
        <f t="shared" si="24"/>
        <v>0</v>
      </c>
      <c r="S135" s="49">
        <f t="shared" si="17"/>
        <v>0</v>
      </c>
      <c r="T135" s="49">
        <f t="shared" si="19"/>
        <v>0</v>
      </c>
      <c r="U135" s="49">
        <f t="shared" si="20"/>
        <v>0</v>
      </c>
      <c r="V135" s="49">
        <f t="shared" si="15"/>
        <v>0</v>
      </c>
      <c r="W135" s="49">
        <f t="shared" si="18"/>
        <v>0</v>
      </c>
    </row>
    <row r="136" spans="2:23" ht="45.6">
      <c r="B136" s="907"/>
      <c r="C136" s="881"/>
      <c r="D136" s="888"/>
      <c r="E136" s="700" t="s">
        <v>567</v>
      </c>
      <c r="F136" s="212"/>
      <c r="G136" s="208" t="s">
        <v>1061</v>
      </c>
      <c r="H136" s="701" t="s">
        <v>324</v>
      </c>
      <c r="I136" s="67" t="s">
        <v>1145</v>
      </c>
      <c r="L136" s="49" t="str">
        <f>IF(OR(Overview!$D$4="Preliminary Documentation Review",Overview!$D$4="Preliminary Precertification Review"),IF(AND(P136=0,Q136=0),"",IF(AND(P136&gt;0,Q136&gt;0),"","MISMATCH")),"")</f>
        <v/>
      </c>
      <c r="M136" s="49" t="str">
        <f>IF(OR(Overview!$D$4="Preliminary Documentation Review",Overview!$D$4="Preliminary Precertification Review"),IF(AND(R136=0,S136=0),"",IF(AND(R136&gt;0,S136&gt;0),"","MISMATCH")),"")</f>
        <v/>
      </c>
      <c r="N136" s="49" t="str">
        <f>IF(OR(Overview!$D$4="Preliminary Documentation Review",Overview!$D$4="Preliminary Precertification Review"),IF(AND(T136=0,U136=0),"",IF(AND(T136&gt;0,U136&gt;0),"MISMATCH","")),"")</f>
        <v/>
      </c>
      <c r="O136" s="49" t="str">
        <f>IF(OR(Overview!$D$4="Preliminary Documentation Review",Overview!$D$4="Preliminary Precertification Review"),IF(AND(V136=0,W136=0),"",IF(AND(V136&gt;0,W136&gt;0),"","MISMATCH")),"")</f>
        <v/>
      </c>
      <c r="P136" s="44">
        <f t="shared" si="23"/>
        <v>0</v>
      </c>
      <c r="Q136" s="44">
        <f t="shared" si="16"/>
        <v>0</v>
      </c>
      <c r="R136" s="49">
        <f t="shared" si="24"/>
        <v>0</v>
      </c>
      <c r="S136" s="49">
        <f t="shared" si="17"/>
        <v>0</v>
      </c>
      <c r="T136" s="49">
        <f t="shared" si="19"/>
        <v>38</v>
      </c>
      <c r="U136" s="49">
        <f t="shared" si="20"/>
        <v>0</v>
      </c>
      <c r="V136" s="49">
        <f t="shared" si="15"/>
        <v>38</v>
      </c>
      <c r="W136" s="49">
        <f t="shared" si="18"/>
        <v>1</v>
      </c>
    </row>
    <row r="137" spans="2:23" ht="196.8">
      <c r="B137" s="907"/>
      <c r="C137" s="881"/>
      <c r="D137" s="888"/>
      <c r="E137" s="700" t="s">
        <v>568</v>
      </c>
      <c r="F137" s="213">
        <v>1</v>
      </c>
      <c r="G137" s="208" t="s">
        <v>1071</v>
      </c>
      <c r="H137" s="701" t="s">
        <v>369</v>
      </c>
      <c r="I137" s="67" t="s">
        <v>1154</v>
      </c>
      <c r="L137" s="49" t="str">
        <f>IF(OR(Overview!$D$4="Preliminary Documentation Review",Overview!$D$4="Preliminary Precertification Review"),IF(AND(P137=0,Q137=0),"",IF(AND(P137&gt;0,Q137&gt;0),"","MISMATCH")),"")</f>
        <v/>
      </c>
      <c r="M137" s="49" t="str">
        <f>IF(OR(Overview!$D$4="Preliminary Documentation Review",Overview!$D$4="Preliminary Precertification Review"),IF(AND(R137=0,S137=0),"",IF(AND(R137&gt;0,S137&gt;0),"","MISMATCH")),"")</f>
        <v/>
      </c>
      <c r="N137" s="49" t="str">
        <f>IF(OR(Overview!$D$4="Preliminary Documentation Review",Overview!$D$4="Preliminary Precertification Review"),IF(AND(T137=0,U137=0),"",IF(AND(T137&gt;0,U137&gt;0),"MISMATCH","")),"")</f>
        <v/>
      </c>
      <c r="O137" s="49" t="str">
        <f>IF(OR(Overview!$D$4="Preliminary Documentation Review",Overview!$D$4="Preliminary Precertification Review"),IF(AND(V137=0,W137=0),"",IF(AND(V137&gt;0,W137&gt;0),"","MISMATCH")),"")</f>
        <v/>
      </c>
      <c r="P137" s="44">
        <f t="shared" si="23"/>
        <v>314</v>
      </c>
      <c r="Q137" s="44">
        <f t="shared" si="16"/>
        <v>0</v>
      </c>
      <c r="R137" s="49">
        <f t="shared" si="24"/>
        <v>0</v>
      </c>
      <c r="S137" s="49">
        <f t="shared" si="17"/>
        <v>0</v>
      </c>
      <c r="T137" s="49">
        <f t="shared" si="19"/>
        <v>0</v>
      </c>
      <c r="U137" s="49">
        <f t="shared" si="20"/>
        <v>1</v>
      </c>
      <c r="V137" s="49">
        <f t="shared" si="15"/>
        <v>0</v>
      </c>
      <c r="W137" s="49">
        <f t="shared" si="18"/>
        <v>0</v>
      </c>
    </row>
    <row r="138" spans="2:23" ht="45.6">
      <c r="B138" s="907"/>
      <c r="C138" s="881" t="s">
        <v>23</v>
      </c>
      <c r="D138" s="888" t="s">
        <v>114</v>
      </c>
      <c r="E138" s="700" t="s">
        <v>569</v>
      </c>
      <c r="F138" s="211"/>
      <c r="G138" s="208" t="s">
        <v>1061</v>
      </c>
      <c r="H138" s="701" t="s">
        <v>324</v>
      </c>
      <c r="I138" s="67" t="s">
        <v>1145</v>
      </c>
      <c r="L138" s="49" t="str">
        <f>IF(OR(Overview!$D$4="Preliminary Documentation Review",Overview!$D$4="Preliminary Precertification Review"),IF(AND(P138=0,Q138=0),"",IF(AND(P138&gt;0,Q138&gt;0),"","MISMATCH")),"")</f>
        <v/>
      </c>
      <c r="M138" s="49" t="str">
        <f>IF(OR(Overview!$D$4="Preliminary Documentation Review",Overview!$D$4="Preliminary Precertification Review"),IF(AND(R138=0,S138=0),"",IF(AND(R138&gt;0,S138&gt;0),"","MISMATCH")),"")</f>
        <v/>
      </c>
      <c r="N138" s="49" t="str">
        <f>IF(OR(Overview!$D$4="Preliminary Documentation Review",Overview!$D$4="Preliminary Precertification Review"),IF(AND(T138=0,U138=0),"",IF(AND(T138&gt;0,U138&gt;0),"MISMATCH","")),"")</f>
        <v/>
      </c>
      <c r="O138" s="49" t="str">
        <f>IF(OR(Overview!$D$4="Preliminary Documentation Review",Overview!$D$4="Preliminary Precertification Review"),IF(AND(V138=0,W138=0),"",IF(AND(V138&gt;0,W138&gt;0),"","MISMATCH")),"")</f>
        <v/>
      </c>
      <c r="P138" s="44">
        <f t="shared" si="23"/>
        <v>0</v>
      </c>
      <c r="Q138" s="44">
        <f t="shared" si="16"/>
        <v>0</v>
      </c>
      <c r="R138" s="49">
        <f t="shared" si="24"/>
        <v>0</v>
      </c>
      <c r="S138" s="49">
        <f t="shared" si="17"/>
        <v>0</v>
      </c>
      <c r="T138" s="49">
        <f t="shared" si="19"/>
        <v>38</v>
      </c>
      <c r="U138" s="49">
        <f t="shared" si="20"/>
        <v>0</v>
      </c>
      <c r="V138" s="49">
        <f t="shared" si="15"/>
        <v>38</v>
      </c>
      <c r="W138" s="49">
        <f t="shared" si="18"/>
        <v>1</v>
      </c>
    </row>
    <row r="139" spans="2:23" ht="46.8">
      <c r="B139" s="907"/>
      <c r="C139" s="881"/>
      <c r="D139" s="888"/>
      <c r="E139" s="700" t="s">
        <v>570</v>
      </c>
      <c r="F139" s="213">
        <v>1</v>
      </c>
      <c r="G139" s="208" t="s">
        <v>1071</v>
      </c>
      <c r="H139" s="701" t="s">
        <v>369</v>
      </c>
      <c r="I139" s="794" t="s">
        <v>1142</v>
      </c>
      <c r="L139" s="49" t="str">
        <f>IF(OR(Overview!$D$4="Preliminary Documentation Review",Overview!$D$4="Preliminary Precertification Review"),IF(AND(P139=0,Q139=0),"",IF(AND(P139&gt;0,Q139&gt;0),"","MISMATCH")),"")</f>
        <v/>
      </c>
      <c r="M139" s="49" t="str">
        <f>IF(OR(Overview!$D$4="Preliminary Documentation Review",Overview!$D$4="Preliminary Precertification Review"),IF(AND(R139=0,S139=0),"",IF(AND(R139&gt;0,S139&gt;0),"","MISMATCH")),"")</f>
        <v/>
      </c>
      <c r="N139" s="49" t="str">
        <f>IF(OR(Overview!$D$4="Preliminary Documentation Review",Overview!$D$4="Preliminary Precertification Review"),IF(AND(T139=0,U139=0),"",IF(AND(T139&gt;0,U139&gt;0),"MISMATCH","")),"")</f>
        <v/>
      </c>
      <c r="O139" s="49" t="str">
        <f>IF(OR(Overview!$D$4="Preliminary Documentation Review",Overview!$D$4="Preliminary Precertification Review"),IF(AND(V139=0,W139=0),"",IF(AND(V139&gt;0,W139&gt;0),"","MISMATCH")),"")</f>
        <v/>
      </c>
      <c r="P139" s="44">
        <f t="shared" si="23"/>
        <v>0</v>
      </c>
      <c r="Q139" s="44">
        <f t="shared" si="16"/>
        <v>0</v>
      </c>
      <c r="R139" s="49">
        <f t="shared" si="24"/>
        <v>0</v>
      </c>
      <c r="S139" s="49">
        <f t="shared" si="17"/>
        <v>0</v>
      </c>
      <c r="T139" s="49">
        <f t="shared" si="19"/>
        <v>0</v>
      </c>
      <c r="U139" s="49">
        <f t="shared" si="20"/>
        <v>1</v>
      </c>
      <c r="V139" s="49">
        <f t="shared" ref="V139:V202" si="25">IFERROR(SEARCH("This Part has not been attempted.",$I139),IFERROR(SEARCH("Not Attempted",$I139),0))</f>
        <v>0</v>
      </c>
      <c r="W139" s="49">
        <f t="shared" si="18"/>
        <v>0</v>
      </c>
    </row>
    <row r="140" spans="2:23" ht="45.6">
      <c r="B140" s="907"/>
      <c r="C140" s="857" t="s">
        <v>23</v>
      </c>
      <c r="D140" s="860" t="s">
        <v>115</v>
      </c>
      <c r="E140" s="700" t="s">
        <v>571</v>
      </c>
      <c r="F140" s="211"/>
      <c r="G140" s="208" t="s">
        <v>1061</v>
      </c>
      <c r="H140" s="701" t="s">
        <v>324</v>
      </c>
      <c r="I140" s="67" t="s">
        <v>1145</v>
      </c>
      <c r="K140" s="639" t="s">
        <v>1049</v>
      </c>
      <c r="L140" s="49" t="str">
        <f>IF(OR(Overview!$D$4="Preliminary Documentation Review",Overview!$D$4="Preliminary Precertification Review"),IF(AND(P140=0,Q140=0),"",IF(AND(P140&gt;0,Q140&gt;0),"","MISMATCH")),"")</f>
        <v/>
      </c>
      <c r="M140" s="49" t="str">
        <f>IF(OR(Overview!$D$4="Preliminary Documentation Review",Overview!$D$4="Preliminary Precertification Review"),IF(AND(R140=0,S140=0),"",IF(AND(R140&gt;0,S140&gt;0),"","MISMATCH")),"")</f>
        <v/>
      </c>
      <c r="N140" s="49" t="str">
        <f>IF(OR(Overview!$D$4="Preliminary Documentation Review",Overview!$D$4="Preliminary Precertification Review"),IF(AND(T140=0,U140=0),"",IF(AND(T140&gt;0,U140&gt;0),"MISMATCH","")),"")</f>
        <v/>
      </c>
      <c r="O140" s="49" t="str">
        <f>IF(OR(Overview!$D$4="Preliminary Documentation Review",Overview!$D$4="Preliminary Precertification Review"),IF(AND(V140=0,W140=0),"",IF(AND(V140&gt;0,W140&gt;0),"","MISMATCH")),"")</f>
        <v/>
      </c>
      <c r="P140" s="44">
        <f t="shared" si="23"/>
        <v>0</v>
      </c>
      <c r="Q140" s="44">
        <f t="shared" si="16"/>
        <v>0</v>
      </c>
      <c r="R140" s="49">
        <f t="shared" si="24"/>
        <v>0</v>
      </c>
      <c r="S140" s="49">
        <f t="shared" si="17"/>
        <v>0</v>
      </c>
      <c r="T140" s="49">
        <f t="shared" si="19"/>
        <v>38</v>
      </c>
      <c r="U140" s="49">
        <f t="shared" si="20"/>
        <v>0</v>
      </c>
      <c r="V140" s="49">
        <f t="shared" si="25"/>
        <v>38</v>
      </c>
      <c r="W140" s="49">
        <f t="shared" si="18"/>
        <v>1</v>
      </c>
    </row>
    <row r="141" spans="2:23" ht="30" hidden="1">
      <c r="B141" s="907"/>
      <c r="C141" s="858"/>
      <c r="D141" s="861"/>
      <c r="E141" s="700" t="s">
        <v>1047</v>
      </c>
      <c r="F141" s="212"/>
      <c r="G141" s="208"/>
      <c r="H141" s="701"/>
      <c r="I141" s="703"/>
      <c r="L141" s="49" t="str">
        <f>IF(OR(Overview!$D$4="Preliminary Documentation Review",Overview!$D$4="Preliminary Precertification Review"),IF(AND(P141=0,Q141=0),"",IF(AND(P141&gt;0,Q141&gt;0),"","MISMATCH")),"")</f>
        <v/>
      </c>
      <c r="M141" s="49" t="str">
        <f>IF(OR(Overview!$D$4="Preliminary Documentation Review",Overview!$D$4="Preliminary Precertification Review"),IF(AND(R141=0,S141=0),"",IF(AND(R141&gt;0,S141&gt;0),"","MISMATCH")),"")</f>
        <v/>
      </c>
      <c r="N141" s="49" t="str">
        <f>IF(OR(Overview!$D$4="Preliminary Documentation Review",Overview!$D$4="Preliminary Precertification Review"),IF(AND(T141=0,U141=0),"",IF(AND(T141&gt;0,U141&gt;0),"MISMATCH","")),"")</f>
        <v/>
      </c>
      <c r="O141" s="49" t="str">
        <f>IF(OR(Overview!$D$4="Preliminary Documentation Review",Overview!$D$4="Preliminary Precertification Review"),IF(AND(V141=0,W141=0),"",IF(AND(V141&gt;0,W141&gt;0),"","MISMATCH")),"")</f>
        <v/>
      </c>
      <c r="P141" s="44">
        <f t="shared" si="23"/>
        <v>0</v>
      </c>
      <c r="Q141" s="44">
        <f t="shared" si="16"/>
        <v>0</v>
      </c>
      <c r="R141" s="49">
        <f t="shared" si="24"/>
        <v>0</v>
      </c>
      <c r="S141" s="49">
        <f t="shared" si="17"/>
        <v>0</v>
      </c>
      <c r="T141" s="49">
        <f t="shared" si="19"/>
        <v>0</v>
      </c>
      <c r="U141" s="49">
        <f t="shared" si="20"/>
        <v>0</v>
      </c>
      <c r="V141" s="49">
        <f t="shared" si="25"/>
        <v>0</v>
      </c>
      <c r="W141" s="49">
        <f t="shared" si="18"/>
        <v>0</v>
      </c>
    </row>
    <row r="142" spans="2:23" ht="30" hidden="1">
      <c r="B142" s="907"/>
      <c r="C142" s="859"/>
      <c r="D142" s="862"/>
      <c r="E142" s="700" t="s">
        <v>1046</v>
      </c>
      <c r="F142" s="213"/>
      <c r="G142" s="208"/>
      <c r="H142" s="701"/>
      <c r="I142" s="703"/>
      <c r="L142" s="49" t="str">
        <f>IF(OR(Overview!$D$4="Preliminary Documentation Review",Overview!$D$4="Preliminary Precertification Review"),IF(AND(P142=0,Q142=0),"",IF(AND(P142&gt;0,Q142&gt;0),"","MISMATCH")),"")</f>
        <v/>
      </c>
      <c r="M142" s="49" t="str">
        <f>IF(OR(Overview!$D$4="Preliminary Documentation Review",Overview!$D$4="Preliminary Precertification Review"),IF(AND(R142=0,S142=0),"",IF(AND(R142&gt;0,S142&gt;0),"","MISMATCH")),"")</f>
        <v/>
      </c>
      <c r="N142" s="49" t="str">
        <f>IF(OR(Overview!$D$4="Preliminary Documentation Review",Overview!$D$4="Preliminary Precertification Review"),IF(AND(T142=0,U142=0),"",IF(AND(T142&gt;0,U142&gt;0),"MISMATCH","")),"")</f>
        <v/>
      </c>
      <c r="O142" s="49" t="str">
        <f>IF(OR(Overview!$D$4="Preliminary Documentation Review",Overview!$D$4="Preliminary Precertification Review"),IF(AND(V142=0,W142=0),"",IF(AND(V142&gt;0,W142&gt;0),"","MISMATCH")),"")</f>
        <v/>
      </c>
      <c r="P142" s="44">
        <f t="shared" si="23"/>
        <v>0</v>
      </c>
      <c r="Q142" s="44">
        <f t="shared" si="16"/>
        <v>0</v>
      </c>
      <c r="R142" s="49">
        <f t="shared" si="24"/>
        <v>0</v>
      </c>
      <c r="S142" s="49">
        <f t="shared" si="17"/>
        <v>0</v>
      </c>
      <c r="T142" s="49">
        <f t="shared" si="19"/>
        <v>0</v>
      </c>
      <c r="U142" s="49">
        <f t="shared" si="20"/>
        <v>0</v>
      </c>
      <c r="V142" s="49">
        <f t="shared" si="25"/>
        <v>0</v>
      </c>
      <c r="W142" s="49">
        <f t="shared" si="18"/>
        <v>0</v>
      </c>
    </row>
    <row r="143" spans="2:23" ht="45.6">
      <c r="B143" s="907"/>
      <c r="C143" s="881" t="s">
        <v>23</v>
      </c>
      <c r="D143" s="888" t="s">
        <v>116</v>
      </c>
      <c r="E143" s="700" t="s">
        <v>572</v>
      </c>
      <c r="F143" s="211"/>
      <c r="G143" s="208" t="s">
        <v>1061</v>
      </c>
      <c r="H143" s="701" t="s">
        <v>324</v>
      </c>
      <c r="I143" s="67" t="s">
        <v>1145</v>
      </c>
      <c r="L143" s="49" t="str">
        <f>IF(OR(Overview!$D$4="Preliminary Documentation Review",Overview!$D$4="Preliminary Precertification Review"),IF(AND(P143=0,Q143=0),"",IF(AND(P143&gt;0,Q143&gt;0),"","MISMATCH")),"")</f>
        <v/>
      </c>
      <c r="M143" s="49" t="str">
        <f>IF(OR(Overview!$D$4="Preliminary Documentation Review",Overview!$D$4="Preliminary Precertification Review"),IF(AND(R143=0,S143=0),"",IF(AND(R143&gt;0,S143&gt;0),"","MISMATCH")),"")</f>
        <v/>
      </c>
      <c r="N143" s="49" t="str">
        <f>IF(OR(Overview!$D$4="Preliminary Documentation Review",Overview!$D$4="Preliminary Precertification Review"),IF(AND(T143=0,U143=0),"",IF(AND(T143&gt;0,U143&gt;0),"MISMATCH","")),"")</f>
        <v/>
      </c>
      <c r="O143" s="49" t="str">
        <f>IF(OR(Overview!$D$4="Preliminary Documentation Review",Overview!$D$4="Preliminary Precertification Review"),IF(AND(V143=0,W143=0),"",IF(AND(V143&gt;0,W143&gt;0),"","MISMATCH")),"")</f>
        <v/>
      </c>
      <c r="P143" s="44">
        <f t="shared" si="23"/>
        <v>0</v>
      </c>
      <c r="Q143" s="44">
        <f t="shared" si="16"/>
        <v>0</v>
      </c>
      <c r="R143" s="49">
        <f t="shared" si="24"/>
        <v>0</v>
      </c>
      <c r="S143" s="49">
        <f t="shared" si="17"/>
        <v>0</v>
      </c>
      <c r="T143" s="49">
        <f t="shared" si="19"/>
        <v>38</v>
      </c>
      <c r="U143" s="49">
        <f t="shared" si="20"/>
        <v>0</v>
      </c>
      <c r="V143" s="49">
        <f t="shared" si="25"/>
        <v>38</v>
      </c>
      <c r="W143" s="49">
        <f t="shared" si="18"/>
        <v>1</v>
      </c>
    </row>
    <row r="144" spans="2:23" ht="45.6">
      <c r="B144" s="907"/>
      <c r="C144" s="881"/>
      <c r="D144" s="888"/>
      <c r="E144" s="700" t="s">
        <v>573</v>
      </c>
      <c r="F144" s="213"/>
      <c r="G144" s="208" t="s">
        <v>1061</v>
      </c>
      <c r="H144" s="701" t="s">
        <v>324</v>
      </c>
      <c r="I144" s="67" t="s">
        <v>1145</v>
      </c>
      <c r="L144" s="49" t="str">
        <f>IF(OR(Overview!$D$4="Preliminary Documentation Review",Overview!$D$4="Preliminary Precertification Review"),IF(AND(P144=0,Q144=0),"",IF(AND(P144&gt;0,Q144&gt;0),"","MISMATCH")),"")</f>
        <v/>
      </c>
      <c r="M144" s="49" t="str">
        <f>IF(OR(Overview!$D$4="Preliminary Documentation Review",Overview!$D$4="Preliminary Precertification Review"),IF(AND(R144=0,S144=0),"",IF(AND(R144&gt;0,S144&gt;0),"","MISMATCH")),"")</f>
        <v/>
      </c>
      <c r="N144" s="49" t="str">
        <f>IF(OR(Overview!$D$4="Preliminary Documentation Review",Overview!$D$4="Preliminary Precertification Review"),IF(AND(T144=0,U144=0),"",IF(AND(T144&gt;0,U144&gt;0),"MISMATCH","")),"")</f>
        <v/>
      </c>
      <c r="O144" s="49" t="str">
        <f>IF(OR(Overview!$D$4="Preliminary Documentation Review",Overview!$D$4="Preliminary Precertification Review"),IF(AND(V144=0,W144=0),"",IF(AND(V144&gt;0,W144&gt;0),"","MISMATCH")),"")</f>
        <v/>
      </c>
      <c r="P144" s="44">
        <f t="shared" si="23"/>
        <v>0</v>
      </c>
      <c r="Q144" s="44">
        <f t="shared" si="16"/>
        <v>0</v>
      </c>
      <c r="R144" s="49">
        <f t="shared" si="24"/>
        <v>0</v>
      </c>
      <c r="S144" s="49">
        <f t="shared" si="17"/>
        <v>0</v>
      </c>
      <c r="T144" s="49">
        <f t="shared" si="19"/>
        <v>38</v>
      </c>
      <c r="U144" s="49">
        <f t="shared" si="20"/>
        <v>0</v>
      </c>
      <c r="V144" s="49">
        <f t="shared" si="25"/>
        <v>38</v>
      </c>
      <c r="W144" s="49">
        <f t="shared" si="18"/>
        <v>1</v>
      </c>
    </row>
    <row r="145" spans="1:123" ht="45.6">
      <c r="B145" s="907"/>
      <c r="C145" s="881" t="s">
        <v>23</v>
      </c>
      <c r="D145" s="888" t="s">
        <v>117</v>
      </c>
      <c r="E145" s="700" t="s">
        <v>574</v>
      </c>
      <c r="F145" s="215">
        <v>1</v>
      </c>
      <c r="G145" s="208" t="s">
        <v>1071</v>
      </c>
      <c r="H145" s="701" t="s">
        <v>369</v>
      </c>
      <c r="I145" s="794" t="s">
        <v>1144</v>
      </c>
      <c r="L145" s="49" t="str">
        <f>IF(OR(Overview!$D$4="Preliminary Documentation Review",Overview!$D$4="Preliminary Precertification Review"),IF(AND(P145=0,Q145=0),"",IF(AND(P145&gt;0,Q145&gt;0),"","MISMATCH")),"")</f>
        <v/>
      </c>
      <c r="M145" s="49" t="str">
        <f>IF(OR(Overview!$D$4="Preliminary Documentation Review",Overview!$D$4="Preliminary Precertification Review"),IF(AND(R145=0,S145=0),"",IF(AND(R145&gt;0,S145&gt;0),"","MISMATCH")),"")</f>
        <v/>
      </c>
      <c r="N145" s="49" t="str">
        <f>IF(OR(Overview!$D$4="Preliminary Documentation Review",Overview!$D$4="Preliminary Precertification Review"),IF(AND(T145=0,U145=0),"",IF(AND(T145&gt;0,U145&gt;0),"MISMATCH","")),"")</f>
        <v/>
      </c>
      <c r="O145" s="49" t="str">
        <f>IF(OR(Overview!$D$4="Preliminary Documentation Review",Overview!$D$4="Preliminary Precertification Review"),IF(AND(V145=0,W145=0),"",IF(AND(V145&gt;0,W145&gt;0),"","MISMATCH")),"")</f>
        <v/>
      </c>
      <c r="P145" s="44">
        <f t="shared" si="23"/>
        <v>0</v>
      </c>
      <c r="Q145" s="44">
        <f t="shared" si="16"/>
        <v>0</v>
      </c>
      <c r="R145" s="49">
        <f t="shared" si="24"/>
        <v>0</v>
      </c>
      <c r="S145" s="49">
        <f t="shared" si="17"/>
        <v>0</v>
      </c>
      <c r="T145" s="49">
        <f t="shared" si="19"/>
        <v>0</v>
      </c>
      <c r="U145" s="49">
        <f t="shared" si="20"/>
        <v>1</v>
      </c>
      <c r="V145" s="49">
        <f t="shared" si="25"/>
        <v>0</v>
      </c>
      <c r="W145" s="49">
        <f t="shared" si="18"/>
        <v>0</v>
      </c>
    </row>
    <row r="146" spans="1:123">
      <c r="B146" s="110"/>
      <c r="C146" s="111"/>
      <c r="D146" s="112"/>
      <c r="E146" s="113"/>
      <c r="F146" s="89"/>
      <c r="G146" s="79"/>
      <c r="H146" s="114"/>
      <c r="I146" s="115"/>
      <c r="L146" s="49" t="str">
        <f>IF(OR(Overview!$D$4="Preliminary Documentation Review",Overview!$D$4="Preliminary Precertification Review"),IF(AND(P146=0,Q146=0),"",IF(AND(P146&gt;0,Q146&gt;0),"","MISMATCH")),"")</f>
        <v/>
      </c>
      <c r="M146" s="49" t="str">
        <f>IF(OR(Overview!$D$4="Preliminary Documentation Review",Overview!$D$4="Preliminary Precertification Review"),IF(AND(R146=0,S146=0),"",IF(AND(R146&gt;0,S146&gt;0),"","MISMATCH")),"")</f>
        <v/>
      </c>
      <c r="N146" s="49" t="str">
        <f>IF(OR(Overview!$D$4="Preliminary Documentation Review",Overview!$D$4="Preliminary Precertification Review"),IF(AND(T146=0,U146=0),"",IF(AND(T146&gt;0,U146&gt;0),"MISMATCH","")),"")</f>
        <v/>
      </c>
      <c r="O146" s="49" t="str">
        <f>IF(OR(Overview!$D$4="Preliminary Documentation Review",Overview!$D$4="Preliminary Precertification Review"),IF(AND(V146=0,W146=0),"",IF(AND(V146&gt;0,W146&gt;0),"","MISMATCH")),"")</f>
        <v/>
      </c>
      <c r="P146" s="44">
        <f t="shared" si="23"/>
        <v>0</v>
      </c>
      <c r="Q146" s="44">
        <f t="shared" si="16"/>
        <v>0</v>
      </c>
      <c r="R146" s="49">
        <f t="shared" si="24"/>
        <v>0</v>
      </c>
      <c r="S146" s="49">
        <f t="shared" si="17"/>
        <v>0</v>
      </c>
      <c r="T146" s="49">
        <f t="shared" si="19"/>
        <v>0</v>
      </c>
      <c r="U146" s="49">
        <f t="shared" si="20"/>
        <v>0</v>
      </c>
      <c r="V146" s="49">
        <f t="shared" si="25"/>
        <v>0</v>
      </c>
      <c r="W146" s="49">
        <f t="shared" si="18"/>
        <v>0</v>
      </c>
    </row>
    <row r="147" spans="1:123">
      <c r="B147" s="75"/>
      <c r="C147" s="76"/>
      <c r="D147" s="77"/>
      <c r="E147" s="78"/>
      <c r="F147" s="89"/>
      <c r="G147" s="79"/>
      <c r="H147" s="80"/>
      <c r="I147" s="81"/>
      <c r="L147" s="49" t="str">
        <f>IF(OR(Overview!$D$4="Preliminary Documentation Review",Overview!$D$4="Preliminary Precertification Review"),IF(AND(P147=0,Q147=0),"",IF(AND(P147&gt;0,Q147&gt;0),"","MISMATCH")),"")</f>
        <v/>
      </c>
      <c r="M147" s="49" t="str">
        <f>IF(OR(Overview!$D$4="Preliminary Documentation Review",Overview!$D$4="Preliminary Precertification Review"),IF(AND(R147=0,S147=0),"",IF(AND(R147&gt;0,S147&gt;0),"","MISMATCH")),"")</f>
        <v/>
      </c>
      <c r="N147" s="49" t="str">
        <f>IF(OR(Overview!$D$4="Preliminary Documentation Review",Overview!$D$4="Preliminary Precertification Review"),IF(AND(T147=0,U147=0),"",IF(AND(T147&gt;0,U147&gt;0),"MISMATCH","")),"")</f>
        <v/>
      </c>
      <c r="O147" s="49" t="str">
        <f>IF(OR(Overview!$D$4="Preliminary Documentation Review",Overview!$D$4="Preliminary Precertification Review"),IF(AND(V147=0,W147=0),"",IF(AND(V147&gt;0,W147&gt;0),"","MISMATCH")),"")</f>
        <v/>
      </c>
      <c r="P147" s="44">
        <f t="shared" si="23"/>
        <v>0</v>
      </c>
      <c r="Q147" s="44">
        <f t="shared" si="16"/>
        <v>0</v>
      </c>
      <c r="R147" s="49">
        <f t="shared" si="24"/>
        <v>0</v>
      </c>
      <c r="S147" s="49">
        <f t="shared" si="17"/>
        <v>0</v>
      </c>
      <c r="T147" s="49">
        <f t="shared" si="19"/>
        <v>0</v>
      </c>
      <c r="U147" s="49">
        <f t="shared" si="20"/>
        <v>0</v>
      </c>
      <c r="V147" s="49">
        <f t="shared" si="25"/>
        <v>0</v>
      </c>
      <c r="W147" s="49">
        <f t="shared" si="18"/>
        <v>0</v>
      </c>
    </row>
    <row r="148" spans="1:123">
      <c r="B148" s="904"/>
      <c r="C148" s="905"/>
      <c r="D148" s="905"/>
      <c r="E148" s="905"/>
      <c r="F148" s="905"/>
      <c r="G148" s="905"/>
      <c r="H148" s="905"/>
      <c r="I148" s="178"/>
      <c r="L148" s="49" t="str">
        <f>IF(OR(Overview!$D$4="Preliminary Documentation Review",Overview!$D$4="Preliminary Precertification Review"),IF(AND(P148=0,Q148=0),"",IF(AND(P148&gt;0,Q148&gt;0),"","MISMATCH")),"")</f>
        <v/>
      </c>
      <c r="M148" s="49" t="str">
        <f>IF(OR(Overview!$D$4="Preliminary Documentation Review",Overview!$D$4="Preliminary Precertification Review"),IF(AND(R148=0,S148=0),"",IF(AND(R148&gt;0,S148&gt;0),"","MISMATCH")),"")</f>
        <v/>
      </c>
      <c r="N148" s="49" t="str">
        <f>IF(OR(Overview!$D$4="Preliminary Documentation Review",Overview!$D$4="Preliminary Precertification Review"),IF(AND(T148=0,U148=0),"",IF(AND(T148&gt;0,U148&gt;0),"MISMATCH","")),"")</f>
        <v/>
      </c>
      <c r="O148" s="49" t="str">
        <f>IF(OR(Overview!$D$4="Preliminary Documentation Review",Overview!$D$4="Preliminary Precertification Review"),IF(AND(V148=0,W148=0),"",IF(AND(V148&gt;0,W148&gt;0),"","MISMATCH")),"")</f>
        <v/>
      </c>
      <c r="T148" s="49">
        <f t="shared" si="19"/>
        <v>0</v>
      </c>
      <c r="U148" s="49">
        <f t="shared" si="20"/>
        <v>0</v>
      </c>
      <c r="V148" s="49">
        <f t="shared" si="25"/>
        <v>0</v>
      </c>
      <c r="W148" s="49">
        <f t="shared" si="18"/>
        <v>0</v>
      </c>
    </row>
    <row r="149" spans="1:123" s="65" customFormat="1" ht="99.9" hidden="1" customHeight="1">
      <c r="B149" s="116"/>
      <c r="C149" s="869" t="s">
        <v>711</v>
      </c>
      <c r="D149" s="870"/>
      <c r="E149" s="870"/>
      <c r="F149" s="870"/>
      <c r="G149" s="870"/>
      <c r="H149" s="870"/>
      <c r="I149" s="871"/>
      <c r="J149" s="64"/>
      <c r="K149" s="190"/>
      <c r="L149" s="49" t="str">
        <f>IF(OR(Overview!$D$4="Preliminary Documentation Review",Overview!$D$4="Preliminary Precertification Review"),IF(AND(P149=0,Q149=0),"",IF(AND(P149&gt;0,Q149&gt;0),"","MISMATCH")),"")</f>
        <v/>
      </c>
      <c r="M149" s="49" t="str">
        <f>IF(OR(Overview!$D$4="Preliminary Documentation Review",Overview!$D$4="Preliminary Precertification Review"),IF(AND(R149=0,S149=0),"",IF(AND(R149&gt;0,S149&gt;0),"","MISMATCH")),"")</f>
        <v/>
      </c>
      <c r="N149" s="49" t="str">
        <f>IF(OR(Overview!$D$4="Preliminary Documentation Review",Overview!$D$4="Preliminary Precertification Review"),IF(AND(T149=0,U149=0),"",IF(AND(T149&gt;0,U149&gt;0),"MISMATCH","")),"")</f>
        <v/>
      </c>
      <c r="O149" s="49" t="str">
        <f>IF(OR(Overview!$D$4="Preliminary Documentation Review",Overview!$D$4="Preliminary Precertification Review"),IF(AND(V149=0,W149=0),"",IF(AND(V149&gt;0,W149&gt;0),"","MISMATCH")),"")</f>
        <v/>
      </c>
      <c r="T149" s="49">
        <f t="shared" si="19"/>
        <v>0</v>
      </c>
      <c r="U149" s="49">
        <f t="shared" si="20"/>
        <v>0</v>
      </c>
      <c r="V149" s="49">
        <f t="shared" si="25"/>
        <v>0</v>
      </c>
      <c r="W149" s="49">
        <f t="shared" si="18"/>
        <v>0</v>
      </c>
    </row>
    <row r="150" spans="1:123" s="65" customFormat="1" ht="15.6" hidden="1" customHeight="1">
      <c r="B150" s="116"/>
      <c r="C150" s="905"/>
      <c r="D150" s="905"/>
      <c r="E150" s="905"/>
      <c r="F150" s="905"/>
      <c r="G150" s="905"/>
      <c r="H150" s="905"/>
      <c r="I150" s="906"/>
      <c r="J150" s="64"/>
      <c r="K150" s="190"/>
      <c r="L150" s="49" t="str">
        <f>IF(OR(Overview!$D$4="Preliminary Documentation Review",Overview!$D$4="Preliminary Precertification Review"),IF(AND(P150=0,Q150=0),"",IF(AND(P150&gt;0,Q150&gt;0),"","MISMATCH")),"")</f>
        <v/>
      </c>
      <c r="M150" s="49" t="str">
        <f>IF(OR(Overview!$D$4="Preliminary Documentation Review",Overview!$D$4="Preliminary Precertification Review"),IF(AND(R150=0,S150=0),"",IF(AND(R150&gt;0,S150&gt;0),"","MISMATCH")),"")</f>
        <v/>
      </c>
      <c r="N150" s="49" t="str">
        <f>IF(OR(Overview!$D$4="Preliminary Documentation Review",Overview!$D$4="Preliminary Precertification Review"),IF(AND(T150=0,U150=0),"",IF(AND(T150&gt;0,U150&gt;0),"MISMATCH","")),"")</f>
        <v/>
      </c>
      <c r="O150" s="49" t="str">
        <f>IF(OR(Overview!$D$4="Preliminary Documentation Review",Overview!$D$4="Preliminary Precertification Review"),IF(AND(V150=0,W150=0),"",IF(AND(V150&gt;0,W150&gt;0),"","MISMATCH")),"")</f>
        <v/>
      </c>
      <c r="T150" s="49">
        <f t="shared" si="19"/>
        <v>0</v>
      </c>
      <c r="U150" s="49">
        <f t="shared" si="20"/>
        <v>0</v>
      </c>
      <c r="V150" s="49">
        <f t="shared" si="25"/>
        <v>0</v>
      </c>
      <c r="W150" s="49">
        <f t="shared" si="18"/>
        <v>0</v>
      </c>
    </row>
    <row r="151" spans="1:123" s="117" customFormat="1" ht="106.2">
      <c r="A151" s="44"/>
      <c r="B151" s="903" t="s">
        <v>118</v>
      </c>
      <c r="C151" s="857" t="s">
        <v>8</v>
      </c>
      <c r="D151" s="888" t="s">
        <v>119</v>
      </c>
      <c r="E151" s="117" t="s">
        <v>724</v>
      </c>
      <c r="F151" s="722"/>
      <c r="G151" s="208" t="s">
        <v>219</v>
      </c>
      <c r="H151" s="701" t="s">
        <v>369</v>
      </c>
      <c r="I151" s="794" t="s">
        <v>1147</v>
      </c>
      <c r="J151" s="58"/>
      <c r="K151" s="195"/>
      <c r="L151" s="49" t="str">
        <f>IF(OR(Overview!$D$4="Preliminary Documentation Review",Overview!$D$4="Preliminary Precertification Review"),IF(AND(P151=0,Q151=0),"",IF(AND(P151&gt;0,Q151&gt;0),"","MISMATCH")),"")</f>
        <v/>
      </c>
      <c r="M151" s="49" t="str">
        <f>IF(OR(Overview!$D$4="Preliminary Documentation Review",Overview!$D$4="Preliminary Precertification Review"),IF(AND(R151=0,S151=0),"",IF(AND(R151&gt;0,S151&gt;0),"","MISMATCH")),"")</f>
        <v/>
      </c>
      <c r="N151" s="49" t="str">
        <f>IF(OR(Overview!$D$4="Preliminary Documentation Review",Overview!$D$4="Preliminary Precertification Review"),IF(AND(T151=0,U151=0),"",IF(AND(T151&gt;0,U151&gt;0),"MISMATCH","")),"")</f>
        <v/>
      </c>
      <c r="O151" s="49" t="str">
        <f>IF(OR(Overview!$D$4="Preliminary Documentation Review",Overview!$D$4="Preliminary Precertification Review"),IF(AND(V151=0,W151=0),"",IF(AND(V151&gt;0,W151&gt;0),"","MISMATCH")),"")</f>
        <v/>
      </c>
      <c r="P151" s="44">
        <f t="shared" ref="P151:P168" si="26">IFERROR(SEARCH("COMMENTS TO BE ADDRESS",$I151),0)</f>
        <v>0</v>
      </c>
      <c r="Q151" s="44">
        <f t="shared" si="16"/>
        <v>0</v>
      </c>
      <c r="R151" s="49">
        <f t="shared" ref="R151:R168" si="27">IFERROR(SEARCH("equirements of this part will be v",$I151),0)</f>
        <v>0</v>
      </c>
      <c r="S151" s="49">
        <f t="shared" si="17"/>
        <v>0</v>
      </c>
      <c r="T151" s="49">
        <f t="shared" si="19"/>
        <v>0</v>
      </c>
      <c r="U151" s="49">
        <f t="shared" si="20"/>
        <v>1</v>
      </c>
      <c r="V151" s="49">
        <f t="shared" si="25"/>
        <v>0</v>
      </c>
      <c r="W151" s="49">
        <f t="shared" si="18"/>
        <v>0</v>
      </c>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c r="DH151" s="58"/>
      <c r="DI151" s="58"/>
      <c r="DJ151" s="58"/>
      <c r="DK151" s="58"/>
      <c r="DL151" s="58"/>
      <c r="DM151" s="58"/>
      <c r="DN151" s="58"/>
      <c r="DO151" s="58"/>
      <c r="DP151" s="58"/>
      <c r="DQ151" s="58"/>
      <c r="DR151" s="58"/>
      <c r="DS151" s="118"/>
    </row>
    <row r="152" spans="1:123" ht="211.8">
      <c r="B152" s="903"/>
      <c r="C152" s="859"/>
      <c r="D152" s="888"/>
      <c r="E152" s="700" t="s">
        <v>272</v>
      </c>
      <c r="F152" s="210"/>
      <c r="G152" s="208" t="s">
        <v>219</v>
      </c>
      <c r="H152" s="701" t="s">
        <v>369</v>
      </c>
      <c r="I152" s="67" t="s">
        <v>1160</v>
      </c>
      <c r="J152" s="109"/>
      <c r="L152" s="49" t="str">
        <f>IF(OR(Overview!$D$4="Preliminary Documentation Review",Overview!$D$4="Preliminary Precertification Review"),IF(AND(P152=0,Q152=0),"",IF(AND(P152&gt;0,Q152&gt;0),"","MISMATCH")),"")</f>
        <v/>
      </c>
      <c r="M152" s="49" t="str">
        <f>IF(OR(Overview!$D$4="Preliminary Documentation Review",Overview!$D$4="Preliminary Precertification Review"),IF(AND(R152=0,S152=0),"",IF(AND(R152&gt;0,S152&gt;0),"","MISMATCH")),"")</f>
        <v/>
      </c>
      <c r="N152" s="49" t="str">
        <f>IF(OR(Overview!$D$4="Preliminary Documentation Review",Overview!$D$4="Preliminary Precertification Review"),IF(AND(T152=0,U152=0),"",IF(AND(T152&gt;0,U152&gt;0),"MISMATCH","")),"")</f>
        <v/>
      </c>
      <c r="O152" s="49" t="str">
        <f>IF(OR(Overview!$D$4="Preliminary Documentation Review",Overview!$D$4="Preliminary Precertification Review"),IF(AND(V152=0,W152=0),"",IF(AND(V152&gt;0,W152&gt;0),"","MISMATCH")),"")</f>
        <v/>
      </c>
      <c r="P152" s="44">
        <f t="shared" si="26"/>
        <v>314</v>
      </c>
      <c r="Q152" s="44">
        <f t="shared" si="16"/>
        <v>0</v>
      </c>
      <c r="R152" s="49">
        <f t="shared" si="27"/>
        <v>0</v>
      </c>
      <c r="S152" s="49">
        <f t="shared" si="17"/>
        <v>0</v>
      </c>
      <c r="T152" s="49">
        <f t="shared" si="19"/>
        <v>0</v>
      </c>
      <c r="U152" s="49">
        <f t="shared" si="20"/>
        <v>1</v>
      </c>
      <c r="V152" s="49">
        <f t="shared" si="25"/>
        <v>0</v>
      </c>
      <c r="W152" s="49">
        <f t="shared" si="18"/>
        <v>0</v>
      </c>
    </row>
    <row r="153" spans="1:123" ht="46.8">
      <c r="B153" s="903"/>
      <c r="C153" s="857" t="s">
        <v>23</v>
      </c>
      <c r="D153" s="888" t="s">
        <v>122</v>
      </c>
      <c r="E153" s="700" t="s">
        <v>575</v>
      </c>
      <c r="F153" s="212">
        <v>1</v>
      </c>
      <c r="G153" s="208" t="s">
        <v>1071</v>
      </c>
      <c r="H153" s="701" t="s">
        <v>369</v>
      </c>
      <c r="I153" s="794" t="s">
        <v>1142</v>
      </c>
      <c r="J153" s="109"/>
      <c r="L153" s="49" t="str">
        <f>IF(OR(Overview!$D$4="Preliminary Documentation Review",Overview!$D$4="Preliminary Precertification Review"),IF(AND(P153=0,Q153=0),"",IF(AND(P153&gt;0,Q153&gt;0),"","MISMATCH")),"")</f>
        <v/>
      </c>
      <c r="M153" s="49" t="str">
        <f>IF(OR(Overview!$D$4="Preliminary Documentation Review",Overview!$D$4="Preliminary Precertification Review"),IF(AND(R153=0,S153=0),"",IF(AND(R153&gt;0,S153&gt;0),"","MISMATCH")),"")</f>
        <v/>
      </c>
      <c r="N153" s="49" t="str">
        <f>IF(OR(Overview!$D$4="Preliminary Documentation Review",Overview!$D$4="Preliminary Precertification Review"),IF(AND(T153=0,U153=0),"",IF(AND(T153&gt;0,U153&gt;0),"MISMATCH","")),"")</f>
        <v/>
      </c>
      <c r="O153" s="49" t="str">
        <f>IF(OR(Overview!$D$4="Preliminary Documentation Review",Overview!$D$4="Preliminary Precertification Review"),IF(AND(V153=0,W153=0),"",IF(AND(V153&gt;0,W153&gt;0),"","MISMATCH")),"")</f>
        <v/>
      </c>
      <c r="P153" s="44">
        <f t="shared" si="26"/>
        <v>0</v>
      </c>
      <c r="Q153" s="44">
        <f t="shared" si="16"/>
        <v>0</v>
      </c>
      <c r="R153" s="49">
        <f t="shared" si="27"/>
        <v>0</v>
      </c>
      <c r="S153" s="49">
        <f t="shared" si="17"/>
        <v>0</v>
      </c>
      <c r="T153" s="49">
        <f t="shared" si="19"/>
        <v>0</v>
      </c>
      <c r="U153" s="49">
        <f t="shared" si="20"/>
        <v>1</v>
      </c>
      <c r="V153" s="49">
        <f t="shared" si="25"/>
        <v>0</v>
      </c>
      <c r="W153" s="49">
        <f t="shared" ref="W153:W216" si="28">IFERROR(SEARCH("Not Attempted",$H153),0)</f>
        <v>0</v>
      </c>
    </row>
    <row r="154" spans="1:123" ht="196.8">
      <c r="B154" s="903"/>
      <c r="C154" s="859"/>
      <c r="D154" s="888"/>
      <c r="E154" s="700" t="s">
        <v>273</v>
      </c>
      <c r="F154" s="213">
        <v>2</v>
      </c>
      <c r="G154" s="208" t="s">
        <v>1071</v>
      </c>
      <c r="H154" s="701" t="s">
        <v>369</v>
      </c>
      <c r="I154" s="67" t="s">
        <v>1154</v>
      </c>
      <c r="L154" s="49" t="str">
        <f>IF(OR(Overview!$D$4="Preliminary Documentation Review",Overview!$D$4="Preliminary Precertification Review"),IF(AND(P154=0,Q154=0),"",IF(AND(P154&gt;0,Q154&gt;0),"","MISMATCH")),"")</f>
        <v/>
      </c>
      <c r="M154" s="49" t="str">
        <f>IF(OR(Overview!$D$4="Preliminary Documentation Review",Overview!$D$4="Preliminary Precertification Review"),IF(AND(R154=0,S154=0),"",IF(AND(R154&gt;0,S154&gt;0),"","MISMATCH")),"")</f>
        <v/>
      </c>
      <c r="N154" s="49" t="str">
        <f>IF(OR(Overview!$D$4="Preliminary Documentation Review",Overview!$D$4="Preliminary Precertification Review"),IF(AND(T154=0,U154=0),"",IF(AND(T154&gt;0,U154&gt;0),"MISMATCH","")),"")</f>
        <v/>
      </c>
      <c r="O154" s="49" t="str">
        <f>IF(OR(Overview!$D$4="Preliminary Documentation Review",Overview!$D$4="Preliminary Precertification Review"),IF(AND(V154=0,W154=0),"",IF(AND(V154&gt;0,W154&gt;0),"","MISMATCH")),"")</f>
        <v/>
      </c>
      <c r="P154" s="44">
        <f t="shared" si="26"/>
        <v>314</v>
      </c>
      <c r="Q154" s="44">
        <f t="shared" si="16"/>
        <v>0</v>
      </c>
      <c r="R154" s="49">
        <f t="shared" si="27"/>
        <v>0</v>
      </c>
      <c r="S154" s="49">
        <f t="shared" si="17"/>
        <v>0</v>
      </c>
      <c r="T154" s="49">
        <f t="shared" ref="T154:T217" si="29">IFERROR(SEARCH("This Part has no",$I154),0)</f>
        <v>0</v>
      </c>
      <c r="U154" s="49">
        <f t="shared" ref="U154:U217" si="30">IFERROR(SEARCH("Anticipated",$H154),0)</f>
        <v>1</v>
      </c>
      <c r="V154" s="49">
        <f t="shared" si="25"/>
        <v>0</v>
      </c>
      <c r="W154" s="49">
        <f t="shared" si="28"/>
        <v>0</v>
      </c>
    </row>
    <row r="155" spans="1:123" ht="45.6">
      <c r="B155" s="903"/>
      <c r="C155" s="881" t="s">
        <v>23</v>
      </c>
      <c r="D155" s="888" t="s">
        <v>124</v>
      </c>
      <c r="E155" s="700" t="s">
        <v>274</v>
      </c>
      <c r="F155" s="211"/>
      <c r="G155" s="208" t="s">
        <v>1061</v>
      </c>
      <c r="H155" s="701" t="s">
        <v>324</v>
      </c>
      <c r="I155" s="67" t="s">
        <v>1145</v>
      </c>
      <c r="L155" s="49" t="str">
        <f>IF(OR(Overview!$D$4="Preliminary Documentation Review",Overview!$D$4="Preliminary Precertification Review"),IF(AND(P155=0,Q155=0),"",IF(AND(P155&gt;0,Q155&gt;0),"","MISMATCH")),"")</f>
        <v/>
      </c>
      <c r="M155" s="49" t="str">
        <f>IF(OR(Overview!$D$4="Preliminary Documentation Review",Overview!$D$4="Preliminary Precertification Review"),IF(AND(R155=0,S155=0),"",IF(AND(R155&gt;0,S155&gt;0),"","MISMATCH")),"")</f>
        <v/>
      </c>
      <c r="N155" s="49" t="str">
        <f>IF(OR(Overview!$D$4="Preliminary Documentation Review",Overview!$D$4="Preliminary Precertification Review"),IF(AND(T155=0,U155=0),"",IF(AND(T155&gt;0,U155&gt;0),"MISMATCH","")),"")</f>
        <v/>
      </c>
      <c r="O155" s="49" t="str">
        <f>IF(OR(Overview!$D$4="Preliminary Documentation Review",Overview!$D$4="Preliminary Precertification Review"),IF(AND(V155=0,W155=0),"",IF(AND(V155&gt;0,W155&gt;0),"","MISMATCH")),"")</f>
        <v/>
      </c>
      <c r="P155" s="44">
        <f t="shared" si="26"/>
        <v>0</v>
      </c>
      <c r="Q155" s="44">
        <f t="shared" si="16"/>
        <v>0</v>
      </c>
      <c r="R155" s="49">
        <f t="shared" si="27"/>
        <v>0</v>
      </c>
      <c r="S155" s="49">
        <f t="shared" si="17"/>
        <v>0</v>
      </c>
      <c r="T155" s="49">
        <f t="shared" si="29"/>
        <v>38</v>
      </c>
      <c r="U155" s="49">
        <f t="shared" si="30"/>
        <v>0</v>
      </c>
      <c r="V155" s="49">
        <f t="shared" si="25"/>
        <v>38</v>
      </c>
      <c r="W155" s="49">
        <f t="shared" si="28"/>
        <v>1</v>
      </c>
    </row>
    <row r="156" spans="1:123" ht="45.6">
      <c r="B156" s="903"/>
      <c r="C156" s="881"/>
      <c r="D156" s="888"/>
      <c r="E156" s="700" t="s">
        <v>576</v>
      </c>
      <c r="F156" s="213"/>
      <c r="G156" s="208" t="s">
        <v>1061</v>
      </c>
      <c r="H156" s="701" t="s">
        <v>324</v>
      </c>
      <c r="I156" s="67" t="s">
        <v>1145</v>
      </c>
      <c r="L156" s="49" t="str">
        <f>IF(OR(Overview!$D$4="Preliminary Documentation Review",Overview!$D$4="Preliminary Precertification Review"),IF(AND(P156=0,Q156=0),"",IF(AND(P156&gt;0,Q156&gt;0),"","MISMATCH")),"")</f>
        <v/>
      </c>
      <c r="M156" s="49" t="str">
        <f>IF(OR(Overview!$D$4="Preliminary Documentation Review",Overview!$D$4="Preliminary Precertification Review"),IF(AND(R156=0,S156=0),"",IF(AND(R156&gt;0,S156&gt;0),"","MISMATCH")),"")</f>
        <v/>
      </c>
      <c r="N156" s="49" t="str">
        <f>IF(OR(Overview!$D$4="Preliminary Documentation Review",Overview!$D$4="Preliminary Precertification Review"),IF(AND(T156=0,U156=0),"",IF(AND(T156&gt;0,U156&gt;0),"MISMATCH","")),"")</f>
        <v/>
      </c>
      <c r="O156" s="49" t="str">
        <f>IF(OR(Overview!$D$4="Preliminary Documentation Review",Overview!$D$4="Preliminary Precertification Review"),IF(AND(V156=0,W156=0),"",IF(AND(V156&gt;0,W156&gt;0),"","MISMATCH")),"")</f>
        <v/>
      </c>
      <c r="P156" s="44">
        <f t="shared" si="26"/>
        <v>0</v>
      </c>
      <c r="Q156" s="44">
        <f t="shared" si="16"/>
        <v>0</v>
      </c>
      <c r="R156" s="49">
        <f t="shared" si="27"/>
        <v>0</v>
      </c>
      <c r="S156" s="49">
        <f t="shared" si="17"/>
        <v>0</v>
      </c>
      <c r="T156" s="49">
        <f t="shared" si="29"/>
        <v>38</v>
      </c>
      <c r="U156" s="49">
        <f t="shared" si="30"/>
        <v>0</v>
      </c>
      <c r="V156" s="49">
        <f t="shared" si="25"/>
        <v>38</v>
      </c>
      <c r="W156" s="49">
        <f t="shared" si="28"/>
        <v>1</v>
      </c>
    </row>
    <row r="157" spans="1:123" ht="46.8">
      <c r="B157" s="903"/>
      <c r="C157" s="881" t="s">
        <v>23</v>
      </c>
      <c r="D157" s="888" t="s">
        <v>126</v>
      </c>
      <c r="E157" s="700" t="s">
        <v>275</v>
      </c>
      <c r="F157" s="211">
        <v>2</v>
      </c>
      <c r="G157" s="208" t="s">
        <v>1071</v>
      </c>
      <c r="H157" s="701" t="s">
        <v>369</v>
      </c>
      <c r="I157" s="794" t="s">
        <v>1142</v>
      </c>
      <c r="L157" s="49" t="str">
        <f>IF(OR(Overview!$D$4="Preliminary Documentation Review",Overview!$D$4="Preliminary Precertification Review"),IF(AND(P157=0,Q157=0),"",IF(AND(P157&gt;0,Q157&gt;0),"","MISMATCH")),"")</f>
        <v/>
      </c>
      <c r="M157" s="49" t="str">
        <f>IF(OR(Overview!$D$4="Preliminary Documentation Review",Overview!$D$4="Preliminary Precertification Review"),IF(AND(R157=0,S157=0),"",IF(AND(R157&gt;0,S157&gt;0),"","MISMATCH")),"")</f>
        <v/>
      </c>
      <c r="N157" s="49" t="str">
        <f>IF(OR(Overview!$D$4="Preliminary Documentation Review",Overview!$D$4="Preliminary Precertification Review"),IF(AND(T157=0,U157=0),"",IF(AND(T157&gt;0,U157&gt;0),"MISMATCH","")),"")</f>
        <v/>
      </c>
      <c r="O157" s="49" t="str">
        <f>IF(OR(Overview!$D$4="Preliminary Documentation Review",Overview!$D$4="Preliminary Precertification Review"),IF(AND(V157=0,W157=0),"",IF(AND(V157&gt;0,W157&gt;0),"","MISMATCH")),"")</f>
        <v/>
      </c>
      <c r="P157" s="44">
        <f t="shared" si="26"/>
        <v>0</v>
      </c>
      <c r="Q157" s="44">
        <f t="shared" ref="Q157:Q238" si="31">IFERROR(SEARCH("Pending Documentation",$H157),0)</f>
        <v>0</v>
      </c>
      <c r="R157" s="49">
        <f t="shared" si="27"/>
        <v>0</v>
      </c>
      <c r="S157" s="49">
        <f t="shared" ref="S157:S238" si="32">IFERROR(SEARCH("Pending On",$H157),0)</f>
        <v>0</v>
      </c>
      <c r="T157" s="49">
        <f t="shared" si="29"/>
        <v>0</v>
      </c>
      <c r="U157" s="49">
        <f t="shared" si="30"/>
        <v>1</v>
      </c>
      <c r="V157" s="49">
        <f t="shared" si="25"/>
        <v>0</v>
      </c>
      <c r="W157" s="49">
        <f t="shared" si="28"/>
        <v>0</v>
      </c>
    </row>
    <row r="158" spans="1:123" ht="45.6">
      <c r="B158" s="903"/>
      <c r="C158" s="881"/>
      <c r="D158" s="888"/>
      <c r="E158" s="700" t="s">
        <v>577</v>
      </c>
      <c r="F158" s="213"/>
      <c r="G158" s="208" t="s">
        <v>1061</v>
      </c>
      <c r="H158" s="701" t="s">
        <v>324</v>
      </c>
      <c r="I158" s="67" t="s">
        <v>1145</v>
      </c>
      <c r="L158" s="49" t="str">
        <f>IF(OR(Overview!$D$4="Preliminary Documentation Review",Overview!$D$4="Preliminary Precertification Review"),IF(AND(P158=0,Q158=0),"",IF(AND(P158&gt;0,Q158&gt;0),"","MISMATCH")),"")</f>
        <v/>
      </c>
      <c r="M158" s="49" t="str">
        <f>IF(OR(Overview!$D$4="Preliminary Documentation Review",Overview!$D$4="Preliminary Precertification Review"),IF(AND(R158=0,S158=0),"",IF(AND(R158&gt;0,S158&gt;0),"","MISMATCH")),"")</f>
        <v/>
      </c>
      <c r="N158" s="49" t="str">
        <f>IF(OR(Overview!$D$4="Preliminary Documentation Review",Overview!$D$4="Preliminary Precertification Review"),IF(AND(T158=0,U158=0),"",IF(AND(T158&gt;0,U158&gt;0),"MISMATCH","")),"")</f>
        <v/>
      </c>
      <c r="O158" s="49" t="str">
        <f>IF(OR(Overview!$D$4="Preliminary Documentation Review",Overview!$D$4="Preliminary Precertification Review"),IF(AND(V158=0,W158=0),"",IF(AND(V158&gt;0,W158&gt;0),"","MISMATCH")),"")</f>
        <v/>
      </c>
      <c r="P158" s="44">
        <f t="shared" si="26"/>
        <v>0</v>
      </c>
      <c r="Q158" s="44">
        <f t="shared" si="31"/>
        <v>0</v>
      </c>
      <c r="R158" s="49">
        <f t="shared" si="27"/>
        <v>0</v>
      </c>
      <c r="S158" s="49">
        <f t="shared" si="32"/>
        <v>0</v>
      </c>
      <c r="T158" s="49">
        <f t="shared" si="29"/>
        <v>38</v>
      </c>
      <c r="U158" s="49">
        <f t="shared" si="30"/>
        <v>0</v>
      </c>
      <c r="V158" s="49">
        <f t="shared" si="25"/>
        <v>38</v>
      </c>
      <c r="W158" s="49">
        <f t="shared" si="28"/>
        <v>1</v>
      </c>
    </row>
    <row r="159" spans="1:123" ht="45.6">
      <c r="B159" s="903"/>
      <c r="C159" s="857" t="s">
        <v>23</v>
      </c>
      <c r="D159" s="888" t="s">
        <v>128</v>
      </c>
      <c r="E159" s="700" t="s">
        <v>578</v>
      </c>
      <c r="F159" s="211"/>
      <c r="G159" s="208" t="s">
        <v>1061</v>
      </c>
      <c r="H159" s="701" t="s">
        <v>324</v>
      </c>
      <c r="I159" s="67" t="s">
        <v>1145</v>
      </c>
      <c r="L159" s="49" t="str">
        <f>IF(OR(Overview!$D$4="Preliminary Documentation Review",Overview!$D$4="Preliminary Precertification Review"),IF(AND(P159=0,Q159=0),"",IF(AND(P159&gt;0,Q159&gt;0),"","MISMATCH")),"")</f>
        <v/>
      </c>
      <c r="M159" s="49" t="str">
        <f>IF(OR(Overview!$D$4="Preliminary Documentation Review",Overview!$D$4="Preliminary Precertification Review"),IF(AND(R159=0,S159=0),"",IF(AND(R159&gt;0,S159&gt;0),"","MISMATCH")),"")</f>
        <v/>
      </c>
      <c r="N159" s="49" t="str">
        <f>IF(OR(Overview!$D$4="Preliminary Documentation Review",Overview!$D$4="Preliminary Precertification Review"),IF(AND(T159=0,U159=0),"",IF(AND(T159&gt;0,U159&gt;0),"MISMATCH","")),"")</f>
        <v/>
      </c>
      <c r="O159" s="49" t="str">
        <f>IF(OR(Overview!$D$4="Preliminary Documentation Review",Overview!$D$4="Preliminary Precertification Review"),IF(AND(V159=0,W159=0),"",IF(AND(V159&gt;0,W159&gt;0),"","MISMATCH")),"")</f>
        <v/>
      </c>
      <c r="P159" s="44">
        <f t="shared" si="26"/>
        <v>0</v>
      </c>
      <c r="Q159" s="44">
        <f t="shared" si="31"/>
        <v>0</v>
      </c>
      <c r="R159" s="49">
        <f t="shared" si="27"/>
        <v>0</v>
      </c>
      <c r="S159" s="49">
        <f t="shared" si="32"/>
        <v>0</v>
      </c>
      <c r="T159" s="49">
        <f t="shared" si="29"/>
        <v>38</v>
      </c>
      <c r="U159" s="49">
        <f t="shared" si="30"/>
        <v>0</v>
      </c>
      <c r="V159" s="49">
        <f t="shared" si="25"/>
        <v>38</v>
      </c>
      <c r="W159" s="49">
        <f t="shared" si="28"/>
        <v>1</v>
      </c>
    </row>
    <row r="160" spans="1:123" ht="46.8">
      <c r="B160" s="903"/>
      <c r="C160" s="859"/>
      <c r="D160" s="888"/>
      <c r="E160" s="700" t="s">
        <v>579</v>
      </c>
      <c r="F160" s="213">
        <v>1</v>
      </c>
      <c r="G160" s="208" t="s">
        <v>1071</v>
      </c>
      <c r="H160" s="701" t="s">
        <v>369</v>
      </c>
      <c r="I160" s="794" t="s">
        <v>1142</v>
      </c>
      <c r="L160" s="49" t="str">
        <f>IF(OR(Overview!$D$4="Preliminary Documentation Review",Overview!$D$4="Preliminary Precertification Review"),IF(AND(P160=0,Q160=0),"",IF(AND(P160&gt;0,Q160&gt;0),"","MISMATCH")),"")</f>
        <v/>
      </c>
      <c r="M160" s="49" t="str">
        <f>IF(OR(Overview!$D$4="Preliminary Documentation Review",Overview!$D$4="Preliminary Precertification Review"),IF(AND(R160=0,S160=0),"",IF(AND(R160&gt;0,S160&gt;0),"","MISMATCH")),"")</f>
        <v/>
      </c>
      <c r="N160" s="49" t="str">
        <f>IF(OR(Overview!$D$4="Preliminary Documentation Review",Overview!$D$4="Preliminary Precertification Review"),IF(AND(T160=0,U160=0),"",IF(AND(T160&gt;0,U160&gt;0),"MISMATCH","")),"")</f>
        <v/>
      </c>
      <c r="O160" s="49" t="str">
        <f>IF(OR(Overview!$D$4="Preliminary Documentation Review",Overview!$D$4="Preliminary Precertification Review"),IF(AND(V160=0,W160=0),"",IF(AND(V160&gt;0,W160&gt;0),"","MISMATCH")),"")</f>
        <v/>
      </c>
      <c r="P160" s="44">
        <f t="shared" si="26"/>
        <v>0</v>
      </c>
      <c r="Q160" s="44">
        <f t="shared" si="31"/>
        <v>0</v>
      </c>
      <c r="R160" s="49">
        <f t="shared" si="27"/>
        <v>0</v>
      </c>
      <c r="S160" s="49">
        <f t="shared" si="32"/>
        <v>0</v>
      </c>
      <c r="T160" s="49">
        <f t="shared" si="29"/>
        <v>0</v>
      </c>
      <c r="U160" s="49">
        <f t="shared" si="30"/>
        <v>1</v>
      </c>
      <c r="V160" s="49">
        <f t="shared" si="25"/>
        <v>0</v>
      </c>
      <c r="W160" s="49">
        <f t="shared" si="28"/>
        <v>0</v>
      </c>
    </row>
    <row r="161" spans="2:23" ht="45.6">
      <c r="B161" s="903"/>
      <c r="C161" s="881" t="s">
        <v>23</v>
      </c>
      <c r="D161" s="888" t="s">
        <v>129</v>
      </c>
      <c r="E161" s="700" t="s">
        <v>580</v>
      </c>
      <c r="F161" s="214"/>
      <c r="G161" s="208" t="s">
        <v>1061</v>
      </c>
      <c r="H161" s="701" t="s">
        <v>324</v>
      </c>
      <c r="I161" s="67" t="s">
        <v>1145</v>
      </c>
      <c r="L161" s="49" t="str">
        <f>IF(OR(Overview!$D$4="Preliminary Documentation Review",Overview!$D$4="Preliminary Precertification Review"),IF(AND(P161=0,Q161=0),"",IF(AND(P161&gt;0,Q161&gt;0),"","MISMATCH")),"")</f>
        <v/>
      </c>
      <c r="M161" s="49" t="str">
        <f>IF(OR(Overview!$D$4="Preliminary Documentation Review",Overview!$D$4="Preliminary Precertification Review"),IF(AND(R161=0,S161=0),"",IF(AND(R161&gt;0,S161&gt;0),"","MISMATCH")),"")</f>
        <v/>
      </c>
      <c r="N161" s="49" t="str">
        <f>IF(OR(Overview!$D$4="Preliminary Documentation Review",Overview!$D$4="Preliminary Precertification Review"),IF(AND(T161=0,U161=0),"",IF(AND(T161&gt;0,U161&gt;0),"MISMATCH","")),"")</f>
        <v/>
      </c>
      <c r="O161" s="49" t="str">
        <f>IF(OR(Overview!$D$4="Preliminary Documentation Review",Overview!$D$4="Preliminary Precertification Review"),IF(AND(V161=0,W161=0),"",IF(AND(V161&gt;0,W161&gt;0),"","MISMATCH")),"")</f>
        <v/>
      </c>
      <c r="P161" s="44">
        <f t="shared" si="26"/>
        <v>0</v>
      </c>
      <c r="Q161" s="44">
        <f t="shared" si="31"/>
        <v>0</v>
      </c>
      <c r="R161" s="49">
        <f t="shared" si="27"/>
        <v>0</v>
      </c>
      <c r="S161" s="49">
        <f t="shared" si="32"/>
        <v>0</v>
      </c>
      <c r="T161" s="49">
        <f t="shared" si="29"/>
        <v>38</v>
      </c>
      <c r="U161" s="49">
        <f t="shared" si="30"/>
        <v>0</v>
      </c>
      <c r="V161" s="49">
        <f t="shared" si="25"/>
        <v>38</v>
      </c>
      <c r="W161" s="49">
        <f t="shared" si="28"/>
        <v>1</v>
      </c>
    </row>
    <row r="162" spans="2:23" ht="45.6">
      <c r="B162" s="903"/>
      <c r="C162" s="698" t="s">
        <v>23</v>
      </c>
      <c r="D162" s="700" t="s">
        <v>130</v>
      </c>
      <c r="E162" s="700" t="s">
        <v>581</v>
      </c>
      <c r="F162" s="215"/>
      <c r="G162" s="208" t="s">
        <v>1061</v>
      </c>
      <c r="H162" s="701" t="s">
        <v>324</v>
      </c>
      <c r="I162" s="67" t="s">
        <v>1145</v>
      </c>
      <c r="K162" s="193" t="s">
        <v>737</v>
      </c>
      <c r="L162" s="49" t="str">
        <f>IF(OR(Overview!$D$4="Preliminary Documentation Review",Overview!$D$4="Preliminary Precertification Review"),IF(AND(P162=0,Q162=0),"",IF(AND(P162&gt;0,Q162&gt;0),"","MISMATCH")),"")</f>
        <v/>
      </c>
      <c r="M162" s="49" t="str">
        <f>IF(OR(Overview!$D$4="Preliminary Documentation Review",Overview!$D$4="Preliminary Precertification Review"),IF(AND(R162=0,S162=0),"",IF(AND(R162&gt;0,S162&gt;0),"","MISMATCH")),"")</f>
        <v/>
      </c>
      <c r="N162" s="49" t="str">
        <f>IF(OR(Overview!$D$4="Preliminary Documentation Review",Overview!$D$4="Preliminary Precertification Review"),IF(AND(T162=0,U162=0),"",IF(AND(T162&gt;0,U162&gt;0),"MISMATCH","")),"")</f>
        <v/>
      </c>
      <c r="O162" s="49" t="str">
        <f>IF(OR(Overview!$D$4="Preliminary Documentation Review",Overview!$D$4="Preliminary Precertification Review"),IF(AND(V162=0,W162=0),"",IF(AND(V162&gt;0,W162&gt;0),"","MISMATCH")),"")</f>
        <v/>
      </c>
      <c r="P162" s="44">
        <f t="shared" si="26"/>
        <v>0</v>
      </c>
      <c r="Q162" s="44">
        <f t="shared" si="31"/>
        <v>0</v>
      </c>
      <c r="R162" s="49">
        <f t="shared" si="27"/>
        <v>0</v>
      </c>
      <c r="S162" s="49">
        <f t="shared" si="32"/>
        <v>0</v>
      </c>
      <c r="T162" s="49">
        <f t="shared" si="29"/>
        <v>38</v>
      </c>
      <c r="U162" s="49">
        <f t="shared" si="30"/>
        <v>0</v>
      </c>
      <c r="V162" s="49">
        <f t="shared" si="25"/>
        <v>38</v>
      </c>
      <c r="W162" s="49">
        <f t="shared" si="28"/>
        <v>1</v>
      </c>
    </row>
    <row r="163" spans="2:23" ht="30" hidden="1">
      <c r="B163" s="903"/>
      <c r="C163" s="698" t="s">
        <v>23</v>
      </c>
      <c r="D163" s="700" t="s">
        <v>462</v>
      </c>
      <c r="E163" s="700" t="s">
        <v>511</v>
      </c>
      <c r="F163" s="220"/>
      <c r="G163" s="216"/>
      <c r="H163" s="66"/>
      <c r="I163" s="68"/>
      <c r="L163" s="49" t="str">
        <f>IF(OR(Overview!$D$4="Preliminary Documentation Review",Overview!$D$4="Preliminary Precertification Review"),IF(AND(P163=0,Q163=0),"",IF(AND(P163&gt;0,Q163&gt;0),"","MISMATCH")),"")</f>
        <v/>
      </c>
      <c r="M163" s="49" t="str">
        <f>IF(OR(Overview!$D$4="Preliminary Documentation Review",Overview!$D$4="Preliminary Precertification Review"),IF(AND(R163=0,S163=0),"",IF(AND(R163&gt;0,S163&gt;0),"","MISMATCH")),"")</f>
        <v/>
      </c>
      <c r="N163" s="49" t="str">
        <f>IF(OR(Overview!$D$4="Preliminary Documentation Review",Overview!$D$4="Preliminary Precertification Review"),IF(AND(T163=0,U163=0),"",IF(AND(T163&gt;0,U163&gt;0),"MISMATCH","")),"")</f>
        <v/>
      </c>
      <c r="O163" s="49" t="str">
        <f>IF(OR(Overview!$D$4="Preliminary Documentation Review",Overview!$D$4="Preliminary Precertification Review"),IF(AND(V163=0,W163=0),"",IF(AND(V163&gt;0,W163&gt;0),"","MISMATCH")),"")</f>
        <v/>
      </c>
      <c r="P163" s="44">
        <f t="shared" si="26"/>
        <v>0</v>
      </c>
      <c r="Q163" s="44">
        <f t="shared" si="31"/>
        <v>0</v>
      </c>
      <c r="R163" s="49">
        <f t="shared" si="27"/>
        <v>0</v>
      </c>
      <c r="S163" s="49">
        <f t="shared" si="32"/>
        <v>0</v>
      </c>
      <c r="T163" s="49">
        <f t="shared" si="29"/>
        <v>0</v>
      </c>
      <c r="U163" s="49">
        <f t="shared" si="30"/>
        <v>0</v>
      </c>
      <c r="V163" s="49">
        <f t="shared" si="25"/>
        <v>0</v>
      </c>
      <c r="W163" s="49">
        <f t="shared" si="28"/>
        <v>0</v>
      </c>
    </row>
    <row r="164" spans="2:23" ht="30" hidden="1">
      <c r="B164" s="903"/>
      <c r="C164" s="857" t="s">
        <v>23</v>
      </c>
      <c r="D164" s="860" t="s">
        <v>464</v>
      </c>
      <c r="E164" s="700" t="s">
        <v>512</v>
      </c>
      <c r="F164" s="217"/>
      <c r="G164" s="216"/>
      <c r="H164" s="66"/>
      <c r="I164" s="67"/>
      <c r="L164" s="49" t="str">
        <f>IF(OR(Overview!$D$4="Preliminary Documentation Review",Overview!$D$4="Preliminary Precertification Review"),IF(AND(P164=0,Q164=0),"",IF(AND(P164&gt;0,Q164&gt;0),"","MISMATCH")),"")</f>
        <v/>
      </c>
      <c r="M164" s="49" t="str">
        <f>IF(OR(Overview!$D$4="Preliminary Documentation Review",Overview!$D$4="Preliminary Precertification Review"),IF(AND(R164=0,S164=0),"",IF(AND(R164&gt;0,S164&gt;0),"","MISMATCH")),"")</f>
        <v/>
      </c>
      <c r="N164" s="49" t="str">
        <f>IF(OR(Overview!$D$4="Preliminary Documentation Review",Overview!$D$4="Preliminary Precertification Review"),IF(AND(T164=0,U164=0),"",IF(AND(T164&gt;0,U164&gt;0),"MISMATCH","")),"")</f>
        <v/>
      </c>
      <c r="O164" s="49" t="str">
        <f>IF(OR(Overview!$D$4="Preliminary Documentation Review",Overview!$D$4="Preliminary Precertification Review"),IF(AND(V164=0,W164=0),"",IF(AND(V164&gt;0,W164&gt;0),"","MISMATCH")),"")</f>
        <v/>
      </c>
      <c r="P164" s="44">
        <f t="shared" si="26"/>
        <v>0</v>
      </c>
      <c r="Q164" s="44">
        <f t="shared" si="31"/>
        <v>0</v>
      </c>
      <c r="R164" s="49">
        <f t="shared" si="27"/>
        <v>0</v>
      </c>
      <c r="S164" s="49">
        <f t="shared" si="32"/>
        <v>0</v>
      </c>
      <c r="T164" s="49">
        <f t="shared" si="29"/>
        <v>0</v>
      </c>
      <c r="U164" s="49">
        <f t="shared" si="30"/>
        <v>0</v>
      </c>
      <c r="V164" s="49">
        <f t="shared" si="25"/>
        <v>0</v>
      </c>
      <c r="W164" s="49">
        <f t="shared" si="28"/>
        <v>0</v>
      </c>
    </row>
    <row r="165" spans="2:23" ht="30" hidden="1">
      <c r="B165" s="903"/>
      <c r="C165" s="858"/>
      <c r="D165" s="861"/>
      <c r="E165" s="700" t="s">
        <v>513</v>
      </c>
      <c r="F165" s="218"/>
      <c r="G165" s="216"/>
      <c r="H165" s="66"/>
      <c r="I165" s="67"/>
      <c r="L165" s="49" t="str">
        <f>IF(OR(Overview!$D$4="Preliminary Documentation Review",Overview!$D$4="Preliminary Precertification Review"),IF(AND(P165=0,Q165=0),"",IF(AND(P165&gt;0,Q165&gt;0),"","MISMATCH")),"")</f>
        <v/>
      </c>
      <c r="M165" s="49" t="str">
        <f>IF(OR(Overview!$D$4="Preliminary Documentation Review",Overview!$D$4="Preliminary Precertification Review"),IF(AND(R165=0,S165=0),"",IF(AND(R165&gt;0,S165&gt;0),"","MISMATCH")),"")</f>
        <v/>
      </c>
      <c r="N165" s="49" t="str">
        <f>IF(OR(Overview!$D$4="Preliminary Documentation Review",Overview!$D$4="Preliminary Precertification Review"),IF(AND(T165=0,U165=0),"",IF(AND(T165&gt;0,U165&gt;0),"MISMATCH","")),"")</f>
        <v/>
      </c>
      <c r="O165" s="49" t="str">
        <f>IF(OR(Overview!$D$4="Preliminary Documentation Review",Overview!$D$4="Preliminary Precertification Review"),IF(AND(V165=0,W165=0),"",IF(AND(V165&gt;0,W165&gt;0),"","MISMATCH")),"")</f>
        <v/>
      </c>
      <c r="P165" s="44">
        <f t="shared" si="26"/>
        <v>0</v>
      </c>
      <c r="Q165" s="44">
        <f t="shared" si="31"/>
        <v>0</v>
      </c>
      <c r="R165" s="49">
        <f t="shared" si="27"/>
        <v>0</v>
      </c>
      <c r="S165" s="49">
        <f t="shared" si="32"/>
        <v>0</v>
      </c>
      <c r="T165" s="49">
        <f t="shared" si="29"/>
        <v>0</v>
      </c>
      <c r="U165" s="49">
        <f t="shared" si="30"/>
        <v>0</v>
      </c>
      <c r="V165" s="49">
        <f t="shared" si="25"/>
        <v>0</v>
      </c>
      <c r="W165" s="49">
        <f t="shared" si="28"/>
        <v>0</v>
      </c>
    </row>
    <row r="166" spans="2:23" ht="30" hidden="1">
      <c r="B166" s="903"/>
      <c r="C166" s="859"/>
      <c r="D166" s="862"/>
      <c r="E166" s="700" t="s">
        <v>514</v>
      </c>
      <c r="F166" s="219"/>
      <c r="G166" s="216"/>
      <c r="H166" s="66"/>
      <c r="I166" s="68"/>
      <c r="L166" s="49" t="str">
        <f>IF(OR(Overview!$D$4="Preliminary Documentation Review",Overview!$D$4="Preliminary Precertification Review"),IF(AND(P166=0,Q166=0),"",IF(AND(P166&gt;0,Q166&gt;0),"","MISMATCH")),"")</f>
        <v/>
      </c>
      <c r="M166" s="49" t="str">
        <f>IF(OR(Overview!$D$4="Preliminary Documentation Review",Overview!$D$4="Preliminary Precertification Review"),IF(AND(R166=0,S166=0),"",IF(AND(R166&gt;0,S166&gt;0),"","MISMATCH")),"")</f>
        <v/>
      </c>
      <c r="N166" s="49" t="str">
        <f>IF(OR(Overview!$D$4="Preliminary Documentation Review",Overview!$D$4="Preliminary Precertification Review"),IF(AND(T166=0,U166=0),"",IF(AND(T166&gt;0,U166&gt;0),"MISMATCH","")),"")</f>
        <v/>
      </c>
      <c r="O166" s="49" t="str">
        <f>IF(OR(Overview!$D$4="Preliminary Documentation Review",Overview!$D$4="Preliminary Precertification Review"),IF(AND(V166=0,W166=0),"",IF(AND(V166&gt;0,W166&gt;0),"","MISMATCH")),"")</f>
        <v/>
      </c>
      <c r="P166" s="44">
        <f t="shared" si="26"/>
        <v>0</v>
      </c>
      <c r="Q166" s="44">
        <f t="shared" si="31"/>
        <v>0</v>
      </c>
      <c r="R166" s="49">
        <f t="shared" si="27"/>
        <v>0</v>
      </c>
      <c r="S166" s="49">
        <f t="shared" si="32"/>
        <v>0</v>
      </c>
      <c r="T166" s="49">
        <f t="shared" si="29"/>
        <v>0</v>
      </c>
      <c r="U166" s="49">
        <f t="shared" si="30"/>
        <v>0</v>
      </c>
      <c r="V166" s="49">
        <f t="shared" si="25"/>
        <v>0</v>
      </c>
      <c r="W166" s="49">
        <f t="shared" si="28"/>
        <v>0</v>
      </c>
    </row>
    <row r="167" spans="2:23">
      <c r="B167" s="119"/>
      <c r="C167" s="120"/>
      <c r="D167" s="121"/>
      <c r="E167" s="122"/>
      <c r="F167" s="89"/>
      <c r="G167" s="79"/>
      <c r="H167" s="123"/>
      <c r="I167" s="124"/>
      <c r="L167" s="49" t="str">
        <f>IF(OR(Overview!$D$4="Preliminary Documentation Review",Overview!$D$4="Preliminary Precertification Review"),IF(AND(P167=0,Q167=0),"",IF(AND(P167&gt;0,Q167&gt;0),"","MISMATCH")),"")</f>
        <v/>
      </c>
      <c r="M167" s="49" t="str">
        <f>IF(OR(Overview!$D$4="Preliminary Documentation Review",Overview!$D$4="Preliminary Precertification Review"),IF(AND(R167=0,S167=0),"",IF(AND(R167&gt;0,S167&gt;0),"","MISMATCH")),"")</f>
        <v/>
      </c>
      <c r="N167" s="49" t="str">
        <f>IF(OR(Overview!$D$4="Preliminary Documentation Review",Overview!$D$4="Preliminary Precertification Review"),IF(AND(T167=0,U167=0),"",IF(AND(T167&gt;0,U167&gt;0),"MISMATCH","")),"")</f>
        <v/>
      </c>
      <c r="O167" s="49" t="str">
        <f>IF(OR(Overview!$D$4="Preliminary Documentation Review",Overview!$D$4="Preliminary Precertification Review"),IF(AND(V167=0,W167=0),"",IF(AND(V167&gt;0,W167&gt;0),"","MISMATCH")),"")</f>
        <v/>
      </c>
      <c r="P167" s="44">
        <f t="shared" si="26"/>
        <v>0</v>
      </c>
      <c r="Q167" s="44">
        <f t="shared" si="31"/>
        <v>0</v>
      </c>
      <c r="R167" s="49">
        <f t="shared" si="27"/>
        <v>0</v>
      </c>
      <c r="S167" s="49">
        <f t="shared" si="32"/>
        <v>0</v>
      </c>
      <c r="T167" s="49">
        <f t="shared" si="29"/>
        <v>0</v>
      </c>
      <c r="U167" s="49">
        <f t="shared" si="30"/>
        <v>0</v>
      </c>
      <c r="V167" s="49">
        <f t="shared" si="25"/>
        <v>0</v>
      </c>
      <c r="W167" s="49">
        <f t="shared" si="28"/>
        <v>0</v>
      </c>
    </row>
    <row r="168" spans="2:23">
      <c r="B168" s="75"/>
      <c r="C168" s="76"/>
      <c r="D168" s="77"/>
      <c r="E168" s="78"/>
      <c r="F168" s="89"/>
      <c r="G168" s="79"/>
      <c r="H168" s="80"/>
      <c r="I168" s="81"/>
      <c r="L168" s="49" t="str">
        <f>IF(OR(Overview!$D$4="Preliminary Documentation Review",Overview!$D$4="Preliminary Precertification Review"),IF(AND(P168=0,Q168=0),"",IF(AND(P168&gt;0,Q168&gt;0),"","MISMATCH")),"")</f>
        <v/>
      </c>
      <c r="M168" s="49" t="str">
        <f>IF(OR(Overview!$D$4="Preliminary Documentation Review",Overview!$D$4="Preliminary Precertification Review"),IF(AND(R168=0,S168=0),"",IF(AND(R168&gt;0,S168&gt;0),"","MISMATCH")),"")</f>
        <v/>
      </c>
      <c r="N168" s="49" t="str">
        <f>IF(OR(Overview!$D$4="Preliminary Documentation Review",Overview!$D$4="Preliminary Precertification Review"),IF(AND(T168=0,U168=0),"",IF(AND(T168&gt;0,U168&gt;0),"MISMATCH","")),"")</f>
        <v/>
      </c>
      <c r="O168" s="49" t="str">
        <f>IF(OR(Overview!$D$4="Preliminary Documentation Review",Overview!$D$4="Preliminary Precertification Review"),IF(AND(V168=0,W168=0),"",IF(AND(V168&gt;0,W168&gt;0),"","MISMATCH")),"")</f>
        <v/>
      </c>
      <c r="P168" s="44">
        <f t="shared" si="26"/>
        <v>0</v>
      </c>
      <c r="Q168" s="44">
        <f t="shared" si="31"/>
        <v>0</v>
      </c>
      <c r="R168" s="49">
        <f t="shared" si="27"/>
        <v>0</v>
      </c>
      <c r="S168" s="49">
        <f t="shared" si="32"/>
        <v>0</v>
      </c>
      <c r="T168" s="49">
        <f t="shared" si="29"/>
        <v>0</v>
      </c>
      <c r="U168" s="49">
        <f t="shared" si="30"/>
        <v>0</v>
      </c>
      <c r="V168" s="49">
        <f t="shared" si="25"/>
        <v>0</v>
      </c>
      <c r="W168" s="49">
        <f t="shared" si="28"/>
        <v>0</v>
      </c>
    </row>
    <row r="169" spans="2:23">
      <c r="B169" s="896"/>
      <c r="C169" s="897"/>
      <c r="D169" s="897"/>
      <c r="E169" s="897"/>
      <c r="F169" s="897"/>
      <c r="G169" s="897"/>
      <c r="H169" s="897"/>
      <c r="I169" s="179"/>
      <c r="L169" s="49" t="str">
        <f>IF(OR(Overview!$D$4="Preliminary Documentation Review",Overview!$D$4="Preliminary Precertification Review"),IF(AND(P169=0,Q169=0),"",IF(AND(P169&gt;0,Q169&gt;0),"","MISMATCH")),"")</f>
        <v/>
      </c>
      <c r="M169" s="49" t="str">
        <f>IF(OR(Overview!$D$4="Preliminary Documentation Review",Overview!$D$4="Preliminary Precertification Review"),IF(AND(R169=0,S169=0),"",IF(AND(R169&gt;0,S169&gt;0),"","MISMATCH")),"")</f>
        <v/>
      </c>
      <c r="N169" s="49" t="str">
        <f>IF(OR(Overview!$D$4="Preliminary Documentation Review",Overview!$D$4="Preliminary Precertification Review"),IF(AND(T169=0,U169=0),"",IF(AND(T169&gt;0,U169&gt;0),"MISMATCH","")),"")</f>
        <v/>
      </c>
      <c r="O169" s="49" t="str">
        <f>IF(OR(Overview!$D$4="Preliminary Documentation Review",Overview!$D$4="Preliminary Precertification Review"),IF(AND(V169=0,W169=0),"",IF(AND(V169&gt;0,W169&gt;0),"","MISMATCH")),"")</f>
        <v/>
      </c>
      <c r="T169" s="49">
        <f t="shared" si="29"/>
        <v>0</v>
      </c>
      <c r="U169" s="49">
        <f t="shared" si="30"/>
        <v>0</v>
      </c>
      <c r="V169" s="49">
        <f t="shared" si="25"/>
        <v>0</v>
      </c>
      <c r="W169" s="49">
        <f t="shared" si="28"/>
        <v>0</v>
      </c>
    </row>
    <row r="170" spans="2:23" s="65" customFormat="1" ht="99.9" hidden="1" customHeight="1">
      <c r="B170" s="125"/>
      <c r="C170" s="869" t="s">
        <v>712</v>
      </c>
      <c r="D170" s="870"/>
      <c r="E170" s="870"/>
      <c r="F170" s="870"/>
      <c r="G170" s="870"/>
      <c r="H170" s="870"/>
      <c r="I170" s="871"/>
      <c r="J170" s="64"/>
      <c r="K170" s="190"/>
      <c r="L170" s="49" t="str">
        <f>IF(OR(Overview!$D$4="Preliminary Documentation Review",Overview!$D$4="Preliminary Precertification Review"),IF(AND(P170=0,Q170=0),"",IF(AND(P170&gt;0,Q170&gt;0),"","MISMATCH")),"")</f>
        <v/>
      </c>
      <c r="M170" s="49" t="str">
        <f>IF(OR(Overview!$D$4="Preliminary Documentation Review",Overview!$D$4="Preliminary Precertification Review"),IF(AND(R170=0,S170=0),"",IF(AND(R170&gt;0,S170&gt;0),"","MISMATCH")),"")</f>
        <v/>
      </c>
      <c r="N170" s="49" t="str">
        <f>IF(OR(Overview!$D$4="Preliminary Documentation Review",Overview!$D$4="Preliminary Precertification Review"),IF(AND(T170=0,U170=0),"",IF(AND(T170&gt;0,U170&gt;0),"MISMATCH","")),"")</f>
        <v/>
      </c>
      <c r="O170" s="49" t="str">
        <f>IF(OR(Overview!$D$4="Preliminary Documentation Review",Overview!$D$4="Preliminary Precertification Review"),IF(AND(V170=0,W170=0),"",IF(AND(V170&gt;0,W170&gt;0),"","MISMATCH")),"")</f>
        <v/>
      </c>
      <c r="T170" s="49">
        <f t="shared" si="29"/>
        <v>0</v>
      </c>
      <c r="U170" s="49">
        <f t="shared" si="30"/>
        <v>0</v>
      </c>
      <c r="V170" s="49">
        <f t="shared" si="25"/>
        <v>0</v>
      </c>
      <c r="W170" s="49">
        <f t="shared" si="28"/>
        <v>0</v>
      </c>
    </row>
    <row r="171" spans="2:23" s="65" customFormat="1" ht="15.6" hidden="1" customHeight="1">
      <c r="B171" s="125"/>
      <c r="C171" s="897"/>
      <c r="D171" s="897"/>
      <c r="E171" s="897"/>
      <c r="F171" s="897"/>
      <c r="G171" s="897"/>
      <c r="H171" s="897"/>
      <c r="I171" s="898"/>
      <c r="J171" s="64"/>
      <c r="K171" s="190"/>
      <c r="L171" s="49" t="str">
        <f>IF(OR(Overview!$D$4="Preliminary Documentation Review",Overview!$D$4="Preliminary Precertification Review"),IF(AND(P171=0,Q171=0),"",IF(AND(P171&gt;0,Q171&gt;0),"","MISMATCH")),"")</f>
        <v/>
      </c>
      <c r="M171" s="49" t="str">
        <f>IF(OR(Overview!$D$4="Preliminary Documentation Review",Overview!$D$4="Preliminary Precertification Review"),IF(AND(R171=0,S171=0),"",IF(AND(R171&gt;0,S171&gt;0),"","MISMATCH")),"")</f>
        <v/>
      </c>
      <c r="N171" s="49" t="str">
        <f>IF(OR(Overview!$D$4="Preliminary Documentation Review",Overview!$D$4="Preliminary Precertification Review"),IF(AND(T171=0,U171=0),"",IF(AND(T171&gt;0,U171&gt;0),"MISMATCH","")),"")</f>
        <v/>
      </c>
      <c r="O171" s="49" t="str">
        <f>IF(OR(Overview!$D$4="Preliminary Documentation Review",Overview!$D$4="Preliminary Precertification Review"),IF(AND(V171=0,W171=0),"",IF(AND(V171&gt;0,W171&gt;0),"","MISMATCH")),"")</f>
        <v/>
      </c>
      <c r="T171" s="49">
        <f t="shared" si="29"/>
        <v>0</v>
      </c>
      <c r="U171" s="49">
        <f t="shared" si="30"/>
        <v>0</v>
      </c>
      <c r="V171" s="49">
        <f t="shared" si="25"/>
        <v>0</v>
      </c>
      <c r="W171" s="49">
        <f t="shared" si="28"/>
        <v>0</v>
      </c>
    </row>
    <row r="172" spans="2:23" ht="211.8">
      <c r="B172" s="902" t="s">
        <v>131</v>
      </c>
      <c r="C172" s="881" t="s">
        <v>8</v>
      </c>
      <c r="D172" s="883" t="s">
        <v>132</v>
      </c>
      <c r="E172" s="700" t="s">
        <v>276</v>
      </c>
      <c r="F172" s="207"/>
      <c r="G172" s="208" t="s">
        <v>219</v>
      </c>
      <c r="H172" s="701" t="s">
        <v>369</v>
      </c>
      <c r="I172" s="67" t="s">
        <v>1160</v>
      </c>
      <c r="L172" s="49" t="str">
        <f>IF(OR(Overview!$D$4="Preliminary Documentation Review",Overview!$D$4="Preliminary Precertification Review"),IF(AND(P172=0,Q172=0),"",IF(AND(P172&gt;0,Q172&gt;0),"","MISMATCH")),"")</f>
        <v/>
      </c>
      <c r="M172" s="49" t="str">
        <f>IF(OR(Overview!$D$4="Preliminary Documentation Review",Overview!$D$4="Preliminary Precertification Review"),IF(AND(R172=0,S172=0),"",IF(AND(R172&gt;0,S172&gt;0),"","MISMATCH")),"")</f>
        <v/>
      </c>
      <c r="N172" s="49" t="str">
        <f>IF(OR(Overview!$D$4="Preliminary Documentation Review",Overview!$D$4="Preliminary Precertification Review"),IF(AND(T172=0,U172=0),"",IF(AND(T172&gt;0,U172&gt;0),"MISMATCH","")),"")</f>
        <v/>
      </c>
      <c r="O172" s="49" t="str">
        <f>IF(OR(Overview!$D$4="Preliminary Documentation Review",Overview!$D$4="Preliminary Precertification Review"),IF(AND(V172=0,W172=0),"",IF(AND(V172&gt;0,W172&gt;0),"","MISMATCH")),"")</f>
        <v/>
      </c>
      <c r="P172" s="44">
        <f t="shared" ref="P172:P187" si="33">IFERROR(SEARCH("COMMENTS TO BE ADDRESS",$I172),0)</f>
        <v>314</v>
      </c>
      <c r="Q172" s="44">
        <f t="shared" si="31"/>
        <v>0</v>
      </c>
      <c r="R172" s="49">
        <f t="shared" ref="R172:R187" si="34">IFERROR(SEARCH("equirements of this part will be v",$I172),0)</f>
        <v>0</v>
      </c>
      <c r="S172" s="49">
        <f t="shared" si="32"/>
        <v>0</v>
      </c>
      <c r="T172" s="49">
        <f t="shared" si="29"/>
        <v>0</v>
      </c>
      <c r="U172" s="49">
        <f t="shared" si="30"/>
        <v>1</v>
      </c>
      <c r="V172" s="49">
        <f t="shared" si="25"/>
        <v>0</v>
      </c>
      <c r="W172" s="49">
        <f t="shared" si="28"/>
        <v>0</v>
      </c>
    </row>
    <row r="173" spans="2:23" ht="211.8">
      <c r="B173" s="902"/>
      <c r="C173" s="881"/>
      <c r="D173" s="883"/>
      <c r="E173" s="700" t="s">
        <v>277</v>
      </c>
      <c r="F173" s="209"/>
      <c r="G173" s="208" t="s">
        <v>219</v>
      </c>
      <c r="H173" s="701" t="s">
        <v>369</v>
      </c>
      <c r="I173" s="67" t="s">
        <v>1160</v>
      </c>
      <c r="L173" s="49" t="str">
        <f>IF(OR(Overview!$D$4="Preliminary Documentation Review",Overview!$D$4="Preliminary Precertification Review"),IF(AND(P173=0,Q173=0),"",IF(AND(P173&gt;0,Q173&gt;0),"","MISMATCH")),"")</f>
        <v/>
      </c>
      <c r="M173" s="49" t="str">
        <f>IF(OR(Overview!$D$4="Preliminary Documentation Review",Overview!$D$4="Preliminary Precertification Review"),IF(AND(R173=0,S173=0),"",IF(AND(R173&gt;0,S173&gt;0),"","MISMATCH")),"")</f>
        <v/>
      </c>
      <c r="N173" s="49" t="str">
        <f>IF(OR(Overview!$D$4="Preliminary Documentation Review",Overview!$D$4="Preliminary Precertification Review"),IF(AND(T173=0,U173=0),"",IF(AND(T173&gt;0,U173&gt;0),"MISMATCH","")),"")</f>
        <v/>
      </c>
      <c r="O173" s="49" t="str">
        <f>IF(OR(Overview!$D$4="Preliminary Documentation Review",Overview!$D$4="Preliminary Precertification Review"),IF(AND(V173=0,W173=0),"",IF(AND(V173&gt;0,W173&gt;0),"","MISMATCH")),"")</f>
        <v/>
      </c>
      <c r="P173" s="44">
        <f t="shared" si="33"/>
        <v>314</v>
      </c>
      <c r="Q173" s="44">
        <f t="shared" si="31"/>
        <v>0</v>
      </c>
      <c r="R173" s="49">
        <f t="shared" si="34"/>
        <v>0</v>
      </c>
      <c r="S173" s="49">
        <f t="shared" si="32"/>
        <v>0</v>
      </c>
      <c r="T173" s="49">
        <f t="shared" si="29"/>
        <v>0</v>
      </c>
      <c r="U173" s="49">
        <f t="shared" si="30"/>
        <v>1</v>
      </c>
      <c r="V173" s="49">
        <f t="shared" si="25"/>
        <v>0</v>
      </c>
      <c r="W173" s="49">
        <f t="shared" si="28"/>
        <v>0</v>
      </c>
    </row>
    <row r="174" spans="2:23" ht="211.8">
      <c r="B174" s="902"/>
      <c r="C174" s="881"/>
      <c r="D174" s="883"/>
      <c r="E174" s="700" t="s">
        <v>278</v>
      </c>
      <c r="F174" s="210"/>
      <c r="G174" s="208" t="s">
        <v>219</v>
      </c>
      <c r="H174" s="701" t="s">
        <v>369</v>
      </c>
      <c r="I174" s="67" t="s">
        <v>1160</v>
      </c>
      <c r="L174" s="49" t="str">
        <f>IF(OR(Overview!$D$4="Preliminary Documentation Review",Overview!$D$4="Preliminary Precertification Review"),IF(AND(P174=0,Q174=0),"",IF(AND(P174&gt;0,Q174&gt;0),"","MISMATCH")),"")</f>
        <v/>
      </c>
      <c r="M174" s="49" t="str">
        <f>IF(OR(Overview!$D$4="Preliminary Documentation Review",Overview!$D$4="Preliminary Precertification Review"),IF(AND(R174=0,S174=0),"",IF(AND(R174&gt;0,S174&gt;0),"","MISMATCH")),"")</f>
        <v/>
      </c>
      <c r="N174" s="49" t="str">
        <f>IF(OR(Overview!$D$4="Preliminary Documentation Review",Overview!$D$4="Preliminary Precertification Review"),IF(AND(T174=0,U174=0),"",IF(AND(T174&gt;0,U174&gt;0),"MISMATCH","")),"")</f>
        <v/>
      </c>
      <c r="O174" s="49" t="str">
        <f>IF(OR(Overview!$D$4="Preliminary Documentation Review",Overview!$D$4="Preliminary Precertification Review"),IF(AND(V174=0,W174=0),"",IF(AND(V174&gt;0,W174&gt;0),"","MISMATCH")),"")</f>
        <v/>
      </c>
      <c r="P174" s="44">
        <f t="shared" si="33"/>
        <v>314</v>
      </c>
      <c r="Q174" s="44">
        <f t="shared" si="31"/>
        <v>0</v>
      </c>
      <c r="R174" s="49">
        <f t="shared" si="34"/>
        <v>0</v>
      </c>
      <c r="S174" s="49">
        <f t="shared" si="32"/>
        <v>0</v>
      </c>
      <c r="T174" s="49">
        <f t="shared" si="29"/>
        <v>0</v>
      </c>
      <c r="U174" s="49">
        <f t="shared" si="30"/>
        <v>1</v>
      </c>
      <c r="V174" s="49">
        <f t="shared" si="25"/>
        <v>0</v>
      </c>
      <c r="W174" s="49">
        <f t="shared" si="28"/>
        <v>0</v>
      </c>
    </row>
    <row r="175" spans="2:23" ht="45.6">
      <c r="B175" s="902"/>
      <c r="C175" s="881" t="s">
        <v>23</v>
      </c>
      <c r="D175" s="883" t="s">
        <v>136</v>
      </c>
      <c r="E175" s="700" t="s">
        <v>279</v>
      </c>
      <c r="F175" s="214">
        <v>3</v>
      </c>
      <c r="G175" s="208" t="s">
        <v>1071</v>
      </c>
      <c r="H175" s="701" t="s">
        <v>369</v>
      </c>
      <c r="I175" s="67" t="s">
        <v>1141</v>
      </c>
      <c r="L175" s="49" t="str">
        <f>IF(OR(Overview!$D$4="Preliminary Documentation Review",Overview!$D$4="Preliminary Precertification Review"),IF(AND(P175=0,Q175=0),"",IF(AND(P175&gt;0,Q175&gt;0),"","MISMATCH")),"")</f>
        <v/>
      </c>
      <c r="M175" s="49" t="str">
        <f>IF(OR(Overview!$D$4="Preliminary Documentation Review",Overview!$D$4="Preliminary Precertification Review"),IF(AND(R175=0,S175=0),"",IF(AND(R175&gt;0,S175&gt;0),"","MISMATCH")),"")</f>
        <v/>
      </c>
      <c r="N175" s="49" t="str">
        <f>IF(OR(Overview!$D$4="Preliminary Documentation Review",Overview!$D$4="Preliminary Precertification Review"),IF(AND(T175=0,U175=0),"",IF(AND(T175&gt;0,U175&gt;0),"MISMATCH","")),"")</f>
        <v/>
      </c>
      <c r="O175" s="49" t="str">
        <f>IF(OR(Overview!$D$4="Preliminary Documentation Review",Overview!$D$4="Preliminary Precertification Review"),IF(AND(V175=0,W175=0),"",IF(AND(V175&gt;0,W175&gt;0),"","MISMATCH")),"")</f>
        <v/>
      </c>
      <c r="P175" s="44">
        <f t="shared" si="33"/>
        <v>0</v>
      </c>
      <c r="Q175" s="44">
        <f t="shared" si="31"/>
        <v>0</v>
      </c>
      <c r="R175" s="49">
        <f t="shared" si="34"/>
        <v>0</v>
      </c>
      <c r="S175" s="49">
        <f t="shared" si="32"/>
        <v>0</v>
      </c>
      <c r="T175" s="49">
        <f t="shared" si="29"/>
        <v>0</v>
      </c>
      <c r="U175" s="49">
        <f t="shared" si="30"/>
        <v>1</v>
      </c>
      <c r="V175" s="49">
        <f t="shared" si="25"/>
        <v>0</v>
      </c>
      <c r="W175" s="49">
        <f t="shared" si="28"/>
        <v>0</v>
      </c>
    </row>
    <row r="176" spans="2:23" ht="45.6">
      <c r="B176" s="902"/>
      <c r="C176" s="881" t="s">
        <v>23</v>
      </c>
      <c r="D176" s="883" t="s">
        <v>138</v>
      </c>
      <c r="E176" s="700" t="s">
        <v>280</v>
      </c>
      <c r="F176" s="211"/>
      <c r="G176" s="208" t="s">
        <v>1061</v>
      </c>
      <c r="H176" s="701" t="s">
        <v>324</v>
      </c>
      <c r="I176" s="67" t="s">
        <v>1145</v>
      </c>
      <c r="L176" s="49" t="str">
        <f>IF(OR(Overview!$D$4="Preliminary Documentation Review",Overview!$D$4="Preliminary Precertification Review"),IF(AND(P176=0,Q176=0),"",IF(AND(P176&gt;0,Q176&gt;0),"","MISMATCH")),"")</f>
        <v/>
      </c>
      <c r="M176" s="49" t="str">
        <f>IF(OR(Overview!$D$4="Preliminary Documentation Review",Overview!$D$4="Preliminary Precertification Review"),IF(AND(R176=0,S176=0),"",IF(AND(R176&gt;0,S176&gt;0),"","MISMATCH")),"")</f>
        <v/>
      </c>
      <c r="N176" s="49" t="str">
        <f>IF(OR(Overview!$D$4="Preliminary Documentation Review",Overview!$D$4="Preliminary Precertification Review"),IF(AND(T176=0,U176=0),"",IF(AND(T176&gt;0,U176&gt;0),"MISMATCH","")),"")</f>
        <v/>
      </c>
      <c r="O176" s="49" t="str">
        <f>IF(OR(Overview!$D$4="Preliminary Documentation Review",Overview!$D$4="Preliminary Precertification Review"),IF(AND(V176=0,W176=0),"",IF(AND(V176&gt;0,W176&gt;0),"","MISMATCH")),"")</f>
        <v/>
      </c>
      <c r="P176" s="44">
        <f t="shared" si="33"/>
        <v>0</v>
      </c>
      <c r="Q176" s="44">
        <f t="shared" si="31"/>
        <v>0</v>
      </c>
      <c r="R176" s="49">
        <f t="shared" si="34"/>
        <v>0</v>
      </c>
      <c r="S176" s="49">
        <f t="shared" si="32"/>
        <v>0</v>
      </c>
      <c r="T176" s="49">
        <f t="shared" si="29"/>
        <v>38</v>
      </c>
      <c r="U176" s="49">
        <f t="shared" si="30"/>
        <v>0</v>
      </c>
      <c r="V176" s="49">
        <f t="shared" si="25"/>
        <v>38</v>
      </c>
      <c r="W176" s="49">
        <f t="shared" si="28"/>
        <v>1</v>
      </c>
    </row>
    <row r="177" spans="2:23" ht="45.6">
      <c r="B177" s="902"/>
      <c r="C177" s="881"/>
      <c r="D177" s="883"/>
      <c r="E177" s="700" t="s">
        <v>582</v>
      </c>
      <c r="F177" s="213"/>
      <c r="G177" s="208" t="s">
        <v>1061</v>
      </c>
      <c r="H177" s="701" t="s">
        <v>324</v>
      </c>
      <c r="I177" s="67" t="s">
        <v>1145</v>
      </c>
      <c r="L177" s="49" t="str">
        <f>IF(OR(Overview!$D$4="Preliminary Documentation Review",Overview!$D$4="Preliminary Precertification Review"),IF(AND(P177=0,Q177=0),"",IF(AND(P177&gt;0,Q177&gt;0),"","MISMATCH")),"")</f>
        <v/>
      </c>
      <c r="M177" s="49" t="str">
        <f>IF(OR(Overview!$D$4="Preliminary Documentation Review",Overview!$D$4="Preliminary Precertification Review"),IF(AND(R177=0,S177=0),"",IF(AND(R177&gt;0,S177&gt;0),"","MISMATCH")),"")</f>
        <v/>
      </c>
      <c r="N177" s="49" t="str">
        <f>IF(OR(Overview!$D$4="Preliminary Documentation Review",Overview!$D$4="Preliminary Precertification Review"),IF(AND(T177=0,U177=0),"",IF(AND(T177&gt;0,U177&gt;0),"MISMATCH","")),"")</f>
        <v/>
      </c>
      <c r="O177" s="49" t="str">
        <f>IF(OR(Overview!$D$4="Preliminary Documentation Review",Overview!$D$4="Preliminary Precertification Review"),IF(AND(V177=0,W177=0),"",IF(AND(V177&gt;0,W177&gt;0),"","MISMATCH")),"")</f>
        <v/>
      </c>
      <c r="P177" s="44">
        <f t="shared" si="33"/>
        <v>0</v>
      </c>
      <c r="Q177" s="44">
        <f t="shared" si="31"/>
        <v>0</v>
      </c>
      <c r="R177" s="49">
        <f t="shared" si="34"/>
        <v>0</v>
      </c>
      <c r="S177" s="49">
        <f t="shared" si="32"/>
        <v>0</v>
      </c>
      <c r="T177" s="49">
        <f t="shared" si="29"/>
        <v>38</v>
      </c>
      <c r="U177" s="49">
        <f t="shared" si="30"/>
        <v>0</v>
      </c>
      <c r="V177" s="49">
        <f t="shared" si="25"/>
        <v>38</v>
      </c>
      <c r="W177" s="49">
        <f t="shared" si="28"/>
        <v>1</v>
      </c>
    </row>
    <row r="178" spans="2:23" ht="45.6">
      <c r="B178" s="902"/>
      <c r="C178" s="881" t="s">
        <v>23</v>
      </c>
      <c r="D178" s="883" t="s">
        <v>140</v>
      </c>
      <c r="E178" s="700" t="s">
        <v>583</v>
      </c>
      <c r="F178" s="211"/>
      <c r="G178" s="208" t="s">
        <v>1061</v>
      </c>
      <c r="H178" s="701" t="s">
        <v>324</v>
      </c>
      <c r="I178" s="67" t="s">
        <v>1145</v>
      </c>
      <c r="L178" s="49" t="str">
        <f>IF(OR(Overview!$D$4="Preliminary Documentation Review",Overview!$D$4="Preliminary Precertification Review"),IF(AND(P178=0,Q178=0),"",IF(AND(P178&gt;0,Q178&gt;0),"","MISMATCH")),"")</f>
        <v/>
      </c>
      <c r="M178" s="49" t="str">
        <f>IF(OR(Overview!$D$4="Preliminary Documentation Review",Overview!$D$4="Preliminary Precertification Review"),IF(AND(R178=0,S178=0),"",IF(AND(R178&gt;0,S178&gt;0),"","MISMATCH")),"")</f>
        <v/>
      </c>
      <c r="N178" s="49" t="str">
        <f>IF(OR(Overview!$D$4="Preliminary Documentation Review",Overview!$D$4="Preliminary Precertification Review"),IF(AND(T178=0,U178=0),"",IF(AND(T178&gt;0,U178&gt;0),"MISMATCH","")),"")</f>
        <v/>
      </c>
      <c r="O178" s="49" t="str">
        <f>IF(OR(Overview!$D$4="Preliminary Documentation Review",Overview!$D$4="Preliminary Precertification Review"),IF(AND(V178=0,W178=0),"",IF(AND(V178&gt;0,W178&gt;0),"","MISMATCH")),"")</f>
        <v/>
      </c>
      <c r="P178" s="44">
        <f t="shared" si="33"/>
        <v>0</v>
      </c>
      <c r="Q178" s="44">
        <f t="shared" si="31"/>
        <v>0</v>
      </c>
      <c r="R178" s="49">
        <f t="shared" si="34"/>
        <v>0</v>
      </c>
      <c r="S178" s="49">
        <f t="shared" si="32"/>
        <v>0</v>
      </c>
      <c r="T178" s="49">
        <f t="shared" si="29"/>
        <v>38</v>
      </c>
      <c r="U178" s="49">
        <f t="shared" si="30"/>
        <v>0</v>
      </c>
      <c r="V178" s="49">
        <f t="shared" si="25"/>
        <v>38</v>
      </c>
      <c r="W178" s="49">
        <f t="shared" si="28"/>
        <v>1</v>
      </c>
    </row>
    <row r="179" spans="2:23" ht="45.6">
      <c r="B179" s="902"/>
      <c r="C179" s="881"/>
      <c r="D179" s="883"/>
      <c r="E179" s="700" t="s">
        <v>584</v>
      </c>
      <c r="F179" s="212"/>
      <c r="G179" s="208" t="s">
        <v>1061</v>
      </c>
      <c r="H179" s="701" t="s">
        <v>324</v>
      </c>
      <c r="I179" s="67" t="s">
        <v>1145</v>
      </c>
      <c r="L179" s="49" t="str">
        <f>IF(OR(Overview!$D$4="Preliminary Documentation Review",Overview!$D$4="Preliminary Precertification Review"),IF(AND(P179=0,Q179=0),"",IF(AND(P179&gt;0,Q179&gt;0),"","MISMATCH")),"")</f>
        <v/>
      </c>
      <c r="M179" s="49" t="str">
        <f>IF(OR(Overview!$D$4="Preliminary Documentation Review",Overview!$D$4="Preliminary Precertification Review"),IF(AND(R179=0,S179=0),"",IF(AND(R179&gt;0,S179&gt;0),"","MISMATCH")),"")</f>
        <v/>
      </c>
      <c r="N179" s="49" t="str">
        <f>IF(OR(Overview!$D$4="Preliminary Documentation Review",Overview!$D$4="Preliminary Precertification Review"),IF(AND(T179=0,U179=0),"",IF(AND(T179&gt;0,U179&gt;0),"MISMATCH","")),"")</f>
        <v/>
      </c>
      <c r="O179" s="49" t="str">
        <f>IF(OR(Overview!$D$4="Preliminary Documentation Review",Overview!$D$4="Preliminary Precertification Review"),IF(AND(V179=0,W179=0),"",IF(AND(V179&gt;0,W179&gt;0),"","MISMATCH")),"")</f>
        <v/>
      </c>
      <c r="P179" s="44">
        <f t="shared" si="33"/>
        <v>0</v>
      </c>
      <c r="Q179" s="44">
        <f t="shared" si="31"/>
        <v>0</v>
      </c>
      <c r="R179" s="49">
        <f t="shared" si="34"/>
        <v>0</v>
      </c>
      <c r="S179" s="49">
        <f t="shared" si="32"/>
        <v>0</v>
      </c>
      <c r="T179" s="49">
        <f t="shared" si="29"/>
        <v>38</v>
      </c>
      <c r="U179" s="49">
        <f t="shared" si="30"/>
        <v>0</v>
      </c>
      <c r="V179" s="49">
        <f t="shared" si="25"/>
        <v>38</v>
      </c>
      <c r="W179" s="49">
        <f t="shared" si="28"/>
        <v>1</v>
      </c>
    </row>
    <row r="180" spans="2:23" ht="45.6">
      <c r="B180" s="902"/>
      <c r="C180" s="881"/>
      <c r="D180" s="883"/>
      <c r="E180" s="700" t="s">
        <v>585</v>
      </c>
      <c r="F180" s="213"/>
      <c r="G180" s="208" t="s">
        <v>1061</v>
      </c>
      <c r="H180" s="701" t="s">
        <v>324</v>
      </c>
      <c r="I180" s="67" t="s">
        <v>1145</v>
      </c>
      <c r="L180" s="49" t="str">
        <f>IF(OR(Overview!$D$4="Preliminary Documentation Review",Overview!$D$4="Preliminary Precertification Review"),IF(AND(P180=0,Q180=0),"",IF(AND(P180&gt;0,Q180&gt;0),"","MISMATCH")),"")</f>
        <v/>
      </c>
      <c r="M180" s="49" t="str">
        <f>IF(OR(Overview!$D$4="Preliminary Documentation Review",Overview!$D$4="Preliminary Precertification Review"),IF(AND(R180=0,S180=0),"",IF(AND(R180&gt;0,S180&gt;0),"","MISMATCH")),"")</f>
        <v/>
      </c>
      <c r="N180" s="49" t="str">
        <f>IF(OR(Overview!$D$4="Preliminary Documentation Review",Overview!$D$4="Preliminary Precertification Review"),IF(AND(T180=0,U180=0),"",IF(AND(T180&gt;0,U180&gt;0),"MISMATCH","")),"")</f>
        <v/>
      </c>
      <c r="O180" s="49" t="str">
        <f>IF(OR(Overview!$D$4="Preliminary Documentation Review",Overview!$D$4="Preliminary Precertification Review"),IF(AND(V180=0,W180=0),"",IF(AND(V180&gt;0,W180&gt;0),"","MISMATCH")),"")</f>
        <v/>
      </c>
      <c r="P180" s="44">
        <f t="shared" si="33"/>
        <v>0</v>
      </c>
      <c r="Q180" s="44">
        <f t="shared" si="31"/>
        <v>0</v>
      </c>
      <c r="R180" s="49">
        <f t="shared" si="34"/>
        <v>0</v>
      </c>
      <c r="S180" s="49">
        <f t="shared" si="32"/>
        <v>0</v>
      </c>
      <c r="T180" s="49">
        <f t="shared" si="29"/>
        <v>38</v>
      </c>
      <c r="U180" s="49">
        <f t="shared" si="30"/>
        <v>0</v>
      </c>
      <c r="V180" s="49">
        <f t="shared" si="25"/>
        <v>38</v>
      </c>
      <c r="W180" s="49">
        <f t="shared" si="28"/>
        <v>1</v>
      </c>
    </row>
    <row r="181" spans="2:23" ht="45.6">
      <c r="B181" s="902"/>
      <c r="C181" s="881" t="s">
        <v>23</v>
      </c>
      <c r="D181" s="883" t="s">
        <v>141</v>
      </c>
      <c r="E181" s="700" t="s">
        <v>281</v>
      </c>
      <c r="F181" s="214"/>
      <c r="G181" s="208" t="s">
        <v>1061</v>
      </c>
      <c r="H181" s="701" t="s">
        <v>324</v>
      </c>
      <c r="I181" s="67" t="s">
        <v>1145</v>
      </c>
      <c r="K181" s="193" t="s">
        <v>732</v>
      </c>
      <c r="L181" s="49" t="str">
        <f>IF(OR(Overview!$D$4="Preliminary Documentation Review",Overview!$D$4="Preliminary Precertification Review"),IF(AND(P181=0,Q181=0),"",IF(AND(P181&gt;0,Q181&gt;0),"","MISMATCH")),"")</f>
        <v/>
      </c>
      <c r="M181" s="49" t="str">
        <f>IF(OR(Overview!$D$4="Preliminary Documentation Review",Overview!$D$4="Preliminary Precertification Review"),IF(AND(R181=0,S181=0),"",IF(AND(R181&gt;0,S181&gt;0),"","MISMATCH")),"")</f>
        <v/>
      </c>
      <c r="N181" s="49" t="str">
        <f>IF(OR(Overview!$D$4="Preliminary Documentation Review",Overview!$D$4="Preliminary Precertification Review"),IF(AND(T181=0,U181=0),"",IF(AND(T181&gt;0,U181&gt;0),"MISMATCH","")),"")</f>
        <v/>
      </c>
      <c r="O181" s="49" t="str">
        <f>IF(OR(Overview!$D$4="Preliminary Documentation Review",Overview!$D$4="Preliminary Precertification Review"),IF(AND(V181=0,W181=0),"",IF(AND(V181&gt;0,W181&gt;0),"","MISMATCH")),"")</f>
        <v/>
      </c>
      <c r="P181" s="44">
        <f t="shared" si="33"/>
        <v>0</v>
      </c>
      <c r="Q181" s="44">
        <f t="shared" si="31"/>
        <v>0</v>
      </c>
      <c r="R181" s="49">
        <f t="shared" si="34"/>
        <v>0</v>
      </c>
      <c r="S181" s="49">
        <f t="shared" si="32"/>
        <v>0</v>
      </c>
      <c r="T181" s="49">
        <f t="shared" si="29"/>
        <v>38</v>
      </c>
      <c r="U181" s="49">
        <f t="shared" si="30"/>
        <v>0</v>
      </c>
      <c r="V181" s="49">
        <f t="shared" si="25"/>
        <v>38</v>
      </c>
      <c r="W181" s="49">
        <f t="shared" si="28"/>
        <v>1</v>
      </c>
    </row>
    <row r="182" spans="2:23" ht="30" hidden="1">
      <c r="B182" s="902"/>
      <c r="C182" s="857" t="s">
        <v>23</v>
      </c>
      <c r="D182" s="900" t="s">
        <v>353</v>
      </c>
      <c r="E182" s="700" t="s">
        <v>357</v>
      </c>
      <c r="F182" s="221"/>
      <c r="G182" s="216"/>
      <c r="H182" s="66"/>
      <c r="I182" s="67"/>
      <c r="K182" s="193"/>
      <c r="L182" s="49" t="str">
        <f>IF(OR(Overview!$D$4="Preliminary Documentation Review",Overview!$D$4="Preliminary Precertification Review"),IF(AND(P182=0,Q182=0),"",IF(AND(P182&gt;0,Q182&gt;0),"","MISMATCH")),"")</f>
        <v/>
      </c>
      <c r="M182" s="49" t="str">
        <f>IF(OR(Overview!$D$4="Preliminary Documentation Review",Overview!$D$4="Preliminary Precertification Review"),IF(AND(R182=0,S182=0),"",IF(AND(R182&gt;0,S182&gt;0),"","MISMATCH")),"")</f>
        <v/>
      </c>
      <c r="N182" s="49" t="str">
        <f>IF(OR(Overview!$D$4="Preliminary Documentation Review",Overview!$D$4="Preliminary Precertification Review"),IF(AND(T182=0,U182=0),"",IF(AND(T182&gt;0,U182&gt;0),"MISMATCH","")),"")</f>
        <v/>
      </c>
      <c r="O182" s="49" t="str">
        <f>IF(OR(Overview!$D$4="Preliminary Documentation Review",Overview!$D$4="Preliminary Precertification Review"),IF(AND(V182=0,W182=0),"",IF(AND(V182&gt;0,W182&gt;0),"","MISMATCH")),"")</f>
        <v/>
      </c>
      <c r="P182" s="44">
        <f t="shared" si="33"/>
        <v>0</v>
      </c>
      <c r="Q182" s="44">
        <f t="shared" si="31"/>
        <v>0</v>
      </c>
      <c r="R182" s="49">
        <f t="shared" si="34"/>
        <v>0</v>
      </c>
      <c r="S182" s="49">
        <f t="shared" si="32"/>
        <v>0</v>
      </c>
      <c r="T182" s="49">
        <f t="shared" si="29"/>
        <v>0</v>
      </c>
      <c r="U182" s="49">
        <f t="shared" si="30"/>
        <v>0</v>
      </c>
      <c r="V182" s="49">
        <f t="shared" si="25"/>
        <v>0</v>
      </c>
      <c r="W182" s="49">
        <f t="shared" si="28"/>
        <v>0</v>
      </c>
    </row>
    <row r="183" spans="2:23" ht="30" hidden="1">
      <c r="B183" s="902"/>
      <c r="C183" s="859"/>
      <c r="D183" s="901"/>
      <c r="E183" s="700" t="s">
        <v>356</v>
      </c>
      <c r="F183" s="221"/>
      <c r="G183" s="216"/>
      <c r="H183" s="66"/>
      <c r="I183" s="67"/>
      <c r="L183" s="49" t="str">
        <f>IF(OR(Overview!$D$4="Preliminary Documentation Review",Overview!$D$4="Preliminary Precertification Review"),IF(AND(P183=0,Q183=0),"",IF(AND(P183&gt;0,Q183&gt;0),"","MISMATCH")),"")</f>
        <v/>
      </c>
      <c r="M183" s="49" t="str">
        <f>IF(OR(Overview!$D$4="Preliminary Documentation Review",Overview!$D$4="Preliminary Precertification Review"),IF(AND(R183=0,S183=0),"",IF(AND(R183&gt;0,S183&gt;0),"","MISMATCH")),"")</f>
        <v/>
      </c>
      <c r="N183" s="49" t="str">
        <f>IF(OR(Overview!$D$4="Preliminary Documentation Review",Overview!$D$4="Preliminary Precertification Review"),IF(AND(T183=0,U183=0),"",IF(AND(T183&gt;0,U183&gt;0),"MISMATCH","")),"")</f>
        <v/>
      </c>
      <c r="O183" s="49" t="str">
        <f>IF(OR(Overview!$D$4="Preliminary Documentation Review",Overview!$D$4="Preliminary Precertification Review"),IF(AND(V183=0,W183=0),"",IF(AND(V183&gt;0,W183&gt;0),"","MISMATCH")),"")</f>
        <v/>
      </c>
      <c r="P183" s="44">
        <f t="shared" si="33"/>
        <v>0</v>
      </c>
      <c r="Q183" s="44">
        <f t="shared" si="31"/>
        <v>0</v>
      </c>
      <c r="R183" s="49">
        <f t="shared" si="34"/>
        <v>0</v>
      </c>
      <c r="S183" s="49">
        <f t="shared" si="32"/>
        <v>0</v>
      </c>
      <c r="T183" s="49">
        <f t="shared" si="29"/>
        <v>0</v>
      </c>
      <c r="U183" s="49">
        <f t="shared" si="30"/>
        <v>0</v>
      </c>
      <c r="V183" s="49">
        <f t="shared" si="25"/>
        <v>0</v>
      </c>
      <c r="W183" s="49">
        <f t="shared" si="28"/>
        <v>0</v>
      </c>
    </row>
    <row r="184" spans="2:23" ht="30" hidden="1">
      <c r="B184" s="902"/>
      <c r="C184" s="857" t="s">
        <v>23</v>
      </c>
      <c r="D184" s="900" t="s">
        <v>468</v>
      </c>
      <c r="E184" s="700" t="s">
        <v>639</v>
      </c>
      <c r="F184" s="217"/>
      <c r="G184" s="216"/>
      <c r="H184" s="66"/>
      <c r="I184" s="68"/>
      <c r="L184" s="49" t="str">
        <f>IF(OR(Overview!$D$4="Preliminary Documentation Review",Overview!$D$4="Preliminary Precertification Review"),IF(AND(P184=0,Q184=0),"",IF(AND(P184&gt;0,Q184&gt;0),"","MISMATCH")),"")</f>
        <v/>
      </c>
      <c r="M184" s="49" t="str">
        <f>IF(OR(Overview!$D$4="Preliminary Documentation Review",Overview!$D$4="Preliminary Precertification Review"),IF(AND(R184=0,S184=0),"",IF(AND(R184&gt;0,S184&gt;0),"","MISMATCH")),"")</f>
        <v/>
      </c>
      <c r="N184" s="49" t="str">
        <f>IF(OR(Overview!$D$4="Preliminary Documentation Review",Overview!$D$4="Preliminary Precertification Review"),IF(AND(T184=0,U184=0),"",IF(AND(T184&gt;0,U184&gt;0),"MISMATCH","")),"")</f>
        <v/>
      </c>
      <c r="O184" s="49" t="str">
        <f>IF(OR(Overview!$D$4="Preliminary Documentation Review",Overview!$D$4="Preliminary Precertification Review"),IF(AND(V184=0,W184=0),"",IF(AND(V184&gt;0,W184&gt;0),"","MISMATCH")),"")</f>
        <v/>
      </c>
      <c r="P184" s="44">
        <f t="shared" si="33"/>
        <v>0</v>
      </c>
      <c r="Q184" s="44">
        <f t="shared" si="31"/>
        <v>0</v>
      </c>
      <c r="R184" s="49">
        <f t="shared" si="34"/>
        <v>0</v>
      </c>
      <c r="S184" s="49">
        <f t="shared" si="32"/>
        <v>0</v>
      </c>
      <c r="T184" s="49">
        <f t="shared" si="29"/>
        <v>0</v>
      </c>
      <c r="U184" s="49">
        <f t="shared" si="30"/>
        <v>0</v>
      </c>
      <c r="V184" s="49">
        <f t="shared" si="25"/>
        <v>0</v>
      </c>
      <c r="W184" s="49">
        <f t="shared" si="28"/>
        <v>0</v>
      </c>
    </row>
    <row r="185" spans="2:23" ht="30" hidden="1">
      <c r="B185" s="902"/>
      <c r="C185" s="859"/>
      <c r="D185" s="901"/>
      <c r="E185" s="700" t="s">
        <v>640</v>
      </c>
      <c r="F185" s="219"/>
      <c r="G185" s="216"/>
      <c r="H185" s="66"/>
      <c r="I185" s="68"/>
      <c r="L185" s="49" t="str">
        <f>IF(OR(Overview!$D$4="Preliminary Documentation Review",Overview!$D$4="Preliminary Precertification Review"),IF(AND(P185=0,Q185=0),"",IF(AND(P185&gt;0,Q185&gt;0),"","MISMATCH")),"")</f>
        <v/>
      </c>
      <c r="M185" s="49" t="str">
        <f>IF(OR(Overview!$D$4="Preliminary Documentation Review",Overview!$D$4="Preliminary Precertification Review"),IF(AND(R185=0,S185=0),"",IF(AND(R185&gt;0,S185&gt;0),"","MISMATCH")),"")</f>
        <v/>
      </c>
      <c r="N185" s="49" t="str">
        <f>IF(OR(Overview!$D$4="Preliminary Documentation Review",Overview!$D$4="Preliminary Precertification Review"),IF(AND(T185=0,U185=0),"",IF(AND(T185&gt;0,U185&gt;0),"MISMATCH","")),"")</f>
        <v/>
      </c>
      <c r="O185" s="49" t="str">
        <f>IF(OR(Overview!$D$4="Preliminary Documentation Review",Overview!$D$4="Preliminary Precertification Review"),IF(AND(V185=0,W185=0),"",IF(AND(V185&gt;0,W185&gt;0),"","MISMATCH")),"")</f>
        <v/>
      </c>
      <c r="P185" s="44">
        <f t="shared" si="33"/>
        <v>0</v>
      </c>
      <c r="Q185" s="44">
        <f t="shared" si="31"/>
        <v>0</v>
      </c>
      <c r="R185" s="49">
        <f t="shared" si="34"/>
        <v>0</v>
      </c>
      <c r="S185" s="49">
        <f t="shared" si="32"/>
        <v>0</v>
      </c>
      <c r="T185" s="49">
        <f t="shared" si="29"/>
        <v>0</v>
      </c>
      <c r="U185" s="49">
        <f t="shared" si="30"/>
        <v>0</v>
      </c>
      <c r="V185" s="49">
        <f t="shared" si="25"/>
        <v>0</v>
      </c>
      <c r="W185" s="49">
        <f t="shared" si="28"/>
        <v>0</v>
      </c>
    </row>
    <row r="186" spans="2:23">
      <c r="B186" s="126"/>
      <c r="C186" s="127"/>
      <c r="D186" s="128"/>
      <c r="E186" s="129"/>
      <c r="F186" s="222"/>
      <c r="G186" s="222"/>
      <c r="H186" s="130"/>
      <c r="I186" s="131"/>
      <c r="L186" s="49" t="str">
        <f>IF(OR(Overview!$D$4="Preliminary Documentation Review",Overview!$D$4="Preliminary Precertification Review"),IF(AND(P186=0,Q186=0),"",IF(AND(P186&gt;0,Q186&gt;0),"","MISMATCH")),"")</f>
        <v/>
      </c>
      <c r="M186" s="49" t="str">
        <f>IF(OR(Overview!$D$4="Preliminary Documentation Review",Overview!$D$4="Preliminary Precertification Review"),IF(AND(R186=0,S186=0),"",IF(AND(R186&gt;0,S186&gt;0),"","MISMATCH")),"")</f>
        <v/>
      </c>
      <c r="N186" s="49" t="str">
        <f>IF(OR(Overview!$D$4="Preliminary Documentation Review",Overview!$D$4="Preliminary Precertification Review"),IF(AND(T186=0,U186=0),"",IF(AND(T186&gt;0,U186&gt;0),"MISMATCH","")),"")</f>
        <v/>
      </c>
      <c r="O186" s="49" t="str">
        <f>IF(OR(Overview!$D$4="Preliminary Documentation Review",Overview!$D$4="Preliminary Precertification Review"),IF(AND(V186=0,W186=0),"",IF(AND(V186&gt;0,W186&gt;0),"","MISMATCH")),"")</f>
        <v/>
      </c>
      <c r="P186" s="44">
        <f t="shared" si="33"/>
        <v>0</v>
      </c>
      <c r="Q186" s="44">
        <f t="shared" si="31"/>
        <v>0</v>
      </c>
      <c r="R186" s="49">
        <f t="shared" si="34"/>
        <v>0</v>
      </c>
      <c r="S186" s="49">
        <f t="shared" si="32"/>
        <v>0</v>
      </c>
      <c r="T186" s="49">
        <f t="shared" si="29"/>
        <v>0</v>
      </c>
      <c r="U186" s="49">
        <f t="shared" si="30"/>
        <v>0</v>
      </c>
      <c r="V186" s="49">
        <f t="shared" si="25"/>
        <v>0</v>
      </c>
      <c r="W186" s="49">
        <f t="shared" si="28"/>
        <v>0</v>
      </c>
    </row>
    <row r="187" spans="2:23">
      <c r="B187" s="75"/>
      <c r="C187" s="76"/>
      <c r="D187" s="77"/>
      <c r="E187" s="78"/>
      <c r="F187" s="222"/>
      <c r="G187" s="222"/>
      <c r="H187" s="80"/>
      <c r="I187" s="81"/>
      <c r="L187" s="49" t="str">
        <f>IF(OR(Overview!$D$4="Preliminary Documentation Review",Overview!$D$4="Preliminary Precertification Review"),IF(AND(P187=0,Q187=0),"",IF(AND(P187&gt;0,Q187&gt;0),"","MISMATCH")),"")</f>
        <v/>
      </c>
      <c r="M187" s="49" t="str">
        <f>IF(OR(Overview!$D$4="Preliminary Documentation Review",Overview!$D$4="Preliminary Precertification Review"),IF(AND(R187=0,S187=0),"",IF(AND(R187&gt;0,S187&gt;0),"","MISMATCH")),"")</f>
        <v/>
      </c>
      <c r="N187" s="49" t="str">
        <f>IF(OR(Overview!$D$4="Preliminary Documentation Review",Overview!$D$4="Preliminary Precertification Review"),IF(AND(T187=0,U187=0),"",IF(AND(T187&gt;0,U187&gt;0),"MISMATCH","")),"")</f>
        <v/>
      </c>
      <c r="O187" s="49" t="str">
        <f>IF(OR(Overview!$D$4="Preliminary Documentation Review",Overview!$D$4="Preliminary Precertification Review"),IF(AND(V187=0,W187=0),"",IF(AND(V187&gt;0,W187&gt;0),"","MISMATCH")),"")</f>
        <v/>
      </c>
      <c r="P187" s="44">
        <f t="shared" si="33"/>
        <v>0</v>
      </c>
      <c r="Q187" s="44">
        <f t="shared" si="31"/>
        <v>0</v>
      </c>
      <c r="R187" s="49">
        <f t="shared" si="34"/>
        <v>0</v>
      </c>
      <c r="S187" s="49">
        <f t="shared" si="32"/>
        <v>0</v>
      </c>
      <c r="T187" s="49">
        <f t="shared" si="29"/>
        <v>0</v>
      </c>
      <c r="U187" s="49">
        <f t="shared" si="30"/>
        <v>0</v>
      </c>
      <c r="V187" s="49">
        <f t="shared" si="25"/>
        <v>0</v>
      </c>
      <c r="W187" s="49">
        <f t="shared" si="28"/>
        <v>0</v>
      </c>
    </row>
    <row r="188" spans="2:23">
      <c r="B188" s="866"/>
      <c r="C188" s="867"/>
      <c r="D188" s="867"/>
      <c r="E188" s="867"/>
      <c r="F188" s="867"/>
      <c r="G188" s="867"/>
      <c r="H188" s="867"/>
      <c r="I188" s="868"/>
      <c r="L188" s="49" t="str">
        <f>IF(OR(Overview!$D$4="Preliminary Documentation Review",Overview!$D$4="Preliminary Precertification Review"),IF(AND(P188=0,Q188=0),"",IF(AND(P188&gt;0,Q188&gt;0),"","MISMATCH")),"")</f>
        <v/>
      </c>
      <c r="M188" s="49" t="str">
        <f>IF(OR(Overview!$D$4="Preliminary Documentation Review",Overview!$D$4="Preliminary Precertification Review"),IF(AND(R188=0,S188=0),"",IF(AND(R188&gt;0,S188&gt;0),"","MISMATCH")),"")</f>
        <v/>
      </c>
      <c r="N188" s="49" t="str">
        <f>IF(OR(Overview!$D$4="Preliminary Documentation Review",Overview!$D$4="Preliminary Precertification Review"),IF(AND(T188=0,U188=0),"",IF(AND(T188&gt;0,U188&gt;0),"MISMATCH","")),"")</f>
        <v/>
      </c>
      <c r="O188" s="49" t="str">
        <f>IF(OR(Overview!$D$4="Preliminary Documentation Review",Overview!$D$4="Preliminary Precertification Review"),IF(AND(V188=0,W188=0),"",IF(AND(V188&gt;0,W188&gt;0),"","MISMATCH")),"")</f>
        <v/>
      </c>
      <c r="T188" s="49">
        <f t="shared" si="29"/>
        <v>0</v>
      </c>
      <c r="U188" s="49">
        <f t="shared" si="30"/>
        <v>0</v>
      </c>
      <c r="V188" s="49">
        <f t="shared" si="25"/>
        <v>0</v>
      </c>
      <c r="W188" s="49">
        <f t="shared" si="28"/>
        <v>0</v>
      </c>
    </row>
    <row r="189" spans="2:23" s="65" customFormat="1" ht="99.9" hidden="1" customHeight="1">
      <c r="B189" s="132"/>
      <c r="C189" s="870" t="s">
        <v>713</v>
      </c>
      <c r="D189" s="870"/>
      <c r="E189" s="870"/>
      <c r="F189" s="870"/>
      <c r="G189" s="870"/>
      <c r="H189" s="870"/>
      <c r="I189" s="871"/>
      <c r="J189" s="64"/>
      <c r="K189" s="190"/>
      <c r="L189" s="49" t="str">
        <f>IF(OR(Overview!$D$4="Preliminary Documentation Review",Overview!$D$4="Preliminary Precertification Review"),IF(AND(P189=0,Q189=0),"",IF(AND(P189&gt;0,Q189&gt;0),"","MISMATCH")),"")</f>
        <v/>
      </c>
      <c r="M189" s="49" t="str">
        <f>IF(OR(Overview!$D$4="Preliminary Documentation Review",Overview!$D$4="Preliminary Precertification Review"),IF(AND(R189=0,S189=0),"",IF(AND(R189&gt;0,S189&gt;0),"","MISMATCH")),"")</f>
        <v/>
      </c>
      <c r="N189" s="49" t="str">
        <f>IF(OR(Overview!$D$4="Preliminary Documentation Review",Overview!$D$4="Preliminary Precertification Review"),IF(AND(T189=0,U189=0),"",IF(AND(T189&gt;0,U189&gt;0),"MISMATCH","")),"")</f>
        <v/>
      </c>
      <c r="O189" s="49" t="str">
        <f>IF(OR(Overview!$D$4="Preliminary Documentation Review",Overview!$D$4="Preliminary Precertification Review"),IF(AND(V189=0,W189=0),"",IF(AND(V189&gt;0,W189&gt;0),"","MISMATCH")),"")</f>
        <v/>
      </c>
      <c r="T189" s="49">
        <f t="shared" si="29"/>
        <v>0</v>
      </c>
      <c r="U189" s="49">
        <f t="shared" si="30"/>
        <v>0</v>
      </c>
      <c r="V189" s="49">
        <f t="shared" si="25"/>
        <v>0</v>
      </c>
      <c r="W189" s="49">
        <f t="shared" si="28"/>
        <v>0</v>
      </c>
    </row>
    <row r="190" spans="2:23" s="65" customFormat="1" ht="15.6" hidden="1" customHeight="1">
      <c r="B190" s="133"/>
      <c r="C190" s="134"/>
      <c r="D190" s="134"/>
      <c r="E190" s="134"/>
      <c r="F190" s="134"/>
      <c r="G190" s="134"/>
      <c r="H190" s="134"/>
      <c r="I190" s="183"/>
      <c r="J190" s="64"/>
      <c r="K190" s="190"/>
      <c r="L190" s="49" t="str">
        <f>IF(OR(Overview!$D$4="Preliminary Documentation Review",Overview!$D$4="Preliminary Precertification Review"),IF(AND(P190=0,Q190=0),"",IF(AND(P190&gt;0,Q190&gt;0),"","MISMATCH")),"")</f>
        <v/>
      </c>
      <c r="M190" s="49" t="str">
        <f>IF(OR(Overview!$D$4="Preliminary Documentation Review",Overview!$D$4="Preliminary Precertification Review"),IF(AND(R190=0,S190=0),"",IF(AND(R190&gt;0,S190&gt;0),"","MISMATCH")),"")</f>
        <v/>
      </c>
      <c r="N190" s="49" t="str">
        <f>IF(OR(Overview!$D$4="Preliminary Documentation Review",Overview!$D$4="Preliminary Precertification Review"),IF(AND(T190=0,U190=0),"",IF(AND(T190&gt;0,U190&gt;0),"MISMATCH","")),"")</f>
        <v/>
      </c>
      <c r="O190" s="49" t="str">
        <f>IF(OR(Overview!$D$4="Preliminary Documentation Review",Overview!$D$4="Preliminary Precertification Review"),IF(AND(V190=0,W190=0),"",IF(AND(V190&gt;0,W190&gt;0),"","MISMATCH")),"")</f>
        <v/>
      </c>
      <c r="T190" s="49">
        <f t="shared" si="29"/>
        <v>0</v>
      </c>
      <c r="U190" s="49">
        <f t="shared" si="30"/>
        <v>0</v>
      </c>
      <c r="V190" s="49">
        <f t="shared" si="25"/>
        <v>0</v>
      </c>
      <c r="W190" s="49">
        <f t="shared" si="28"/>
        <v>0</v>
      </c>
    </row>
    <row r="191" spans="2:23" ht="46.8">
      <c r="B191" s="899" t="s">
        <v>143</v>
      </c>
      <c r="C191" s="859" t="s">
        <v>8</v>
      </c>
      <c r="D191" s="882" t="s">
        <v>144</v>
      </c>
      <c r="E191" s="697" t="s">
        <v>282</v>
      </c>
      <c r="F191" s="209"/>
      <c r="G191" s="723" t="s">
        <v>219</v>
      </c>
      <c r="H191" s="724" t="s">
        <v>369</v>
      </c>
      <c r="I191" s="794" t="s">
        <v>1142</v>
      </c>
      <c r="L191" s="49" t="str">
        <f>IF(OR(Overview!$D$4="Preliminary Documentation Review",Overview!$D$4="Preliminary Precertification Review"),IF(AND(P191=0,Q191=0),"",IF(AND(P191&gt;0,Q191&gt;0),"","MISMATCH")),"")</f>
        <v/>
      </c>
      <c r="M191" s="49" t="str">
        <f>IF(OR(Overview!$D$4="Preliminary Documentation Review",Overview!$D$4="Preliminary Precertification Review"),IF(AND(R191=0,S191=0),"",IF(AND(R191&gt;0,S191&gt;0),"","MISMATCH")),"")</f>
        <v/>
      </c>
      <c r="N191" s="49" t="str">
        <f>IF(OR(Overview!$D$4="Preliminary Documentation Review",Overview!$D$4="Preliminary Precertification Review"),IF(AND(T191=0,U191=0),"",IF(AND(T191&gt;0,U191&gt;0),"MISMATCH","")),"")</f>
        <v/>
      </c>
      <c r="O191" s="49" t="str">
        <f>IF(OR(Overview!$D$4="Preliminary Documentation Review",Overview!$D$4="Preliminary Precertification Review"),IF(AND(V191=0,W191=0),"",IF(AND(V191&gt;0,W191&gt;0),"","MISMATCH")),"")</f>
        <v/>
      </c>
      <c r="P191" s="44">
        <f t="shared" ref="P191:P218" si="35">IFERROR(SEARCH("COMMENTS TO BE ADDRESS",$I191),0)</f>
        <v>0</v>
      </c>
      <c r="Q191" s="44">
        <f t="shared" si="31"/>
        <v>0</v>
      </c>
      <c r="R191" s="49">
        <f t="shared" ref="R191:R218" si="36">IFERROR(SEARCH("equirements of this part will be v",$I191),0)</f>
        <v>0</v>
      </c>
      <c r="S191" s="49">
        <f t="shared" si="32"/>
        <v>0</v>
      </c>
      <c r="T191" s="49">
        <f t="shared" si="29"/>
        <v>0</v>
      </c>
      <c r="U191" s="49">
        <f t="shared" si="30"/>
        <v>1</v>
      </c>
      <c r="V191" s="49">
        <f t="shared" si="25"/>
        <v>0</v>
      </c>
      <c r="W191" s="49">
        <f t="shared" si="28"/>
        <v>0</v>
      </c>
    </row>
    <row r="192" spans="2:23" ht="46.8">
      <c r="B192" s="899"/>
      <c r="C192" s="881"/>
      <c r="D192" s="883"/>
      <c r="E192" s="700" t="s">
        <v>283</v>
      </c>
      <c r="F192" s="209"/>
      <c r="G192" s="208" t="s">
        <v>219</v>
      </c>
      <c r="H192" s="701" t="s">
        <v>369</v>
      </c>
      <c r="I192" s="794" t="s">
        <v>1142</v>
      </c>
      <c r="L192" s="49" t="str">
        <f>IF(OR(Overview!$D$4="Preliminary Documentation Review",Overview!$D$4="Preliminary Precertification Review"),IF(AND(P192=0,Q192=0),"",IF(AND(P192&gt;0,Q192&gt;0),"","MISMATCH")),"")</f>
        <v/>
      </c>
      <c r="M192" s="49" t="str">
        <f>IF(OR(Overview!$D$4="Preliminary Documentation Review",Overview!$D$4="Preliminary Precertification Review"),IF(AND(R192=0,S192=0),"",IF(AND(R192&gt;0,S192&gt;0),"","MISMATCH")),"")</f>
        <v/>
      </c>
      <c r="N192" s="49" t="str">
        <f>IF(OR(Overview!$D$4="Preliminary Documentation Review",Overview!$D$4="Preliminary Precertification Review"),IF(AND(T192=0,U192=0),"",IF(AND(T192&gt;0,U192&gt;0),"MISMATCH","")),"")</f>
        <v/>
      </c>
      <c r="O192" s="49" t="str">
        <f>IF(OR(Overview!$D$4="Preliminary Documentation Review",Overview!$D$4="Preliminary Precertification Review"),IF(AND(V192=0,W192=0),"",IF(AND(V192&gt;0,W192&gt;0),"","MISMATCH")),"")</f>
        <v/>
      </c>
      <c r="P192" s="44">
        <f t="shared" si="35"/>
        <v>0</v>
      </c>
      <c r="Q192" s="44">
        <f t="shared" si="31"/>
        <v>0</v>
      </c>
      <c r="R192" s="49">
        <f t="shared" si="36"/>
        <v>0</v>
      </c>
      <c r="S192" s="49">
        <f t="shared" si="32"/>
        <v>0</v>
      </c>
      <c r="T192" s="49">
        <f t="shared" si="29"/>
        <v>0</v>
      </c>
      <c r="U192" s="49">
        <f t="shared" si="30"/>
        <v>1</v>
      </c>
      <c r="V192" s="49">
        <f t="shared" si="25"/>
        <v>0</v>
      </c>
      <c r="W192" s="49">
        <f t="shared" si="28"/>
        <v>0</v>
      </c>
    </row>
    <row r="193" spans="2:23" ht="46.8">
      <c r="B193" s="899"/>
      <c r="C193" s="881"/>
      <c r="D193" s="883"/>
      <c r="E193" s="700" t="s">
        <v>284</v>
      </c>
      <c r="F193" s="209"/>
      <c r="G193" s="208" t="s">
        <v>219</v>
      </c>
      <c r="H193" s="701" t="s">
        <v>369</v>
      </c>
      <c r="I193" s="794" t="s">
        <v>1142</v>
      </c>
      <c r="L193" s="49" t="str">
        <f>IF(OR(Overview!$D$4="Preliminary Documentation Review",Overview!$D$4="Preliminary Precertification Review"),IF(AND(P193=0,Q193=0),"",IF(AND(P193&gt;0,Q193&gt;0),"","MISMATCH")),"")</f>
        <v/>
      </c>
      <c r="M193" s="49" t="str">
        <f>IF(OR(Overview!$D$4="Preliminary Documentation Review",Overview!$D$4="Preliminary Precertification Review"),IF(AND(R193=0,S193=0),"",IF(AND(R193&gt;0,S193&gt;0),"","MISMATCH")),"")</f>
        <v/>
      </c>
      <c r="N193" s="49" t="str">
        <f>IF(OR(Overview!$D$4="Preliminary Documentation Review",Overview!$D$4="Preliminary Precertification Review"),IF(AND(T193=0,U193=0),"",IF(AND(T193&gt;0,U193&gt;0),"MISMATCH","")),"")</f>
        <v/>
      </c>
      <c r="O193" s="49" t="str">
        <f>IF(OR(Overview!$D$4="Preliminary Documentation Review",Overview!$D$4="Preliminary Precertification Review"),IF(AND(V193=0,W193=0),"",IF(AND(V193&gt;0,W193&gt;0),"","MISMATCH")),"")</f>
        <v/>
      </c>
      <c r="P193" s="44">
        <f t="shared" si="35"/>
        <v>0</v>
      </c>
      <c r="Q193" s="44">
        <f t="shared" si="31"/>
        <v>0</v>
      </c>
      <c r="R193" s="49">
        <f t="shared" si="36"/>
        <v>0</v>
      </c>
      <c r="S193" s="49">
        <f t="shared" si="32"/>
        <v>0</v>
      </c>
      <c r="T193" s="49">
        <f t="shared" si="29"/>
        <v>0</v>
      </c>
      <c r="U193" s="49">
        <f t="shared" si="30"/>
        <v>1</v>
      </c>
      <c r="V193" s="49">
        <f t="shared" si="25"/>
        <v>0</v>
      </c>
      <c r="W193" s="49">
        <f t="shared" si="28"/>
        <v>0</v>
      </c>
    </row>
    <row r="194" spans="2:23" ht="60.6">
      <c r="B194" s="899"/>
      <c r="C194" s="881" t="s">
        <v>8</v>
      </c>
      <c r="D194" s="883" t="s">
        <v>148</v>
      </c>
      <c r="E194" s="700" t="s">
        <v>285</v>
      </c>
      <c r="F194" s="209"/>
      <c r="G194" s="208" t="s">
        <v>219</v>
      </c>
      <c r="H194" s="701" t="s">
        <v>369</v>
      </c>
      <c r="I194" s="796" t="s">
        <v>1148</v>
      </c>
      <c r="L194" s="49" t="str">
        <f>IF(OR(Overview!$D$4="Preliminary Documentation Review",Overview!$D$4="Preliminary Precertification Review"),IF(AND(P194=0,Q194=0),"",IF(AND(P194&gt;0,Q194&gt;0),"","MISMATCH")),"")</f>
        <v/>
      </c>
      <c r="M194" s="49" t="str">
        <f>IF(OR(Overview!$D$4="Preliminary Documentation Review",Overview!$D$4="Preliminary Precertification Review"),IF(AND(R194=0,S194=0),"",IF(AND(R194&gt;0,S194&gt;0),"","MISMATCH")),"")</f>
        <v/>
      </c>
      <c r="N194" s="49" t="str">
        <f>IF(OR(Overview!$D$4="Preliminary Documentation Review",Overview!$D$4="Preliminary Precertification Review"),IF(AND(T194=0,U194=0),"",IF(AND(T194&gt;0,U194&gt;0),"MISMATCH","")),"")</f>
        <v/>
      </c>
      <c r="O194" s="49" t="str">
        <f>IF(OR(Overview!$D$4="Preliminary Documentation Review",Overview!$D$4="Preliminary Precertification Review"),IF(AND(V194=0,W194=0),"",IF(AND(V194&gt;0,W194&gt;0),"","MISMATCH")),"")</f>
        <v/>
      </c>
      <c r="P194" s="44">
        <f t="shared" si="35"/>
        <v>0</v>
      </c>
      <c r="Q194" s="44">
        <f t="shared" si="31"/>
        <v>0</v>
      </c>
      <c r="R194" s="49">
        <f t="shared" si="36"/>
        <v>0</v>
      </c>
      <c r="S194" s="49">
        <f t="shared" si="32"/>
        <v>0</v>
      </c>
      <c r="T194" s="49">
        <f t="shared" si="29"/>
        <v>0</v>
      </c>
      <c r="U194" s="49">
        <f t="shared" si="30"/>
        <v>1</v>
      </c>
      <c r="V194" s="49">
        <f t="shared" si="25"/>
        <v>0</v>
      </c>
      <c r="W194" s="49">
        <f t="shared" si="28"/>
        <v>0</v>
      </c>
    </row>
    <row r="195" spans="2:23" ht="60.6">
      <c r="B195" s="899"/>
      <c r="C195" s="881"/>
      <c r="D195" s="883"/>
      <c r="E195" s="700" t="s">
        <v>286</v>
      </c>
      <c r="F195" s="209"/>
      <c r="G195" s="208" t="s">
        <v>219</v>
      </c>
      <c r="H195" s="701" t="s">
        <v>369</v>
      </c>
      <c r="I195" s="796" t="s">
        <v>1148</v>
      </c>
      <c r="L195" s="49" t="str">
        <f>IF(OR(Overview!$D$4="Preliminary Documentation Review",Overview!$D$4="Preliminary Precertification Review"),IF(AND(P195=0,Q195=0),"",IF(AND(P195&gt;0,Q195&gt;0),"","MISMATCH")),"")</f>
        <v/>
      </c>
      <c r="M195" s="49" t="str">
        <f>IF(OR(Overview!$D$4="Preliminary Documentation Review",Overview!$D$4="Preliminary Precertification Review"),IF(AND(R195=0,S195=0),"",IF(AND(R195&gt;0,S195&gt;0),"","MISMATCH")),"")</f>
        <v/>
      </c>
      <c r="N195" s="49" t="str">
        <f>IF(OR(Overview!$D$4="Preliminary Documentation Review",Overview!$D$4="Preliminary Precertification Review"),IF(AND(T195=0,U195=0),"",IF(AND(T195&gt;0,U195&gt;0),"MISMATCH","")),"")</f>
        <v/>
      </c>
      <c r="O195" s="49" t="str">
        <f>IF(OR(Overview!$D$4="Preliminary Documentation Review",Overview!$D$4="Preliminary Precertification Review"),IF(AND(V195=0,W195=0),"",IF(AND(V195&gt;0,W195&gt;0),"","MISMATCH")),"")</f>
        <v/>
      </c>
      <c r="P195" s="44">
        <f t="shared" si="35"/>
        <v>0</v>
      </c>
      <c r="Q195" s="44">
        <f t="shared" si="31"/>
        <v>0</v>
      </c>
      <c r="R195" s="49">
        <f t="shared" si="36"/>
        <v>0</v>
      </c>
      <c r="S195" s="49">
        <f t="shared" si="32"/>
        <v>0</v>
      </c>
      <c r="T195" s="49">
        <f t="shared" si="29"/>
        <v>0</v>
      </c>
      <c r="U195" s="49">
        <f t="shared" si="30"/>
        <v>1</v>
      </c>
      <c r="V195" s="49">
        <f t="shared" si="25"/>
        <v>0</v>
      </c>
      <c r="W195" s="49">
        <f t="shared" si="28"/>
        <v>0</v>
      </c>
    </row>
    <row r="196" spans="2:23" ht="60.6">
      <c r="B196" s="899"/>
      <c r="C196" s="881"/>
      <c r="D196" s="883"/>
      <c r="E196" s="700" t="s">
        <v>287</v>
      </c>
      <c r="F196" s="209"/>
      <c r="G196" s="208" t="s">
        <v>219</v>
      </c>
      <c r="H196" s="701" t="s">
        <v>369</v>
      </c>
      <c r="I196" s="796" t="s">
        <v>1148</v>
      </c>
      <c r="L196" s="49" t="str">
        <f>IF(OR(Overview!$D$4="Preliminary Documentation Review",Overview!$D$4="Preliminary Precertification Review"),IF(AND(P196=0,Q196=0),"",IF(AND(P196&gt;0,Q196&gt;0),"","MISMATCH")),"")</f>
        <v/>
      </c>
      <c r="M196" s="49" t="str">
        <f>IF(OR(Overview!$D$4="Preliminary Documentation Review",Overview!$D$4="Preliminary Precertification Review"),IF(AND(R196=0,S196=0),"",IF(AND(R196&gt;0,S196&gt;0),"","MISMATCH")),"")</f>
        <v/>
      </c>
      <c r="N196" s="49" t="str">
        <f>IF(OR(Overview!$D$4="Preliminary Documentation Review",Overview!$D$4="Preliminary Precertification Review"),IF(AND(T196=0,U196=0),"",IF(AND(T196&gt;0,U196&gt;0),"MISMATCH","")),"")</f>
        <v/>
      </c>
      <c r="O196" s="49" t="str">
        <f>IF(OR(Overview!$D$4="Preliminary Documentation Review",Overview!$D$4="Preliminary Precertification Review"),IF(AND(V196=0,W196=0),"",IF(AND(V196&gt;0,W196&gt;0),"","MISMATCH")),"")</f>
        <v/>
      </c>
      <c r="P196" s="44">
        <f t="shared" si="35"/>
        <v>0</v>
      </c>
      <c r="Q196" s="44">
        <f t="shared" si="31"/>
        <v>0</v>
      </c>
      <c r="R196" s="49">
        <f t="shared" si="36"/>
        <v>0</v>
      </c>
      <c r="S196" s="49">
        <f t="shared" si="32"/>
        <v>0</v>
      </c>
      <c r="T196" s="49">
        <f t="shared" si="29"/>
        <v>0</v>
      </c>
      <c r="U196" s="49">
        <f t="shared" si="30"/>
        <v>1</v>
      </c>
      <c r="V196" s="49">
        <f t="shared" si="25"/>
        <v>0</v>
      </c>
      <c r="W196" s="49">
        <f t="shared" si="28"/>
        <v>0</v>
      </c>
    </row>
    <row r="197" spans="2:23" ht="60.6">
      <c r="B197" s="899"/>
      <c r="C197" s="881" t="s">
        <v>8</v>
      </c>
      <c r="D197" s="883" t="s">
        <v>152</v>
      </c>
      <c r="E197" s="700" t="s">
        <v>288</v>
      </c>
      <c r="F197" s="209"/>
      <c r="G197" s="208" t="s">
        <v>219</v>
      </c>
      <c r="H197" s="701" t="s">
        <v>369</v>
      </c>
      <c r="I197" s="796" t="s">
        <v>1149</v>
      </c>
      <c r="L197" s="49" t="str">
        <f>IF(OR(Overview!$D$4="Preliminary Documentation Review",Overview!$D$4="Preliminary Precertification Review"),IF(AND(P197=0,Q197=0),"",IF(AND(P197&gt;0,Q197&gt;0),"","MISMATCH")),"")</f>
        <v/>
      </c>
      <c r="M197" s="49" t="str">
        <f>IF(OR(Overview!$D$4="Preliminary Documentation Review",Overview!$D$4="Preliminary Precertification Review"),IF(AND(R197=0,S197=0),"",IF(AND(R197&gt;0,S197&gt;0),"","MISMATCH")),"")</f>
        <v/>
      </c>
      <c r="N197" s="49" t="str">
        <f>IF(OR(Overview!$D$4="Preliminary Documentation Review",Overview!$D$4="Preliminary Precertification Review"),IF(AND(T197=0,U197=0),"",IF(AND(T197&gt;0,U197&gt;0),"MISMATCH","")),"")</f>
        <v/>
      </c>
      <c r="O197" s="49" t="str">
        <f>IF(OR(Overview!$D$4="Preliminary Documentation Review",Overview!$D$4="Preliminary Precertification Review"),IF(AND(V197=0,W197=0),"",IF(AND(V197&gt;0,W197&gt;0),"","MISMATCH")),"")</f>
        <v/>
      </c>
      <c r="P197" s="44">
        <f t="shared" si="35"/>
        <v>0</v>
      </c>
      <c r="Q197" s="44">
        <f t="shared" si="31"/>
        <v>0</v>
      </c>
      <c r="R197" s="49">
        <f t="shared" si="36"/>
        <v>0</v>
      </c>
      <c r="S197" s="49">
        <f t="shared" si="32"/>
        <v>0</v>
      </c>
      <c r="T197" s="49">
        <f t="shared" si="29"/>
        <v>0</v>
      </c>
      <c r="U197" s="49">
        <f t="shared" si="30"/>
        <v>1</v>
      </c>
      <c r="V197" s="49">
        <f t="shared" si="25"/>
        <v>0</v>
      </c>
      <c r="W197" s="49">
        <f t="shared" si="28"/>
        <v>0</v>
      </c>
    </row>
    <row r="198" spans="2:23" ht="46.8">
      <c r="B198" s="899"/>
      <c r="C198" s="881"/>
      <c r="D198" s="883"/>
      <c r="E198" s="700" t="s">
        <v>289</v>
      </c>
      <c r="F198" s="210"/>
      <c r="G198" s="208" t="s">
        <v>219</v>
      </c>
      <c r="H198" s="701" t="s">
        <v>369</v>
      </c>
      <c r="I198" s="794" t="s">
        <v>1142</v>
      </c>
      <c r="L198" s="49" t="str">
        <f>IF(OR(Overview!$D$4="Preliminary Documentation Review",Overview!$D$4="Preliminary Precertification Review"),IF(AND(P198=0,Q198=0),"",IF(AND(P198&gt;0,Q198&gt;0),"","MISMATCH")),"")</f>
        <v/>
      </c>
      <c r="M198" s="49" t="str">
        <f>IF(OR(Overview!$D$4="Preliminary Documentation Review",Overview!$D$4="Preliminary Precertification Review"),IF(AND(R198=0,S198=0),"",IF(AND(R198&gt;0,S198&gt;0),"","MISMATCH")),"")</f>
        <v/>
      </c>
      <c r="N198" s="49" t="str">
        <f>IF(OR(Overview!$D$4="Preliminary Documentation Review",Overview!$D$4="Preliminary Precertification Review"),IF(AND(T198=0,U198=0),"",IF(AND(T198&gt;0,U198&gt;0),"MISMATCH","")),"")</f>
        <v/>
      </c>
      <c r="O198" s="49" t="str">
        <f>IF(OR(Overview!$D$4="Preliminary Documentation Review",Overview!$D$4="Preliminary Precertification Review"),IF(AND(V198=0,W198=0),"",IF(AND(V198&gt;0,W198&gt;0),"","MISMATCH")),"")</f>
        <v/>
      </c>
      <c r="P198" s="44">
        <f t="shared" si="35"/>
        <v>0</v>
      </c>
      <c r="Q198" s="44">
        <f t="shared" si="31"/>
        <v>0</v>
      </c>
      <c r="R198" s="49">
        <f t="shared" si="36"/>
        <v>0</v>
      </c>
      <c r="S198" s="49">
        <f t="shared" si="32"/>
        <v>0</v>
      </c>
      <c r="T198" s="49">
        <f t="shared" si="29"/>
        <v>0</v>
      </c>
      <c r="U198" s="49">
        <f t="shared" si="30"/>
        <v>1</v>
      </c>
      <c r="V198" s="49">
        <f t="shared" si="25"/>
        <v>0</v>
      </c>
      <c r="W198" s="49">
        <f t="shared" si="28"/>
        <v>0</v>
      </c>
    </row>
    <row r="199" spans="2:23" ht="45.6">
      <c r="B199" s="899"/>
      <c r="C199" s="881" t="s">
        <v>23</v>
      </c>
      <c r="D199" s="883" t="s">
        <v>155</v>
      </c>
      <c r="E199" s="700" t="s">
        <v>586</v>
      </c>
      <c r="F199" s="214">
        <v>1</v>
      </c>
      <c r="G199" s="208" t="s">
        <v>1071</v>
      </c>
      <c r="H199" s="701" t="s">
        <v>369</v>
      </c>
      <c r="I199" s="794" t="s">
        <v>1144</v>
      </c>
      <c r="L199" s="49" t="str">
        <f>IF(OR(Overview!$D$4="Preliminary Documentation Review",Overview!$D$4="Preliminary Precertification Review"),IF(AND(P199=0,Q199=0),"",IF(AND(P199&gt;0,Q199&gt;0),"","MISMATCH")),"")</f>
        <v/>
      </c>
      <c r="M199" s="49" t="str">
        <f>IF(OR(Overview!$D$4="Preliminary Documentation Review",Overview!$D$4="Preliminary Precertification Review"),IF(AND(R199=0,S199=0),"",IF(AND(R199&gt;0,S199&gt;0),"","MISMATCH")),"")</f>
        <v/>
      </c>
      <c r="N199" s="49" t="str">
        <f>IF(OR(Overview!$D$4="Preliminary Documentation Review",Overview!$D$4="Preliminary Precertification Review"),IF(AND(T199=0,U199=0),"",IF(AND(T199&gt;0,U199&gt;0),"MISMATCH","")),"")</f>
        <v/>
      </c>
      <c r="O199" s="49" t="str">
        <f>IF(OR(Overview!$D$4="Preliminary Documentation Review",Overview!$D$4="Preliminary Precertification Review"),IF(AND(V199=0,W199=0),"",IF(AND(V199&gt;0,W199&gt;0),"","MISMATCH")),"")</f>
        <v/>
      </c>
      <c r="P199" s="44">
        <f t="shared" si="35"/>
        <v>0</v>
      </c>
      <c r="Q199" s="44">
        <f t="shared" si="31"/>
        <v>0</v>
      </c>
      <c r="R199" s="49">
        <f t="shared" si="36"/>
        <v>0</v>
      </c>
      <c r="S199" s="49">
        <f t="shared" si="32"/>
        <v>0</v>
      </c>
      <c r="T199" s="49">
        <f t="shared" si="29"/>
        <v>0</v>
      </c>
      <c r="U199" s="49">
        <f t="shared" si="30"/>
        <v>1</v>
      </c>
      <c r="V199" s="49">
        <f t="shared" si="25"/>
        <v>0</v>
      </c>
      <c r="W199" s="49">
        <f t="shared" si="28"/>
        <v>0</v>
      </c>
    </row>
    <row r="200" spans="2:23" ht="45.6">
      <c r="B200" s="899"/>
      <c r="C200" s="881" t="s">
        <v>23</v>
      </c>
      <c r="D200" s="883" t="s">
        <v>156</v>
      </c>
      <c r="E200" s="700" t="s">
        <v>290</v>
      </c>
      <c r="F200" s="214"/>
      <c r="G200" s="208" t="s">
        <v>1061</v>
      </c>
      <c r="H200" s="701" t="s">
        <v>324</v>
      </c>
      <c r="I200" s="67" t="s">
        <v>1145</v>
      </c>
      <c r="L200" s="49" t="str">
        <f>IF(OR(Overview!$D$4="Preliminary Documentation Review",Overview!$D$4="Preliminary Precertification Review"),IF(AND(P200=0,Q200=0),"",IF(AND(P200&gt;0,Q200&gt;0),"","MISMATCH")),"")</f>
        <v/>
      </c>
      <c r="M200" s="49" t="str">
        <f>IF(OR(Overview!$D$4="Preliminary Documentation Review",Overview!$D$4="Preliminary Precertification Review"),IF(AND(R200=0,S200=0),"",IF(AND(R200&gt;0,S200&gt;0),"","MISMATCH")),"")</f>
        <v/>
      </c>
      <c r="N200" s="49" t="str">
        <f>IF(OR(Overview!$D$4="Preliminary Documentation Review",Overview!$D$4="Preliminary Precertification Review"),IF(AND(T200=0,U200=0),"",IF(AND(T200&gt;0,U200&gt;0),"MISMATCH","")),"")</f>
        <v/>
      </c>
      <c r="O200" s="49" t="str">
        <f>IF(OR(Overview!$D$4="Preliminary Documentation Review",Overview!$D$4="Preliminary Precertification Review"),IF(AND(V200=0,W200=0),"",IF(AND(V200&gt;0,W200&gt;0),"","MISMATCH")),"")</f>
        <v/>
      </c>
      <c r="P200" s="44">
        <f t="shared" si="35"/>
        <v>0</v>
      </c>
      <c r="Q200" s="44">
        <f t="shared" si="31"/>
        <v>0</v>
      </c>
      <c r="R200" s="49">
        <f t="shared" si="36"/>
        <v>0</v>
      </c>
      <c r="S200" s="49">
        <f t="shared" si="32"/>
        <v>0</v>
      </c>
      <c r="T200" s="49">
        <f t="shared" si="29"/>
        <v>38</v>
      </c>
      <c r="U200" s="49">
        <f t="shared" si="30"/>
        <v>0</v>
      </c>
      <c r="V200" s="49">
        <f t="shared" si="25"/>
        <v>38</v>
      </c>
      <c r="W200" s="49">
        <f t="shared" si="28"/>
        <v>1</v>
      </c>
    </row>
    <row r="201" spans="2:23" ht="45.6">
      <c r="B201" s="899"/>
      <c r="C201" s="881" t="s">
        <v>23</v>
      </c>
      <c r="D201" s="883" t="s">
        <v>157</v>
      </c>
      <c r="E201" s="700" t="s">
        <v>291</v>
      </c>
      <c r="F201" s="214"/>
      <c r="G201" s="208" t="s">
        <v>1061</v>
      </c>
      <c r="H201" s="701" t="s">
        <v>324</v>
      </c>
      <c r="I201" s="67" t="s">
        <v>1145</v>
      </c>
      <c r="L201" s="49" t="str">
        <f>IF(OR(Overview!$D$4="Preliminary Documentation Review",Overview!$D$4="Preliminary Precertification Review"),IF(AND(P201=0,Q201=0),"",IF(AND(P201&gt;0,Q201&gt;0),"","MISMATCH")),"")</f>
        <v/>
      </c>
      <c r="M201" s="49" t="str">
        <f>IF(OR(Overview!$D$4="Preliminary Documentation Review",Overview!$D$4="Preliminary Precertification Review"),IF(AND(R201=0,S201=0),"",IF(AND(R201&gt;0,S201&gt;0),"","MISMATCH")),"")</f>
        <v/>
      </c>
      <c r="N201" s="49" t="str">
        <f>IF(OR(Overview!$D$4="Preliminary Documentation Review",Overview!$D$4="Preliminary Precertification Review"),IF(AND(T201=0,U201=0),"",IF(AND(T201&gt;0,U201&gt;0),"MISMATCH","")),"")</f>
        <v/>
      </c>
      <c r="O201" s="49" t="str">
        <f>IF(OR(Overview!$D$4="Preliminary Documentation Review",Overview!$D$4="Preliminary Precertification Review"),IF(AND(V201=0,W201=0),"",IF(AND(V201&gt;0,W201&gt;0),"","MISMATCH")),"")</f>
        <v/>
      </c>
      <c r="P201" s="44">
        <f t="shared" si="35"/>
        <v>0</v>
      </c>
      <c r="Q201" s="44">
        <f t="shared" si="31"/>
        <v>0</v>
      </c>
      <c r="R201" s="49">
        <f t="shared" si="36"/>
        <v>0</v>
      </c>
      <c r="S201" s="49">
        <f t="shared" si="32"/>
        <v>0</v>
      </c>
      <c r="T201" s="49">
        <f t="shared" si="29"/>
        <v>38</v>
      </c>
      <c r="U201" s="49">
        <f t="shared" si="30"/>
        <v>0</v>
      </c>
      <c r="V201" s="49">
        <f t="shared" si="25"/>
        <v>38</v>
      </c>
      <c r="W201" s="49">
        <f t="shared" si="28"/>
        <v>1</v>
      </c>
    </row>
    <row r="202" spans="2:23" ht="46.8">
      <c r="B202" s="899"/>
      <c r="C202" s="881" t="s">
        <v>23</v>
      </c>
      <c r="D202" s="883" t="s">
        <v>158</v>
      </c>
      <c r="E202" s="700" t="s">
        <v>587</v>
      </c>
      <c r="F202" s="214">
        <v>1</v>
      </c>
      <c r="G202" s="208" t="s">
        <v>1071</v>
      </c>
      <c r="H202" s="701" t="s">
        <v>369</v>
      </c>
      <c r="I202" s="794" t="s">
        <v>1142</v>
      </c>
      <c r="L202" s="49" t="str">
        <f>IF(OR(Overview!$D$4="Preliminary Documentation Review",Overview!$D$4="Preliminary Precertification Review"),IF(AND(P202=0,Q202=0),"",IF(AND(P202&gt;0,Q202&gt;0),"","MISMATCH")),"")</f>
        <v/>
      </c>
      <c r="M202" s="49" t="str">
        <f>IF(OR(Overview!$D$4="Preliminary Documentation Review",Overview!$D$4="Preliminary Precertification Review"),IF(AND(R202=0,S202=0),"",IF(AND(R202&gt;0,S202&gt;0),"","MISMATCH")),"")</f>
        <v/>
      </c>
      <c r="N202" s="49" t="str">
        <f>IF(OR(Overview!$D$4="Preliminary Documentation Review",Overview!$D$4="Preliminary Precertification Review"),IF(AND(T202=0,U202=0),"",IF(AND(T202&gt;0,U202&gt;0),"MISMATCH","")),"")</f>
        <v/>
      </c>
      <c r="O202" s="49" t="str">
        <f>IF(OR(Overview!$D$4="Preliminary Documentation Review",Overview!$D$4="Preliminary Precertification Review"),IF(AND(V202=0,W202=0),"",IF(AND(V202&gt;0,W202&gt;0),"","MISMATCH")),"")</f>
        <v/>
      </c>
      <c r="P202" s="44">
        <f t="shared" si="35"/>
        <v>0</v>
      </c>
      <c r="Q202" s="44">
        <f t="shared" si="31"/>
        <v>0</v>
      </c>
      <c r="R202" s="49">
        <f t="shared" si="36"/>
        <v>0</v>
      </c>
      <c r="S202" s="49">
        <f t="shared" si="32"/>
        <v>0</v>
      </c>
      <c r="T202" s="49">
        <f t="shared" si="29"/>
        <v>0</v>
      </c>
      <c r="U202" s="49">
        <f t="shared" si="30"/>
        <v>1</v>
      </c>
      <c r="V202" s="49">
        <f t="shared" si="25"/>
        <v>0</v>
      </c>
      <c r="W202" s="49">
        <f t="shared" si="28"/>
        <v>0</v>
      </c>
    </row>
    <row r="203" spans="2:23" ht="46.8">
      <c r="B203" s="899"/>
      <c r="C203" s="881" t="s">
        <v>23</v>
      </c>
      <c r="D203" s="883" t="s">
        <v>159</v>
      </c>
      <c r="E203" s="700" t="s">
        <v>588</v>
      </c>
      <c r="F203" s="214">
        <v>1</v>
      </c>
      <c r="G203" s="208" t="s">
        <v>1071</v>
      </c>
      <c r="H203" s="701" t="s">
        <v>369</v>
      </c>
      <c r="I203" s="794" t="s">
        <v>1142</v>
      </c>
      <c r="L203" s="49" t="str">
        <f>IF(OR(Overview!$D$4="Preliminary Documentation Review",Overview!$D$4="Preliminary Precertification Review"),IF(AND(P203=0,Q203=0),"",IF(AND(P203&gt;0,Q203&gt;0),"","MISMATCH")),"")</f>
        <v/>
      </c>
      <c r="M203" s="49" t="str">
        <f>IF(OR(Overview!$D$4="Preliminary Documentation Review",Overview!$D$4="Preliminary Precertification Review"),IF(AND(R203=0,S203=0),"",IF(AND(R203&gt;0,S203&gt;0),"","MISMATCH")),"")</f>
        <v/>
      </c>
      <c r="N203" s="49" t="str">
        <f>IF(OR(Overview!$D$4="Preliminary Documentation Review",Overview!$D$4="Preliminary Precertification Review"),IF(AND(T203=0,U203=0),"",IF(AND(T203&gt;0,U203&gt;0),"MISMATCH","")),"")</f>
        <v/>
      </c>
      <c r="O203" s="49" t="str">
        <f>IF(OR(Overview!$D$4="Preliminary Documentation Review",Overview!$D$4="Preliminary Precertification Review"),IF(AND(V203=0,W203=0),"",IF(AND(V203&gt;0,W203&gt;0),"","MISMATCH")),"")</f>
        <v/>
      </c>
      <c r="P203" s="44">
        <f t="shared" si="35"/>
        <v>0</v>
      </c>
      <c r="Q203" s="44">
        <f t="shared" si="31"/>
        <v>0</v>
      </c>
      <c r="R203" s="49">
        <f t="shared" si="36"/>
        <v>0</v>
      </c>
      <c r="S203" s="49">
        <f t="shared" si="32"/>
        <v>0</v>
      </c>
      <c r="T203" s="49">
        <f t="shared" si="29"/>
        <v>0</v>
      </c>
      <c r="U203" s="49">
        <f t="shared" si="30"/>
        <v>1</v>
      </c>
      <c r="V203" s="49">
        <f t="shared" ref="V203:V266" si="37">IFERROR(SEARCH("This Part has not been attempted.",$I203),IFERROR(SEARCH("Not Attempted",$I203),0))</f>
        <v>0</v>
      </c>
      <c r="W203" s="49">
        <f t="shared" si="28"/>
        <v>0</v>
      </c>
    </row>
    <row r="204" spans="2:23" ht="196.8">
      <c r="B204" s="899"/>
      <c r="C204" s="881" t="s">
        <v>23</v>
      </c>
      <c r="D204" s="883" t="s">
        <v>160</v>
      </c>
      <c r="E204" s="700" t="s">
        <v>589</v>
      </c>
      <c r="F204" s="211">
        <v>1</v>
      </c>
      <c r="G204" s="208" t="s">
        <v>1071</v>
      </c>
      <c r="H204" s="701" t="s">
        <v>369</v>
      </c>
      <c r="I204" s="67" t="s">
        <v>1154</v>
      </c>
      <c r="L204" s="49" t="str">
        <f>IF(OR(Overview!$D$4="Preliminary Documentation Review",Overview!$D$4="Preliminary Precertification Review"),IF(AND(P204=0,Q204=0),"",IF(AND(P204&gt;0,Q204&gt;0),"","MISMATCH")),"")</f>
        <v/>
      </c>
      <c r="M204" s="49" t="str">
        <f>IF(OR(Overview!$D$4="Preliminary Documentation Review",Overview!$D$4="Preliminary Precertification Review"),IF(AND(R204=0,S204=0),"",IF(AND(R204&gt;0,S204&gt;0),"","MISMATCH")),"")</f>
        <v/>
      </c>
      <c r="N204" s="49" t="str">
        <f>IF(OR(Overview!$D$4="Preliminary Documentation Review",Overview!$D$4="Preliminary Precertification Review"),IF(AND(T204=0,U204=0),"",IF(AND(T204&gt;0,U204&gt;0),"MISMATCH","")),"")</f>
        <v/>
      </c>
      <c r="O204" s="49" t="str">
        <f>IF(OR(Overview!$D$4="Preliminary Documentation Review",Overview!$D$4="Preliminary Precertification Review"),IF(AND(V204=0,W204=0),"",IF(AND(V204&gt;0,W204&gt;0),"","MISMATCH")),"")</f>
        <v/>
      </c>
      <c r="P204" s="44">
        <f t="shared" si="35"/>
        <v>314</v>
      </c>
      <c r="Q204" s="44">
        <f t="shared" si="31"/>
        <v>0</v>
      </c>
      <c r="R204" s="49">
        <f t="shared" si="36"/>
        <v>0</v>
      </c>
      <c r="S204" s="49">
        <f t="shared" si="32"/>
        <v>0</v>
      </c>
      <c r="T204" s="49">
        <f t="shared" si="29"/>
        <v>0</v>
      </c>
      <c r="U204" s="49">
        <f t="shared" si="30"/>
        <v>1</v>
      </c>
      <c r="V204" s="49">
        <f t="shared" si="37"/>
        <v>0</v>
      </c>
      <c r="W204" s="49">
        <f t="shared" si="28"/>
        <v>0</v>
      </c>
    </row>
    <row r="205" spans="2:23" ht="196.8">
      <c r="B205" s="899"/>
      <c r="C205" s="881"/>
      <c r="D205" s="883"/>
      <c r="E205" s="700" t="s">
        <v>590</v>
      </c>
      <c r="F205" s="213">
        <v>1</v>
      </c>
      <c r="G205" s="208" t="s">
        <v>1071</v>
      </c>
      <c r="H205" s="701" t="s">
        <v>369</v>
      </c>
      <c r="I205" s="67" t="s">
        <v>1154</v>
      </c>
      <c r="L205" s="49" t="str">
        <f>IF(OR(Overview!$D$4="Preliminary Documentation Review",Overview!$D$4="Preliminary Precertification Review"),IF(AND(P205=0,Q205=0),"",IF(AND(P205&gt;0,Q205&gt;0),"","MISMATCH")),"")</f>
        <v/>
      </c>
      <c r="M205" s="49" t="str">
        <f>IF(OR(Overview!$D$4="Preliminary Documentation Review",Overview!$D$4="Preliminary Precertification Review"),IF(AND(R205=0,S205=0),"",IF(AND(R205&gt;0,S205&gt;0),"","MISMATCH")),"")</f>
        <v/>
      </c>
      <c r="N205" s="49" t="str">
        <f>IF(OR(Overview!$D$4="Preliminary Documentation Review",Overview!$D$4="Preliminary Precertification Review"),IF(AND(T205=0,U205=0),"",IF(AND(T205&gt;0,U205&gt;0),"MISMATCH","")),"")</f>
        <v/>
      </c>
      <c r="O205" s="49" t="str">
        <f>IF(OR(Overview!$D$4="Preliminary Documentation Review",Overview!$D$4="Preliminary Precertification Review"),IF(AND(V205=0,W205=0),"",IF(AND(V205&gt;0,W205&gt;0),"","MISMATCH")),"")</f>
        <v/>
      </c>
      <c r="P205" s="44">
        <f t="shared" si="35"/>
        <v>314</v>
      </c>
      <c r="Q205" s="44">
        <f t="shared" si="31"/>
        <v>0</v>
      </c>
      <c r="R205" s="49">
        <f t="shared" si="36"/>
        <v>0</v>
      </c>
      <c r="S205" s="49">
        <f t="shared" si="32"/>
        <v>0</v>
      </c>
      <c r="T205" s="49">
        <f t="shared" si="29"/>
        <v>0</v>
      </c>
      <c r="U205" s="49">
        <f t="shared" si="30"/>
        <v>1</v>
      </c>
      <c r="V205" s="49">
        <f t="shared" si="37"/>
        <v>0</v>
      </c>
      <c r="W205" s="49">
        <f t="shared" si="28"/>
        <v>0</v>
      </c>
    </row>
    <row r="206" spans="2:23" ht="45.6">
      <c r="B206" s="899"/>
      <c r="C206" s="881" t="s">
        <v>23</v>
      </c>
      <c r="D206" s="883" t="s">
        <v>161</v>
      </c>
      <c r="E206" s="700" t="s">
        <v>292</v>
      </c>
      <c r="F206" s="211"/>
      <c r="G206" s="208" t="s">
        <v>1061</v>
      </c>
      <c r="H206" s="701" t="s">
        <v>324</v>
      </c>
      <c r="I206" s="67" t="s">
        <v>1145</v>
      </c>
      <c r="L206" s="49" t="str">
        <f>IF(OR(Overview!$D$4="Preliminary Documentation Review",Overview!$D$4="Preliminary Precertification Review"),IF(AND(P206=0,Q206=0),"",IF(AND(P206&gt;0,Q206&gt;0),"","MISMATCH")),"")</f>
        <v/>
      </c>
      <c r="M206" s="49" t="str">
        <f>IF(OR(Overview!$D$4="Preliminary Documentation Review",Overview!$D$4="Preliminary Precertification Review"),IF(AND(R206=0,S206=0),"",IF(AND(R206&gt;0,S206&gt;0),"","MISMATCH")),"")</f>
        <v/>
      </c>
      <c r="N206" s="49" t="str">
        <f>IF(OR(Overview!$D$4="Preliminary Documentation Review",Overview!$D$4="Preliminary Precertification Review"),IF(AND(T206=0,U206=0),"",IF(AND(T206&gt;0,U206&gt;0),"MISMATCH","")),"")</f>
        <v/>
      </c>
      <c r="O206" s="49" t="str">
        <f>IF(OR(Overview!$D$4="Preliminary Documentation Review",Overview!$D$4="Preliminary Precertification Review"),IF(AND(V206=0,W206=0),"",IF(AND(V206&gt;0,W206&gt;0),"","MISMATCH")),"")</f>
        <v/>
      </c>
      <c r="P206" s="44">
        <f t="shared" si="35"/>
        <v>0</v>
      </c>
      <c r="Q206" s="44">
        <f t="shared" si="31"/>
        <v>0</v>
      </c>
      <c r="R206" s="49">
        <f t="shared" si="36"/>
        <v>0</v>
      </c>
      <c r="S206" s="49">
        <f t="shared" si="32"/>
        <v>0</v>
      </c>
      <c r="T206" s="49">
        <f t="shared" si="29"/>
        <v>38</v>
      </c>
      <c r="U206" s="49">
        <f t="shared" si="30"/>
        <v>0</v>
      </c>
      <c r="V206" s="49">
        <f t="shared" si="37"/>
        <v>38</v>
      </c>
      <c r="W206" s="49">
        <f t="shared" si="28"/>
        <v>1</v>
      </c>
    </row>
    <row r="207" spans="2:23" ht="45.6">
      <c r="B207" s="899"/>
      <c r="C207" s="881"/>
      <c r="D207" s="883"/>
      <c r="E207" s="700" t="s">
        <v>591</v>
      </c>
      <c r="F207" s="212"/>
      <c r="G207" s="208" t="s">
        <v>1061</v>
      </c>
      <c r="H207" s="701" t="s">
        <v>324</v>
      </c>
      <c r="I207" s="67" t="s">
        <v>1145</v>
      </c>
      <c r="L207" s="49" t="str">
        <f>IF(OR(Overview!$D$4="Preliminary Documentation Review",Overview!$D$4="Preliminary Precertification Review"),IF(AND(P207=0,Q207=0),"",IF(AND(P207&gt;0,Q207&gt;0),"","MISMATCH")),"")</f>
        <v/>
      </c>
      <c r="M207" s="49" t="str">
        <f>IF(OR(Overview!$D$4="Preliminary Documentation Review",Overview!$D$4="Preliminary Precertification Review"),IF(AND(R207=0,S207=0),"",IF(AND(R207&gt;0,S207&gt;0),"","MISMATCH")),"")</f>
        <v/>
      </c>
      <c r="N207" s="49" t="str">
        <f>IF(OR(Overview!$D$4="Preliminary Documentation Review",Overview!$D$4="Preliminary Precertification Review"),IF(AND(T207=0,U207=0),"",IF(AND(T207&gt;0,U207&gt;0),"MISMATCH","")),"")</f>
        <v/>
      </c>
      <c r="O207" s="49" t="str">
        <f>IF(OR(Overview!$D$4="Preliminary Documentation Review",Overview!$D$4="Preliminary Precertification Review"),IF(AND(V207=0,W207=0),"",IF(AND(V207&gt;0,W207&gt;0),"","MISMATCH")),"")</f>
        <v/>
      </c>
      <c r="P207" s="44">
        <f t="shared" si="35"/>
        <v>0</v>
      </c>
      <c r="Q207" s="44">
        <f t="shared" si="31"/>
        <v>0</v>
      </c>
      <c r="R207" s="49">
        <f t="shared" si="36"/>
        <v>0</v>
      </c>
      <c r="S207" s="49">
        <f t="shared" si="32"/>
        <v>0</v>
      </c>
      <c r="T207" s="49">
        <f t="shared" si="29"/>
        <v>38</v>
      </c>
      <c r="U207" s="49">
        <f t="shared" si="30"/>
        <v>0</v>
      </c>
      <c r="V207" s="49">
        <f t="shared" si="37"/>
        <v>38</v>
      </c>
      <c r="W207" s="49">
        <f t="shared" si="28"/>
        <v>1</v>
      </c>
    </row>
    <row r="208" spans="2:23" ht="45.6">
      <c r="B208" s="899"/>
      <c r="C208" s="881"/>
      <c r="D208" s="883"/>
      <c r="E208" s="700" t="s">
        <v>592</v>
      </c>
      <c r="F208" s="213"/>
      <c r="G208" s="208" t="s">
        <v>1061</v>
      </c>
      <c r="H208" s="701" t="s">
        <v>324</v>
      </c>
      <c r="I208" s="67" t="s">
        <v>1145</v>
      </c>
      <c r="L208" s="49" t="str">
        <f>IF(OR(Overview!$D$4="Preliminary Documentation Review",Overview!$D$4="Preliminary Precertification Review"),IF(AND(P208=0,Q208=0),"",IF(AND(P208&gt;0,Q208&gt;0),"","MISMATCH")),"")</f>
        <v/>
      </c>
      <c r="M208" s="49" t="str">
        <f>IF(OR(Overview!$D$4="Preliminary Documentation Review",Overview!$D$4="Preliminary Precertification Review"),IF(AND(R208=0,S208=0),"",IF(AND(R208&gt;0,S208&gt;0),"","MISMATCH")),"")</f>
        <v/>
      </c>
      <c r="N208" s="49" t="str">
        <f>IF(OR(Overview!$D$4="Preliminary Documentation Review",Overview!$D$4="Preliminary Precertification Review"),IF(AND(T208=0,U208=0),"",IF(AND(T208&gt;0,U208&gt;0),"MISMATCH","")),"")</f>
        <v/>
      </c>
      <c r="O208" s="49" t="str">
        <f>IF(OR(Overview!$D$4="Preliminary Documentation Review",Overview!$D$4="Preliminary Precertification Review"),IF(AND(V208=0,W208=0),"",IF(AND(V208&gt;0,W208&gt;0),"","MISMATCH")),"")</f>
        <v/>
      </c>
      <c r="P208" s="44">
        <f t="shared" si="35"/>
        <v>0</v>
      </c>
      <c r="Q208" s="44">
        <f t="shared" si="31"/>
        <v>0</v>
      </c>
      <c r="R208" s="49">
        <f t="shared" si="36"/>
        <v>0</v>
      </c>
      <c r="S208" s="49">
        <f t="shared" si="32"/>
        <v>0</v>
      </c>
      <c r="T208" s="49">
        <f t="shared" si="29"/>
        <v>38</v>
      </c>
      <c r="U208" s="49">
        <f t="shared" si="30"/>
        <v>0</v>
      </c>
      <c r="V208" s="49">
        <f t="shared" si="37"/>
        <v>38</v>
      </c>
      <c r="W208" s="49">
        <f t="shared" si="28"/>
        <v>1</v>
      </c>
    </row>
    <row r="209" spans="2:23" ht="46.8">
      <c r="B209" s="899"/>
      <c r="C209" s="881" t="s">
        <v>23</v>
      </c>
      <c r="D209" s="883" t="s">
        <v>162</v>
      </c>
      <c r="E209" s="700" t="s">
        <v>293</v>
      </c>
      <c r="F209" s="211">
        <v>2</v>
      </c>
      <c r="G209" s="208" t="s">
        <v>1071</v>
      </c>
      <c r="H209" s="701" t="s">
        <v>369</v>
      </c>
      <c r="I209" s="794" t="s">
        <v>1142</v>
      </c>
      <c r="L209" s="49" t="str">
        <f>IF(OR(Overview!$D$4="Preliminary Documentation Review",Overview!$D$4="Preliminary Precertification Review"),IF(AND(P209=0,Q209=0),"",IF(AND(P209&gt;0,Q209&gt;0),"","MISMATCH")),"")</f>
        <v/>
      </c>
      <c r="M209" s="49" t="str">
        <f>IF(OR(Overview!$D$4="Preliminary Documentation Review",Overview!$D$4="Preliminary Precertification Review"),IF(AND(R209=0,S209=0),"",IF(AND(R209&gt;0,S209&gt;0),"","MISMATCH")),"")</f>
        <v/>
      </c>
      <c r="N209" s="49" t="str">
        <f>IF(OR(Overview!$D$4="Preliminary Documentation Review",Overview!$D$4="Preliminary Precertification Review"),IF(AND(T209=0,U209=0),"",IF(AND(T209&gt;0,U209&gt;0),"MISMATCH","")),"")</f>
        <v/>
      </c>
      <c r="O209" s="49" t="str">
        <f>IF(OR(Overview!$D$4="Preliminary Documentation Review",Overview!$D$4="Preliminary Precertification Review"),IF(AND(V209=0,W209=0),"",IF(AND(V209&gt;0,W209&gt;0),"","MISMATCH")),"")</f>
        <v/>
      </c>
      <c r="P209" s="44">
        <f t="shared" si="35"/>
        <v>0</v>
      </c>
      <c r="Q209" s="44">
        <f t="shared" si="31"/>
        <v>0</v>
      </c>
      <c r="R209" s="49">
        <f t="shared" si="36"/>
        <v>0</v>
      </c>
      <c r="S209" s="49">
        <f t="shared" si="32"/>
        <v>0</v>
      </c>
      <c r="T209" s="49">
        <f t="shared" si="29"/>
        <v>0</v>
      </c>
      <c r="U209" s="49">
        <f t="shared" si="30"/>
        <v>1</v>
      </c>
      <c r="V209" s="49">
        <f t="shared" si="37"/>
        <v>0</v>
      </c>
      <c r="W209" s="49">
        <f t="shared" si="28"/>
        <v>0</v>
      </c>
    </row>
    <row r="210" spans="2:23" ht="46.8">
      <c r="B210" s="899"/>
      <c r="C210" s="881"/>
      <c r="D210" s="883"/>
      <c r="E210" s="700" t="s">
        <v>593</v>
      </c>
      <c r="F210" s="213">
        <v>1</v>
      </c>
      <c r="G210" s="208" t="s">
        <v>1071</v>
      </c>
      <c r="H210" s="701" t="s">
        <v>369</v>
      </c>
      <c r="I210" s="794" t="s">
        <v>1142</v>
      </c>
      <c r="L210" s="49" t="str">
        <f>IF(OR(Overview!$D$4="Preliminary Documentation Review",Overview!$D$4="Preliminary Precertification Review"),IF(AND(P210=0,Q210=0),"",IF(AND(P210&gt;0,Q210&gt;0),"","MISMATCH")),"")</f>
        <v/>
      </c>
      <c r="M210" s="49" t="str">
        <f>IF(OR(Overview!$D$4="Preliminary Documentation Review",Overview!$D$4="Preliminary Precertification Review"),IF(AND(R210=0,S210=0),"",IF(AND(R210&gt;0,S210&gt;0),"","MISMATCH")),"")</f>
        <v/>
      </c>
      <c r="N210" s="49" t="str">
        <f>IF(OR(Overview!$D$4="Preliminary Documentation Review",Overview!$D$4="Preliminary Precertification Review"),IF(AND(T210=0,U210=0),"",IF(AND(T210&gt;0,U210&gt;0),"MISMATCH","")),"")</f>
        <v/>
      </c>
      <c r="O210" s="49" t="str">
        <f>IF(OR(Overview!$D$4="Preliminary Documentation Review",Overview!$D$4="Preliminary Precertification Review"),IF(AND(V210=0,W210=0),"",IF(AND(V210&gt;0,W210&gt;0),"","MISMATCH")),"")</f>
        <v/>
      </c>
      <c r="P210" s="44">
        <f t="shared" si="35"/>
        <v>0</v>
      </c>
      <c r="Q210" s="44">
        <f t="shared" si="31"/>
        <v>0</v>
      </c>
      <c r="R210" s="49">
        <f t="shared" si="36"/>
        <v>0</v>
      </c>
      <c r="S210" s="49">
        <f t="shared" si="32"/>
        <v>0</v>
      </c>
      <c r="T210" s="49">
        <f t="shared" si="29"/>
        <v>0</v>
      </c>
      <c r="U210" s="49">
        <f t="shared" si="30"/>
        <v>1</v>
      </c>
      <c r="V210" s="49">
        <f t="shared" si="37"/>
        <v>0</v>
      </c>
      <c r="W210" s="49">
        <f t="shared" si="28"/>
        <v>0</v>
      </c>
    </row>
    <row r="211" spans="2:23" ht="49.95" customHeight="1">
      <c r="B211" s="899"/>
      <c r="C211" s="881" t="s">
        <v>23</v>
      </c>
      <c r="D211" s="883" t="s">
        <v>163</v>
      </c>
      <c r="E211" s="700" t="s">
        <v>294</v>
      </c>
      <c r="F211" s="211">
        <v>2</v>
      </c>
      <c r="G211" s="208" t="s">
        <v>1071</v>
      </c>
      <c r="H211" s="701" t="s">
        <v>369</v>
      </c>
      <c r="I211" s="794" t="s">
        <v>1142</v>
      </c>
      <c r="L211" s="49" t="str">
        <f>IF(OR(Overview!$D$4="Preliminary Documentation Review",Overview!$D$4="Preliminary Precertification Review"),IF(AND(P211=0,Q211=0),"",IF(AND(P211&gt;0,Q211&gt;0),"","MISMATCH")),"")</f>
        <v/>
      </c>
      <c r="M211" s="49" t="str">
        <f>IF(OR(Overview!$D$4="Preliminary Documentation Review",Overview!$D$4="Preliminary Precertification Review"),IF(AND(R211=0,S211=0),"",IF(AND(R211&gt;0,S211&gt;0),"","MISMATCH")),"")</f>
        <v/>
      </c>
      <c r="N211" s="49" t="str">
        <f>IF(OR(Overview!$D$4="Preliminary Documentation Review",Overview!$D$4="Preliminary Precertification Review"),IF(AND(T211=0,U211=0),"",IF(AND(T211&gt;0,U211&gt;0),"MISMATCH","")),"")</f>
        <v/>
      </c>
      <c r="O211" s="49" t="str">
        <f>IF(OR(Overview!$D$4="Preliminary Documentation Review",Overview!$D$4="Preliminary Precertification Review"),IF(AND(V211=0,W211=0),"",IF(AND(V211&gt;0,W211&gt;0),"","MISMATCH")),"")</f>
        <v/>
      </c>
      <c r="P211" s="44">
        <f t="shared" si="35"/>
        <v>0</v>
      </c>
      <c r="Q211" s="44">
        <f t="shared" si="31"/>
        <v>0</v>
      </c>
      <c r="R211" s="49">
        <f t="shared" si="36"/>
        <v>0</v>
      </c>
      <c r="S211" s="49">
        <f t="shared" si="32"/>
        <v>0</v>
      </c>
      <c r="T211" s="49">
        <f t="shared" si="29"/>
        <v>0</v>
      </c>
      <c r="U211" s="49">
        <f t="shared" si="30"/>
        <v>1</v>
      </c>
      <c r="V211" s="49">
        <f t="shared" si="37"/>
        <v>0</v>
      </c>
      <c r="W211" s="49">
        <f t="shared" si="28"/>
        <v>0</v>
      </c>
    </row>
    <row r="212" spans="2:23" ht="49.95" customHeight="1">
      <c r="B212" s="899"/>
      <c r="C212" s="881"/>
      <c r="D212" s="883"/>
      <c r="E212" s="700" t="s">
        <v>295</v>
      </c>
      <c r="F212" s="213"/>
      <c r="G212" s="208" t="s">
        <v>1061</v>
      </c>
      <c r="H212" s="701" t="s">
        <v>324</v>
      </c>
      <c r="I212" s="67" t="s">
        <v>1145</v>
      </c>
      <c r="L212" s="49" t="str">
        <f>IF(OR(Overview!$D$4="Preliminary Documentation Review",Overview!$D$4="Preliminary Precertification Review"),IF(AND(P212=0,Q212=0),"",IF(AND(P212&gt;0,Q212&gt;0),"","MISMATCH")),"")</f>
        <v/>
      </c>
      <c r="M212" s="49" t="str">
        <f>IF(OR(Overview!$D$4="Preliminary Documentation Review",Overview!$D$4="Preliminary Precertification Review"),IF(AND(R212=0,S212=0),"",IF(AND(R212&gt;0,S212&gt;0),"","MISMATCH")),"")</f>
        <v/>
      </c>
      <c r="N212" s="49" t="str">
        <f>IF(OR(Overview!$D$4="Preliminary Documentation Review",Overview!$D$4="Preliminary Precertification Review"),IF(AND(T212=0,U212=0),"",IF(AND(T212&gt;0,U212&gt;0),"MISMATCH","")),"")</f>
        <v/>
      </c>
      <c r="O212" s="49" t="str">
        <f>IF(OR(Overview!$D$4="Preliminary Documentation Review",Overview!$D$4="Preliminary Precertification Review"),IF(AND(V212=0,W212=0),"",IF(AND(V212&gt;0,W212&gt;0),"","MISMATCH")),"")</f>
        <v/>
      </c>
      <c r="P212" s="44">
        <f t="shared" si="35"/>
        <v>0</v>
      </c>
      <c r="Q212" s="44">
        <f t="shared" si="31"/>
        <v>0</v>
      </c>
      <c r="R212" s="49">
        <f t="shared" si="36"/>
        <v>0</v>
      </c>
      <c r="S212" s="49">
        <f t="shared" si="32"/>
        <v>0</v>
      </c>
      <c r="T212" s="49">
        <f t="shared" si="29"/>
        <v>38</v>
      </c>
      <c r="U212" s="49">
        <f t="shared" si="30"/>
        <v>0</v>
      </c>
      <c r="V212" s="49">
        <f t="shared" si="37"/>
        <v>38</v>
      </c>
      <c r="W212" s="49">
        <f t="shared" si="28"/>
        <v>1</v>
      </c>
    </row>
    <row r="213" spans="2:23" ht="45.6">
      <c r="B213" s="899"/>
      <c r="C213" s="881" t="s">
        <v>23</v>
      </c>
      <c r="D213" s="883" t="s">
        <v>164</v>
      </c>
      <c r="E213" s="700" t="s">
        <v>296</v>
      </c>
      <c r="F213" s="214"/>
      <c r="G213" s="208" t="s">
        <v>1061</v>
      </c>
      <c r="H213" s="701" t="s">
        <v>324</v>
      </c>
      <c r="I213" s="67" t="s">
        <v>1145</v>
      </c>
      <c r="L213" s="49" t="str">
        <f>IF(OR(Overview!$D$4="Preliminary Documentation Review",Overview!$D$4="Preliminary Precertification Review"),IF(AND(P213=0,Q213=0),"",IF(AND(P213&gt;0,Q213&gt;0),"","MISMATCH")),"")</f>
        <v/>
      </c>
      <c r="M213" s="49" t="str">
        <f>IF(OR(Overview!$D$4="Preliminary Documentation Review",Overview!$D$4="Preliminary Precertification Review"),IF(AND(R213=0,S213=0),"",IF(AND(R213&gt;0,S213&gt;0),"","MISMATCH")),"")</f>
        <v/>
      </c>
      <c r="N213" s="49" t="str">
        <f>IF(OR(Overview!$D$4="Preliminary Documentation Review",Overview!$D$4="Preliminary Precertification Review"),IF(AND(T213=0,U213=0),"",IF(AND(T213&gt;0,U213&gt;0),"MISMATCH","")),"")</f>
        <v/>
      </c>
      <c r="O213" s="49" t="str">
        <f>IF(OR(Overview!$D$4="Preliminary Documentation Review",Overview!$D$4="Preliminary Precertification Review"),IF(AND(V213=0,W213=0),"",IF(AND(V213&gt;0,W213&gt;0),"","MISMATCH")),"")</f>
        <v/>
      </c>
      <c r="P213" s="44">
        <f t="shared" si="35"/>
        <v>0</v>
      </c>
      <c r="Q213" s="44">
        <f t="shared" si="31"/>
        <v>0</v>
      </c>
      <c r="R213" s="49">
        <f t="shared" si="36"/>
        <v>0</v>
      </c>
      <c r="S213" s="49">
        <f t="shared" si="32"/>
        <v>0</v>
      </c>
      <c r="T213" s="49">
        <f t="shared" si="29"/>
        <v>38</v>
      </c>
      <c r="U213" s="49">
        <f t="shared" si="30"/>
        <v>0</v>
      </c>
      <c r="V213" s="49">
        <f t="shared" si="37"/>
        <v>38</v>
      </c>
      <c r="W213" s="49">
        <f t="shared" si="28"/>
        <v>1</v>
      </c>
    </row>
    <row r="214" spans="2:23" ht="45.6">
      <c r="B214" s="899"/>
      <c r="C214" s="698" t="s">
        <v>23</v>
      </c>
      <c r="D214" s="699" t="s">
        <v>165</v>
      </c>
      <c r="E214" s="700" t="s">
        <v>297</v>
      </c>
      <c r="F214" s="214"/>
      <c r="G214" s="208" t="s">
        <v>1061</v>
      </c>
      <c r="H214" s="701" t="s">
        <v>324</v>
      </c>
      <c r="I214" s="67" t="s">
        <v>1145</v>
      </c>
      <c r="K214" s="193" t="s">
        <v>733</v>
      </c>
      <c r="L214" s="49" t="str">
        <f>IF(OR(Overview!$D$4="Preliminary Documentation Review",Overview!$D$4="Preliminary Precertification Review"),IF(AND(P214=0,Q214=0),"",IF(AND(P214&gt;0,Q214&gt;0),"","MISMATCH")),"")</f>
        <v/>
      </c>
      <c r="M214" s="49" t="str">
        <f>IF(OR(Overview!$D$4="Preliminary Documentation Review",Overview!$D$4="Preliminary Precertification Review"),IF(AND(R214=0,S214=0),"",IF(AND(R214&gt;0,S214&gt;0),"","MISMATCH")),"")</f>
        <v/>
      </c>
      <c r="N214" s="49" t="str">
        <f>IF(OR(Overview!$D$4="Preliminary Documentation Review",Overview!$D$4="Preliminary Precertification Review"),IF(AND(T214=0,U214=0),"",IF(AND(T214&gt;0,U214&gt;0),"MISMATCH","")),"")</f>
        <v/>
      </c>
      <c r="O214" s="49" t="str">
        <f>IF(OR(Overview!$D$4="Preliminary Documentation Review",Overview!$D$4="Preliminary Precertification Review"),IF(AND(V214=0,W214=0),"",IF(AND(V214&gt;0,W214&gt;0),"","MISMATCH")),"")</f>
        <v/>
      </c>
      <c r="P214" s="44">
        <f t="shared" si="35"/>
        <v>0</v>
      </c>
      <c r="Q214" s="44">
        <f t="shared" si="31"/>
        <v>0</v>
      </c>
      <c r="R214" s="49">
        <f t="shared" si="36"/>
        <v>0</v>
      </c>
      <c r="S214" s="49">
        <f t="shared" si="32"/>
        <v>0</v>
      </c>
      <c r="T214" s="49">
        <f t="shared" si="29"/>
        <v>38</v>
      </c>
      <c r="U214" s="49">
        <f t="shared" si="30"/>
        <v>0</v>
      </c>
      <c r="V214" s="49">
        <f t="shared" si="37"/>
        <v>38</v>
      </c>
      <c r="W214" s="49">
        <f t="shared" si="28"/>
        <v>1</v>
      </c>
    </row>
    <row r="215" spans="2:23" ht="30" hidden="1">
      <c r="B215" s="899"/>
      <c r="C215" s="857" t="s">
        <v>23</v>
      </c>
      <c r="D215" s="860" t="s">
        <v>471</v>
      </c>
      <c r="E215" s="700" t="s">
        <v>642</v>
      </c>
      <c r="F215" s="217"/>
      <c r="G215" s="216"/>
      <c r="H215" s="66"/>
      <c r="I215" s="67"/>
      <c r="L215" s="49" t="str">
        <f>IF(OR(Overview!$D$4="Preliminary Documentation Review",Overview!$D$4="Preliminary Precertification Review"),IF(AND(P215=0,Q215=0),"",IF(AND(P215&gt;0,Q215&gt;0),"","MISMATCH")),"")</f>
        <v/>
      </c>
      <c r="M215" s="49" t="str">
        <f>IF(OR(Overview!$D$4="Preliminary Documentation Review",Overview!$D$4="Preliminary Precertification Review"),IF(AND(R215=0,S215=0),"",IF(AND(R215&gt;0,S215&gt;0),"","MISMATCH")),"")</f>
        <v/>
      </c>
      <c r="N215" s="49" t="str">
        <f>IF(OR(Overview!$D$4="Preliminary Documentation Review",Overview!$D$4="Preliminary Precertification Review"),IF(AND(T215=0,U215=0),"",IF(AND(T215&gt;0,U215&gt;0),"MISMATCH","")),"")</f>
        <v/>
      </c>
      <c r="O215" s="49" t="str">
        <f>IF(OR(Overview!$D$4="Preliminary Documentation Review",Overview!$D$4="Preliminary Precertification Review"),IF(AND(V215=0,W215=0),"",IF(AND(V215&gt;0,W215&gt;0),"","MISMATCH")),"")</f>
        <v/>
      </c>
      <c r="P215" s="44">
        <f t="shared" si="35"/>
        <v>0</v>
      </c>
      <c r="Q215" s="44">
        <f t="shared" si="31"/>
        <v>0</v>
      </c>
      <c r="R215" s="49">
        <f t="shared" si="36"/>
        <v>0</v>
      </c>
      <c r="S215" s="49">
        <f t="shared" si="32"/>
        <v>0</v>
      </c>
      <c r="T215" s="49">
        <f t="shared" si="29"/>
        <v>0</v>
      </c>
      <c r="U215" s="49">
        <f t="shared" si="30"/>
        <v>0</v>
      </c>
      <c r="V215" s="49">
        <f t="shared" si="37"/>
        <v>0</v>
      </c>
      <c r="W215" s="49">
        <f t="shared" si="28"/>
        <v>0</v>
      </c>
    </row>
    <row r="216" spans="2:23" ht="30" hidden="1">
      <c r="B216" s="899"/>
      <c r="C216" s="859"/>
      <c r="D216" s="862"/>
      <c r="E216" s="700" t="s">
        <v>1090</v>
      </c>
      <c r="F216" s="219"/>
      <c r="G216" s="216"/>
      <c r="H216" s="66"/>
      <c r="I216" s="67"/>
      <c r="L216" s="49" t="str">
        <f>IF(OR(Overview!$D$4="Preliminary Documentation Review",Overview!$D$4="Preliminary Precertification Review"),IF(AND(P216=0,Q216=0),"",IF(AND(P216&gt;0,Q216&gt;0),"","MISMATCH")),"")</f>
        <v/>
      </c>
      <c r="M216" s="49" t="str">
        <f>IF(OR(Overview!$D$4="Preliminary Documentation Review",Overview!$D$4="Preliminary Precertification Review"),IF(AND(R216=0,S216=0),"",IF(AND(R216&gt;0,S216&gt;0),"","MISMATCH")),"")</f>
        <v/>
      </c>
      <c r="N216" s="49" t="str">
        <f>IF(OR(Overview!$D$4="Preliminary Documentation Review",Overview!$D$4="Preliminary Precertification Review"),IF(AND(T216=0,U216=0),"",IF(AND(T216&gt;0,U216&gt;0),"MISMATCH","")),"")</f>
        <v/>
      </c>
      <c r="O216" s="49" t="str">
        <f>IF(OR(Overview!$D$4="Preliminary Documentation Review",Overview!$D$4="Preliminary Precertification Review"),IF(AND(V216=0,W216=0),"",IF(AND(V216&gt;0,W216&gt;0),"","MISMATCH")),"")</f>
        <v/>
      </c>
      <c r="P216" s="44">
        <f t="shared" si="35"/>
        <v>0</v>
      </c>
      <c r="Q216" s="44">
        <f t="shared" si="31"/>
        <v>0</v>
      </c>
      <c r="R216" s="49">
        <f t="shared" si="36"/>
        <v>0</v>
      </c>
      <c r="S216" s="49">
        <f t="shared" si="32"/>
        <v>0</v>
      </c>
      <c r="T216" s="49">
        <f t="shared" si="29"/>
        <v>0</v>
      </c>
      <c r="U216" s="49">
        <f t="shared" si="30"/>
        <v>0</v>
      </c>
      <c r="V216" s="49">
        <f t="shared" si="37"/>
        <v>0</v>
      </c>
      <c r="W216" s="49">
        <f t="shared" si="28"/>
        <v>0</v>
      </c>
    </row>
    <row r="217" spans="2:23">
      <c r="B217" s="135"/>
      <c r="C217" s="136"/>
      <c r="D217" s="137"/>
      <c r="E217" s="138"/>
      <c r="F217" s="222"/>
      <c r="G217" s="222"/>
      <c r="H217" s="139"/>
      <c r="I217" s="140"/>
      <c r="L217" s="49" t="str">
        <f>IF(OR(Overview!$D$4="Preliminary Documentation Review",Overview!$D$4="Preliminary Precertification Review"),IF(AND(P217=0,Q217=0),"",IF(AND(P217&gt;0,Q217&gt;0),"","MISMATCH")),"")</f>
        <v/>
      </c>
      <c r="M217" s="49" t="str">
        <f>IF(OR(Overview!$D$4="Preliminary Documentation Review",Overview!$D$4="Preliminary Precertification Review"),IF(AND(R217=0,S217=0),"",IF(AND(R217&gt;0,S217&gt;0),"","MISMATCH")),"")</f>
        <v/>
      </c>
      <c r="N217" s="49" t="str">
        <f>IF(OR(Overview!$D$4="Preliminary Documentation Review",Overview!$D$4="Preliminary Precertification Review"),IF(AND(T217=0,U217=0),"",IF(AND(T217&gt;0,U217&gt;0),"MISMATCH","")),"")</f>
        <v/>
      </c>
      <c r="O217" s="49" t="str">
        <f>IF(OR(Overview!$D$4="Preliminary Documentation Review",Overview!$D$4="Preliminary Precertification Review"),IF(AND(V217=0,W217=0),"",IF(AND(V217&gt;0,W217&gt;0),"","MISMATCH")),"")</f>
        <v/>
      </c>
      <c r="P217" s="44">
        <f t="shared" si="35"/>
        <v>0</v>
      </c>
      <c r="Q217" s="44">
        <f t="shared" si="31"/>
        <v>0</v>
      </c>
      <c r="R217" s="49">
        <f t="shared" si="36"/>
        <v>0</v>
      </c>
      <c r="S217" s="49">
        <f t="shared" si="32"/>
        <v>0</v>
      </c>
      <c r="T217" s="49">
        <f t="shared" si="29"/>
        <v>0</v>
      </c>
      <c r="U217" s="49">
        <f t="shared" si="30"/>
        <v>0</v>
      </c>
      <c r="V217" s="49">
        <f t="shared" si="37"/>
        <v>0</v>
      </c>
      <c r="W217" s="49">
        <f t="shared" ref="W217:W280" si="38">IFERROR(SEARCH("Not Attempted",$H217),0)</f>
        <v>0</v>
      </c>
    </row>
    <row r="218" spans="2:23">
      <c r="B218" s="75"/>
      <c r="C218" s="76"/>
      <c r="D218" s="77"/>
      <c r="E218" s="78"/>
      <c r="F218" s="222"/>
      <c r="G218" s="222"/>
      <c r="H218" s="80"/>
      <c r="I218" s="81"/>
      <c r="L218" s="49" t="str">
        <f>IF(OR(Overview!$D$4="Preliminary Documentation Review",Overview!$D$4="Preliminary Precertification Review"),IF(AND(P218=0,Q218=0),"",IF(AND(P218&gt;0,Q218&gt;0),"","MISMATCH")),"")</f>
        <v/>
      </c>
      <c r="M218" s="49" t="str">
        <f>IF(OR(Overview!$D$4="Preliminary Documentation Review",Overview!$D$4="Preliminary Precertification Review"),IF(AND(R218=0,S218=0),"",IF(AND(R218&gt;0,S218&gt;0),"","MISMATCH")),"")</f>
        <v/>
      </c>
      <c r="N218" s="49" t="str">
        <f>IF(OR(Overview!$D$4="Preliminary Documentation Review",Overview!$D$4="Preliminary Precertification Review"),IF(AND(T218=0,U218=0),"",IF(AND(T218&gt;0,U218&gt;0),"MISMATCH","")),"")</f>
        <v/>
      </c>
      <c r="O218" s="49" t="str">
        <f>IF(OR(Overview!$D$4="Preliminary Documentation Review",Overview!$D$4="Preliminary Precertification Review"),IF(AND(V218=0,W218=0),"",IF(AND(V218&gt;0,W218&gt;0),"","MISMATCH")),"")</f>
        <v/>
      </c>
      <c r="P218" s="44">
        <f t="shared" si="35"/>
        <v>0</v>
      </c>
      <c r="Q218" s="44">
        <f t="shared" si="31"/>
        <v>0</v>
      </c>
      <c r="R218" s="49">
        <f t="shared" si="36"/>
        <v>0</v>
      </c>
      <c r="S218" s="49">
        <f t="shared" si="32"/>
        <v>0</v>
      </c>
      <c r="T218" s="49">
        <f t="shared" ref="T218:T281" si="39">IFERROR(SEARCH("This Part has no",$I218),0)</f>
        <v>0</v>
      </c>
      <c r="U218" s="49">
        <f t="shared" ref="U218:U281" si="40">IFERROR(SEARCH("Anticipated",$H218),0)</f>
        <v>0</v>
      </c>
      <c r="V218" s="49">
        <f t="shared" si="37"/>
        <v>0</v>
      </c>
      <c r="W218" s="49">
        <f t="shared" si="38"/>
        <v>0</v>
      </c>
    </row>
    <row r="219" spans="2:23">
      <c r="B219" s="892"/>
      <c r="C219" s="893"/>
      <c r="D219" s="893"/>
      <c r="E219" s="893"/>
      <c r="F219" s="893"/>
      <c r="G219" s="893"/>
      <c r="H219" s="893"/>
      <c r="I219" s="894"/>
      <c r="L219" s="49" t="str">
        <f>IF(OR(Overview!$D$4="Preliminary Documentation Review",Overview!$D$4="Preliminary Precertification Review"),IF(AND(P219=0,Q219=0),"",IF(AND(P219&gt;0,Q219&gt;0),"","MISMATCH")),"")</f>
        <v/>
      </c>
      <c r="M219" s="49" t="str">
        <f>IF(OR(Overview!$D$4="Preliminary Documentation Review",Overview!$D$4="Preliminary Precertification Review"),IF(AND(R219=0,S219=0),"",IF(AND(R219&gt;0,S219&gt;0),"","MISMATCH")),"")</f>
        <v/>
      </c>
      <c r="N219" s="49" t="str">
        <f>IF(OR(Overview!$D$4="Preliminary Documentation Review",Overview!$D$4="Preliminary Precertification Review"),IF(AND(T219=0,U219=0),"",IF(AND(T219&gt;0,U219&gt;0),"MISMATCH","")),"")</f>
        <v/>
      </c>
      <c r="O219" s="49" t="str">
        <f>IF(OR(Overview!$D$4="Preliminary Documentation Review",Overview!$D$4="Preliminary Precertification Review"),IF(AND(V219=0,W219=0),"",IF(AND(V219&gt;0,W219&gt;0),"","MISMATCH")),"")</f>
        <v/>
      </c>
      <c r="T219" s="49">
        <f t="shared" si="39"/>
        <v>0</v>
      </c>
      <c r="U219" s="49">
        <f t="shared" si="40"/>
        <v>0</v>
      </c>
      <c r="V219" s="49">
        <f t="shared" si="37"/>
        <v>0</v>
      </c>
      <c r="W219" s="49">
        <f t="shared" si="38"/>
        <v>0</v>
      </c>
    </row>
    <row r="220" spans="2:23" s="65" customFormat="1" ht="99.9" hidden="1" customHeight="1">
      <c r="B220" s="141"/>
      <c r="C220" s="869" t="s">
        <v>714</v>
      </c>
      <c r="D220" s="870"/>
      <c r="E220" s="870"/>
      <c r="F220" s="870"/>
      <c r="G220" s="870"/>
      <c r="H220" s="870"/>
      <c r="I220" s="871"/>
      <c r="J220" s="64"/>
      <c r="K220" s="190"/>
      <c r="L220" s="49" t="str">
        <f>IF(OR(Overview!$D$4="Preliminary Documentation Review",Overview!$D$4="Preliminary Precertification Review"),IF(AND(P220=0,Q220=0),"",IF(AND(P220&gt;0,Q220&gt;0),"","MISMATCH")),"")</f>
        <v/>
      </c>
      <c r="M220" s="49" t="str">
        <f>IF(OR(Overview!$D$4="Preliminary Documentation Review",Overview!$D$4="Preliminary Precertification Review"),IF(AND(R220=0,S220=0),"",IF(AND(R220&gt;0,S220&gt;0),"","MISMATCH")),"")</f>
        <v/>
      </c>
      <c r="N220" s="49" t="str">
        <f>IF(OR(Overview!$D$4="Preliminary Documentation Review",Overview!$D$4="Preliminary Precertification Review"),IF(AND(T220=0,U220=0),"",IF(AND(T220&gt;0,U220&gt;0),"MISMATCH","")),"")</f>
        <v/>
      </c>
      <c r="O220" s="49" t="str">
        <f>IF(OR(Overview!$D$4="Preliminary Documentation Review",Overview!$D$4="Preliminary Precertification Review"),IF(AND(V220=0,W220=0),"",IF(AND(V220&gt;0,W220&gt;0),"","MISMATCH")),"")</f>
        <v/>
      </c>
      <c r="T220" s="49">
        <f t="shared" si="39"/>
        <v>0</v>
      </c>
      <c r="U220" s="49">
        <f t="shared" si="40"/>
        <v>0</v>
      </c>
      <c r="V220" s="49">
        <f t="shared" si="37"/>
        <v>0</v>
      </c>
      <c r="W220" s="49">
        <f t="shared" si="38"/>
        <v>0</v>
      </c>
    </row>
    <row r="221" spans="2:23" s="65" customFormat="1" ht="15.6" hidden="1" customHeight="1">
      <c r="B221" s="895"/>
      <c r="C221" s="893"/>
      <c r="D221" s="893"/>
      <c r="E221" s="893"/>
      <c r="F221" s="893"/>
      <c r="G221" s="893"/>
      <c r="H221" s="893"/>
      <c r="I221" s="894"/>
      <c r="J221" s="64"/>
      <c r="K221" s="190"/>
      <c r="L221" s="49" t="str">
        <f>IF(OR(Overview!$D$4="Preliminary Documentation Review",Overview!$D$4="Preliminary Precertification Review"),IF(AND(P221=0,Q221=0),"",IF(AND(P221&gt;0,Q221&gt;0),"","MISMATCH")),"")</f>
        <v/>
      </c>
      <c r="M221" s="49" t="str">
        <f>IF(OR(Overview!$D$4="Preliminary Documentation Review",Overview!$D$4="Preliminary Precertification Review"),IF(AND(R221=0,S221=0),"",IF(AND(R221&gt;0,S221&gt;0),"","MISMATCH")),"")</f>
        <v/>
      </c>
      <c r="N221" s="49" t="str">
        <f>IF(OR(Overview!$D$4="Preliminary Documentation Review",Overview!$D$4="Preliminary Precertification Review"),IF(AND(T221=0,U221=0),"",IF(AND(T221&gt;0,U221&gt;0),"MISMATCH","")),"")</f>
        <v/>
      </c>
      <c r="O221" s="49" t="str">
        <f>IF(OR(Overview!$D$4="Preliminary Documentation Review",Overview!$D$4="Preliminary Precertification Review"),IF(AND(V221=0,W221=0),"",IF(AND(V221&gt;0,W221&gt;0),"","MISMATCH")),"")</f>
        <v/>
      </c>
      <c r="T221" s="49">
        <f t="shared" si="39"/>
        <v>0</v>
      </c>
      <c r="U221" s="49">
        <f t="shared" si="40"/>
        <v>0</v>
      </c>
      <c r="V221" s="49">
        <f t="shared" si="37"/>
        <v>0</v>
      </c>
      <c r="W221" s="49">
        <f t="shared" si="38"/>
        <v>0</v>
      </c>
    </row>
    <row r="222" spans="2:23" ht="211.8">
      <c r="B222" s="934" t="s">
        <v>166</v>
      </c>
      <c r="C222" s="859" t="s">
        <v>8</v>
      </c>
      <c r="D222" s="882" t="s">
        <v>167</v>
      </c>
      <c r="E222" s="697" t="s">
        <v>298</v>
      </c>
      <c r="F222" s="209"/>
      <c r="G222" s="723" t="s">
        <v>219</v>
      </c>
      <c r="H222" s="724" t="s">
        <v>369</v>
      </c>
      <c r="I222" s="67" t="s">
        <v>1160</v>
      </c>
      <c r="L222" s="49" t="str">
        <f>IF(OR(Overview!$D$4="Preliminary Documentation Review",Overview!$D$4="Preliminary Precertification Review"),IF(AND(P222=0,Q222=0),"",IF(AND(P222&gt;0,Q222&gt;0),"","MISMATCH")),"")</f>
        <v/>
      </c>
      <c r="M222" s="49" t="str">
        <f>IF(OR(Overview!$D$4="Preliminary Documentation Review",Overview!$D$4="Preliminary Precertification Review"),IF(AND(R222=0,S222=0),"",IF(AND(R222&gt;0,S222&gt;0),"","MISMATCH")),"")</f>
        <v/>
      </c>
      <c r="N222" s="49" t="str">
        <f>IF(OR(Overview!$D$4="Preliminary Documentation Review",Overview!$D$4="Preliminary Precertification Review"),IF(AND(T222=0,U222=0),"",IF(AND(T222&gt;0,U222&gt;0),"MISMATCH","")),"")</f>
        <v/>
      </c>
      <c r="O222" s="49" t="str">
        <f>IF(OR(Overview!$D$4="Preliminary Documentation Review",Overview!$D$4="Preliminary Precertification Review"),IF(AND(V222=0,W222=0),"",IF(AND(V222&gt;0,W222&gt;0),"","MISMATCH")),"")</f>
        <v/>
      </c>
      <c r="P222" s="44">
        <f t="shared" ref="P222:P249" si="41">IFERROR(SEARCH("COMMENTS TO BE ADDRESS",$I222),0)</f>
        <v>314</v>
      </c>
      <c r="Q222" s="44">
        <f t="shared" si="31"/>
        <v>0</v>
      </c>
      <c r="R222" s="49">
        <f t="shared" ref="R222:R249" si="42">IFERROR(SEARCH("equirements of this part will be v",$I222),0)</f>
        <v>0</v>
      </c>
      <c r="S222" s="49">
        <f t="shared" si="32"/>
        <v>0</v>
      </c>
      <c r="T222" s="49">
        <f t="shared" si="39"/>
        <v>0</v>
      </c>
      <c r="U222" s="49">
        <f t="shared" si="40"/>
        <v>1</v>
      </c>
      <c r="V222" s="49">
        <f t="shared" si="37"/>
        <v>0</v>
      </c>
      <c r="W222" s="49">
        <f t="shared" si="38"/>
        <v>0</v>
      </c>
    </row>
    <row r="223" spans="2:23" ht="211.8">
      <c r="B223" s="934"/>
      <c r="C223" s="881"/>
      <c r="D223" s="883"/>
      <c r="E223" s="700" t="s">
        <v>299</v>
      </c>
      <c r="F223" s="209"/>
      <c r="G223" s="208" t="s">
        <v>219</v>
      </c>
      <c r="H223" s="701" t="s">
        <v>369</v>
      </c>
      <c r="I223" s="67" t="s">
        <v>1160</v>
      </c>
      <c r="L223" s="49" t="str">
        <f>IF(OR(Overview!$D$4="Preliminary Documentation Review",Overview!$D$4="Preliminary Precertification Review"),IF(AND(P223=0,Q223=0),"",IF(AND(P223&gt;0,Q223&gt;0),"","MISMATCH")),"")</f>
        <v/>
      </c>
      <c r="M223" s="49" t="str">
        <f>IF(OR(Overview!$D$4="Preliminary Documentation Review",Overview!$D$4="Preliminary Precertification Review"),IF(AND(R223=0,S223=0),"",IF(AND(R223&gt;0,S223&gt;0),"","MISMATCH")),"")</f>
        <v/>
      </c>
      <c r="N223" s="49" t="str">
        <f>IF(OR(Overview!$D$4="Preliminary Documentation Review",Overview!$D$4="Preliminary Precertification Review"),IF(AND(T223=0,U223=0),"",IF(AND(T223&gt;0,U223&gt;0),"MISMATCH","")),"")</f>
        <v/>
      </c>
      <c r="O223" s="49" t="str">
        <f>IF(OR(Overview!$D$4="Preliminary Documentation Review",Overview!$D$4="Preliminary Precertification Review"),IF(AND(V223=0,W223=0),"",IF(AND(V223&gt;0,W223&gt;0),"","MISMATCH")),"")</f>
        <v/>
      </c>
      <c r="P223" s="44">
        <f t="shared" si="41"/>
        <v>314</v>
      </c>
      <c r="Q223" s="44">
        <f t="shared" si="31"/>
        <v>0</v>
      </c>
      <c r="R223" s="49">
        <f t="shared" si="42"/>
        <v>0</v>
      </c>
      <c r="S223" s="49">
        <f t="shared" si="32"/>
        <v>0</v>
      </c>
      <c r="T223" s="49">
        <f t="shared" si="39"/>
        <v>0</v>
      </c>
      <c r="U223" s="49">
        <f t="shared" si="40"/>
        <v>1</v>
      </c>
      <c r="V223" s="49">
        <f t="shared" si="37"/>
        <v>0</v>
      </c>
      <c r="W223" s="49">
        <f t="shared" si="38"/>
        <v>0</v>
      </c>
    </row>
    <row r="224" spans="2:23" ht="45.6">
      <c r="B224" s="934"/>
      <c r="C224" s="881" t="s">
        <v>8</v>
      </c>
      <c r="D224" s="699" t="s">
        <v>170</v>
      </c>
      <c r="E224" s="700" t="s">
        <v>594</v>
      </c>
      <c r="F224" s="210"/>
      <c r="G224" s="208" t="s">
        <v>219</v>
      </c>
      <c r="H224" s="701" t="s">
        <v>369</v>
      </c>
      <c r="I224" s="794" t="s">
        <v>1144</v>
      </c>
      <c r="L224" s="49" t="str">
        <f>IF(OR(Overview!$D$4="Preliminary Documentation Review",Overview!$D$4="Preliminary Precertification Review"),IF(AND(P224=0,Q224=0),"",IF(AND(P224&gt;0,Q224&gt;0),"","MISMATCH")),"")</f>
        <v/>
      </c>
      <c r="M224" s="49" t="str">
        <f>IF(OR(Overview!$D$4="Preliminary Documentation Review",Overview!$D$4="Preliminary Precertification Review"),IF(AND(R224=0,S224=0),"",IF(AND(R224&gt;0,S224&gt;0),"","MISMATCH")),"")</f>
        <v/>
      </c>
      <c r="N224" s="49" t="str">
        <f>IF(OR(Overview!$D$4="Preliminary Documentation Review",Overview!$D$4="Preliminary Precertification Review"),IF(AND(T224=0,U224=0),"",IF(AND(T224&gt;0,U224&gt;0),"MISMATCH","")),"")</f>
        <v/>
      </c>
      <c r="O224" s="49" t="str">
        <f>IF(OR(Overview!$D$4="Preliminary Documentation Review",Overview!$D$4="Preliminary Precertification Review"),IF(AND(V224=0,W224=0),"",IF(AND(V224&gt;0,W224&gt;0),"","MISMATCH")),"")</f>
        <v/>
      </c>
      <c r="P224" s="44">
        <f t="shared" si="41"/>
        <v>0</v>
      </c>
      <c r="Q224" s="44">
        <f t="shared" si="31"/>
        <v>0</v>
      </c>
      <c r="R224" s="49">
        <f t="shared" si="42"/>
        <v>0</v>
      </c>
      <c r="S224" s="49">
        <f t="shared" si="32"/>
        <v>0</v>
      </c>
      <c r="T224" s="49">
        <f t="shared" si="39"/>
        <v>0</v>
      </c>
      <c r="U224" s="49">
        <f t="shared" si="40"/>
        <v>1</v>
      </c>
      <c r="V224" s="49">
        <f t="shared" si="37"/>
        <v>0</v>
      </c>
      <c r="W224" s="49">
        <f t="shared" si="38"/>
        <v>0</v>
      </c>
    </row>
    <row r="225" spans="2:23" ht="45.6">
      <c r="B225" s="934"/>
      <c r="C225" s="881" t="s">
        <v>23</v>
      </c>
      <c r="D225" s="883" t="s">
        <v>171</v>
      </c>
      <c r="E225" s="700" t="s">
        <v>595</v>
      </c>
      <c r="F225" s="211"/>
      <c r="G225" s="208" t="s">
        <v>1061</v>
      </c>
      <c r="H225" s="701" t="s">
        <v>324</v>
      </c>
      <c r="I225" s="67" t="s">
        <v>1145</v>
      </c>
      <c r="L225" s="49" t="str">
        <f>IF(OR(Overview!$D$4="Preliminary Documentation Review",Overview!$D$4="Preliminary Precertification Review"),IF(AND(P225=0,Q225=0),"",IF(AND(P225&gt;0,Q225&gt;0),"","MISMATCH")),"")</f>
        <v/>
      </c>
      <c r="M225" s="49" t="str">
        <f>IF(OR(Overview!$D$4="Preliminary Documentation Review",Overview!$D$4="Preliminary Precertification Review"),IF(AND(R225=0,S225=0),"",IF(AND(R225&gt;0,S225&gt;0),"","MISMATCH")),"")</f>
        <v/>
      </c>
      <c r="N225" s="49" t="str">
        <f>IF(OR(Overview!$D$4="Preliminary Documentation Review",Overview!$D$4="Preliminary Precertification Review"),IF(AND(T225=0,U225=0),"",IF(AND(T225&gt;0,U225&gt;0),"MISMATCH","")),"")</f>
        <v/>
      </c>
      <c r="O225" s="49" t="str">
        <f>IF(OR(Overview!$D$4="Preliminary Documentation Review",Overview!$D$4="Preliminary Precertification Review"),IF(AND(V225=0,W225=0),"",IF(AND(V225&gt;0,W225&gt;0),"","MISMATCH")),"")</f>
        <v/>
      </c>
      <c r="P225" s="44">
        <f t="shared" si="41"/>
        <v>0</v>
      </c>
      <c r="Q225" s="44">
        <f t="shared" si="31"/>
        <v>0</v>
      </c>
      <c r="R225" s="49">
        <f t="shared" si="42"/>
        <v>0</v>
      </c>
      <c r="S225" s="49">
        <f t="shared" si="32"/>
        <v>0</v>
      </c>
      <c r="T225" s="49">
        <f t="shared" si="39"/>
        <v>38</v>
      </c>
      <c r="U225" s="49">
        <f t="shared" si="40"/>
        <v>0</v>
      </c>
      <c r="V225" s="49">
        <f t="shared" si="37"/>
        <v>38</v>
      </c>
      <c r="W225" s="49">
        <f t="shared" si="38"/>
        <v>1</v>
      </c>
    </row>
    <row r="226" spans="2:23" ht="45.6">
      <c r="B226" s="934"/>
      <c r="C226" s="881"/>
      <c r="D226" s="883"/>
      <c r="E226" s="700" t="s">
        <v>596</v>
      </c>
      <c r="F226" s="212"/>
      <c r="G226" s="208" t="s">
        <v>1061</v>
      </c>
      <c r="H226" s="701" t="s">
        <v>324</v>
      </c>
      <c r="I226" s="67" t="s">
        <v>1145</v>
      </c>
      <c r="L226" s="49" t="str">
        <f>IF(OR(Overview!$D$4="Preliminary Documentation Review",Overview!$D$4="Preliminary Precertification Review"),IF(AND(P226=0,Q226=0),"",IF(AND(P226&gt;0,Q226&gt;0),"","MISMATCH")),"")</f>
        <v/>
      </c>
      <c r="M226" s="49" t="str">
        <f>IF(OR(Overview!$D$4="Preliminary Documentation Review",Overview!$D$4="Preliminary Precertification Review"),IF(AND(R226=0,S226=0),"",IF(AND(R226&gt;0,S226&gt;0),"","MISMATCH")),"")</f>
        <v/>
      </c>
      <c r="N226" s="49" t="str">
        <f>IF(OR(Overview!$D$4="Preliminary Documentation Review",Overview!$D$4="Preliminary Precertification Review"),IF(AND(T226=0,U226=0),"",IF(AND(T226&gt;0,U226&gt;0),"MISMATCH","")),"")</f>
        <v/>
      </c>
      <c r="O226" s="49" t="str">
        <f>IF(OR(Overview!$D$4="Preliminary Documentation Review",Overview!$D$4="Preliminary Precertification Review"),IF(AND(V226=0,W226=0),"",IF(AND(V226&gt;0,W226&gt;0),"","MISMATCH")),"")</f>
        <v/>
      </c>
      <c r="P226" s="44">
        <f t="shared" si="41"/>
        <v>0</v>
      </c>
      <c r="Q226" s="44">
        <f t="shared" si="31"/>
        <v>0</v>
      </c>
      <c r="R226" s="49">
        <f t="shared" si="42"/>
        <v>0</v>
      </c>
      <c r="S226" s="49">
        <f t="shared" si="32"/>
        <v>0</v>
      </c>
      <c r="T226" s="49">
        <f t="shared" si="39"/>
        <v>38</v>
      </c>
      <c r="U226" s="49">
        <f t="shared" si="40"/>
        <v>0</v>
      </c>
      <c r="V226" s="49">
        <f t="shared" si="37"/>
        <v>38</v>
      </c>
      <c r="W226" s="49">
        <f t="shared" si="38"/>
        <v>1</v>
      </c>
    </row>
    <row r="227" spans="2:23" ht="45.6">
      <c r="B227" s="934"/>
      <c r="C227" s="881"/>
      <c r="D227" s="883"/>
      <c r="E227" s="700" t="s">
        <v>597</v>
      </c>
      <c r="F227" s="212"/>
      <c r="G227" s="208" t="s">
        <v>1061</v>
      </c>
      <c r="H227" s="701" t="s">
        <v>324</v>
      </c>
      <c r="I227" s="67" t="s">
        <v>1145</v>
      </c>
      <c r="K227" s="193" t="s">
        <v>734</v>
      </c>
      <c r="L227" s="49" t="str">
        <f>IF(OR(Overview!$D$4="Preliminary Documentation Review",Overview!$D$4="Preliminary Precertification Review"),IF(AND(P227=0,Q227=0),"",IF(AND(P227&gt;0,Q227&gt;0),"","MISMATCH")),"")</f>
        <v/>
      </c>
      <c r="M227" s="49" t="str">
        <f>IF(OR(Overview!$D$4="Preliminary Documentation Review",Overview!$D$4="Preliminary Precertification Review"),IF(AND(R227=0,S227=0),"",IF(AND(R227&gt;0,S227&gt;0),"","MISMATCH")),"")</f>
        <v/>
      </c>
      <c r="N227" s="49" t="str">
        <f>IF(OR(Overview!$D$4="Preliminary Documentation Review",Overview!$D$4="Preliminary Precertification Review"),IF(AND(T227=0,U227=0),"",IF(AND(T227&gt;0,U227&gt;0),"MISMATCH","")),"")</f>
        <v/>
      </c>
      <c r="O227" s="49" t="str">
        <f>IF(OR(Overview!$D$4="Preliminary Documentation Review",Overview!$D$4="Preliminary Precertification Review"),IF(AND(V227=0,W227=0),"",IF(AND(V227&gt;0,W227&gt;0),"","MISMATCH")),"")</f>
        <v/>
      </c>
      <c r="P227" s="44">
        <f t="shared" si="41"/>
        <v>0</v>
      </c>
      <c r="Q227" s="44">
        <f t="shared" si="31"/>
        <v>0</v>
      </c>
      <c r="R227" s="49">
        <f t="shared" si="42"/>
        <v>0</v>
      </c>
      <c r="S227" s="49">
        <f t="shared" si="32"/>
        <v>0</v>
      </c>
      <c r="T227" s="49">
        <f t="shared" si="39"/>
        <v>38</v>
      </c>
      <c r="U227" s="49">
        <f t="shared" si="40"/>
        <v>0</v>
      </c>
      <c r="V227" s="49">
        <f t="shared" si="37"/>
        <v>38</v>
      </c>
      <c r="W227" s="49">
        <f t="shared" si="38"/>
        <v>1</v>
      </c>
    </row>
    <row r="228" spans="2:23" ht="45.6" hidden="1">
      <c r="B228" s="934"/>
      <c r="C228" s="881"/>
      <c r="D228" s="883"/>
      <c r="E228" s="700" t="s">
        <v>641</v>
      </c>
      <c r="F228" s="213"/>
      <c r="G228" s="208"/>
      <c r="H228" s="701"/>
      <c r="I228" s="67" t="s">
        <v>1145</v>
      </c>
      <c r="L228" s="49" t="str">
        <f>IF(OR(Overview!$D$4="Preliminary Documentation Review",Overview!$D$4="Preliminary Precertification Review"),IF(AND(P228=0,Q228=0),"",IF(AND(P228&gt;0,Q228&gt;0),"","MISMATCH")),"")</f>
        <v/>
      </c>
      <c r="M228" s="49" t="str">
        <f>IF(OR(Overview!$D$4="Preliminary Documentation Review",Overview!$D$4="Preliminary Precertification Review"),IF(AND(R228=0,S228=0),"",IF(AND(R228&gt;0,S228&gt;0),"","MISMATCH")),"")</f>
        <v/>
      </c>
      <c r="N228" s="49" t="str">
        <f>IF(OR(Overview!$D$4="Preliminary Documentation Review",Overview!$D$4="Preliminary Precertification Review"),IF(AND(T228=0,U228=0),"",IF(AND(T228&gt;0,U228&gt;0),"MISMATCH","")),"")</f>
        <v/>
      </c>
      <c r="O228" s="49" t="str">
        <f>IF(OR(Overview!$D$4="Preliminary Documentation Review",Overview!$D$4="Preliminary Precertification Review"),IF(AND(V228=0,W228=0),"",IF(AND(V228&gt;0,W228&gt;0),"","MISMATCH")),"")</f>
        <v/>
      </c>
      <c r="P228" s="44">
        <f t="shared" si="41"/>
        <v>0</v>
      </c>
      <c r="Q228" s="44">
        <f t="shared" si="31"/>
        <v>0</v>
      </c>
      <c r="R228" s="49">
        <f t="shared" si="42"/>
        <v>0</v>
      </c>
      <c r="S228" s="49">
        <f t="shared" si="32"/>
        <v>0</v>
      </c>
      <c r="T228" s="49">
        <f t="shared" si="39"/>
        <v>38</v>
      </c>
      <c r="U228" s="49">
        <f t="shared" si="40"/>
        <v>0</v>
      </c>
      <c r="V228" s="49">
        <f t="shared" si="37"/>
        <v>38</v>
      </c>
      <c r="W228" s="49">
        <f t="shared" si="38"/>
        <v>0</v>
      </c>
    </row>
    <row r="229" spans="2:23" ht="45.6">
      <c r="B229" s="934"/>
      <c r="C229" s="881" t="s">
        <v>23</v>
      </c>
      <c r="D229" s="883" t="s">
        <v>172</v>
      </c>
      <c r="E229" s="700" t="s">
        <v>598</v>
      </c>
      <c r="F229" s="211"/>
      <c r="G229" s="208" t="s">
        <v>1061</v>
      </c>
      <c r="H229" s="701" t="s">
        <v>324</v>
      </c>
      <c r="I229" s="67" t="s">
        <v>1145</v>
      </c>
      <c r="L229" s="49" t="str">
        <f>IF(OR(Overview!$D$4="Preliminary Documentation Review",Overview!$D$4="Preliminary Precertification Review"),IF(AND(P229=0,Q229=0),"",IF(AND(P229&gt;0,Q229&gt;0),"","MISMATCH")),"")</f>
        <v/>
      </c>
      <c r="M229" s="49" t="str">
        <f>IF(OR(Overview!$D$4="Preliminary Documentation Review",Overview!$D$4="Preliminary Precertification Review"),IF(AND(R229=0,S229=0),"",IF(AND(R229&gt;0,S229&gt;0),"","MISMATCH")),"")</f>
        <v/>
      </c>
      <c r="N229" s="49" t="str">
        <f>IF(OR(Overview!$D$4="Preliminary Documentation Review",Overview!$D$4="Preliminary Precertification Review"),IF(AND(T229=0,U229=0),"",IF(AND(T229&gt;0,U229&gt;0),"MISMATCH","")),"")</f>
        <v/>
      </c>
      <c r="O229" s="49" t="str">
        <f>IF(OR(Overview!$D$4="Preliminary Documentation Review",Overview!$D$4="Preliminary Precertification Review"),IF(AND(V229=0,W229=0),"",IF(AND(V229&gt;0,W229&gt;0),"","MISMATCH")),"")</f>
        <v/>
      </c>
      <c r="P229" s="44">
        <f t="shared" si="41"/>
        <v>0</v>
      </c>
      <c r="Q229" s="44">
        <f t="shared" si="31"/>
        <v>0</v>
      </c>
      <c r="R229" s="49">
        <f t="shared" si="42"/>
        <v>0</v>
      </c>
      <c r="S229" s="49">
        <f t="shared" si="32"/>
        <v>0</v>
      </c>
      <c r="T229" s="49">
        <f t="shared" si="39"/>
        <v>38</v>
      </c>
      <c r="U229" s="49">
        <f t="shared" si="40"/>
        <v>0</v>
      </c>
      <c r="V229" s="49">
        <f t="shared" si="37"/>
        <v>38</v>
      </c>
      <c r="W229" s="49">
        <f t="shared" si="38"/>
        <v>1</v>
      </c>
    </row>
    <row r="230" spans="2:23" ht="45.6">
      <c r="B230" s="934"/>
      <c r="C230" s="881"/>
      <c r="D230" s="883"/>
      <c r="E230" s="700" t="s">
        <v>599</v>
      </c>
      <c r="F230" s="213"/>
      <c r="G230" s="208" t="s">
        <v>1061</v>
      </c>
      <c r="H230" s="701" t="s">
        <v>324</v>
      </c>
      <c r="I230" s="67" t="s">
        <v>1145</v>
      </c>
      <c r="L230" s="49" t="str">
        <f>IF(OR(Overview!$D$4="Preliminary Documentation Review",Overview!$D$4="Preliminary Precertification Review"),IF(AND(P230=0,Q230=0),"",IF(AND(P230&gt;0,Q230&gt;0),"","MISMATCH")),"")</f>
        <v/>
      </c>
      <c r="M230" s="49" t="str">
        <f>IF(OR(Overview!$D$4="Preliminary Documentation Review",Overview!$D$4="Preliminary Precertification Review"),IF(AND(R230=0,S230=0),"",IF(AND(R230&gt;0,S230&gt;0),"","MISMATCH")),"")</f>
        <v/>
      </c>
      <c r="N230" s="49" t="str">
        <f>IF(OR(Overview!$D$4="Preliminary Documentation Review",Overview!$D$4="Preliminary Precertification Review"),IF(AND(T230=0,U230=0),"",IF(AND(T230&gt;0,U230&gt;0),"MISMATCH","")),"")</f>
        <v/>
      </c>
      <c r="O230" s="49" t="str">
        <f>IF(OR(Overview!$D$4="Preliminary Documentation Review",Overview!$D$4="Preliminary Precertification Review"),IF(AND(V230=0,W230=0),"",IF(AND(V230&gt;0,W230&gt;0),"","MISMATCH")),"")</f>
        <v/>
      </c>
      <c r="P230" s="44">
        <f t="shared" si="41"/>
        <v>0</v>
      </c>
      <c r="Q230" s="44">
        <f t="shared" si="31"/>
        <v>0</v>
      </c>
      <c r="R230" s="49">
        <f t="shared" si="42"/>
        <v>0</v>
      </c>
      <c r="S230" s="49">
        <f t="shared" si="32"/>
        <v>0</v>
      </c>
      <c r="T230" s="49">
        <f t="shared" si="39"/>
        <v>38</v>
      </c>
      <c r="U230" s="49">
        <f t="shared" si="40"/>
        <v>0</v>
      </c>
      <c r="V230" s="49">
        <f t="shared" si="37"/>
        <v>38</v>
      </c>
      <c r="W230" s="49">
        <f t="shared" si="38"/>
        <v>1</v>
      </c>
    </row>
    <row r="231" spans="2:23" ht="45.6">
      <c r="B231" s="934"/>
      <c r="C231" s="881" t="s">
        <v>23</v>
      </c>
      <c r="D231" s="883" t="s">
        <v>173</v>
      </c>
      <c r="E231" s="700" t="s">
        <v>600</v>
      </c>
      <c r="F231" s="211"/>
      <c r="G231" s="208" t="s">
        <v>1061</v>
      </c>
      <c r="H231" s="701" t="s">
        <v>324</v>
      </c>
      <c r="I231" s="67" t="s">
        <v>1145</v>
      </c>
      <c r="L231" s="49" t="str">
        <f>IF(OR(Overview!$D$4="Preliminary Documentation Review",Overview!$D$4="Preliminary Precertification Review"),IF(AND(P231=0,Q231=0),"",IF(AND(P231&gt;0,Q231&gt;0),"","MISMATCH")),"")</f>
        <v/>
      </c>
      <c r="M231" s="49" t="str">
        <f>IF(OR(Overview!$D$4="Preliminary Documentation Review",Overview!$D$4="Preliminary Precertification Review"),IF(AND(R231=0,S231=0),"",IF(AND(R231&gt;0,S231&gt;0),"","MISMATCH")),"")</f>
        <v/>
      </c>
      <c r="N231" s="49" t="str">
        <f>IF(OR(Overview!$D$4="Preliminary Documentation Review",Overview!$D$4="Preliminary Precertification Review"),IF(AND(T231=0,U231=0),"",IF(AND(T231&gt;0,U231&gt;0),"MISMATCH","")),"")</f>
        <v/>
      </c>
      <c r="O231" s="49" t="str">
        <f>IF(OR(Overview!$D$4="Preliminary Documentation Review",Overview!$D$4="Preliminary Precertification Review"),IF(AND(V231=0,W231=0),"",IF(AND(V231&gt;0,W231&gt;0),"","MISMATCH")),"")</f>
        <v/>
      </c>
      <c r="P231" s="44">
        <f t="shared" si="41"/>
        <v>0</v>
      </c>
      <c r="Q231" s="44">
        <f t="shared" si="31"/>
        <v>0</v>
      </c>
      <c r="R231" s="49">
        <f t="shared" si="42"/>
        <v>0</v>
      </c>
      <c r="S231" s="49">
        <f t="shared" si="32"/>
        <v>0</v>
      </c>
      <c r="T231" s="49">
        <f t="shared" si="39"/>
        <v>38</v>
      </c>
      <c r="U231" s="49">
        <f t="shared" si="40"/>
        <v>0</v>
      </c>
      <c r="V231" s="49">
        <f t="shared" si="37"/>
        <v>38</v>
      </c>
      <c r="W231" s="49">
        <f t="shared" si="38"/>
        <v>1</v>
      </c>
    </row>
    <row r="232" spans="2:23" ht="45.6">
      <c r="B232" s="934"/>
      <c r="C232" s="881"/>
      <c r="D232" s="883"/>
      <c r="E232" s="700" t="s">
        <v>601</v>
      </c>
      <c r="F232" s="213"/>
      <c r="G232" s="208" t="s">
        <v>1061</v>
      </c>
      <c r="H232" s="701" t="s">
        <v>324</v>
      </c>
      <c r="I232" s="67" t="s">
        <v>1145</v>
      </c>
      <c r="L232" s="49" t="str">
        <f>IF(OR(Overview!$D$4="Preliminary Documentation Review",Overview!$D$4="Preliminary Precertification Review"),IF(AND(P232=0,Q232=0),"",IF(AND(P232&gt;0,Q232&gt;0),"","MISMATCH")),"")</f>
        <v/>
      </c>
      <c r="M232" s="49" t="str">
        <f>IF(OR(Overview!$D$4="Preliminary Documentation Review",Overview!$D$4="Preliminary Precertification Review"),IF(AND(R232=0,S232=0),"",IF(AND(R232&gt;0,S232&gt;0),"","MISMATCH")),"")</f>
        <v/>
      </c>
      <c r="N232" s="49" t="str">
        <f>IF(OR(Overview!$D$4="Preliminary Documentation Review",Overview!$D$4="Preliminary Precertification Review"),IF(AND(T232=0,U232=0),"",IF(AND(T232&gt;0,U232&gt;0),"MISMATCH","")),"")</f>
        <v/>
      </c>
      <c r="O232" s="49" t="str">
        <f>IF(OR(Overview!$D$4="Preliminary Documentation Review",Overview!$D$4="Preliminary Precertification Review"),IF(AND(V232=0,W232=0),"",IF(AND(V232&gt;0,W232&gt;0),"","MISMATCH")),"")</f>
        <v/>
      </c>
      <c r="P232" s="44">
        <f t="shared" si="41"/>
        <v>0</v>
      </c>
      <c r="Q232" s="44">
        <f t="shared" si="31"/>
        <v>0</v>
      </c>
      <c r="R232" s="49">
        <f t="shared" si="42"/>
        <v>0</v>
      </c>
      <c r="S232" s="49">
        <f t="shared" si="32"/>
        <v>0</v>
      </c>
      <c r="T232" s="49">
        <f t="shared" si="39"/>
        <v>38</v>
      </c>
      <c r="U232" s="49">
        <f t="shared" si="40"/>
        <v>0</v>
      </c>
      <c r="V232" s="49">
        <f t="shared" si="37"/>
        <v>38</v>
      </c>
      <c r="W232" s="49">
        <f t="shared" si="38"/>
        <v>1</v>
      </c>
    </row>
    <row r="233" spans="2:23" ht="45.6">
      <c r="B233" s="934"/>
      <c r="C233" s="881" t="s">
        <v>23</v>
      </c>
      <c r="D233" s="699" t="s">
        <v>174</v>
      </c>
      <c r="E233" s="700" t="s">
        <v>602</v>
      </c>
      <c r="F233" s="214"/>
      <c r="G233" s="208" t="s">
        <v>1061</v>
      </c>
      <c r="H233" s="701" t="s">
        <v>324</v>
      </c>
      <c r="I233" s="67" t="s">
        <v>1145</v>
      </c>
      <c r="L233" s="49" t="str">
        <f>IF(OR(Overview!$D$4="Preliminary Documentation Review",Overview!$D$4="Preliminary Precertification Review"),IF(AND(P233=0,Q233=0),"",IF(AND(P233&gt;0,Q233&gt;0),"","MISMATCH")),"")</f>
        <v/>
      </c>
      <c r="M233" s="49" t="str">
        <f>IF(OR(Overview!$D$4="Preliminary Documentation Review",Overview!$D$4="Preliminary Precertification Review"),IF(AND(R233=0,S233=0),"",IF(AND(R233&gt;0,S233&gt;0),"","MISMATCH")),"")</f>
        <v/>
      </c>
      <c r="N233" s="49" t="str">
        <f>IF(OR(Overview!$D$4="Preliminary Documentation Review",Overview!$D$4="Preliminary Precertification Review"),IF(AND(T233=0,U233=0),"",IF(AND(T233&gt;0,U233&gt;0),"MISMATCH","")),"")</f>
        <v/>
      </c>
      <c r="O233" s="49" t="str">
        <f>IF(OR(Overview!$D$4="Preliminary Documentation Review",Overview!$D$4="Preliminary Precertification Review"),IF(AND(V233=0,W233=0),"",IF(AND(V233&gt;0,W233&gt;0),"","MISMATCH")),"")</f>
        <v/>
      </c>
      <c r="P233" s="44">
        <f t="shared" si="41"/>
        <v>0</v>
      </c>
      <c r="Q233" s="44">
        <f t="shared" si="31"/>
        <v>0</v>
      </c>
      <c r="R233" s="49">
        <f t="shared" si="42"/>
        <v>0</v>
      </c>
      <c r="S233" s="49">
        <f t="shared" si="32"/>
        <v>0</v>
      </c>
      <c r="T233" s="49">
        <f t="shared" si="39"/>
        <v>38</v>
      </c>
      <c r="U233" s="49">
        <f t="shared" si="40"/>
        <v>0</v>
      </c>
      <c r="V233" s="49">
        <f t="shared" si="37"/>
        <v>38</v>
      </c>
      <c r="W233" s="49">
        <f t="shared" si="38"/>
        <v>1</v>
      </c>
    </row>
    <row r="234" spans="2:23" ht="45.6">
      <c r="B234" s="934"/>
      <c r="C234" s="881" t="s">
        <v>23</v>
      </c>
      <c r="D234" s="883" t="s">
        <v>175</v>
      </c>
      <c r="E234" s="700" t="s">
        <v>603</v>
      </c>
      <c r="F234" s="211"/>
      <c r="G234" s="208" t="s">
        <v>1061</v>
      </c>
      <c r="H234" s="701" t="s">
        <v>324</v>
      </c>
      <c r="I234" s="67" t="s">
        <v>1145</v>
      </c>
      <c r="L234" s="49" t="str">
        <f>IF(OR(Overview!$D$4="Preliminary Documentation Review",Overview!$D$4="Preliminary Precertification Review"),IF(AND(P234=0,Q234=0),"",IF(AND(P234&gt;0,Q234&gt;0),"","MISMATCH")),"")</f>
        <v/>
      </c>
      <c r="M234" s="49" t="str">
        <f>IF(OR(Overview!$D$4="Preliminary Documentation Review",Overview!$D$4="Preliminary Precertification Review"),IF(AND(R234=0,S234=0),"",IF(AND(R234&gt;0,S234&gt;0),"","MISMATCH")),"")</f>
        <v/>
      </c>
      <c r="N234" s="49" t="str">
        <f>IF(OR(Overview!$D$4="Preliminary Documentation Review",Overview!$D$4="Preliminary Precertification Review"),IF(AND(T234=0,U234=0),"",IF(AND(T234&gt;0,U234&gt;0),"MISMATCH","")),"")</f>
        <v/>
      </c>
      <c r="O234" s="49" t="str">
        <f>IF(OR(Overview!$D$4="Preliminary Documentation Review",Overview!$D$4="Preliminary Precertification Review"),IF(AND(V234=0,W234=0),"",IF(AND(V234&gt;0,W234&gt;0),"","MISMATCH")),"")</f>
        <v/>
      </c>
      <c r="P234" s="44">
        <f t="shared" si="41"/>
        <v>0</v>
      </c>
      <c r="Q234" s="44">
        <f t="shared" si="31"/>
        <v>0</v>
      </c>
      <c r="R234" s="49">
        <f t="shared" si="42"/>
        <v>0</v>
      </c>
      <c r="S234" s="49">
        <f t="shared" si="32"/>
        <v>0</v>
      </c>
      <c r="T234" s="49">
        <f t="shared" si="39"/>
        <v>38</v>
      </c>
      <c r="U234" s="49">
        <f t="shared" si="40"/>
        <v>0</v>
      </c>
      <c r="V234" s="49">
        <f t="shared" si="37"/>
        <v>38</v>
      </c>
      <c r="W234" s="49">
        <f t="shared" si="38"/>
        <v>1</v>
      </c>
    </row>
    <row r="235" spans="2:23" ht="46.8">
      <c r="B235" s="934"/>
      <c r="C235" s="881"/>
      <c r="D235" s="883"/>
      <c r="E235" s="700" t="s">
        <v>604</v>
      </c>
      <c r="F235" s="213">
        <v>1</v>
      </c>
      <c r="G235" s="208" t="s">
        <v>1071</v>
      </c>
      <c r="H235" s="701" t="s">
        <v>369</v>
      </c>
      <c r="I235" s="794" t="s">
        <v>1142</v>
      </c>
      <c r="L235" s="49" t="str">
        <f>IF(OR(Overview!$D$4="Preliminary Documentation Review",Overview!$D$4="Preliminary Precertification Review"),IF(AND(P235=0,Q235=0),"",IF(AND(P235&gt;0,Q235&gt;0),"","MISMATCH")),"")</f>
        <v/>
      </c>
      <c r="M235" s="49" t="str">
        <f>IF(OR(Overview!$D$4="Preliminary Documentation Review",Overview!$D$4="Preliminary Precertification Review"),IF(AND(R235=0,S235=0),"",IF(AND(R235&gt;0,S235&gt;0),"","MISMATCH")),"")</f>
        <v/>
      </c>
      <c r="N235" s="49" t="str">
        <f>IF(OR(Overview!$D$4="Preliminary Documentation Review",Overview!$D$4="Preliminary Precertification Review"),IF(AND(T235=0,U235=0),"",IF(AND(T235&gt;0,U235&gt;0),"MISMATCH","")),"")</f>
        <v/>
      </c>
      <c r="O235" s="49" t="str">
        <f>IF(OR(Overview!$D$4="Preliminary Documentation Review",Overview!$D$4="Preliminary Precertification Review"),IF(AND(V235=0,W235=0),"",IF(AND(V235&gt;0,W235&gt;0),"","MISMATCH")),"")</f>
        <v/>
      </c>
      <c r="P235" s="44">
        <f t="shared" si="41"/>
        <v>0</v>
      </c>
      <c r="Q235" s="44">
        <f t="shared" si="31"/>
        <v>0</v>
      </c>
      <c r="R235" s="49">
        <f t="shared" si="42"/>
        <v>0</v>
      </c>
      <c r="S235" s="49">
        <f t="shared" si="32"/>
        <v>0</v>
      </c>
      <c r="T235" s="49">
        <f t="shared" si="39"/>
        <v>0</v>
      </c>
      <c r="U235" s="49">
        <f t="shared" si="40"/>
        <v>1</v>
      </c>
      <c r="V235" s="49">
        <f t="shared" si="37"/>
        <v>0</v>
      </c>
      <c r="W235" s="49">
        <f t="shared" si="38"/>
        <v>0</v>
      </c>
    </row>
    <row r="236" spans="2:23" ht="196.8">
      <c r="B236" s="934"/>
      <c r="C236" s="881" t="s">
        <v>23</v>
      </c>
      <c r="D236" s="699" t="s">
        <v>176</v>
      </c>
      <c r="E236" s="700" t="s">
        <v>605</v>
      </c>
      <c r="F236" s="214">
        <v>1</v>
      </c>
      <c r="G236" s="208" t="s">
        <v>1071</v>
      </c>
      <c r="H236" s="701" t="s">
        <v>369</v>
      </c>
      <c r="I236" s="67" t="s">
        <v>1154</v>
      </c>
      <c r="L236" s="49" t="str">
        <f>IF(OR(Overview!$D$4="Preliminary Documentation Review",Overview!$D$4="Preliminary Precertification Review"),IF(AND(P236=0,Q236=0),"",IF(AND(P236&gt;0,Q236&gt;0),"","MISMATCH")),"")</f>
        <v/>
      </c>
      <c r="M236" s="49" t="str">
        <f>IF(OR(Overview!$D$4="Preliminary Documentation Review",Overview!$D$4="Preliminary Precertification Review"),IF(AND(R236=0,S236=0),"",IF(AND(R236&gt;0,S236&gt;0),"","MISMATCH")),"")</f>
        <v/>
      </c>
      <c r="N236" s="49" t="str">
        <f>IF(OR(Overview!$D$4="Preliminary Documentation Review",Overview!$D$4="Preliminary Precertification Review"),IF(AND(T236=0,U236=0),"",IF(AND(T236&gt;0,U236&gt;0),"MISMATCH","")),"")</f>
        <v/>
      </c>
      <c r="O236" s="49" t="str">
        <f>IF(OR(Overview!$D$4="Preliminary Documentation Review",Overview!$D$4="Preliminary Precertification Review"),IF(AND(V236=0,W236=0),"",IF(AND(V236&gt;0,W236&gt;0),"","MISMATCH")),"")</f>
        <v/>
      </c>
      <c r="P236" s="44">
        <f t="shared" si="41"/>
        <v>314</v>
      </c>
      <c r="Q236" s="44">
        <f t="shared" si="31"/>
        <v>0</v>
      </c>
      <c r="R236" s="49">
        <f t="shared" si="42"/>
        <v>0</v>
      </c>
      <c r="S236" s="49">
        <f t="shared" si="32"/>
        <v>0</v>
      </c>
      <c r="T236" s="49">
        <f t="shared" si="39"/>
        <v>0</v>
      </c>
      <c r="U236" s="49">
        <f t="shared" si="40"/>
        <v>1</v>
      </c>
      <c r="V236" s="49">
        <f t="shared" si="37"/>
        <v>0</v>
      </c>
      <c r="W236" s="49">
        <f t="shared" si="38"/>
        <v>0</v>
      </c>
    </row>
    <row r="237" spans="2:23" ht="46.8">
      <c r="B237" s="934"/>
      <c r="C237" s="881" t="s">
        <v>23</v>
      </c>
      <c r="D237" s="699" t="s">
        <v>177</v>
      </c>
      <c r="E237" s="700" t="s">
        <v>606</v>
      </c>
      <c r="F237" s="214">
        <v>1</v>
      </c>
      <c r="G237" s="208" t="s">
        <v>1071</v>
      </c>
      <c r="H237" s="701" t="s">
        <v>369</v>
      </c>
      <c r="I237" s="794" t="s">
        <v>1142</v>
      </c>
      <c r="L237" s="49" t="str">
        <f>IF(OR(Overview!$D$4="Preliminary Documentation Review",Overview!$D$4="Preliminary Precertification Review"),IF(AND(P237=0,Q237=0),"",IF(AND(P237&gt;0,Q237&gt;0),"","MISMATCH")),"")</f>
        <v/>
      </c>
      <c r="M237" s="49" t="str">
        <f>IF(OR(Overview!$D$4="Preliminary Documentation Review",Overview!$D$4="Preliminary Precertification Review"),IF(AND(R237=0,S237=0),"",IF(AND(R237&gt;0,S237&gt;0),"","MISMATCH")),"")</f>
        <v/>
      </c>
      <c r="N237" s="49" t="str">
        <f>IF(OR(Overview!$D$4="Preliminary Documentation Review",Overview!$D$4="Preliminary Precertification Review"),IF(AND(T237=0,U237=0),"",IF(AND(T237&gt;0,U237&gt;0),"MISMATCH","")),"")</f>
        <v/>
      </c>
      <c r="O237" s="49" t="str">
        <f>IF(OR(Overview!$D$4="Preliminary Documentation Review",Overview!$D$4="Preliminary Precertification Review"),IF(AND(V237=0,W237=0),"",IF(AND(V237&gt;0,W237&gt;0),"","MISMATCH")),"")</f>
        <v/>
      </c>
      <c r="P237" s="44">
        <f t="shared" si="41"/>
        <v>0</v>
      </c>
      <c r="Q237" s="44">
        <f t="shared" si="31"/>
        <v>0</v>
      </c>
      <c r="R237" s="49">
        <f t="shared" si="42"/>
        <v>0</v>
      </c>
      <c r="S237" s="49">
        <f t="shared" si="32"/>
        <v>0</v>
      </c>
      <c r="T237" s="49">
        <f t="shared" si="39"/>
        <v>0</v>
      </c>
      <c r="U237" s="49">
        <f t="shared" si="40"/>
        <v>1</v>
      </c>
      <c r="V237" s="49">
        <f t="shared" si="37"/>
        <v>0</v>
      </c>
      <c r="W237" s="49">
        <f t="shared" si="38"/>
        <v>0</v>
      </c>
    </row>
    <row r="238" spans="2:23" ht="45.6">
      <c r="B238" s="934"/>
      <c r="C238" s="881" t="s">
        <v>23</v>
      </c>
      <c r="D238" s="883" t="s">
        <v>178</v>
      </c>
      <c r="E238" s="700" t="s">
        <v>607</v>
      </c>
      <c r="F238" s="211"/>
      <c r="G238" s="208" t="s">
        <v>1061</v>
      </c>
      <c r="H238" s="701" t="s">
        <v>324</v>
      </c>
      <c r="I238" s="67" t="s">
        <v>1145</v>
      </c>
      <c r="L238" s="49" t="str">
        <f>IF(OR(Overview!$D$4="Preliminary Documentation Review",Overview!$D$4="Preliminary Precertification Review"),IF(AND(P238=0,Q238=0),"",IF(AND(P238&gt;0,Q238&gt;0),"","MISMATCH")),"")</f>
        <v/>
      </c>
      <c r="M238" s="49" t="str">
        <f>IF(OR(Overview!$D$4="Preliminary Documentation Review",Overview!$D$4="Preliminary Precertification Review"),IF(AND(R238=0,S238=0),"",IF(AND(R238&gt;0,S238&gt;0),"","MISMATCH")),"")</f>
        <v/>
      </c>
      <c r="N238" s="49" t="str">
        <f>IF(OR(Overview!$D$4="Preliminary Documentation Review",Overview!$D$4="Preliminary Precertification Review"),IF(AND(T238=0,U238=0),"",IF(AND(T238&gt;0,U238&gt;0),"MISMATCH","")),"")</f>
        <v/>
      </c>
      <c r="O238" s="49" t="str">
        <f>IF(OR(Overview!$D$4="Preliminary Documentation Review",Overview!$D$4="Preliminary Precertification Review"),IF(AND(V238=0,W238=0),"",IF(AND(V238&gt;0,W238&gt;0),"","MISMATCH")),"")</f>
        <v/>
      </c>
      <c r="P238" s="44">
        <f t="shared" si="41"/>
        <v>0</v>
      </c>
      <c r="Q238" s="44">
        <f t="shared" si="31"/>
        <v>0</v>
      </c>
      <c r="R238" s="49">
        <f t="shared" si="42"/>
        <v>0</v>
      </c>
      <c r="S238" s="49">
        <f t="shared" si="32"/>
        <v>0</v>
      </c>
      <c r="T238" s="49">
        <f t="shared" si="39"/>
        <v>38</v>
      </c>
      <c r="U238" s="49">
        <f t="shared" si="40"/>
        <v>0</v>
      </c>
      <c r="V238" s="49">
        <f t="shared" si="37"/>
        <v>38</v>
      </c>
      <c r="W238" s="49">
        <f t="shared" si="38"/>
        <v>1</v>
      </c>
    </row>
    <row r="239" spans="2:23" ht="45.6">
      <c r="B239" s="934"/>
      <c r="C239" s="881"/>
      <c r="D239" s="883"/>
      <c r="E239" s="700" t="s">
        <v>608</v>
      </c>
      <c r="F239" s="213"/>
      <c r="G239" s="208" t="s">
        <v>1061</v>
      </c>
      <c r="H239" s="701" t="s">
        <v>324</v>
      </c>
      <c r="I239" s="67" t="s">
        <v>1145</v>
      </c>
      <c r="L239" s="49" t="str">
        <f>IF(OR(Overview!$D$4="Preliminary Documentation Review",Overview!$D$4="Preliminary Precertification Review"),IF(AND(P239=0,Q239=0),"",IF(AND(P239&gt;0,Q239&gt;0),"","MISMATCH")),"")</f>
        <v/>
      </c>
      <c r="M239" s="49" t="str">
        <f>IF(OR(Overview!$D$4="Preliminary Documentation Review",Overview!$D$4="Preliminary Precertification Review"),IF(AND(R239=0,S239=0),"",IF(AND(R239&gt;0,S239&gt;0),"","MISMATCH")),"")</f>
        <v/>
      </c>
      <c r="N239" s="49" t="str">
        <f>IF(OR(Overview!$D$4="Preliminary Documentation Review",Overview!$D$4="Preliminary Precertification Review"),IF(AND(T239=0,U239=0),"",IF(AND(T239&gt;0,U239&gt;0),"MISMATCH","")),"")</f>
        <v/>
      </c>
      <c r="O239" s="49" t="str">
        <f>IF(OR(Overview!$D$4="Preliminary Documentation Review",Overview!$D$4="Preliminary Precertification Review"),IF(AND(V239=0,W239=0),"",IF(AND(V239&gt;0,W239&gt;0),"","MISMATCH")),"")</f>
        <v/>
      </c>
      <c r="P239" s="44">
        <f t="shared" si="41"/>
        <v>0</v>
      </c>
      <c r="Q239" s="44">
        <f t="shared" ref="Q239:Q314" si="43">IFERROR(SEARCH("Pending Documentation",$H239),0)</f>
        <v>0</v>
      </c>
      <c r="R239" s="49">
        <f t="shared" si="42"/>
        <v>0</v>
      </c>
      <c r="S239" s="49">
        <f t="shared" ref="S239:S314" si="44">IFERROR(SEARCH("Pending On",$H239),0)</f>
        <v>0</v>
      </c>
      <c r="T239" s="49">
        <f t="shared" si="39"/>
        <v>38</v>
      </c>
      <c r="U239" s="49">
        <f t="shared" si="40"/>
        <v>0</v>
      </c>
      <c r="V239" s="49">
        <f t="shared" si="37"/>
        <v>38</v>
      </c>
      <c r="W239" s="49">
        <f t="shared" si="38"/>
        <v>1</v>
      </c>
    </row>
    <row r="240" spans="2:23" ht="45.6">
      <c r="B240" s="934"/>
      <c r="C240" s="881" t="s">
        <v>23</v>
      </c>
      <c r="D240" s="883" t="s">
        <v>179</v>
      </c>
      <c r="E240" s="700" t="s">
        <v>609</v>
      </c>
      <c r="F240" s="211"/>
      <c r="G240" s="208" t="s">
        <v>1061</v>
      </c>
      <c r="H240" s="701" t="s">
        <v>324</v>
      </c>
      <c r="I240" s="67" t="s">
        <v>1145</v>
      </c>
      <c r="L240" s="49" t="str">
        <f>IF(OR(Overview!$D$4="Preliminary Documentation Review",Overview!$D$4="Preliminary Precertification Review"),IF(AND(P240=0,Q240=0),"",IF(AND(P240&gt;0,Q240&gt;0),"","MISMATCH")),"")</f>
        <v/>
      </c>
      <c r="M240" s="49" t="str">
        <f>IF(OR(Overview!$D$4="Preliminary Documentation Review",Overview!$D$4="Preliminary Precertification Review"),IF(AND(R240=0,S240=0),"",IF(AND(R240&gt;0,S240&gt;0),"","MISMATCH")),"")</f>
        <v/>
      </c>
      <c r="N240" s="49" t="str">
        <f>IF(OR(Overview!$D$4="Preliminary Documentation Review",Overview!$D$4="Preliminary Precertification Review"),IF(AND(T240=0,U240=0),"",IF(AND(T240&gt;0,U240&gt;0),"MISMATCH","")),"")</f>
        <v/>
      </c>
      <c r="O240" s="49" t="str">
        <f>IF(OR(Overview!$D$4="Preliminary Documentation Review",Overview!$D$4="Preliminary Precertification Review"),IF(AND(V240=0,W240=0),"",IF(AND(V240&gt;0,W240&gt;0),"","MISMATCH")),"")</f>
        <v/>
      </c>
      <c r="P240" s="44">
        <f t="shared" si="41"/>
        <v>0</v>
      </c>
      <c r="Q240" s="44">
        <f t="shared" si="43"/>
        <v>0</v>
      </c>
      <c r="R240" s="49">
        <f t="shared" si="42"/>
        <v>0</v>
      </c>
      <c r="S240" s="49">
        <f t="shared" si="44"/>
        <v>0</v>
      </c>
      <c r="T240" s="49">
        <f t="shared" si="39"/>
        <v>38</v>
      </c>
      <c r="U240" s="49">
        <f t="shared" si="40"/>
        <v>0</v>
      </c>
      <c r="V240" s="49">
        <f t="shared" si="37"/>
        <v>38</v>
      </c>
      <c r="W240" s="49">
        <f t="shared" si="38"/>
        <v>1</v>
      </c>
    </row>
    <row r="241" spans="2:23" ht="45.6">
      <c r="B241" s="934"/>
      <c r="C241" s="881"/>
      <c r="D241" s="883"/>
      <c r="E241" s="700" t="s">
        <v>610</v>
      </c>
      <c r="F241" s="213"/>
      <c r="G241" s="208" t="s">
        <v>1061</v>
      </c>
      <c r="H241" s="701" t="s">
        <v>324</v>
      </c>
      <c r="I241" s="67" t="s">
        <v>1145</v>
      </c>
      <c r="L241" s="49" t="str">
        <f>IF(OR(Overview!$D$4="Preliminary Documentation Review",Overview!$D$4="Preliminary Precertification Review"),IF(AND(P241=0,Q241=0),"",IF(AND(P241&gt;0,Q241&gt;0),"","MISMATCH")),"")</f>
        <v/>
      </c>
      <c r="M241" s="49" t="str">
        <f>IF(OR(Overview!$D$4="Preliminary Documentation Review",Overview!$D$4="Preliminary Precertification Review"),IF(AND(R241=0,S241=0),"",IF(AND(R241&gt;0,S241&gt;0),"","MISMATCH")),"")</f>
        <v/>
      </c>
      <c r="N241" s="49" t="str">
        <f>IF(OR(Overview!$D$4="Preliminary Documentation Review",Overview!$D$4="Preliminary Precertification Review"),IF(AND(T241=0,U241=0),"",IF(AND(T241&gt;0,U241&gt;0),"MISMATCH","")),"")</f>
        <v/>
      </c>
      <c r="O241" s="49" t="str">
        <f>IF(OR(Overview!$D$4="Preliminary Documentation Review",Overview!$D$4="Preliminary Precertification Review"),IF(AND(V241=0,W241=0),"",IF(AND(V241&gt;0,W241&gt;0),"","MISMATCH")),"")</f>
        <v/>
      </c>
      <c r="P241" s="44">
        <f t="shared" si="41"/>
        <v>0</v>
      </c>
      <c r="Q241" s="44">
        <f t="shared" si="43"/>
        <v>0</v>
      </c>
      <c r="R241" s="49">
        <f t="shared" si="42"/>
        <v>0</v>
      </c>
      <c r="S241" s="49">
        <f t="shared" si="44"/>
        <v>0</v>
      </c>
      <c r="T241" s="49">
        <f t="shared" si="39"/>
        <v>38</v>
      </c>
      <c r="U241" s="49">
        <f t="shared" si="40"/>
        <v>0</v>
      </c>
      <c r="V241" s="49">
        <f t="shared" si="37"/>
        <v>38</v>
      </c>
      <c r="W241" s="49">
        <f t="shared" si="38"/>
        <v>1</v>
      </c>
    </row>
    <row r="242" spans="2:23" ht="45.6">
      <c r="B242" s="934"/>
      <c r="C242" s="881" t="s">
        <v>23</v>
      </c>
      <c r="D242" s="699" t="s">
        <v>180</v>
      </c>
      <c r="E242" s="700" t="s">
        <v>611</v>
      </c>
      <c r="F242" s="214"/>
      <c r="G242" s="208" t="s">
        <v>1061</v>
      </c>
      <c r="H242" s="701" t="s">
        <v>324</v>
      </c>
      <c r="I242" s="67" t="s">
        <v>1145</v>
      </c>
      <c r="L242" s="49" t="str">
        <f>IF(OR(Overview!$D$4="Preliminary Documentation Review",Overview!$D$4="Preliminary Precertification Review"),IF(AND(P242=0,Q242=0),"",IF(AND(P242&gt;0,Q242&gt;0),"","MISMATCH")),"")</f>
        <v/>
      </c>
      <c r="M242" s="49" t="str">
        <f>IF(OR(Overview!$D$4="Preliminary Documentation Review",Overview!$D$4="Preliminary Precertification Review"),IF(AND(R242=0,S242=0),"",IF(AND(R242&gt;0,S242&gt;0),"","MISMATCH")),"")</f>
        <v/>
      </c>
      <c r="N242" s="49" t="str">
        <f>IF(OR(Overview!$D$4="Preliminary Documentation Review",Overview!$D$4="Preliminary Precertification Review"),IF(AND(T242=0,U242=0),"",IF(AND(T242&gt;0,U242&gt;0),"MISMATCH","")),"")</f>
        <v/>
      </c>
      <c r="O242" s="49" t="str">
        <f>IF(OR(Overview!$D$4="Preliminary Documentation Review",Overview!$D$4="Preliminary Precertification Review"),IF(AND(V242=0,W242=0),"",IF(AND(V242&gt;0,W242&gt;0),"","MISMATCH")),"")</f>
        <v/>
      </c>
      <c r="P242" s="44">
        <f t="shared" si="41"/>
        <v>0</v>
      </c>
      <c r="Q242" s="44">
        <f t="shared" si="43"/>
        <v>0</v>
      </c>
      <c r="R242" s="49">
        <f t="shared" si="42"/>
        <v>0</v>
      </c>
      <c r="S242" s="49">
        <f t="shared" si="44"/>
        <v>0</v>
      </c>
      <c r="T242" s="49">
        <f t="shared" si="39"/>
        <v>38</v>
      </c>
      <c r="U242" s="49">
        <f t="shared" si="40"/>
        <v>0</v>
      </c>
      <c r="V242" s="49">
        <f t="shared" si="37"/>
        <v>38</v>
      </c>
      <c r="W242" s="49">
        <f t="shared" si="38"/>
        <v>1</v>
      </c>
    </row>
    <row r="243" spans="2:23" ht="46.8">
      <c r="B243" s="934"/>
      <c r="C243" s="881" t="s">
        <v>23</v>
      </c>
      <c r="D243" s="883" t="s">
        <v>181</v>
      </c>
      <c r="E243" s="700" t="s">
        <v>612</v>
      </c>
      <c r="F243" s="211">
        <v>1</v>
      </c>
      <c r="G243" s="208" t="s">
        <v>1071</v>
      </c>
      <c r="H243" s="701" t="s">
        <v>369</v>
      </c>
      <c r="I243" s="794" t="s">
        <v>1142</v>
      </c>
      <c r="L243" s="49" t="str">
        <f>IF(OR(Overview!$D$4="Preliminary Documentation Review",Overview!$D$4="Preliminary Precertification Review"),IF(AND(P243=0,Q243=0),"",IF(AND(P243&gt;0,Q243&gt;0),"","MISMATCH")),"")</f>
        <v/>
      </c>
      <c r="M243" s="49" t="str">
        <f>IF(OR(Overview!$D$4="Preliminary Documentation Review",Overview!$D$4="Preliminary Precertification Review"),IF(AND(R243=0,S243=0),"",IF(AND(R243&gt;0,S243&gt;0),"","MISMATCH")),"")</f>
        <v/>
      </c>
      <c r="N243" s="49" t="str">
        <f>IF(OR(Overview!$D$4="Preliminary Documentation Review",Overview!$D$4="Preliminary Precertification Review"),IF(AND(T243=0,U243=0),"",IF(AND(T243&gt;0,U243&gt;0),"MISMATCH","")),"")</f>
        <v/>
      </c>
      <c r="O243" s="49" t="str">
        <f>IF(OR(Overview!$D$4="Preliminary Documentation Review",Overview!$D$4="Preliminary Precertification Review"),IF(AND(V243=0,W243=0),"",IF(AND(V243&gt;0,W243&gt;0),"","MISMATCH")),"")</f>
        <v/>
      </c>
      <c r="P243" s="44">
        <f t="shared" si="41"/>
        <v>0</v>
      </c>
      <c r="Q243" s="44">
        <f t="shared" si="43"/>
        <v>0</v>
      </c>
      <c r="R243" s="49">
        <f t="shared" si="42"/>
        <v>0</v>
      </c>
      <c r="S243" s="49">
        <f t="shared" si="44"/>
        <v>0</v>
      </c>
      <c r="T243" s="49">
        <f t="shared" si="39"/>
        <v>0</v>
      </c>
      <c r="U243" s="49">
        <f t="shared" si="40"/>
        <v>1</v>
      </c>
      <c r="V243" s="49">
        <f t="shared" si="37"/>
        <v>0</v>
      </c>
      <c r="W243" s="49">
        <f t="shared" si="38"/>
        <v>0</v>
      </c>
    </row>
    <row r="244" spans="2:23" ht="45.6">
      <c r="B244" s="934"/>
      <c r="C244" s="881"/>
      <c r="D244" s="883"/>
      <c r="E244" s="700" t="s">
        <v>300</v>
      </c>
      <c r="F244" s="213"/>
      <c r="G244" s="208" t="s">
        <v>1061</v>
      </c>
      <c r="H244" s="701" t="s">
        <v>324</v>
      </c>
      <c r="I244" s="67" t="s">
        <v>1145</v>
      </c>
      <c r="L244" s="49" t="str">
        <f>IF(OR(Overview!$D$4="Preliminary Documentation Review",Overview!$D$4="Preliminary Precertification Review"),IF(AND(P244=0,Q244=0),"",IF(AND(P244&gt;0,Q244&gt;0),"","MISMATCH")),"")</f>
        <v/>
      </c>
      <c r="M244" s="49" t="str">
        <f>IF(OR(Overview!$D$4="Preliminary Documentation Review",Overview!$D$4="Preliminary Precertification Review"),IF(AND(R244=0,S244=0),"",IF(AND(R244&gt;0,S244&gt;0),"","MISMATCH")),"")</f>
        <v/>
      </c>
      <c r="N244" s="49" t="str">
        <f>IF(OR(Overview!$D$4="Preliminary Documentation Review",Overview!$D$4="Preliminary Precertification Review"),IF(AND(T244=0,U244=0),"",IF(AND(T244&gt;0,U244&gt;0),"MISMATCH","")),"")</f>
        <v/>
      </c>
      <c r="O244" s="49" t="str">
        <f>IF(OR(Overview!$D$4="Preliminary Documentation Review",Overview!$D$4="Preliminary Precertification Review"),IF(AND(V244=0,W244=0),"",IF(AND(V244&gt;0,W244&gt;0),"","MISMATCH")),"")</f>
        <v/>
      </c>
      <c r="P244" s="44">
        <f t="shared" si="41"/>
        <v>0</v>
      </c>
      <c r="Q244" s="44">
        <f t="shared" si="43"/>
        <v>0</v>
      </c>
      <c r="R244" s="49">
        <f t="shared" si="42"/>
        <v>0</v>
      </c>
      <c r="S244" s="49">
        <f t="shared" si="44"/>
        <v>0</v>
      </c>
      <c r="T244" s="49">
        <f t="shared" si="39"/>
        <v>38</v>
      </c>
      <c r="U244" s="49">
        <f t="shared" si="40"/>
        <v>0</v>
      </c>
      <c r="V244" s="49">
        <f t="shared" si="37"/>
        <v>38</v>
      </c>
      <c r="W244" s="49">
        <f t="shared" si="38"/>
        <v>1</v>
      </c>
    </row>
    <row r="245" spans="2:23" ht="45.6">
      <c r="B245" s="934"/>
      <c r="C245" s="881" t="s">
        <v>23</v>
      </c>
      <c r="D245" s="883" t="s">
        <v>182</v>
      </c>
      <c r="E245" s="700" t="s">
        <v>613</v>
      </c>
      <c r="F245" s="211"/>
      <c r="G245" s="208" t="s">
        <v>1061</v>
      </c>
      <c r="H245" s="701" t="s">
        <v>324</v>
      </c>
      <c r="I245" s="67" t="s">
        <v>1145</v>
      </c>
      <c r="L245" s="49" t="str">
        <f>IF(OR(Overview!$D$4="Preliminary Documentation Review",Overview!$D$4="Preliminary Precertification Review"),IF(AND(P245=0,Q245=0),"",IF(AND(P245&gt;0,Q245&gt;0),"","MISMATCH")),"")</f>
        <v/>
      </c>
      <c r="M245" s="49" t="str">
        <f>IF(OR(Overview!$D$4="Preliminary Documentation Review",Overview!$D$4="Preliminary Precertification Review"),IF(AND(R245=0,S245=0),"",IF(AND(R245&gt;0,S245&gt;0),"","MISMATCH")),"")</f>
        <v/>
      </c>
      <c r="N245" s="49" t="str">
        <f>IF(OR(Overview!$D$4="Preliminary Documentation Review",Overview!$D$4="Preliminary Precertification Review"),IF(AND(T245=0,U245=0),"",IF(AND(T245&gt;0,U245&gt;0),"MISMATCH","")),"")</f>
        <v/>
      </c>
      <c r="O245" s="49" t="str">
        <f>IF(OR(Overview!$D$4="Preliminary Documentation Review",Overview!$D$4="Preliminary Precertification Review"),IF(AND(V245=0,W245=0),"",IF(AND(V245&gt;0,W245&gt;0),"","MISMATCH")),"")</f>
        <v/>
      </c>
      <c r="P245" s="44">
        <f t="shared" si="41"/>
        <v>0</v>
      </c>
      <c r="Q245" s="44">
        <f t="shared" si="43"/>
        <v>0</v>
      </c>
      <c r="R245" s="49">
        <f t="shared" si="42"/>
        <v>0</v>
      </c>
      <c r="S245" s="49">
        <f t="shared" si="44"/>
        <v>0</v>
      </c>
      <c r="T245" s="49">
        <f t="shared" si="39"/>
        <v>38</v>
      </c>
      <c r="U245" s="49">
        <f t="shared" si="40"/>
        <v>0</v>
      </c>
      <c r="V245" s="49">
        <f t="shared" si="37"/>
        <v>38</v>
      </c>
      <c r="W245" s="49">
        <f t="shared" si="38"/>
        <v>1</v>
      </c>
    </row>
    <row r="246" spans="2:23" ht="45.6">
      <c r="B246" s="934"/>
      <c r="C246" s="881"/>
      <c r="D246" s="883"/>
      <c r="E246" s="700" t="s">
        <v>301</v>
      </c>
      <c r="F246" s="213"/>
      <c r="G246" s="208" t="s">
        <v>1061</v>
      </c>
      <c r="H246" s="701" t="s">
        <v>324</v>
      </c>
      <c r="I246" s="67" t="s">
        <v>1145</v>
      </c>
      <c r="L246" s="49" t="str">
        <f>IF(OR(Overview!$D$4="Preliminary Documentation Review",Overview!$D$4="Preliminary Precertification Review"),IF(AND(P246=0,Q246=0),"",IF(AND(P246&gt;0,Q246&gt;0),"","MISMATCH")),"")</f>
        <v/>
      </c>
      <c r="M246" s="49" t="str">
        <f>IF(OR(Overview!$D$4="Preliminary Documentation Review",Overview!$D$4="Preliminary Precertification Review"),IF(AND(R246=0,S246=0),"",IF(AND(R246&gt;0,S246&gt;0),"","MISMATCH")),"")</f>
        <v/>
      </c>
      <c r="N246" s="49" t="str">
        <f>IF(OR(Overview!$D$4="Preliminary Documentation Review",Overview!$D$4="Preliminary Precertification Review"),IF(AND(T246=0,U246=0),"",IF(AND(T246&gt;0,U246&gt;0),"MISMATCH","")),"")</f>
        <v/>
      </c>
      <c r="O246" s="49" t="str">
        <f>IF(OR(Overview!$D$4="Preliminary Documentation Review",Overview!$D$4="Preliminary Precertification Review"),IF(AND(V246=0,W246=0),"",IF(AND(V246&gt;0,W246&gt;0),"","MISMATCH")),"")</f>
        <v/>
      </c>
      <c r="P246" s="44">
        <f t="shared" si="41"/>
        <v>0</v>
      </c>
      <c r="Q246" s="44">
        <f t="shared" si="43"/>
        <v>0</v>
      </c>
      <c r="R246" s="49">
        <f t="shared" si="42"/>
        <v>0</v>
      </c>
      <c r="S246" s="49">
        <f t="shared" si="44"/>
        <v>0</v>
      </c>
      <c r="T246" s="49">
        <f t="shared" si="39"/>
        <v>38</v>
      </c>
      <c r="U246" s="49">
        <f t="shared" si="40"/>
        <v>0</v>
      </c>
      <c r="V246" s="49">
        <f t="shared" si="37"/>
        <v>38</v>
      </c>
      <c r="W246" s="49">
        <f t="shared" si="38"/>
        <v>1</v>
      </c>
    </row>
    <row r="247" spans="2:23" ht="45.6">
      <c r="B247" s="934"/>
      <c r="C247" s="881" t="s">
        <v>23</v>
      </c>
      <c r="D247" s="883" t="s">
        <v>183</v>
      </c>
      <c r="E247" s="700" t="s">
        <v>302</v>
      </c>
      <c r="F247" s="214"/>
      <c r="G247" s="208" t="s">
        <v>1061</v>
      </c>
      <c r="H247" s="701" t="s">
        <v>324</v>
      </c>
      <c r="I247" s="67" t="s">
        <v>1145</v>
      </c>
      <c r="L247" s="49" t="str">
        <f>IF(OR(Overview!$D$4="Preliminary Documentation Review",Overview!$D$4="Preliminary Precertification Review"),IF(AND(P247=0,Q247=0),"",IF(AND(P247&gt;0,Q247&gt;0),"","MISMATCH")),"")</f>
        <v/>
      </c>
      <c r="M247" s="49" t="str">
        <f>IF(OR(Overview!$D$4="Preliminary Documentation Review",Overview!$D$4="Preliminary Precertification Review"),IF(AND(R247=0,S247=0),"",IF(AND(R247&gt;0,S247&gt;0),"","MISMATCH")),"")</f>
        <v/>
      </c>
      <c r="N247" s="49" t="str">
        <f>IF(OR(Overview!$D$4="Preliminary Documentation Review",Overview!$D$4="Preliminary Precertification Review"),IF(AND(T247=0,U247=0),"",IF(AND(T247&gt;0,U247&gt;0),"MISMATCH","")),"")</f>
        <v/>
      </c>
      <c r="O247" s="49" t="str">
        <f>IF(OR(Overview!$D$4="Preliminary Documentation Review",Overview!$D$4="Preliminary Precertification Review"),IF(AND(V247=0,W247=0),"",IF(AND(V247&gt;0,W247&gt;0),"","MISMATCH")),"")</f>
        <v/>
      </c>
      <c r="P247" s="44">
        <f t="shared" si="41"/>
        <v>0</v>
      </c>
      <c r="Q247" s="44">
        <f t="shared" si="43"/>
        <v>0</v>
      </c>
      <c r="R247" s="49">
        <f t="shared" si="42"/>
        <v>0</v>
      </c>
      <c r="S247" s="49">
        <f t="shared" si="44"/>
        <v>0</v>
      </c>
      <c r="T247" s="49">
        <f t="shared" si="39"/>
        <v>38</v>
      </c>
      <c r="U247" s="49">
        <f t="shared" si="40"/>
        <v>0</v>
      </c>
      <c r="V247" s="49">
        <f t="shared" si="37"/>
        <v>38</v>
      </c>
      <c r="W247" s="49">
        <f t="shared" si="38"/>
        <v>1</v>
      </c>
    </row>
    <row r="248" spans="2:23">
      <c r="B248" s="142"/>
      <c r="C248" s="143"/>
      <c r="D248" s="144"/>
      <c r="E248" s="145"/>
      <c r="F248" s="222"/>
      <c r="G248" s="222"/>
      <c r="H248" s="146"/>
      <c r="I248" s="147"/>
      <c r="L248" s="49" t="str">
        <f>IF(OR(Overview!$D$4="Preliminary Documentation Review",Overview!$D$4="Preliminary Precertification Review"),IF(AND(P248=0,Q248=0),"",IF(AND(P248&gt;0,Q248&gt;0),"","MISMATCH")),"")</f>
        <v/>
      </c>
      <c r="M248" s="49" t="str">
        <f>IF(OR(Overview!$D$4="Preliminary Documentation Review",Overview!$D$4="Preliminary Precertification Review"),IF(AND(R248=0,S248=0),"",IF(AND(R248&gt;0,S248&gt;0),"","MISMATCH")),"")</f>
        <v/>
      </c>
      <c r="N248" s="49" t="str">
        <f>IF(OR(Overview!$D$4="Preliminary Documentation Review",Overview!$D$4="Preliminary Precertification Review"),IF(AND(T248=0,U248=0),"",IF(AND(T248&gt;0,U248&gt;0),"MISMATCH","")),"")</f>
        <v/>
      </c>
      <c r="O248" s="49" t="str">
        <f>IF(OR(Overview!$D$4="Preliminary Documentation Review",Overview!$D$4="Preliminary Precertification Review"),IF(AND(V248=0,W248=0),"",IF(AND(V248&gt;0,W248&gt;0),"","MISMATCH")),"")</f>
        <v/>
      </c>
      <c r="P248" s="44">
        <f t="shared" si="41"/>
        <v>0</v>
      </c>
      <c r="Q248" s="44">
        <f t="shared" si="43"/>
        <v>0</v>
      </c>
      <c r="R248" s="49">
        <f t="shared" si="42"/>
        <v>0</v>
      </c>
      <c r="S248" s="49">
        <f t="shared" si="44"/>
        <v>0</v>
      </c>
      <c r="T248" s="49">
        <f t="shared" si="39"/>
        <v>0</v>
      </c>
      <c r="U248" s="49">
        <f t="shared" si="40"/>
        <v>0</v>
      </c>
      <c r="V248" s="49">
        <f t="shared" si="37"/>
        <v>0</v>
      </c>
      <c r="W248" s="49">
        <f t="shared" si="38"/>
        <v>0</v>
      </c>
    </row>
    <row r="249" spans="2:23">
      <c r="B249" s="75"/>
      <c r="C249" s="76"/>
      <c r="D249" s="77"/>
      <c r="E249" s="78"/>
      <c r="F249" s="222"/>
      <c r="G249" s="222"/>
      <c r="H249" s="80"/>
      <c r="I249" s="81"/>
      <c r="L249" s="49" t="str">
        <f>IF(OR(Overview!$D$4="Preliminary Documentation Review",Overview!$D$4="Preliminary Precertification Review"),IF(AND(P249=0,Q249=0),"",IF(AND(P249&gt;0,Q249&gt;0),"","MISMATCH")),"")</f>
        <v/>
      </c>
      <c r="M249" s="49" t="str">
        <f>IF(OR(Overview!$D$4="Preliminary Documentation Review",Overview!$D$4="Preliminary Precertification Review"),IF(AND(R249=0,S249=0),"",IF(AND(R249&gt;0,S249&gt;0),"","MISMATCH")),"")</f>
        <v/>
      </c>
      <c r="N249" s="49" t="str">
        <f>IF(OR(Overview!$D$4="Preliminary Documentation Review",Overview!$D$4="Preliminary Precertification Review"),IF(AND(T249=0,U249=0),"",IF(AND(T249&gt;0,U249&gt;0),"MISMATCH","")),"")</f>
        <v/>
      </c>
      <c r="O249" s="49" t="str">
        <f>IF(OR(Overview!$D$4="Preliminary Documentation Review",Overview!$D$4="Preliminary Precertification Review"),IF(AND(V249=0,W249=0),"",IF(AND(V249&gt;0,W249&gt;0),"","MISMATCH")),"")</f>
        <v/>
      </c>
      <c r="P249" s="44">
        <f t="shared" si="41"/>
        <v>0</v>
      </c>
      <c r="Q249" s="44">
        <f t="shared" si="43"/>
        <v>0</v>
      </c>
      <c r="R249" s="49">
        <f t="shared" si="42"/>
        <v>0</v>
      </c>
      <c r="S249" s="49">
        <f t="shared" si="44"/>
        <v>0</v>
      </c>
      <c r="T249" s="49">
        <f t="shared" si="39"/>
        <v>0</v>
      </c>
      <c r="U249" s="49">
        <f t="shared" si="40"/>
        <v>0</v>
      </c>
      <c r="V249" s="49">
        <f t="shared" si="37"/>
        <v>0</v>
      </c>
      <c r="W249" s="49">
        <f t="shared" si="38"/>
        <v>0</v>
      </c>
    </row>
    <row r="250" spans="2:23">
      <c r="B250" s="884"/>
      <c r="C250" s="885"/>
      <c r="D250" s="885"/>
      <c r="E250" s="885"/>
      <c r="F250" s="885"/>
      <c r="G250" s="885"/>
      <c r="H250" s="885"/>
      <c r="I250" s="886"/>
      <c r="L250" s="49" t="str">
        <f>IF(OR(Overview!$D$4="Preliminary Documentation Review",Overview!$D$4="Preliminary Precertification Review"),IF(AND(P250=0,Q250=0),"",IF(AND(P250&gt;0,Q250&gt;0),"","MISMATCH")),"")</f>
        <v/>
      </c>
      <c r="M250" s="49" t="str">
        <f>IF(OR(Overview!$D$4="Preliminary Documentation Review",Overview!$D$4="Preliminary Precertification Review"),IF(AND(R250=0,S250=0),"",IF(AND(R250&gt;0,S250&gt;0),"","MISMATCH")),"")</f>
        <v/>
      </c>
      <c r="N250" s="49" t="str">
        <f>IF(OR(Overview!$D$4="Preliminary Documentation Review",Overview!$D$4="Preliminary Precertification Review"),IF(AND(T250=0,U250=0),"",IF(AND(T250&gt;0,U250&gt;0),"MISMATCH","")),"")</f>
        <v/>
      </c>
      <c r="O250" s="49" t="str">
        <f>IF(OR(Overview!$D$4="Preliminary Documentation Review",Overview!$D$4="Preliminary Precertification Review"),IF(AND(V250=0,W250=0),"",IF(AND(V250&gt;0,W250&gt;0),"","MISMATCH")),"")</f>
        <v/>
      </c>
      <c r="T250" s="49">
        <f t="shared" si="39"/>
        <v>0</v>
      </c>
      <c r="U250" s="49">
        <f t="shared" si="40"/>
        <v>0</v>
      </c>
      <c r="V250" s="49">
        <f t="shared" si="37"/>
        <v>0</v>
      </c>
      <c r="W250" s="49">
        <f t="shared" si="38"/>
        <v>0</v>
      </c>
    </row>
    <row r="251" spans="2:23" s="65" customFormat="1" ht="99.9" hidden="1" customHeight="1">
      <c r="B251" s="148"/>
      <c r="C251" s="869" t="s">
        <v>715</v>
      </c>
      <c r="D251" s="870"/>
      <c r="E251" s="870"/>
      <c r="F251" s="870"/>
      <c r="G251" s="870"/>
      <c r="H251" s="870"/>
      <c r="I251" s="871"/>
      <c r="J251" s="64"/>
      <c r="K251" s="190"/>
      <c r="L251" s="49" t="str">
        <f>IF(OR(Overview!$D$4="Preliminary Documentation Review",Overview!$D$4="Preliminary Precertification Review"),IF(AND(P251=0,Q251=0),"",IF(AND(P251&gt;0,Q251&gt;0),"","MISMATCH")),"")</f>
        <v/>
      </c>
      <c r="M251" s="49" t="str">
        <f>IF(OR(Overview!$D$4="Preliminary Documentation Review",Overview!$D$4="Preliminary Precertification Review"),IF(AND(R251=0,S251=0),"",IF(AND(R251&gt;0,S251&gt;0),"","MISMATCH")),"")</f>
        <v/>
      </c>
      <c r="N251" s="49" t="str">
        <f>IF(OR(Overview!$D$4="Preliminary Documentation Review",Overview!$D$4="Preliminary Precertification Review"),IF(AND(T251=0,U251=0),"",IF(AND(T251&gt;0,U251&gt;0),"MISMATCH","")),"")</f>
        <v/>
      </c>
      <c r="O251" s="49" t="str">
        <f>IF(OR(Overview!$D$4="Preliminary Documentation Review",Overview!$D$4="Preliminary Precertification Review"),IF(AND(V251=0,W251=0),"",IF(AND(V251&gt;0,W251&gt;0),"","MISMATCH")),"")</f>
        <v/>
      </c>
      <c r="T251" s="49">
        <f t="shared" si="39"/>
        <v>0</v>
      </c>
      <c r="U251" s="49">
        <f t="shared" si="40"/>
        <v>0</v>
      </c>
      <c r="V251" s="49">
        <f t="shared" si="37"/>
        <v>0</v>
      </c>
      <c r="W251" s="49">
        <f t="shared" si="38"/>
        <v>0</v>
      </c>
    </row>
    <row r="252" spans="2:23" s="65" customFormat="1" ht="15.6" hidden="1" customHeight="1">
      <c r="B252" s="887"/>
      <c r="C252" s="885"/>
      <c r="D252" s="885"/>
      <c r="E252" s="885"/>
      <c r="F252" s="885"/>
      <c r="G252" s="885"/>
      <c r="H252" s="885"/>
      <c r="I252" s="886"/>
      <c r="J252" s="64"/>
      <c r="K252" s="190"/>
      <c r="L252" s="49" t="str">
        <f>IF(OR(Overview!$D$4="Preliminary Documentation Review",Overview!$D$4="Preliminary Precertification Review"),IF(AND(P252=0,Q252=0),"",IF(AND(P252&gt;0,Q252&gt;0),"","MISMATCH")),"")</f>
        <v/>
      </c>
      <c r="M252" s="49" t="str">
        <f>IF(OR(Overview!$D$4="Preliminary Documentation Review",Overview!$D$4="Preliminary Precertification Review"),IF(AND(R252=0,S252=0),"",IF(AND(R252&gt;0,S252&gt;0),"","MISMATCH")),"")</f>
        <v/>
      </c>
      <c r="N252" s="49" t="str">
        <f>IF(OR(Overview!$D$4="Preliminary Documentation Review",Overview!$D$4="Preliminary Precertification Review"),IF(AND(T252=0,U252=0),"",IF(AND(T252&gt;0,U252&gt;0),"MISMATCH","")),"")</f>
        <v/>
      </c>
      <c r="O252" s="49" t="str">
        <f>IF(OR(Overview!$D$4="Preliminary Documentation Review",Overview!$D$4="Preliminary Precertification Review"),IF(AND(V252=0,W252=0),"",IF(AND(V252&gt;0,W252&gt;0),"","MISMATCH")),"")</f>
        <v/>
      </c>
      <c r="T252" s="49">
        <f t="shared" si="39"/>
        <v>0</v>
      </c>
      <c r="U252" s="49">
        <f t="shared" si="40"/>
        <v>0</v>
      </c>
      <c r="V252" s="49">
        <f t="shared" si="37"/>
        <v>0</v>
      </c>
      <c r="W252" s="49">
        <f t="shared" si="38"/>
        <v>0</v>
      </c>
    </row>
    <row r="253" spans="2:23" ht="46.8">
      <c r="B253" s="933" t="s">
        <v>184</v>
      </c>
      <c r="C253" s="859" t="s">
        <v>8</v>
      </c>
      <c r="D253" s="862" t="s">
        <v>185</v>
      </c>
      <c r="E253" s="697" t="s">
        <v>303</v>
      </c>
      <c r="F253" s="209"/>
      <c r="G253" s="723" t="s">
        <v>219</v>
      </c>
      <c r="H253" s="724" t="s">
        <v>369</v>
      </c>
      <c r="I253" s="794" t="s">
        <v>1142</v>
      </c>
      <c r="L253" s="49" t="str">
        <f>IF(OR(Overview!$D$4="Preliminary Documentation Review",Overview!$D$4="Preliminary Precertification Review"),IF(AND(P253=0,Q253=0),"",IF(AND(P253&gt;0,Q253&gt;0),"","MISMATCH")),"")</f>
        <v/>
      </c>
      <c r="M253" s="49" t="str">
        <f>IF(OR(Overview!$D$4="Preliminary Documentation Review",Overview!$D$4="Preliminary Precertification Review"),IF(AND(R253=0,S253=0),"",IF(AND(R253&gt;0,S253&gt;0),"","MISMATCH")),"")</f>
        <v/>
      </c>
      <c r="N253" s="49" t="str">
        <f>IF(OR(Overview!$D$4="Preliminary Documentation Review",Overview!$D$4="Preliminary Precertification Review"),IF(AND(T253=0,U253=0),"",IF(AND(T253&gt;0,U253&gt;0),"MISMATCH","")),"")</f>
        <v/>
      </c>
      <c r="O253" s="49" t="str">
        <f>IF(OR(Overview!$D$4="Preliminary Documentation Review",Overview!$D$4="Preliminary Precertification Review"),IF(AND(V253=0,W253=0),"",IF(AND(V253&gt;0,W253&gt;0),"","MISMATCH")),"")</f>
        <v/>
      </c>
      <c r="P253" s="44">
        <f t="shared" ref="P253:P298" si="45">IFERROR(SEARCH("COMMENTS TO BE ADDRESS",$I253),0)</f>
        <v>0</v>
      </c>
      <c r="Q253" s="44">
        <f t="shared" si="43"/>
        <v>0</v>
      </c>
      <c r="R253" s="49">
        <f t="shared" ref="R253:R298" si="46">IFERROR(SEARCH("equirements of this part will be v",$I253),0)</f>
        <v>0</v>
      </c>
      <c r="S253" s="49">
        <f t="shared" si="44"/>
        <v>0</v>
      </c>
      <c r="T253" s="49">
        <f t="shared" si="39"/>
        <v>0</v>
      </c>
      <c r="U253" s="49">
        <f t="shared" si="40"/>
        <v>1</v>
      </c>
      <c r="V253" s="49">
        <f t="shared" si="37"/>
        <v>0</v>
      </c>
      <c r="W253" s="49">
        <f t="shared" si="38"/>
        <v>0</v>
      </c>
    </row>
    <row r="254" spans="2:23" ht="46.8">
      <c r="B254" s="933"/>
      <c r="C254" s="881"/>
      <c r="D254" s="888"/>
      <c r="E254" s="700" t="s">
        <v>304</v>
      </c>
      <c r="F254" s="209"/>
      <c r="G254" s="208" t="s">
        <v>219</v>
      </c>
      <c r="H254" s="701" t="s">
        <v>369</v>
      </c>
      <c r="I254" s="794" t="s">
        <v>1142</v>
      </c>
      <c r="L254" s="49" t="str">
        <f>IF(OR(Overview!$D$4="Preliminary Documentation Review",Overview!$D$4="Preliminary Precertification Review"),IF(AND(P254=0,Q254=0),"",IF(AND(P254&gt;0,Q254&gt;0),"","MISMATCH")),"")</f>
        <v/>
      </c>
      <c r="M254" s="49" t="str">
        <f>IF(OR(Overview!$D$4="Preliminary Documentation Review",Overview!$D$4="Preliminary Precertification Review"),IF(AND(R254=0,S254=0),"",IF(AND(R254&gt;0,S254&gt;0),"","MISMATCH")),"")</f>
        <v/>
      </c>
      <c r="N254" s="49" t="str">
        <f>IF(OR(Overview!$D$4="Preliminary Documentation Review",Overview!$D$4="Preliminary Precertification Review"),IF(AND(T254=0,U254=0),"",IF(AND(T254&gt;0,U254&gt;0),"MISMATCH","")),"")</f>
        <v/>
      </c>
      <c r="O254" s="49" t="str">
        <f>IF(OR(Overview!$D$4="Preliminary Documentation Review",Overview!$D$4="Preliminary Precertification Review"),IF(AND(V254=0,W254=0),"",IF(AND(V254&gt;0,W254&gt;0),"","MISMATCH")),"")</f>
        <v/>
      </c>
      <c r="P254" s="44">
        <f t="shared" si="45"/>
        <v>0</v>
      </c>
      <c r="Q254" s="44">
        <f t="shared" si="43"/>
        <v>0</v>
      </c>
      <c r="R254" s="49">
        <f t="shared" si="46"/>
        <v>0</v>
      </c>
      <c r="S254" s="49">
        <f t="shared" si="44"/>
        <v>0</v>
      </c>
      <c r="T254" s="49">
        <f t="shared" si="39"/>
        <v>0</v>
      </c>
      <c r="U254" s="49">
        <f t="shared" si="40"/>
        <v>1</v>
      </c>
      <c r="V254" s="49">
        <f t="shared" si="37"/>
        <v>0</v>
      </c>
      <c r="W254" s="49">
        <f t="shared" si="38"/>
        <v>0</v>
      </c>
    </row>
    <row r="255" spans="2:23" ht="46.8">
      <c r="B255" s="933"/>
      <c r="C255" s="881" t="s">
        <v>8</v>
      </c>
      <c r="D255" s="888" t="s">
        <v>188</v>
      </c>
      <c r="E255" s="700" t="s">
        <v>305</v>
      </c>
      <c r="F255" s="209"/>
      <c r="G255" s="208" t="s">
        <v>219</v>
      </c>
      <c r="H255" s="701" t="s">
        <v>369</v>
      </c>
      <c r="I255" s="794" t="s">
        <v>1142</v>
      </c>
      <c r="L255" s="49" t="str">
        <f>IF(OR(Overview!$D$4="Preliminary Documentation Review",Overview!$D$4="Preliminary Precertification Review"),IF(AND(P255=0,Q255=0),"",IF(AND(P255&gt;0,Q255&gt;0),"","MISMATCH")),"")</f>
        <v/>
      </c>
      <c r="M255" s="49" t="str">
        <f>IF(OR(Overview!$D$4="Preliminary Documentation Review",Overview!$D$4="Preliminary Precertification Review"),IF(AND(R255=0,S255=0),"",IF(AND(R255&gt;0,S255&gt;0),"","MISMATCH")),"")</f>
        <v/>
      </c>
      <c r="N255" s="49" t="str">
        <f>IF(OR(Overview!$D$4="Preliminary Documentation Review",Overview!$D$4="Preliminary Precertification Review"),IF(AND(T255=0,U255=0),"",IF(AND(T255&gt;0,U255&gt;0),"MISMATCH","")),"")</f>
        <v/>
      </c>
      <c r="O255" s="49" t="str">
        <f>IF(OR(Overview!$D$4="Preliminary Documentation Review",Overview!$D$4="Preliminary Precertification Review"),IF(AND(V255=0,W255=0),"",IF(AND(V255&gt;0,W255&gt;0),"","MISMATCH")),"")</f>
        <v/>
      </c>
      <c r="P255" s="44">
        <f t="shared" si="45"/>
        <v>0</v>
      </c>
      <c r="Q255" s="44">
        <f t="shared" si="43"/>
        <v>0</v>
      </c>
      <c r="R255" s="49">
        <f t="shared" si="46"/>
        <v>0</v>
      </c>
      <c r="S255" s="49">
        <f t="shared" si="44"/>
        <v>0</v>
      </c>
      <c r="T255" s="49">
        <f t="shared" si="39"/>
        <v>0</v>
      </c>
      <c r="U255" s="49">
        <f t="shared" si="40"/>
        <v>1</v>
      </c>
      <c r="V255" s="49">
        <f t="shared" si="37"/>
        <v>0</v>
      </c>
      <c r="W255" s="49">
        <f t="shared" si="38"/>
        <v>0</v>
      </c>
    </row>
    <row r="256" spans="2:23" ht="46.8">
      <c r="B256" s="933"/>
      <c r="C256" s="881"/>
      <c r="D256" s="888"/>
      <c r="E256" s="700" t="s">
        <v>306</v>
      </c>
      <c r="F256" s="209"/>
      <c r="G256" s="208" t="s">
        <v>219</v>
      </c>
      <c r="H256" s="701" t="s">
        <v>369</v>
      </c>
      <c r="I256" s="794" t="s">
        <v>1142</v>
      </c>
      <c r="L256" s="49" t="str">
        <f>IF(OR(Overview!$D$4="Preliminary Documentation Review",Overview!$D$4="Preliminary Precertification Review"),IF(AND(P256=0,Q256=0),"",IF(AND(P256&gt;0,Q256&gt;0),"","MISMATCH")),"")</f>
        <v/>
      </c>
      <c r="M256" s="49" t="str">
        <f>IF(OR(Overview!$D$4="Preliminary Documentation Review",Overview!$D$4="Preliminary Precertification Review"),IF(AND(R256=0,S256=0),"",IF(AND(R256&gt;0,S256&gt;0),"","MISMATCH")),"")</f>
        <v/>
      </c>
      <c r="N256" s="49" t="str">
        <f>IF(OR(Overview!$D$4="Preliminary Documentation Review",Overview!$D$4="Preliminary Precertification Review"),IF(AND(T256=0,U256=0),"",IF(AND(T256&gt;0,U256&gt;0),"MISMATCH","")),"")</f>
        <v/>
      </c>
      <c r="O256" s="49" t="str">
        <f>IF(OR(Overview!$D$4="Preliminary Documentation Review",Overview!$D$4="Preliminary Precertification Review"),IF(AND(V256=0,W256=0),"",IF(AND(V256&gt;0,W256&gt;0),"","MISMATCH")),"")</f>
        <v/>
      </c>
      <c r="P256" s="44">
        <f t="shared" si="45"/>
        <v>0</v>
      </c>
      <c r="Q256" s="44">
        <f t="shared" si="43"/>
        <v>0</v>
      </c>
      <c r="R256" s="49">
        <f t="shared" si="46"/>
        <v>0</v>
      </c>
      <c r="S256" s="49">
        <f t="shared" si="44"/>
        <v>0</v>
      </c>
      <c r="T256" s="49">
        <f t="shared" si="39"/>
        <v>0</v>
      </c>
      <c r="U256" s="49">
        <f t="shared" si="40"/>
        <v>1</v>
      </c>
      <c r="V256" s="49">
        <f t="shared" si="37"/>
        <v>0</v>
      </c>
      <c r="W256" s="49">
        <f t="shared" si="38"/>
        <v>0</v>
      </c>
    </row>
    <row r="257" spans="2:23" ht="46.8">
      <c r="B257" s="933"/>
      <c r="C257" s="881"/>
      <c r="D257" s="888"/>
      <c r="E257" s="700" t="s">
        <v>307</v>
      </c>
      <c r="F257" s="209"/>
      <c r="G257" s="208" t="s">
        <v>219</v>
      </c>
      <c r="H257" s="701" t="s">
        <v>369</v>
      </c>
      <c r="I257" s="794" t="s">
        <v>1142</v>
      </c>
      <c r="L257" s="49" t="str">
        <f>IF(OR(Overview!$D$4="Preliminary Documentation Review",Overview!$D$4="Preliminary Precertification Review"),IF(AND(P257=0,Q257=0),"",IF(AND(P257&gt;0,Q257&gt;0),"","MISMATCH")),"")</f>
        <v/>
      </c>
      <c r="M257" s="49" t="str">
        <f>IF(OR(Overview!$D$4="Preliminary Documentation Review",Overview!$D$4="Preliminary Precertification Review"),IF(AND(R257=0,S257=0),"",IF(AND(R257&gt;0,S257&gt;0),"","MISMATCH")),"")</f>
        <v/>
      </c>
      <c r="N257" s="49" t="str">
        <f>IF(OR(Overview!$D$4="Preliminary Documentation Review",Overview!$D$4="Preliminary Precertification Review"),IF(AND(T257=0,U257=0),"",IF(AND(T257&gt;0,U257&gt;0),"MISMATCH","")),"")</f>
        <v/>
      </c>
      <c r="O257" s="49" t="str">
        <f>IF(OR(Overview!$D$4="Preliminary Documentation Review",Overview!$D$4="Preliminary Precertification Review"),IF(AND(V257=0,W257=0),"",IF(AND(V257&gt;0,W257&gt;0),"","MISMATCH")),"")</f>
        <v/>
      </c>
      <c r="P257" s="44">
        <f t="shared" si="45"/>
        <v>0</v>
      </c>
      <c r="Q257" s="44">
        <f t="shared" si="43"/>
        <v>0</v>
      </c>
      <c r="R257" s="49">
        <f t="shared" si="46"/>
        <v>0</v>
      </c>
      <c r="S257" s="49">
        <f t="shared" si="44"/>
        <v>0</v>
      </c>
      <c r="T257" s="49">
        <f t="shared" si="39"/>
        <v>0</v>
      </c>
      <c r="U257" s="49">
        <f t="shared" si="40"/>
        <v>1</v>
      </c>
      <c r="V257" s="49">
        <f t="shared" si="37"/>
        <v>0</v>
      </c>
      <c r="W257" s="49">
        <f t="shared" si="38"/>
        <v>0</v>
      </c>
    </row>
    <row r="258" spans="2:23" ht="46.8">
      <c r="B258" s="933"/>
      <c r="C258" s="881"/>
      <c r="D258" s="888"/>
      <c r="E258" s="700" t="s">
        <v>308</v>
      </c>
      <c r="F258" s="209"/>
      <c r="G258" s="208" t="s">
        <v>219</v>
      </c>
      <c r="H258" s="701" t="s">
        <v>369</v>
      </c>
      <c r="I258" s="794" t="s">
        <v>1142</v>
      </c>
      <c r="L258" s="49" t="str">
        <f>IF(OR(Overview!$D$4="Preliminary Documentation Review",Overview!$D$4="Preliminary Precertification Review"),IF(AND(P258=0,Q258=0),"",IF(AND(P258&gt;0,Q258&gt;0),"","MISMATCH")),"")</f>
        <v/>
      </c>
      <c r="M258" s="49" t="str">
        <f>IF(OR(Overview!$D$4="Preliminary Documentation Review",Overview!$D$4="Preliminary Precertification Review"),IF(AND(R258=0,S258=0),"",IF(AND(R258&gt;0,S258&gt;0),"","MISMATCH")),"")</f>
        <v/>
      </c>
      <c r="N258" s="49" t="str">
        <f>IF(OR(Overview!$D$4="Preliminary Documentation Review",Overview!$D$4="Preliminary Precertification Review"),IF(AND(T258=0,U258=0),"",IF(AND(T258&gt;0,U258&gt;0),"MISMATCH","")),"")</f>
        <v/>
      </c>
      <c r="O258" s="49" t="str">
        <f>IF(OR(Overview!$D$4="Preliminary Documentation Review",Overview!$D$4="Preliminary Precertification Review"),IF(AND(V258=0,W258=0),"",IF(AND(V258&gt;0,W258&gt;0),"","MISMATCH")),"")</f>
        <v/>
      </c>
      <c r="P258" s="44">
        <f t="shared" si="45"/>
        <v>0</v>
      </c>
      <c r="Q258" s="44">
        <f t="shared" si="43"/>
        <v>0</v>
      </c>
      <c r="R258" s="49">
        <f t="shared" si="46"/>
        <v>0</v>
      </c>
      <c r="S258" s="49">
        <f t="shared" si="44"/>
        <v>0</v>
      </c>
      <c r="T258" s="49">
        <f t="shared" si="39"/>
        <v>0</v>
      </c>
      <c r="U258" s="49">
        <f t="shared" si="40"/>
        <v>1</v>
      </c>
      <c r="V258" s="49">
        <f t="shared" si="37"/>
        <v>0</v>
      </c>
      <c r="W258" s="49">
        <f t="shared" si="38"/>
        <v>0</v>
      </c>
    </row>
    <row r="259" spans="2:23" ht="211.8">
      <c r="B259" s="933"/>
      <c r="C259" s="881" t="s">
        <v>8</v>
      </c>
      <c r="D259" s="888" t="s">
        <v>193</v>
      </c>
      <c r="E259" s="700" t="s">
        <v>309</v>
      </c>
      <c r="F259" s="209"/>
      <c r="G259" s="208" t="s">
        <v>219</v>
      </c>
      <c r="H259" s="701" t="s">
        <v>369</v>
      </c>
      <c r="I259" s="67" t="s">
        <v>1160</v>
      </c>
      <c r="K259" s="196"/>
      <c r="L259" s="49" t="str">
        <f>IF(OR(Overview!$D$4="Preliminary Documentation Review",Overview!$D$4="Preliminary Precertification Review"),IF(AND(P259=0,Q259=0),"",IF(AND(P259&gt;0,Q259&gt;0),"","MISMATCH")),"")</f>
        <v/>
      </c>
      <c r="M259" s="49" t="str">
        <f>IF(OR(Overview!$D$4="Preliminary Documentation Review",Overview!$D$4="Preliminary Precertification Review"),IF(AND(R259=0,S259=0),"",IF(AND(R259&gt;0,S259&gt;0),"","MISMATCH")),"")</f>
        <v/>
      </c>
      <c r="N259" s="49" t="str">
        <f>IF(OR(Overview!$D$4="Preliminary Documentation Review",Overview!$D$4="Preliminary Precertification Review"),IF(AND(T259=0,U259=0),"",IF(AND(T259&gt;0,U259&gt;0),"MISMATCH","")),"")</f>
        <v/>
      </c>
      <c r="O259" s="49" t="str">
        <f>IF(OR(Overview!$D$4="Preliminary Documentation Review",Overview!$D$4="Preliminary Precertification Review"),IF(AND(V259=0,W259=0),"",IF(AND(V259&gt;0,W259&gt;0),"","MISMATCH")),"")</f>
        <v/>
      </c>
      <c r="P259" s="44">
        <f t="shared" si="45"/>
        <v>314</v>
      </c>
      <c r="Q259" s="44">
        <f t="shared" si="43"/>
        <v>0</v>
      </c>
      <c r="R259" s="49">
        <f t="shared" si="46"/>
        <v>0</v>
      </c>
      <c r="S259" s="49">
        <f t="shared" si="44"/>
        <v>0</v>
      </c>
      <c r="T259" s="49">
        <f t="shared" si="39"/>
        <v>0</v>
      </c>
      <c r="U259" s="49">
        <f t="shared" si="40"/>
        <v>1</v>
      </c>
      <c r="V259" s="49">
        <f t="shared" si="37"/>
        <v>0</v>
      </c>
      <c r="W259" s="49">
        <f t="shared" si="38"/>
        <v>0</v>
      </c>
    </row>
    <row r="260" spans="2:23" ht="211.8">
      <c r="B260" s="933"/>
      <c r="C260" s="881"/>
      <c r="D260" s="888"/>
      <c r="E260" s="700" t="s">
        <v>310</v>
      </c>
      <c r="F260" s="210"/>
      <c r="G260" s="208" t="s">
        <v>219</v>
      </c>
      <c r="H260" s="701" t="s">
        <v>369</v>
      </c>
      <c r="I260" s="67" t="s">
        <v>1160</v>
      </c>
      <c r="K260" s="196"/>
      <c r="L260" s="49" t="str">
        <f>IF(OR(Overview!$D$4="Preliminary Documentation Review",Overview!$D$4="Preliminary Precertification Review"),IF(AND(P260=0,Q260=0),"",IF(AND(P260&gt;0,Q260&gt;0),"","MISMATCH")),"")</f>
        <v/>
      </c>
      <c r="M260" s="49" t="str">
        <f>IF(OR(Overview!$D$4="Preliminary Documentation Review",Overview!$D$4="Preliminary Precertification Review"),IF(AND(R260=0,S260=0),"",IF(AND(R260&gt;0,S260&gt;0),"","MISMATCH")),"")</f>
        <v/>
      </c>
      <c r="N260" s="49" t="str">
        <f>IF(OR(Overview!$D$4="Preliminary Documentation Review",Overview!$D$4="Preliminary Precertification Review"),IF(AND(T260=0,U260=0),"",IF(AND(T260&gt;0,U260&gt;0),"MISMATCH","")),"")</f>
        <v/>
      </c>
      <c r="O260" s="49" t="str">
        <f>IF(OR(Overview!$D$4="Preliminary Documentation Review",Overview!$D$4="Preliminary Precertification Review"),IF(AND(V260=0,W260=0),"",IF(AND(V260&gt;0,W260&gt;0),"","MISMATCH")),"")</f>
        <v/>
      </c>
      <c r="P260" s="44">
        <f t="shared" si="45"/>
        <v>314</v>
      </c>
      <c r="Q260" s="44">
        <f t="shared" si="43"/>
        <v>0</v>
      </c>
      <c r="R260" s="49">
        <f t="shared" si="46"/>
        <v>0</v>
      </c>
      <c r="S260" s="49">
        <f t="shared" si="44"/>
        <v>0</v>
      </c>
      <c r="T260" s="49">
        <f t="shared" si="39"/>
        <v>0</v>
      </c>
      <c r="U260" s="49">
        <f t="shared" si="40"/>
        <v>1</v>
      </c>
      <c r="V260" s="49">
        <f t="shared" si="37"/>
        <v>0</v>
      </c>
      <c r="W260" s="49">
        <f t="shared" si="38"/>
        <v>0</v>
      </c>
    </row>
    <row r="261" spans="2:23" ht="45.6">
      <c r="B261" s="933"/>
      <c r="C261" s="881" t="s">
        <v>23</v>
      </c>
      <c r="D261" s="888" t="s">
        <v>196</v>
      </c>
      <c r="E261" s="700" t="s">
        <v>614</v>
      </c>
      <c r="F261" s="211"/>
      <c r="G261" s="208" t="s">
        <v>1061</v>
      </c>
      <c r="H261" s="701" t="s">
        <v>324</v>
      </c>
      <c r="I261" s="67" t="s">
        <v>1145</v>
      </c>
      <c r="L261" s="49" t="str">
        <f>IF(OR(Overview!$D$4="Preliminary Documentation Review",Overview!$D$4="Preliminary Precertification Review"),IF(AND(P261=0,Q261=0),"",IF(AND(P261&gt;0,Q261&gt;0),"","MISMATCH")),"")</f>
        <v/>
      </c>
      <c r="M261" s="49" t="str">
        <f>IF(OR(Overview!$D$4="Preliminary Documentation Review",Overview!$D$4="Preliminary Precertification Review"),IF(AND(R261=0,S261=0),"",IF(AND(R261&gt;0,S261&gt;0),"","MISMATCH")),"")</f>
        <v/>
      </c>
      <c r="N261" s="49" t="str">
        <f>IF(OR(Overview!$D$4="Preliminary Documentation Review",Overview!$D$4="Preliminary Precertification Review"),IF(AND(T261=0,U261=0),"",IF(AND(T261&gt;0,U261&gt;0),"MISMATCH","")),"")</f>
        <v/>
      </c>
      <c r="O261" s="49" t="str">
        <f>IF(OR(Overview!$D$4="Preliminary Documentation Review",Overview!$D$4="Preliminary Precertification Review"),IF(AND(V261=0,W261=0),"",IF(AND(V261&gt;0,W261&gt;0),"","MISMATCH")),"")</f>
        <v/>
      </c>
      <c r="P261" s="44">
        <f t="shared" si="45"/>
        <v>0</v>
      </c>
      <c r="Q261" s="44">
        <f t="shared" si="43"/>
        <v>0</v>
      </c>
      <c r="R261" s="49">
        <f t="shared" si="46"/>
        <v>0</v>
      </c>
      <c r="S261" s="49">
        <f t="shared" si="44"/>
        <v>0</v>
      </c>
      <c r="T261" s="49">
        <f t="shared" si="39"/>
        <v>38</v>
      </c>
      <c r="U261" s="49">
        <f t="shared" si="40"/>
        <v>0</v>
      </c>
      <c r="V261" s="49">
        <f t="shared" si="37"/>
        <v>38</v>
      </c>
      <c r="W261" s="49">
        <f t="shared" si="38"/>
        <v>1</v>
      </c>
    </row>
    <row r="262" spans="2:23" ht="45.6">
      <c r="B262" s="933"/>
      <c r="C262" s="881"/>
      <c r="D262" s="888"/>
      <c r="E262" s="700" t="s">
        <v>615</v>
      </c>
      <c r="F262" s="212"/>
      <c r="G262" s="208" t="s">
        <v>1061</v>
      </c>
      <c r="H262" s="701" t="s">
        <v>324</v>
      </c>
      <c r="I262" s="67" t="s">
        <v>1145</v>
      </c>
      <c r="K262" s="194"/>
      <c r="L262" s="49" t="str">
        <f>IF(OR(Overview!$D$4="Preliminary Documentation Review",Overview!$D$4="Preliminary Precertification Review"),IF(AND(P262=0,Q262=0),"",IF(AND(P262&gt;0,Q262&gt;0),"","MISMATCH")),"")</f>
        <v/>
      </c>
      <c r="M262" s="49" t="str">
        <f>IF(OR(Overview!$D$4="Preliminary Documentation Review",Overview!$D$4="Preliminary Precertification Review"),IF(AND(R262=0,S262=0),"",IF(AND(R262&gt;0,S262&gt;0),"","MISMATCH")),"")</f>
        <v/>
      </c>
      <c r="N262" s="49" t="str">
        <f>IF(OR(Overview!$D$4="Preliminary Documentation Review",Overview!$D$4="Preliminary Precertification Review"),IF(AND(T262=0,U262=0),"",IF(AND(T262&gt;0,U262&gt;0),"MISMATCH","")),"")</f>
        <v/>
      </c>
      <c r="O262" s="49" t="str">
        <f>IF(OR(Overview!$D$4="Preliminary Documentation Review",Overview!$D$4="Preliminary Precertification Review"),IF(AND(V262=0,W262=0),"",IF(AND(V262&gt;0,W262&gt;0),"","MISMATCH")),"")</f>
        <v/>
      </c>
      <c r="P262" s="44">
        <f t="shared" si="45"/>
        <v>0</v>
      </c>
      <c r="Q262" s="44">
        <f t="shared" si="43"/>
        <v>0</v>
      </c>
      <c r="R262" s="49">
        <f t="shared" si="46"/>
        <v>0</v>
      </c>
      <c r="S262" s="49">
        <f t="shared" si="44"/>
        <v>0</v>
      </c>
      <c r="T262" s="49">
        <f t="shared" si="39"/>
        <v>38</v>
      </c>
      <c r="U262" s="49">
        <f t="shared" si="40"/>
        <v>0</v>
      </c>
      <c r="V262" s="49">
        <f t="shared" si="37"/>
        <v>38</v>
      </c>
      <c r="W262" s="49">
        <f t="shared" si="38"/>
        <v>1</v>
      </c>
    </row>
    <row r="263" spans="2:23" ht="45.6">
      <c r="B263" s="933"/>
      <c r="C263" s="881"/>
      <c r="D263" s="888"/>
      <c r="E263" s="700" t="s">
        <v>616</v>
      </c>
      <c r="F263" s="212"/>
      <c r="G263" s="208" t="s">
        <v>1061</v>
      </c>
      <c r="H263" s="701" t="s">
        <v>324</v>
      </c>
      <c r="I263" s="67" t="s">
        <v>1145</v>
      </c>
      <c r="L263" s="49" t="str">
        <f>IF(OR(Overview!$D$4="Preliminary Documentation Review",Overview!$D$4="Preliminary Precertification Review"),IF(AND(P263=0,Q263=0),"",IF(AND(P263&gt;0,Q263&gt;0),"","MISMATCH")),"")</f>
        <v/>
      </c>
      <c r="M263" s="49" t="str">
        <f>IF(OR(Overview!$D$4="Preliminary Documentation Review",Overview!$D$4="Preliminary Precertification Review"),IF(AND(R263=0,S263=0),"",IF(AND(R263&gt;0,S263&gt;0),"","MISMATCH")),"")</f>
        <v/>
      </c>
      <c r="N263" s="49" t="str">
        <f>IF(OR(Overview!$D$4="Preliminary Documentation Review",Overview!$D$4="Preliminary Precertification Review"),IF(AND(T263=0,U263=0),"",IF(AND(T263&gt;0,U263&gt;0),"MISMATCH","")),"")</f>
        <v/>
      </c>
      <c r="O263" s="49" t="str">
        <f>IF(OR(Overview!$D$4="Preliminary Documentation Review",Overview!$D$4="Preliminary Precertification Review"),IF(AND(V263=0,W263=0),"",IF(AND(V263&gt;0,W263&gt;0),"","MISMATCH")),"")</f>
        <v/>
      </c>
      <c r="P263" s="44">
        <f t="shared" si="45"/>
        <v>0</v>
      </c>
      <c r="Q263" s="44">
        <f t="shared" si="43"/>
        <v>0</v>
      </c>
      <c r="R263" s="49">
        <f t="shared" si="46"/>
        <v>0</v>
      </c>
      <c r="S263" s="49">
        <f t="shared" si="44"/>
        <v>0</v>
      </c>
      <c r="T263" s="49">
        <f t="shared" si="39"/>
        <v>38</v>
      </c>
      <c r="U263" s="49">
        <f t="shared" si="40"/>
        <v>0</v>
      </c>
      <c r="V263" s="49">
        <f t="shared" si="37"/>
        <v>38</v>
      </c>
      <c r="W263" s="49">
        <f t="shared" si="38"/>
        <v>1</v>
      </c>
    </row>
    <row r="264" spans="2:23" ht="45.6">
      <c r="B264" s="933"/>
      <c r="C264" s="881"/>
      <c r="D264" s="888"/>
      <c r="E264" s="700" t="s">
        <v>617</v>
      </c>
      <c r="F264" s="213"/>
      <c r="G264" s="208" t="s">
        <v>1061</v>
      </c>
      <c r="H264" s="701" t="s">
        <v>324</v>
      </c>
      <c r="I264" s="67" t="s">
        <v>1145</v>
      </c>
      <c r="L264" s="49" t="str">
        <f>IF(OR(Overview!$D$4="Preliminary Documentation Review",Overview!$D$4="Preliminary Precertification Review"),IF(AND(P264=0,Q264=0),"",IF(AND(P264&gt;0,Q264&gt;0),"","MISMATCH")),"")</f>
        <v/>
      </c>
      <c r="M264" s="49" t="str">
        <f>IF(OR(Overview!$D$4="Preliminary Documentation Review",Overview!$D$4="Preliminary Precertification Review"),IF(AND(R264=0,S264=0),"",IF(AND(R264&gt;0,S264&gt;0),"","MISMATCH")),"")</f>
        <v/>
      </c>
      <c r="N264" s="49" t="str">
        <f>IF(OR(Overview!$D$4="Preliminary Documentation Review",Overview!$D$4="Preliminary Precertification Review"),IF(AND(T264=0,U264=0),"",IF(AND(T264&gt;0,U264&gt;0),"MISMATCH","")),"")</f>
        <v/>
      </c>
      <c r="O264" s="49" t="str">
        <f>IF(OR(Overview!$D$4="Preliminary Documentation Review",Overview!$D$4="Preliminary Precertification Review"),IF(AND(V264=0,W264=0),"",IF(AND(V264&gt;0,W264&gt;0),"","MISMATCH")),"")</f>
        <v/>
      </c>
      <c r="P264" s="44">
        <f t="shared" si="45"/>
        <v>0</v>
      </c>
      <c r="Q264" s="44">
        <f t="shared" si="43"/>
        <v>0</v>
      </c>
      <c r="R264" s="49">
        <f t="shared" si="46"/>
        <v>0</v>
      </c>
      <c r="S264" s="49">
        <f t="shared" si="44"/>
        <v>0</v>
      </c>
      <c r="T264" s="49">
        <f t="shared" si="39"/>
        <v>38</v>
      </c>
      <c r="U264" s="49">
        <f t="shared" si="40"/>
        <v>0</v>
      </c>
      <c r="V264" s="49">
        <f t="shared" si="37"/>
        <v>38</v>
      </c>
      <c r="W264" s="49">
        <f t="shared" si="38"/>
        <v>1</v>
      </c>
    </row>
    <row r="265" spans="2:23" ht="45.6">
      <c r="B265" s="933"/>
      <c r="C265" s="881" t="s">
        <v>23</v>
      </c>
      <c r="D265" s="888" t="s">
        <v>197</v>
      </c>
      <c r="E265" s="700" t="s">
        <v>311</v>
      </c>
      <c r="F265" s="211"/>
      <c r="G265" s="208" t="s">
        <v>1061</v>
      </c>
      <c r="H265" s="701" t="s">
        <v>324</v>
      </c>
      <c r="I265" s="67" t="s">
        <v>1145</v>
      </c>
      <c r="L265" s="49" t="str">
        <f>IF(OR(Overview!$D$4="Preliminary Documentation Review",Overview!$D$4="Preliminary Precertification Review"),IF(AND(P265=0,Q265=0),"",IF(AND(P265&gt;0,Q265&gt;0),"","MISMATCH")),"")</f>
        <v/>
      </c>
      <c r="M265" s="49" t="str">
        <f>IF(OR(Overview!$D$4="Preliminary Documentation Review",Overview!$D$4="Preliminary Precertification Review"),IF(AND(R265=0,S265=0),"",IF(AND(R265&gt;0,S265&gt;0),"","MISMATCH")),"")</f>
        <v/>
      </c>
      <c r="N265" s="49" t="str">
        <f>IF(OR(Overview!$D$4="Preliminary Documentation Review",Overview!$D$4="Preliminary Precertification Review"),IF(AND(T265=0,U265=0),"",IF(AND(T265&gt;0,U265&gt;0),"MISMATCH","")),"")</f>
        <v/>
      </c>
      <c r="O265" s="49" t="str">
        <f>IF(OR(Overview!$D$4="Preliminary Documentation Review",Overview!$D$4="Preliminary Precertification Review"),IF(AND(V265=0,W265=0),"",IF(AND(V265&gt;0,W265&gt;0),"","MISMATCH")),"")</f>
        <v/>
      </c>
      <c r="P265" s="44">
        <f t="shared" si="45"/>
        <v>0</v>
      </c>
      <c r="Q265" s="44">
        <f t="shared" si="43"/>
        <v>0</v>
      </c>
      <c r="R265" s="49">
        <f t="shared" si="46"/>
        <v>0</v>
      </c>
      <c r="S265" s="49">
        <f t="shared" si="44"/>
        <v>0</v>
      </c>
      <c r="T265" s="49">
        <f t="shared" si="39"/>
        <v>38</v>
      </c>
      <c r="U265" s="49">
        <f t="shared" si="40"/>
        <v>0</v>
      </c>
      <c r="V265" s="49">
        <f t="shared" si="37"/>
        <v>38</v>
      </c>
      <c r="W265" s="49">
        <f t="shared" si="38"/>
        <v>1</v>
      </c>
    </row>
    <row r="266" spans="2:23" ht="45.6">
      <c r="B266" s="933"/>
      <c r="C266" s="881"/>
      <c r="D266" s="888"/>
      <c r="E266" s="700" t="s">
        <v>618</v>
      </c>
      <c r="F266" s="213"/>
      <c r="G266" s="208" t="s">
        <v>1061</v>
      </c>
      <c r="H266" s="701" t="s">
        <v>324</v>
      </c>
      <c r="I266" s="67" t="s">
        <v>1145</v>
      </c>
      <c r="L266" s="49" t="str">
        <f>IF(OR(Overview!$D$4="Preliminary Documentation Review",Overview!$D$4="Preliminary Precertification Review"),IF(AND(P266=0,Q266=0),"",IF(AND(P266&gt;0,Q266&gt;0),"","MISMATCH")),"")</f>
        <v/>
      </c>
      <c r="M266" s="49" t="str">
        <f>IF(OR(Overview!$D$4="Preliminary Documentation Review",Overview!$D$4="Preliminary Precertification Review"),IF(AND(R266=0,S266=0),"",IF(AND(R266&gt;0,S266&gt;0),"","MISMATCH")),"")</f>
        <v/>
      </c>
      <c r="N266" s="49" t="str">
        <f>IF(OR(Overview!$D$4="Preliminary Documentation Review",Overview!$D$4="Preliminary Precertification Review"),IF(AND(T266=0,U266=0),"",IF(AND(T266&gt;0,U266&gt;0),"MISMATCH","")),"")</f>
        <v/>
      </c>
      <c r="O266" s="49" t="str">
        <f>IF(OR(Overview!$D$4="Preliminary Documentation Review",Overview!$D$4="Preliminary Precertification Review"),IF(AND(V266=0,W266=0),"",IF(AND(V266&gt;0,W266&gt;0),"","MISMATCH")),"")</f>
        <v/>
      </c>
      <c r="P266" s="44">
        <f t="shared" si="45"/>
        <v>0</v>
      </c>
      <c r="Q266" s="44">
        <f t="shared" si="43"/>
        <v>0</v>
      </c>
      <c r="R266" s="49">
        <f t="shared" si="46"/>
        <v>0</v>
      </c>
      <c r="S266" s="49">
        <f t="shared" si="44"/>
        <v>0</v>
      </c>
      <c r="T266" s="49">
        <f t="shared" si="39"/>
        <v>38</v>
      </c>
      <c r="U266" s="49">
        <f t="shared" si="40"/>
        <v>0</v>
      </c>
      <c r="V266" s="49">
        <f t="shared" si="37"/>
        <v>38</v>
      </c>
      <c r="W266" s="49">
        <f t="shared" si="38"/>
        <v>1</v>
      </c>
    </row>
    <row r="267" spans="2:23" ht="45.6">
      <c r="B267" s="933"/>
      <c r="C267" s="881" t="s">
        <v>23</v>
      </c>
      <c r="D267" s="888" t="s">
        <v>198</v>
      </c>
      <c r="E267" s="700" t="s">
        <v>312</v>
      </c>
      <c r="F267" s="211"/>
      <c r="G267" s="208" t="s">
        <v>1061</v>
      </c>
      <c r="H267" s="701" t="s">
        <v>324</v>
      </c>
      <c r="I267" s="67" t="s">
        <v>1145</v>
      </c>
      <c r="L267" s="49" t="str">
        <f>IF(OR(Overview!$D$4="Preliminary Documentation Review",Overview!$D$4="Preliminary Precertification Review"),IF(AND(P267=0,Q267=0),"",IF(AND(P267&gt;0,Q267&gt;0),"","MISMATCH")),"")</f>
        <v/>
      </c>
      <c r="M267" s="49" t="str">
        <f>IF(OR(Overview!$D$4="Preliminary Documentation Review",Overview!$D$4="Preliminary Precertification Review"),IF(AND(R267=0,S267=0),"",IF(AND(R267&gt;0,S267&gt;0),"","MISMATCH")),"")</f>
        <v/>
      </c>
      <c r="N267" s="49" t="str">
        <f>IF(OR(Overview!$D$4="Preliminary Documentation Review",Overview!$D$4="Preliminary Precertification Review"),IF(AND(T267=0,U267=0),"",IF(AND(T267&gt;0,U267&gt;0),"MISMATCH","")),"")</f>
        <v/>
      </c>
      <c r="O267" s="49" t="str">
        <f>IF(OR(Overview!$D$4="Preliminary Documentation Review",Overview!$D$4="Preliminary Precertification Review"),IF(AND(V267=0,W267=0),"",IF(AND(V267&gt;0,W267&gt;0),"","MISMATCH")),"")</f>
        <v/>
      </c>
      <c r="P267" s="44">
        <f t="shared" si="45"/>
        <v>0</v>
      </c>
      <c r="Q267" s="44">
        <f t="shared" si="43"/>
        <v>0</v>
      </c>
      <c r="R267" s="49">
        <f t="shared" si="46"/>
        <v>0</v>
      </c>
      <c r="S267" s="49">
        <f t="shared" si="44"/>
        <v>0</v>
      </c>
      <c r="T267" s="49">
        <f t="shared" si="39"/>
        <v>38</v>
      </c>
      <c r="U267" s="49">
        <f t="shared" si="40"/>
        <v>0</v>
      </c>
      <c r="V267" s="49">
        <f t="shared" ref="V267:V298" si="47">IFERROR(SEARCH("This Part has not been attempted.",$I267),IFERROR(SEARCH("Not Attempted",$I267),0))</f>
        <v>38</v>
      </c>
      <c r="W267" s="49">
        <f t="shared" si="38"/>
        <v>1</v>
      </c>
    </row>
    <row r="268" spans="2:23" ht="45.6">
      <c r="B268" s="933"/>
      <c r="C268" s="881"/>
      <c r="D268" s="888"/>
      <c r="E268" s="700" t="s">
        <v>619</v>
      </c>
      <c r="F268" s="213"/>
      <c r="G268" s="208" t="s">
        <v>1061</v>
      </c>
      <c r="H268" s="701" t="s">
        <v>324</v>
      </c>
      <c r="I268" s="67" t="s">
        <v>1145</v>
      </c>
      <c r="L268" s="49" t="str">
        <f>IF(OR(Overview!$D$4="Preliminary Documentation Review",Overview!$D$4="Preliminary Precertification Review"),IF(AND(P268=0,Q268=0),"",IF(AND(P268&gt;0,Q268&gt;0),"","MISMATCH")),"")</f>
        <v/>
      </c>
      <c r="M268" s="49" t="str">
        <f>IF(OR(Overview!$D$4="Preliminary Documentation Review",Overview!$D$4="Preliminary Precertification Review"),IF(AND(R268=0,S268=0),"",IF(AND(R268&gt;0,S268&gt;0),"","MISMATCH")),"")</f>
        <v/>
      </c>
      <c r="N268" s="49" t="str">
        <f>IF(OR(Overview!$D$4="Preliminary Documentation Review",Overview!$D$4="Preliminary Precertification Review"),IF(AND(T268=0,U268=0),"",IF(AND(T268&gt;0,U268&gt;0),"MISMATCH","")),"")</f>
        <v/>
      </c>
      <c r="O268" s="49" t="str">
        <f>IF(OR(Overview!$D$4="Preliminary Documentation Review",Overview!$D$4="Preliminary Precertification Review"),IF(AND(V268=0,W268=0),"",IF(AND(V268&gt;0,W268&gt;0),"","MISMATCH")),"")</f>
        <v/>
      </c>
      <c r="P268" s="44">
        <f t="shared" si="45"/>
        <v>0</v>
      </c>
      <c r="Q268" s="44">
        <f t="shared" si="43"/>
        <v>0</v>
      </c>
      <c r="R268" s="49">
        <f t="shared" si="46"/>
        <v>0</v>
      </c>
      <c r="S268" s="49">
        <f t="shared" si="44"/>
        <v>0</v>
      </c>
      <c r="T268" s="49">
        <f t="shared" si="39"/>
        <v>38</v>
      </c>
      <c r="U268" s="49">
        <f t="shared" si="40"/>
        <v>0</v>
      </c>
      <c r="V268" s="49">
        <f t="shared" si="47"/>
        <v>38</v>
      </c>
      <c r="W268" s="49">
        <f t="shared" si="38"/>
        <v>1</v>
      </c>
    </row>
    <row r="269" spans="2:23" ht="45.6">
      <c r="B269" s="933"/>
      <c r="C269" s="881" t="s">
        <v>23</v>
      </c>
      <c r="D269" s="888" t="s">
        <v>199</v>
      </c>
      <c r="E269" s="700" t="s">
        <v>620</v>
      </c>
      <c r="F269" s="211"/>
      <c r="G269" s="208" t="s">
        <v>1061</v>
      </c>
      <c r="H269" s="701" t="s">
        <v>324</v>
      </c>
      <c r="I269" s="67" t="s">
        <v>1145</v>
      </c>
      <c r="L269" s="49" t="str">
        <f>IF(OR(Overview!$D$4="Preliminary Documentation Review",Overview!$D$4="Preliminary Precertification Review"),IF(AND(P269=0,Q269=0),"",IF(AND(P269&gt;0,Q269&gt;0),"","MISMATCH")),"")</f>
        <v/>
      </c>
      <c r="M269" s="49" t="str">
        <f>IF(OR(Overview!$D$4="Preliminary Documentation Review",Overview!$D$4="Preliminary Precertification Review"),IF(AND(R269=0,S269=0),"",IF(AND(R269&gt;0,S269&gt;0),"","MISMATCH")),"")</f>
        <v/>
      </c>
      <c r="N269" s="49" t="str">
        <f>IF(OR(Overview!$D$4="Preliminary Documentation Review",Overview!$D$4="Preliminary Precertification Review"),IF(AND(T269=0,U269=0),"",IF(AND(T269&gt;0,U269&gt;0),"MISMATCH","")),"")</f>
        <v/>
      </c>
      <c r="O269" s="49" t="str">
        <f>IF(OR(Overview!$D$4="Preliminary Documentation Review",Overview!$D$4="Preliminary Precertification Review"),IF(AND(V269=0,W269=0),"",IF(AND(V269&gt;0,W269&gt;0),"","MISMATCH")),"")</f>
        <v/>
      </c>
      <c r="P269" s="44">
        <f t="shared" si="45"/>
        <v>0</v>
      </c>
      <c r="Q269" s="44">
        <f t="shared" si="43"/>
        <v>0</v>
      </c>
      <c r="R269" s="49">
        <f t="shared" si="46"/>
        <v>0</v>
      </c>
      <c r="S269" s="49">
        <f t="shared" si="44"/>
        <v>0</v>
      </c>
      <c r="T269" s="49">
        <f t="shared" si="39"/>
        <v>38</v>
      </c>
      <c r="U269" s="49">
        <f t="shared" si="40"/>
        <v>0</v>
      </c>
      <c r="V269" s="49">
        <f t="shared" si="47"/>
        <v>38</v>
      </c>
      <c r="W269" s="49">
        <f t="shared" si="38"/>
        <v>1</v>
      </c>
    </row>
    <row r="270" spans="2:23" ht="45.6">
      <c r="B270" s="933"/>
      <c r="C270" s="881"/>
      <c r="D270" s="888"/>
      <c r="E270" s="700" t="s">
        <v>621</v>
      </c>
      <c r="F270" s="213"/>
      <c r="G270" s="208" t="s">
        <v>1061</v>
      </c>
      <c r="H270" s="701" t="s">
        <v>324</v>
      </c>
      <c r="I270" s="67" t="s">
        <v>1145</v>
      </c>
      <c r="L270" s="49" t="str">
        <f>IF(OR(Overview!$D$4="Preliminary Documentation Review",Overview!$D$4="Preliminary Precertification Review"),IF(AND(P270=0,Q270=0),"",IF(AND(P270&gt;0,Q270&gt;0),"","MISMATCH")),"")</f>
        <v/>
      </c>
      <c r="M270" s="49" t="str">
        <f>IF(OR(Overview!$D$4="Preliminary Documentation Review",Overview!$D$4="Preliminary Precertification Review"),IF(AND(R270=0,S270=0),"",IF(AND(R270&gt;0,S270&gt;0),"","MISMATCH")),"")</f>
        <v/>
      </c>
      <c r="N270" s="49" t="str">
        <f>IF(OR(Overview!$D$4="Preliminary Documentation Review",Overview!$D$4="Preliminary Precertification Review"),IF(AND(T270=0,U270=0),"",IF(AND(T270&gt;0,U270&gt;0),"MISMATCH","")),"")</f>
        <v/>
      </c>
      <c r="O270" s="49" t="str">
        <f>IF(OR(Overview!$D$4="Preliminary Documentation Review",Overview!$D$4="Preliminary Precertification Review"),IF(AND(V270=0,W270=0),"",IF(AND(V270&gt;0,W270&gt;0),"","MISMATCH")),"")</f>
        <v/>
      </c>
      <c r="P270" s="44">
        <f t="shared" si="45"/>
        <v>0</v>
      </c>
      <c r="Q270" s="44">
        <f t="shared" si="43"/>
        <v>0</v>
      </c>
      <c r="R270" s="49">
        <f t="shared" si="46"/>
        <v>0</v>
      </c>
      <c r="S270" s="49">
        <f t="shared" si="44"/>
        <v>0</v>
      </c>
      <c r="T270" s="49">
        <f t="shared" si="39"/>
        <v>38</v>
      </c>
      <c r="U270" s="49">
        <f t="shared" si="40"/>
        <v>0</v>
      </c>
      <c r="V270" s="49">
        <f t="shared" si="47"/>
        <v>38</v>
      </c>
      <c r="W270" s="49">
        <f t="shared" si="38"/>
        <v>1</v>
      </c>
    </row>
    <row r="271" spans="2:23" ht="45.6">
      <c r="B271" s="933"/>
      <c r="C271" s="881" t="s">
        <v>23</v>
      </c>
      <c r="D271" s="888" t="s">
        <v>200</v>
      </c>
      <c r="E271" s="700" t="s">
        <v>313</v>
      </c>
      <c r="F271" s="211"/>
      <c r="G271" s="208" t="s">
        <v>1061</v>
      </c>
      <c r="H271" s="701" t="s">
        <v>324</v>
      </c>
      <c r="I271" s="67" t="s">
        <v>1145</v>
      </c>
      <c r="L271" s="49" t="str">
        <f>IF(OR(Overview!$D$4="Preliminary Documentation Review",Overview!$D$4="Preliminary Precertification Review"),IF(AND(P271=0,Q271=0),"",IF(AND(P271&gt;0,Q271&gt;0),"","MISMATCH")),"")</f>
        <v/>
      </c>
      <c r="M271" s="49" t="str">
        <f>IF(OR(Overview!$D$4="Preliminary Documentation Review",Overview!$D$4="Preliminary Precertification Review"),IF(AND(R271=0,S271=0),"",IF(AND(R271&gt;0,S271&gt;0),"","MISMATCH")),"")</f>
        <v/>
      </c>
      <c r="N271" s="49" t="str">
        <f>IF(OR(Overview!$D$4="Preliminary Documentation Review",Overview!$D$4="Preliminary Precertification Review"),IF(AND(T271=0,U271=0),"",IF(AND(T271&gt;0,U271&gt;0),"MISMATCH","")),"")</f>
        <v/>
      </c>
      <c r="O271" s="49" t="str">
        <f>IF(OR(Overview!$D$4="Preliminary Documentation Review",Overview!$D$4="Preliminary Precertification Review"),IF(AND(V271=0,W271=0),"",IF(AND(V271&gt;0,W271&gt;0),"","MISMATCH")),"")</f>
        <v/>
      </c>
      <c r="P271" s="44">
        <f t="shared" si="45"/>
        <v>0</v>
      </c>
      <c r="Q271" s="44">
        <f t="shared" si="43"/>
        <v>0</v>
      </c>
      <c r="R271" s="49">
        <f t="shared" si="46"/>
        <v>0</v>
      </c>
      <c r="S271" s="49">
        <f t="shared" si="44"/>
        <v>0</v>
      </c>
      <c r="T271" s="49">
        <f t="shared" si="39"/>
        <v>38</v>
      </c>
      <c r="U271" s="49">
        <f t="shared" si="40"/>
        <v>0</v>
      </c>
      <c r="V271" s="49">
        <f t="shared" si="47"/>
        <v>38</v>
      </c>
      <c r="W271" s="49">
        <f t="shared" si="38"/>
        <v>1</v>
      </c>
    </row>
    <row r="272" spans="2:23" ht="45.6">
      <c r="B272" s="933"/>
      <c r="C272" s="881"/>
      <c r="D272" s="888"/>
      <c r="E272" s="700" t="s">
        <v>622</v>
      </c>
      <c r="F272" s="213"/>
      <c r="G272" s="208" t="s">
        <v>1061</v>
      </c>
      <c r="H272" s="701" t="s">
        <v>324</v>
      </c>
      <c r="I272" s="67" t="s">
        <v>1145</v>
      </c>
      <c r="L272" s="49" t="str">
        <f>IF(OR(Overview!$D$4="Preliminary Documentation Review",Overview!$D$4="Preliminary Precertification Review"),IF(AND(P272=0,Q272=0),"",IF(AND(P272&gt;0,Q272&gt;0),"","MISMATCH")),"")</f>
        <v/>
      </c>
      <c r="M272" s="49" t="str">
        <f>IF(OR(Overview!$D$4="Preliminary Documentation Review",Overview!$D$4="Preliminary Precertification Review"),IF(AND(R272=0,S272=0),"",IF(AND(R272&gt;0,S272&gt;0),"","MISMATCH")),"")</f>
        <v/>
      </c>
      <c r="N272" s="49" t="str">
        <f>IF(OR(Overview!$D$4="Preliminary Documentation Review",Overview!$D$4="Preliminary Precertification Review"),IF(AND(T272=0,U272=0),"",IF(AND(T272&gt;0,U272&gt;0),"MISMATCH","")),"")</f>
        <v/>
      </c>
      <c r="O272" s="49" t="str">
        <f>IF(OR(Overview!$D$4="Preliminary Documentation Review",Overview!$D$4="Preliminary Precertification Review"),IF(AND(V272=0,W272=0),"",IF(AND(V272&gt;0,W272&gt;0),"","MISMATCH")),"")</f>
        <v/>
      </c>
      <c r="P272" s="44">
        <f t="shared" si="45"/>
        <v>0</v>
      </c>
      <c r="Q272" s="44">
        <f t="shared" si="43"/>
        <v>0</v>
      </c>
      <c r="R272" s="49">
        <f t="shared" si="46"/>
        <v>0</v>
      </c>
      <c r="S272" s="49">
        <f t="shared" si="44"/>
        <v>0</v>
      </c>
      <c r="T272" s="49">
        <f t="shared" si="39"/>
        <v>38</v>
      </c>
      <c r="U272" s="49">
        <f t="shared" si="40"/>
        <v>0</v>
      </c>
      <c r="V272" s="49">
        <f t="shared" si="47"/>
        <v>38</v>
      </c>
      <c r="W272" s="49">
        <f t="shared" si="38"/>
        <v>1</v>
      </c>
    </row>
    <row r="273" spans="2:23" ht="45.6">
      <c r="B273" s="933"/>
      <c r="C273" s="881" t="s">
        <v>23</v>
      </c>
      <c r="D273" s="888" t="s">
        <v>201</v>
      </c>
      <c r="E273" s="700" t="s">
        <v>623</v>
      </c>
      <c r="F273" s="211"/>
      <c r="G273" s="208" t="s">
        <v>1061</v>
      </c>
      <c r="H273" s="701" t="s">
        <v>324</v>
      </c>
      <c r="I273" s="67" t="s">
        <v>1145</v>
      </c>
      <c r="L273" s="49" t="str">
        <f>IF(OR(Overview!$D$4="Preliminary Documentation Review",Overview!$D$4="Preliminary Precertification Review"),IF(AND(P273=0,Q273=0),"",IF(AND(P273&gt;0,Q273&gt;0),"","MISMATCH")),"")</f>
        <v/>
      </c>
      <c r="M273" s="49" t="str">
        <f>IF(OR(Overview!$D$4="Preliminary Documentation Review",Overview!$D$4="Preliminary Precertification Review"),IF(AND(R273=0,S273=0),"",IF(AND(R273&gt;0,S273&gt;0),"","MISMATCH")),"")</f>
        <v/>
      </c>
      <c r="N273" s="49" t="str">
        <f>IF(OR(Overview!$D$4="Preliminary Documentation Review",Overview!$D$4="Preliminary Precertification Review"),IF(AND(T273=0,U273=0),"",IF(AND(T273&gt;0,U273&gt;0),"MISMATCH","")),"")</f>
        <v/>
      </c>
      <c r="O273" s="49" t="str">
        <f>IF(OR(Overview!$D$4="Preliminary Documentation Review",Overview!$D$4="Preliminary Precertification Review"),IF(AND(V273=0,W273=0),"",IF(AND(V273&gt;0,W273&gt;0),"","MISMATCH")),"")</f>
        <v/>
      </c>
      <c r="P273" s="44">
        <f t="shared" si="45"/>
        <v>0</v>
      </c>
      <c r="Q273" s="44">
        <f t="shared" si="43"/>
        <v>0</v>
      </c>
      <c r="R273" s="49">
        <f t="shared" si="46"/>
        <v>0</v>
      </c>
      <c r="S273" s="49">
        <f t="shared" si="44"/>
        <v>0</v>
      </c>
      <c r="T273" s="49">
        <f t="shared" si="39"/>
        <v>38</v>
      </c>
      <c r="U273" s="49">
        <f t="shared" si="40"/>
        <v>0</v>
      </c>
      <c r="V273" s="49">
        <f t="shared" si="47"/>
        <v>38</v>
      </c>
      <c r="W273" s="49">
        <f t="shared" si="38"/>
        <v>1</v>
      </c>
    </row>
    <row r="274" spans="2:23" ht="46.8">
      <c r="B274" s="933"/>
      <c r="C274" s="881"/>
      <c r="D274" s="888"/>
      <c r="E274" s="700" t="s">
        <v>314</v>
      </c>
      <c r="F274" s="212">
        <v>2</v>
      </c>
      <c r="G274" s="208" t="s">
        <v>1071</v>
      </c>
      <c r="H274" s="701" t="s">
        <v>369</v>
      </c>
      <c r="I274" s="794" t="s">
        <v>1142</v>
      </c>
      <c r="L274" s="49" t="str">
        <f>IF(OR(Overview!$D$4="Preliminary Documentation Review",Overview!$D$4="Preliminary Precertification Review"),IF(AND(P274=0,Q274=0),"",IF(AND(P274&gt;0,Q274&gt;0),"","MISMATCH")),"")</f>
        <v/>
      </c>
      <c r="M274" s="49" t="str">
        <f>IF(OR(Overview!$D$4="Preliminary Documentation Review",Overview!$D$4="Preliminary Precertification Review"),IF(AND(R274=0,S274=0),"",IF(AND(R274&gt;0,S274&gt;0),"","MISMATCH")),"")</f>
        <v/>
      </c>
      <c r="N274" s="49" t="str">
        <f>IF(OR(Overview!$D$4="Preliminary Documentation Review",Overview!$D$4="Preliminary Precertification Review"),IF(AND(T274=0,U274=0),"",IF(AND(T274&gt;0,U274&gt;0),"MISMATCH","")),"")</f>
        <v/>
      </c>
      <c r="O274" s="49" t="str">
        <f>IF(OR(Overview!$D$4="Preliminary Documentation Review",Overview!$D$4="Preliminary Precertification Review"),IF(AND(V274=0,W274=0),"",IF(AND(V274&gt;0,W274&gt;0),"","MISMATCH")),"")</f>
        <v/>
      </c>
      <c r="P274" s="44">
        <f t="shared" si="45"/>
        <v>0</v>
      </c>
      <c r="Q274" s="44">
        <f t="shared" si="43"/>
        <v>0</v>
      </c>
      <c r="R274" s="49">
        <f t="shared" si="46"/>
        <v>0</v>
      </c>
      <c r="S274" s="49">
        <f t="shared" si="44"/>
        <v>0</v>
      </c>
      <c r="T274" s="49">
        <f t="shared" si="39"/>
        <v>0</v>
      </c>
      <c r="U274" s="49">
        <f t="shared" si="40"/>
        <v>1</v>
      </c>
      <c r="V274" s="49">
        <f t="shared" si="47"/>
        <v>0</v>
      </c>
      <c r="W274" s="49">
        <f t="shared" si="38"/>
        <v>0</v>
      </c>
    </row>
    <row r="275" spans="2:23" ht="45.6">
      <c r="B275" s="933"/>
      <c r="C275" s="881"/>
      <c r="D275" s="888"/>
      <c r="E275" s="700" t="s">
        <v>624</v>
      </c>
      <c r="F275" s="213"/>
      <c r="G275" s="208" t="s">
        <v>1061</v>
      </c>
      <c r="H275" s="701" t="s">
        <v>324</v>
      </c>
      <c r="I275" s="67" t="s">
        <v>1145</v>
      </c>
      <c r="L275" s="49" t="str">
        <f>IF(OR(Overview!$D$4="Preliminary Documentation Review",Overview!$D$4="Preliminary Precertification Review"),IF(AND(P275=0,Q275=0),"",IF(AND(P275&gt;0,Q275&gt;0),"","MISMATCH")),"")</f>
        <v/>
      </c>
      <c r="M275" s="49" t="str">
        <f>IF(OR(Overview!$D$4="Preliminary Documentation Review",Overview!$D$4="Preliminary Precertification Review"),IF(AND(R275=0,S275=0),"",IF(AND(R275&gt;0,S275&gt;0),"","MISMATCH")),"")</f>
        <v/>
      </c>
      <c r="N275" s="49" t="str">
        <f>IF(OR(Overview!$D$4="Preliminary Documentation Review",Overview!$D$4="Preliminary Precertification Review"),IF(AND(T275=0,U275=0),"",IF(AND(T275&gt;0,U275&gt;0),"MISMATCH","")),"")</f>
        <v/>
      </c>
      <c r="O275" s="49" t="str">
        <f>IF(OR(Overview!$D$4="Preliminary Documentation Review",Overview!$D$4="Preliminary Precertification Review"),IF(AND(V275=0,W275=0),"",IF(AND(V275&gt;0,W275&gt;0),"","MISMATCH")),"")</f>
        <v/>
      </c>
      <c r="P275" s="44">
        <f t="shared" si="45"/>
        <v>0</v>
      </c>
      <c r="Q275" s="44">
        <f t="shared" si="43"/>
        <v>0</v>
      </c>
      <c r="R275" s="49">
        <f t="shared" si="46"/>
        <v>0</v>
      </c>
      <c r="S275" s="49">
        <f t="shared" si="44"/>
        <v>0</v>
      </c>
      <c r="T275" s="49">
        <f t="shared" si="39"/>
        <v>38</v>
      </c>
      <c r="U275" s="49">
        <f t="shared" si="40"/>
        <v>0</v>
      </c>
      <c r="V275" s="49">
        <f t="shared" si="47"/>
        <v>38</v>
      </c>
      <c r="W275" s="49">
        <f t="shared" si="38"/>
        <v>1</v>
      </c>
    </row>
    <row r="276" spans="2:23" ht="45.6">
      <c r="B276" s="933"/>
      <c r="C276" s="881" t="s">
        <v>23</v>
      </c>
      <c r="D276" s="888" t="s">
        <v>202</v>
      </c>
      <c r="E276" s="700" t="s">
        <v>625</v>
      </c>
      <c r="F276" s="211"/>
      <c r="G276" s="208" t="s">
        <v>1061</v>
      </c>
      <c r="H276" s="701" t="s">
        <v>324</v>
      </c>
      <c r="I276" s="67" t="s">
        <v>1145</v>
      </c>
      <c r="L276" s="49" t="str">
        <f>IF(OR(Overview!$D$4="Preliminary Documentation Review",Overview!$D$4="Preliminary Precertification Review"),IF(AND(P276=0,Q276=0),"",IF(AND(P276&gt;0,Q276&gt;0),"","MISMATCH")),"")</f>
        <v/>
      </c>
      <c r="M276" s="49" t="str">
        <f>IF(OR(Overview!$D$4="Preliminary Documentation Review",Overview!$D$4="Preliminary Precertification Review"),IF(AND(R276=0,S276=0),"",IF(AND(R276&gt;0,S276&gt;0),"","MISMATCH")),"")</f>
        <v/>
      </c>
      <c r="N276" s="49" t="str">
        <f>IF(OR(Overview!$D$4="Preliminary Documentation Review",Overview!$D$4="Preliminary Precertification Review"),IF(AND(T276=0,U276=0),"",IF(AND(T276&gt;0,U276&gt;0),"MISMATCH","")),"")</f>
        <v/>
      </c>
      <c r="O276" s="49" t="str">
        <f>IF(OR(Overview!$D$4="Preliminary Documentation Review",Overview!$D$4="Preliminary Precertification Review"),IF(AND(V276=0,W276=0),"",IF(AND(V276&gt;0,W276&gt;0),"","MISMATCH")),"")</f>
        <v/>
      </c>
      <c r="P276" s="44">
        <f t="shared" si="45"/>
        <v>0</v>
      </c>
      <c r="Q276" s="44">
        <f t="shared" si="43"/>
        <v>0</v>
      </c>
      <c r="R276" s="49">
        <f t="shared" si="46"/>
        <v>0</v>
      </c>
      <c r="S276" s="49">
        <f t="shared" si="44"/>
        <v>0</v>
      </c>
      <c r="T276" s="49">
        <f t="shared" si="39"/>
        <v>38</v>
      </c>
      <c r="U276" s="49">
        <f t="shared" si="40"/>
        <v>0</v>
      </c>
      <c r="V276" s="49">
        <f t="shared" si="47"/>
        <v>38</v>
      </c>
      <c r="W276" s="49">
        <f t="shared" si="38"/>
        <v>1</v>
      </c>
    </row>
    <row r="277" spans="2:23" ht="45.6">
      <c r="B277" s="933"/>
      <c r="C277" s="881"/>
      <c r="D277" s="888"/>
      <c r="E277" s="700" t="s">
        <v>626</v>
      </c>
      <c r="F277" s="212"/>
      <c r="G277" s="208" t="s">
        <v>1061</v>
      </c>
      <c r="H277" s="701" t="s">
        <v>324</v>
      </c>
      <c r="I277" s="67" t="s">
        <v>1145</v>
      </c>
      <c r="L277" s="49" t="str">
        <f>IF(OR(Overview!$D$4="Preliminary Documentation Review",Overview!$D$4="Preliminary Precertification Review"),IF(AND(P277=0,Q277=0),"",IF(AND(P277&gt;0,Q277&gt;0),"","MISMATCH")),"")</f>
        <v/>
      </c>
      <c r="M277" s="49" t="str">
        <f>IF(OR(Overview!$D$4="Preliminary Documentation Review",Overview!$D$4="Preliminary Precertification Review"),IF(AND(R277=0,S277=0),"",IF(AND(R277&gt;0,S277&gt;0),"","MISMATCH")),"")</f>
        <v/>
      </c>
      <c r="N277" s="49" t="str">
        <f>IF(OR(Overview!$D$4="Preliminary Documentation Review",Overview!$D$4="Preliminary Precertification Review"),IF(AND(T277=0,U277=0),"",IF(AND(T277&gt;0,U277&gt;0),"MISMATCH","")),"")</f>
        <v/>
      </c>
      <c r="O277" s="49" t="str">
        <f>IF(OR(Overview!$D$4="Preliminary Documentation Review",Overview!$D$4="Preliminary Precertification Review"),IF(AND(V277=0,W277=0),"",IF(AND(V277&gt;0,W277&gt;0),"","MISMATCH")),"")</f>
        <v/>
      </c>
      <c r="P277" s="44">
        <f t="shared" si="45"/>
        <v>0</v>
      </c>
      <c r="Q277" s="44">
        <f t="shared" si="43"/>
        <v>0</v>
      </c>
      <c r="R277" s="49">
        <f t="shared" si="46"/>
        <v>0</v>
      </c>
      <c r="S277" s="49">
        <f t="shared" si="44"/>
        <v>0</v>
      </c>
      <c r="T277" s="49">
        <f t="shared" si="39"/>
        <v>38</v>
      </c>
      <c r="U277" s="49">
        <f t="shared" si="40"/>
        <v>0</v>
      </c>
      <c r="V277" s="49">
        <f t="shared" si="47"/>
        <v>38</v>
      </c>
      <c r="W277" s="49">
        <f t="shared" si="38"/>
        <v>1</v>
      </c>
    </row>
    <row r="278" spans="2:23" ht="45.6">
      <c r="B278" s="933"/>
      <c r="C278" s="881"/>
      <c r="D278" s="888"/>
      <c r="E278" s="700" t="s">
        <v>627</v>
      </c>
      <c r="F278" s="212"/>
      <c r="G278" s="208" t="s">
        <v>1061</v>
      </c>
      <c r="H278" s="701" t="s">
        <v>324</v>
      </c>
      <c r="I278" s="67" t="s">
        <v>1145</v>
      </c>
      <c r="L278" s="49" t="str">
        <f>IF(OR(Overview!$D$4="Preliminary Documentation Review",Overview!$D$4="Preliminary Precertification Review"),IF(AND(P278=0,Q278=0),"",IF(AND(P278&gt;0,Q278&gt;0),"","MISMATCH")),"")</f>
        <v/>
      </c>
      <c r="M278" s="49" t="str">
        <f>IF(OR(Overview!$D$4="Preliminary Documentation Review",Overview!$D$4="Preliminary Precertification Review"),IF(AND(R278=0,S278=0),"",IF(AND(R278&gt;0,S278&gt;0),"","MISMATCH")),"")</f>
        <v/>
      </c>
      <c r="N278" s="49" t="str">
        <f>IF(OR(Overview!$D$4="Preliminary Documentation Review",Overview!$D$4="Preliminary Precertification Review"),IF(AND(T278=0,U278=0),"",IF(AND(T278&gt;0,U278&gt;0),"MISMATCH","")),"")</f>
        <v/>
      </c>
      <c r="O278" s="49" t="str">
        <f>IF(OR(Overview!$D$4="Preliminary Documentation Review",Overview!$D$4="Preliminary Precertification Review"),IF(AND(V278=0,W278=0),"",IF(AND(V278&gt;0,W278&gt;0),"","MISMATCH")),"")</f>
        <v/>
      </c>
      <c r="P278" s="44">
        <f t="shared" si="45"/>
        <v>0</v>
      </c>
      <c r="Q278" s="44">
        <f t="shared" si="43"/>
        <v>0</v>
      </c>
      <c r="R278" s="49">
        <f t="shared" si="46"/>
        <v>0</v>
      </c>
      <c r="S278" s="49">
        <f t="shared" si="44"/>
        <v>0</v>
      </c>
      <c r="T278" s="49">
        <f t="shared" si="39"/>
        <v>38</v>
      </c>
      <c r="U278" s="49">
        <f t="shared" si="40"/>
        <v>0</v>
      </c>
      <c r="V278" s="49">
        <f t="shared" si="47"/>
        <v>38</v>
      </c>
      <c r="W278" s="49">
        <f t="shared" si="38"/>
        <v>1</v>
      </c>
    </row>
    <row r="279" spans="2:23" ht="45.6">
      <c r="B279" s="933"/>
      <c r="C279" s="881"/>
      <c r="D279" s="888"/>
      <c r="E279" s="700" t="s">
        <v>628</v>
      </c>
      <c r="F279" s="213"/>
      <c r="G279" s="208" t="s">
        <v>1061</v>
      </c>
      <c r="H279" s="701" t="s">
        <v>324</v>
      </c>
      <c r="I279" s="67" t="s">
        <v>1145</v>
      </c>
      <c r="L279" s="49" t="str">
        <f>IF(OR(Overview!$D$4="Preliminary Documentation Review",Overview!$D$4="Preliminary Precertification Review"),IF(AND(P279=0,Q279=0),"",IF(AND(P279&gt;0,Q279&gt;0),"","MISMATCH")),"")</f>
        <v/>
      </c>
      <c r="M279" s="49" t="str">
        <f>IF(OR(Overview!$D$4="Preliminary Documentation Review",Overview!$D$4="Preliminary Precertification Review"),IF(AND(R279=0,S279=0),"",IF(AND(R279&gt;0,S279&gt;0),"","MISMATCH")),"")</f>
        <v/>
      </c>
      <c r="N279" s="49" t="str">
        <f>IF(OR(Overview!$D$4="Preliminary Documentation Review",Overview!$D$4="Preliminary Precertification Review"),IF(AND(T279=0,U279=0),"",IF(AND(T279&gt;0,U279&gt;0),"MISMATCH","")),"")</f>
        <v/>
      </c>
      <c r="O279" s="49" t="str">
        <f>IF(OR(Overview!$D$4="Preliminary Documentation Review",Overview!$D$4="Preliminary Precertification Review"),IF(AND(V279=0,W279=0),"",IF(AND(V279&gt;0,W279&gt;0),"","MISMATCH")),"")</f>
        <v/>
      </c>
      <c r="P279" s="44">
        <f t="shared" si="45"/>
        <v>0</v>
      </c>
      <c r="Q279" s="44">
        <f t="shared" si="43"/>
        <v>0</v>
      </c>
      <c r="R279" s="49">
        <f t="shared" si="46"/>
        <v>0</v>
      </c>
      <c r="S279" s="49">
        <f t="shared" si="44"/>
        <v>0</v>
      </c>
      <c r="T279" s="49">
        <f t="shared" si="39"/>
        <v>38</v>
      </c>
      <c r="U279" s="49">
        <f t="shared" si="40"/>
        <v>0</v>
      </c>
      <c r="V279" s="49">
        <f t="shared" si="47"/>
        <v>38</v>
      </c>
      <c r="W279" s="49">
        <f t="shared" si="38"/>
        <v>1</v>
      </c>
    </row>
    <row r="280" spans="2:23" ht="45.6">
      <c r="B280" s="933"/>
      <c r="C280" s="881" t="s">
        <v>23</v>
      </c>
      <c r="D280" s="888" t="s">
        <v>203</v>
      </c>
      <c r="E280" s="700" t="s">
        <v>629</v>
      </c>
      <c r="F280" s="214"/>
      <c r="G280" s="208" t="s">
        <v>1061</v>
      </c>
      <c r="H280" s="701" t="s">
        <v>324</v>
      </c>
      <c r="I280" s="67" t="s">
        <v>1145</v>
      </c>
      <c r="L280" s="49" t="str">
        <f>IF(OR(Overview!$D$4="Preliminary Documentation Review",Overview!$D$4="Preliminary Precertification Review"),IF(AND(P280=0,Q280=0),"",IF(AND(P280&gt;0,Q280&gt;0),"","MISMATCH")),"")</f>
        <v/>
      </c>
      <c r="M280" s="49" t="str">
        <f>IF(OR(Overview!$D$4="Preliminary Documentation Review",Overview!$D$4="Preliminary Precertification Review"),IF(AND(R280=0,S280=0),"",IF(AND(R280&gt;0,S280&gt;0),"","MISMATCH")),"")</f>
        <v/>
      </c>
      <c r="N280" s="49" t="str">
        <f>IF(OR(Overview!$D$4="Preliminary Documentation Review",Overview!$D$4="Preliminary Precertification Review"),IF(AND(T280=0,U280=0),"",IF(AND(T280&gt;0,U280&gt;0),"MISMATCH","")),"")</f>
        <v/>
      </c>
      <c r="O280" s="49" t="str">
        <f>IF(OR(Overview!$D$4="Preliminary Documentation Review",Overview!$D$4="Preliminary Precertification Review"),IF(AND(V280=0,W280=0),"",IF(AND(V280&gt;0,W280&gt;0),"","MISMATCH")),"")</f>
        <v/>
      </c>
      <c r="P280" s="44">
        <f t="shared" si="45"/>
        <v>0</v>
      </c>
      <c r="Q280" s="44">
        <f t="shared" si="43"/>
        <v>0</v>
      </c>
      <c r="R280" s="49">
        <f t="shared" si="46"/>
        <v>0</v>
      </c>
      <c r="S280" s="49">
        <f t="shared" si="44"/>
        <v>0</v>
      </c>
      <c r="T280" s="49">
        <f t="shared" si="39"/>
        <v>38</v>
      </c>
      <c r="U280" s="49">
        <f t="shared" si="40"/>
        <v>0</v>
      </c>
      <c r="V280" s="49">
        <f t="shared" si="47"/>
        <v>38</v>
      </c>
      <c r="W280" s="49">
        <f t="shared" si="38"/>
        <v>1</v>
      </c>
    </row>
    <row r="281" spans="2:23" ht="45.6">
      <c r="B281" s="933"/>
      <c r="C281" s="881" t="s">
        <v>23</v>
      </c>
      <c r="D281" s="888" t="s">
        <v>204</v>
      </c>
      <c r="E281" s="700" t="s">
        <v>315</v>
      </c>
      <c r="F281" s="214"/>
      <c r="G281" s="208" t="s">
        <v>1061</v>
      </c>
      <c r="H281" s="701" t="s">
        <v>324</v>
      </c>
      <c r="I281" s="67" t="s">
        <v>1145</v>
      </c>
      <c r="L281" s="49" t="str">
        <f>IF(OR(Overview!$D$4="Preliminary Documentation Review",Overview!$D$4="Preliminary Precertification Review"),IF(AND(P281=0,Q281=0),"",IF(AND(P281&gt;0,Q281&gt;0),"","MISMATCH")),"")</f>
        <v/>
      </c>
      <c r="M281" s="49" t="str">
        <f>IF(OR(Overview!$D$4="Preliminary Documentation Review",Overview!$D$4="Preliminary Precertification Review"),IF(AND(R281=0,S281=0),"",IF(AND(R281&gt;0,S281&gt;0),"","MISMATCH")),"")</f>
        <v/>
      </c>
      <c r="N281" s="49" t="str">
        <f>IF(OR(Overview!$D$4="Preliminary Documentation Review",Overview!$D$4="Preliminary Precertification Review"),IF(AND(T281=0,U281=0),"",IF(AND(T281&gt;0,U281&gt;0),"MISMATCH","")),"")</f>
        <v/>
      </c>
      <c r="O281" s="49" t="str">
        <f>IF(OR(Overview!$D$4="Preliminary Documentation Review",Overview!$D$4="Preliminary Precertification Review"),IF(AND(V281=0,W281=0),"",IF(AND(V281&gt;0,W281&gt;0),"","MISMATCH")),"")</f>
        <v/>
      </c>
      <c r="P281" s="44">
        <f t="shared" si="45"/>
        <v>0</v>
      </c>
      <c r="Q281" s="44">
        <f t="shared" si="43"/>
        <v>0</v>
      </c>
      <c r="R281" s="49">
        <f t="shared" si="46"/>
        <v>0</v>
      </c>
      <c r="S281" s="49">
        <f t="shared" si="44"/>
        <v>0</v>
      </c>
      <c r="T281" s="49">
        <f t="shared" si="39"/>
        <v>38</v>
      </c>
      <c r="U281" s="49">
        <f t="shared" si="40"/>
        <v>0</v>
      </c>
      <c r="V281" s="49">
        <f t="shared" si="47"/>
        <v>38</v>
      </c>
      <c r="W281" s="49">
        <f t="shared" ref="W281:W298" si="48">IFERROR(SEARCH("Not Attempted",$H281),0)</f>
        <v>1</v>
      </c>
    </row>
    <row r="282" spans="2:23" ht="46.8">
      <c r="B282" s="933"/>
      <c r="C282" s="881" t="s">
        <v>23</v>
      </c>
      <c r="D282" s="888" t="s">
        <v>205</v>
      </c>
      <c r="E282" s="700" t="s">
        <v>630</v>
      </c>
      <c r="F282" s="211">
        <v>1</v>
      </c>
      <c r="G282" s="208" t="s">
        <v>1071</v>
      </c>
      <c r="H282" s="701" t="s">
        <v>369</v>
      </c>
      <c r="I282" s="794" t="s">
        <v>1142</v>
      </c>
      <c r="L282" s="49" t="str">
        <f>IF(OR(Overview!$D$4="Preliminary Documentation Review",Overview!$D$4="Preliminary Precertification Review"),IF(AND(P282=0,Q282=0),"",IF(AND(P282&gt;0,Q282&gt;0),"","MISMATCH")),"")</f>
        <v/>
      </c>
      <c r="M282" s="49" t="str">
        <f>IF(OR(Overview!$D$4="Preliminary Documentation Review",Overview!$D$4="Preliminary Precertification Review"),IF(AND(R282=0,S282=0),"",IF(AND(R282&gt;0,S282&gt;0),"","MISMATCH")),"")</f>
        <v/>
      </c>
      <c r="N282" s="49" t="str">
        <f>IF(OR(Overview!$D$4="Preliminary Documentation Review",Overview!$D$4="Preliminary Precertification Review"),IF(AND(T282=0,U282=0),"",IF(AND(T282&gt;0,U282&gt;0),"MISMATCH","")),"")</f>
        <v/>
      </c>
      <c r="O282" s="49" t="str">
        <f>IF(OR(Overview!$D$4="Preliminary Documentation Review",Overview!$D$4="Preliminary Precertification Review"),IF(AND(V282=0,W282=0),"",IF(AND(V282&gt;0,W282&gt;0),"","MISMATCH")),"")</f>
        <v/>
      </c>
      <c r="P282" s="44">
        <f t="shared" si="45"/>
        <v>0</v>
      </c>
      <c r="Q282" s="44">
        <f t="shared" si="43"/>
        <v>0</v>
      </c>
      <c r="R282" s="49">
        <f t="shared" si="46"/>
        <v>0</v>
      </c>
      <c r="S282" s="49">
        <f t="shared" si="44"/>
        <v>0</v>
      </c>
      <c r="T282" s="49">
        <f t="shared" ref="T282:T298" si="49">IFERROR(SEARCH("This Part has no",$I282),0)</f>
        <v>0</v>
      </c>
      <c r="U282" s="49">
        <f t="shared" ref="U282:U298" si="50">IFERROR(SEARCH("Anticipated",$H282),0)</f>
        <v>1</v>
      </c>
      <c r="V282" s="49">
        <f t="shared" si="47"/>
        <v>0</v>
      </c>
      <c r="W282" s="49">
        <f t="shared" si="48"/>
        <v>0</v>
      </c>
    </row>
    <row r="283" spans="2:23" ht="45.6">
      <c r="B283" s="933"/>
      <c r="C283" s="881"/>
      <c r="D283" s="888"/>
      <c r="E283" s="700" t="s">
        <v>316</v>
      </c>
      <c r="F283" s="213"/>
      <c r="G283" s="208" t="s">
        <v>1061</v>
      </c>
      <c r="H283" s="701" t="s">
        <v>324</v>
      </c>
      <c r="I283" s="67" t="s">
        <v>1145</v>
      </c>
      <c r="L283" s="49" t="str">
        <f>IF(OR(Overview!$D$4="Preliminary Documentation Review",Overview!$D$4="Preliminary Precertification Review"),IF(AND(P283=0,Q283=0),"",IF(AND(P283&gt;0,Q283&gt;0),"","MISMATCH")),"")</f>
        <v/>
      </c>
      <c r="M283" s="49" t="str">
        <f>IF(OR(Overview!$D$4="Preliminary Documentation Review",Overview!$D$4="Preliminary Precertification Review"),IF(AND(R283=0,S283=0),"",IF(AND(R283&gt;0,S283&gt;0),"","MISMATCH")),"")</f>
        <v/>
      </c>
      <c r="N283" s="49" t="str">
        <f>IF(OR(Overview!$D$4="Preliminary Documentation Review",Overview!$D$4="Preliminary Precertification Review"),IF(AND(T283=0,U283=0),"",IF(AND(T283&gt;0,U283&gt;0),"MISMATCH","")),"")</f>
        <v/>
      </c>
      <c r="O283" s="49" t="str">
        <f>IF(OR(Overview!$D$4="Preliminary Documentation Review",Overview!$D$4="Preliminary Precertification Review"),IF(AND(V283=0,W283=0),"",IF(AND(V283&gt;0,W283&gt;0),"","MISMATCH")),"")</f>
        <v/>
      </c>
      <c r="P283" s="44">
        <f t="shared" si="45"/>
        <v>0</v>
      </c>
      <c r="Q283" s="44">
        <f t="shared" si="43"/>
        <v>0</v>
      </c>
      <c r="R283" s="49">
        <f t="shared" si="46"/>
        <v>0</v>
      </c>
      <c r="S283" s="49">
        <f t="shared" si="44"/>
        <v>0</v>
      </c>
      <c r="T283" s="49">
        <f t="shared" si="49"/>
        <v>38</v>
      </c>
      <c r="U283" s="49">
        <f t="shared" si="50"/>
        <v>0</v>
      </c>
      <c r="V283" s="49">
        <f t="shared" si="47"/>
        <v>38</v>
      </c>
      <c r="W283" s="49">
        <f t="shared" si="48"/>
        <v>1</v>
      </c>
    </row>
    <row r="284" spans="2:23" ht="46.8">
      <c r="B284" s="933"/>
      <c r="C284" s="881" t="s">
        <v>23</v>
      </c>
      <c r="D284" s="888" t="s">
        <v>206</v>
      </c>
      <c r="E284" s="700" t="s">
        <v>631</v>
      </c>
      <c r="F284" s="211">
        <v>1</v>
      </c>
      <c r="G284" s="208" t="s">
        <v>1071</v>
      </c>
      <c r="H284" s="701" t="s">
        <v>369</v>
      </c>
      <c r="I284" s="794" t="s">
        <v>1142</v>
      </c>
      <c r="L284" s="49" t="str">
        <f>IF(OR(Overview!$D$4="Preliminary Documentation Review",Overview!$D$4="Preliminary Precertification Review"),IF(AND(P284=0,Q284=0),"",IF(AND(P284&gt;0,Q284&gt;0),"","MISMATCH")),"")</f>
        <v/>
      </c>
      <c r="M284" s="49" t="str">
        <f>IF(OR(Overview!$D$4="Preliminary Documentation Review",Overview!$D$4="Preliminary Precertification Review"),IF(AND(R284=0,S284=0),"",IF(AND(R284&gt;0,S284&gt;0),"","MISMATCH")),"")</f>
        <v/>
      </c>
      <c r="N284" s="49" t="str">
        <f>IF(OR(Overview!$D$4="Preliminary Documentation Review",Overview!$D$4="Preliminary Precertification Review"),IF(AND(T284=0,U284=0),"",IF(AND(T284&gt;0,U284&gt;0),"MISMATCH","")),"")</f>
        <v/>
      </c>
      <c r="O284" s="49" t="str">
        <f>IF(OR(Overview!$D$4="Preliminary Documentation Review",Overview!$D$4="Preliminary Precertification Review"),IF(AND(V284=0,W284=0),"",IF(AND(V284&gt;0,W284&gt;0),"","MISMATCH")),"")</f>
        <v/>
      </c>
      <c r="P284" s="44">
        <f t="shared" si="45"/>
        <v>0</v>
      </c>
      <c r="Q284" s="44">
        <f t="shared" si="43"/>
        <v>0</v>
      </c>
      <c r="R284" s="49">
        <f t="shared" si="46"/>
        <v>0</v>
      </c>
      <c r="S284" s="49">
        <f t="shared" si="44"/>
        <v>0</v>
      </c>
      <c r="T284" s="49">
        <f t="shared" si="49"/>
        <v>0</v>
      </c>
      <c r="U284" s="49">
        <f t="shared" si="50"/>
        <v>1</v>
      </c>
      <c r="V284" s="49">
        <f t="shared" si="47"/>
        <v>0</v>
      </c>
      <c r="W284" s="49">
        <f t="shared" si="48"/>
        <v>0</v>
      </c>
    </row>
    <row r="285" spans="2:23" ht="45.6">
      <c r="B285" s="933"/>
      <c r="C285" s="881"/>
      <c r="D285" s="888"/>
      <c r="E285" s="700" t="s">
        <v>632</v>
      </c>
      <c r="F285" s="212"/>
      <c r="G285" s="208" t="s">
        <v>1061</v>
      </c>
      <c r="H285" s="701" t="s">
        <v>324</v>
      </c>
      <c r="I285" s="67" t="s">
        <v>1145</v>
      </c>
      <c r="L285" s="49" t="str">
        <f>IF(OR(Overview!$D$4="Preliminary Documentation Review",Overview!$D$4="Preliminary Precertification Review"),IF(AND(P285=0,Q285=0),"",IF(AND(P285&gt;0,Q285&gt;0),"","MISMATCH")),"")</f>
        <v/>
      </c>
      <c r="M285" s="49" t="str">
        <f>IF(OR(Overview!$D$4="Preliminary Documentation Review",Overview!$D$4="Preliminary Precertification Review"),IF(AND(R285=0,S285=0),"",IF(AND(R285&gt;0,S285&gt;0),"","MISMATCH")),"")</f>
        <v/>
      </c>
      <c r="N285" s="49" t="str">
        <f>IF(OR(Overview!$D$4="Preliminary Documentation Review",Overview!$D$4="Preliminary Precertification Review"),IF(AND(T285=0,U285=0),"",IF(AND(T285&gt;0,U285&gt;0),"MISMATCH","")),"")</f>
        <v/>
      </c>
      <c r="O285" s="49" t="str">
        <f>IF(OR(Overview!$D$4="Preliminary Documentation Review",Overview!$D$4="Preliminary Precertification Review"),IF(AND(V285=0,W285=0),"",IF(AND(V285&gt;0,W285&gt;0),"","MISMATCH")),"")</f>
        <v/>
      </c>
      <c r="P285" s="44">
        <f t="shared" si="45"/>
        <v>0</v>
      </c>
      <c r="Q285" s="44">
        <f t="shared" si="43"/>
        <v>0</v>
      </c>
      <c r="R285" s="49">
        <f t="shared" si="46"/>
        <v>0</v>
      </c>
      <c r="S285" s="49">
        <f t="shared" si="44"/>
        <v>0</v>
      </c>
      <c r="T285" s="49">
        <f t="shared" si="49"/>
        <v>38</v>
      </c>
      <c r="U285" s="49">
        <f t="shared" si="50"/>
        <v>0</v>
      </c>
      <c r="V285" s="49">
        <f t="shared" si="47"/>
        <v>38</v>
      </c>
      <c r="W285" s="49">
        <f t="shared" si="48"/>
        <v>1</v>
      </c>
    </row>
    <row r="286" spans="2:23" ht="45.6">
      <c r="B286" s="933"/>
      <c r="C286" s="881"/>
      <c r="D286" s="888"/>
      <c r="E286" s="700" t="s">
        <v>633</v>
      </c>
      <c r="F286" s="213"/>
      <c r="G286" s="208" t="s">
        <v>1061</v>
      </c>
      <c r="H286" s="701" t="s">
        <v>324</v>
      </c>
      <c r="I286" s="67" t="s">
        <v>1145</v>
      </c>
      <c r="L286" s="49" t="str">
        <f>IF(OR(Overview!$D$4="Preliminary Documentation Review",Overview!$D$4="Preliminary Precertification Review"),IF(AND(P286=0,Q286=0),"",IF(AND(P286&gt;0,Q286&gt;0),"","MISMATCH")),"")</f>
        <v/>
      </c>
      <c r="M286" s="49" t="str">
        <f>IF(OR(Overview!$D$4="Preliminary Documentation Review",Overview!$D$4="Preliminary Precertification Review"),IF(AND(R286=0,S286=0),"",IF(AND(R286&gt;0,S286&gt;0),"","MISMATCH")),"")</f>
        <v/>
      </c>
      <c r="N286" s="49" t="str">
        <f>IF(OR(Overview!$D$4="Preliminary Documentation Review",Overview!$D$4="Preliminary Precertification Review"),IF(AND(T286=0,U286=0),"",IF(AND(T286&gt;0,U286&gt;0),"MISMATCH","")),"")</f>
        <v/>
      </c>
      <c r="O286" s="49" t="str">
        <f>IF(OR(Overview!$D$4="Preliminary Documentation Review",Overview!$D$4="Preliminary Precertification Review"),IF(AND(V286=0,W286=0),"",IF(AND(V286&gt;0,W286&gt;0),"","MISMATCH")),"")</f>
        <v/>
      </c>
      <c r="P286" s="44">
        <f t="shared" si="45"/>
        <v>0</v>
      </c>
      <c r="Q286" s="44">
        <f t="shared" si="43"/>
        <v>0</v>
      </c>
      <c r="R286" s="49">
        <f t="shared" si="46"/>
        <v>0</v>
      </c>
      <c r="S286" s="49">
        <f t="shared" si="44"/>
        <v>0</v>
      </c>
      <c r="T286" s="49">
        <f t="shared" si="49"/>
        <v>38</v>
      </c>
      <c r="U286" s="49">
        <f t="shared" si="50"/>
        <v>0</v>
      </c>
      <c r="V286" s="49">
        <f t="shared" si="47"/>
        <v>38</v>
      </c>
      <c r="W286" s="49">
        <f t="shared" si="48"/>
        <v>1</v>
      </c>
    </row>
    <row r="287" spans="2:23" ht="45.6">
      <c r="B287" s="933"/>
      <c r="C287" s="881" t="s">
        <v>23</v>
      </c>
      <c r="D287" s="888" t="s">
        <v>207</v>
      </c>
      <c r="E287" s="700" t="s">
        <v>634</v>
      </c>
      <c r="F287" s="211"/>
      <c r="G287" s="208" t="s">
        <v>1061</v>
      </c>
      <c r="H287" s="701" t="s">
        <v>324</v>
      </c>
      <c r="I287" s="67" t="s">
        <v>1145</v>
      </c>
      <c r="L287" s="49" t="str">
        <f>IF(OR(Overview!$D$4="Preliminary Documentation Review",Overview!$D$4="Preliminary Precertification Review"),IF(AND(P287=0,Q287=0),"",IF(AND(P287&gt;0,Q287&gt;0),"","MISMATCH")),"")</f>
        <v/>
      </c>
      <c r="M287" s="49" t="str">
        <f>IF(OR(Overview!$D$4="Preliminary Documentation Review",Overview!$D$4="Preliminary Precertification Review"),IF(AND(R287=0,S287=0),"",IF(AND(R287&gt;0,S287&gt;0),"","MISMATCH")),"")</f>
        <v/>
      </c>
      <c r="N287" s="49" t="str">
        <f>IF(OR(Overview!$D$4="Preliminary Documentation Review",Overview!$D$4="Preliminary Precertification Review"),IF(AND(T287=0,U287=0),"",IF(AND(T287&gt;0,U287&gt;0),"MISMATCH","")),"")</f>
        <v/>
      </c>
      <c r="O287" s="49" t="str">
        <f>IF(OR(Overview!$D$4="Preliminary Documentation Review",Overview!$D$4="Preliminary Precertification Review"),IF(AND(V287=0,W287=0),"",IF(AND(V287&gt;0,W287&gt;0),"","MISMATCH")),"")</f>
        <v/>
      </c>
      <c r="P287" s="44">
        <f t="shared" si="45"/>
        <v>0</v>
      </c>
      <c r="Q287" s="44">
        <f t="shared" si="43"/>
        <v>0</v>
      </c>
      <c r="R287" s="49">
        <f t="shared" si="46"/>
        <v>0</v>
      </c>
      <c r="S287" s="49">
        <f t="shared" si="44"/>
        <v>0</v>
      </c>
      <c r="T287" s="49">
        <f t="shared" si="49"/>
        <v>38</v>
      </c>
      <c r="U287" s="49">
        <f t="shared" si="50"/>
        <v>0</v>
      </c>
      <c r="V287" s="49">
        <f t="shared" si="47"/>
        <v>38</v>
      </c>
      <c r="W287" s="49">
        <f t="shared" si="48"/>
        <v>1</v>
      </c>
    </row>
    <row r="288" spans="2:23" ht="45.6">
      <c r="B288" s="933"/>
      <c r="C288" s="881"/>
      <c r="D288" s="888"/>
      <c r="E288" s="700" t="s">
        <v>317</v>
      </c>
      <c r="F288" s="213"/>
      <c r="G288" s="208" t="s">
        <v>1061</v>
      </c>
      <c r="H288" s="701" t="s">
        <v>324</v>
      </c>
      <c r="I288" s="67" t="s">
        <v>1145</v>
      </c>
      <c r="L288" s="49" t="str">
        <f>IF(OR(Overview!$D$4="Preliminary Documentation Review",Overview!$D$4="Preliminary Precertification Review"),IF(AND(P288=0,Q288=0),"",IF(AND(P288&gt;0,Q288&gt;0),"","MISMATCH")),"")</f>
        <v/>
      </c>
      <c r="M288" s="49" t="str">
        <f>IF(OR(Overview!$D$4="Preliminary Documentation Review",Overview!$D$4="Preliminary Precertification Review"),IF(AND(R288=0,S288=0),"",IF(AND(R288&gt;0,S288&gt;0),"","MISMATCH")),"")</f>
        <v/>
      </c>
      <c r="N288" s="49" t="str">
        <f>IF(OR(Overview!$D$4="Preliminary Documentation Review",Overview!$D$4="Preliminary Precertification Review"),IF(AND(T288=0,U288=0),"",IF(AND(T288&gt;0,U288&gt;0),"MISMATCH","")),"")</f>
        <v/>
      </c>
      <c r="O288" s="49" t="str">
        <f>IF(OR(Overview!$D$4="Preliminary Documentation Review",Overview!$D$4="Preliminary Precertification Review"),IF(AND(V288=0,W288=0),"",IF(AND(V288&gt;0,W288&gt;0),"","MISMATCH")),"")</f>
        <v/>
      </c>
      <c r="P288" s="44">
        <f t="shared" si="45"/>
        <v>0</v>
      </c>
      <c r="Q288" s="44">
        <f t="shared" si="43"/>
        <v>0</v>
      </c>
      <c r="R288" s="49">
        <f t="shared" si="46"/>
        <v>0</v>
      </c>
      <c r="S288" s="49">
        <f t="shared" si="44"/>
        <v>0</v>
      </c>
      <c r="T288" s="49">
        <f t="shared" si="49"/>
        <v>38</v>
      </c>
      <c r="U288" s="49">
        <f t="shared" si="50"/>
        <v>0</v>
      </c>
      <c r="V288" s="49">
        <f t="shared" si="47"/>
        <v>38</v>
      </c>
      <c r="W288" s="49">
        <f t="shared" si="48"/>
        <v>1</v>
      </c>
    </row>
    <row r="289" spans="2:23" ht="45.6">
      <c r="B289" s="933"/>
      <c r="C289" s="881" t="s">
        <v>23</v>
      </c>
      <c r="D289" s="888" t="s">
        <v>208</v>
      </c>
      <c r="E289" s="700" t="s">
        <v>635</v>
      </c>
      <c r="F289" s="214"/>
      <c r="G289" s="208" t="s">
        <v>1061</v>
      </c>
      <c r="H289" s="701" t="s">
        <v>324</v>
      </c>
      <c r="I289" s="67" t="s">
        <v>1145</v>
      </c>
      <c r="K289" s="193" t="s">
        <v>1050</v>
      </c>
      <c r="L289" s="49" t="str">
        <f>IF(OR(Overview!$D$4="Preliminary Documentation Review",Overview!$D$4="Preliminary Precertification Review"),IF(AND(P289=0,Q289=0),"",IF(AND(P289&gt;0,Q289&gt;0),"","MISMATCH")),"")</f>
        <v/>
      </c>
      <c r="M289" s="49" t="str">
        <f>IF(OR(Overview!$D$4="Preliminary Documentation Review",Overview!$D$4="Preliminary Precertification Review"),IF(AND(R289=0,S289=0),"",IF(AND(R289&gt;0,S289&gt;0),"","MISMATCH")),"")</f>
        <v/>
      </c>
      <c r="N289" s="49" t="str">
        <f>IF(OR(Overview!$D$4="Preliminary Documentation Review",Overview!$D$4="Preliminary Precertification Review"),IF(AND(T289=0,U289=0),"",IF(AND(T289&gt;0,U289&gt;0),"MISMATCH","")),"")</f>
        <v/>
      </c>
      <c r="O289" s="49" t="str">
        <f>IF(OR(Overview!$D$4="Preliminary Documentation Review",Overview!$D$4="Preliminary Precertification Review"),IF(AND(V289=0,W289=0),"",IF(AND(V289&gt;0,W289&gt;0),"","MISMATCH")),"")</f>
        <v/>
      </c>
      <c r="P289" s="44">
        <f t="shared" si="45"/>
        <v>0</v>
      </c>
      <c r="Q289" s="44">
        <f t="shared" si="43"/>
        <v>0</v>
      </c>
      <c r="R289" s="49">
        <f t="shared" si="46"/>
        <v>0</v>
      </c>
      <c r="S289" s="49">
        <f t="shared" si="44"/>
        <v>0</v>
      </c>
      <c r="T289" s="49">
        <f t="shared" si="49"/>
        <v>38</v>
      </c>
      <c r="U289" s="49">
        <f t="shared" si="50"/>
        <v>0</v>
      </c>
      <c r="V289" s="49">
        <f t="shared" si="47"/>
        <v>38</v>
      </c>
      <c r="W289" s="49">
        <f t="shared" si="48"/>
        <v>1</v>
      </c>
    </row>
    <row r="290" spans="2:23" ht="30" hidden="1">
      <c r="B290" s="933"/>
      <c r="C290" s="698" t="s">
        <v>23</v>
      </c>
      <c r="D290" s="700" t="s">
        <v>362</v>
      </c>
      <c r="E290" s="700" t="s">
        <v>363</v>
      </c>
      <c r="F290" s="220"/>
      <c r="G290" s="216"/>
      <c r="H290" s="66"/>
      <c r="I290" s="67"/>
      <c r="L290" s="49" t="str">
        <f>IF(OR(Overview!$D$4="Preliminary Documentation Review",Overview!$D$4="Preliminary Precertification Review"),IF(AND(P290=0,Q290=0),"",IF(AND(P290&gt;0,Q290&gt;0),"","MISMATCH")),"")</f>
        <v/>
      </c>
      <c r="M290" s="49" t="str">
        <f>IF(OR(Overview!$D$4="Preliminary Documentation Review",Overview!$D$4="Preliminary Precertification Review"),IF(AND(R290=0,S290=0),"",IF(AND(R290&gt;0,S290&gt;0),"","MISMATCH")),"")</f>
        <v/>
      </c>
      <c r="N290" s="49" t="str">
        <f>IF(OR(Overview!$D$4="Preliminary Documentation Review",Overview!$D$4="Preliminary Precertification Review"),IF(AND(T290=0,U290=0),"",IF(AND(T290&gt;0,U290&gt;0),"MISMATCH","")),"")</f>
        <v/>
      </c>
      <c r="O290" s="49" t="str">
        <f>IF(OR(Overview!$D$4="Preliminary Documentation Review",Overview!$D$4="Preliminary Precertification Review"),IF(AND(V290=0,W290=0),"",IF(AND(V290&gt;0,W290&gt;0),"","MISMATCH")),"")</f>
        <v/>
      </c>
      <c r="P290" s="44">
        <f t="shared" si="45"/>
        <v>0</v>
      </c>
      <c r="Q290" s="44">
        <f t="shared" si="43"/>
        <v>0</v>
      </c>
      <c r="R290" s="49">
        <f t="shared" si="46"/>
        <v>0</v>
      </c>
      <c r="S290" s="49">
        <f t="shared" si="44"/>
        <v>0</v>
      </c>
      <c r="T290" s="49">
        <f t="shared" si="49"/>
        <v>0</v>
      </c>
      <c r="U290" s="49">
        <f t="shared" si="50"/>
        <v>0</v>
      </c>
      <c r="V290" s="49">
        <f t="shared" si="47"/>
        <v>0</v>
      </c>
      <c r="W290" s="49">
        <f t="shared" si="48"/>
        <v>0</v>
      </c>
    </row>
    <row r="291" spans="2:23" ht="30" hidden="1">
      <c r="B291" s="933"/>
      <c r="C291" s="857" t="s">
        <v>23</v>
      </c>
      <c r="D291" s="860" t="s">
        <v>725</v>
      </c>
      <c r="E291" s="700" t="s">
        <v>643</v>
      </c>
      <c r="F291" s="217"/>
      <c r="G291" s="216"/>
      <c r="H291" s="66"/>
      <c r="I291" s="67"/>
      <c r="L291" s="49" t="str">
        <f>IF(OR(Overview!$D$4="Preliminary Documentation Review",Overview!$D$4="Preliminary Precertification Review"),IF(AND(P291=0,Q291=0),"",IF(AND(P291&gt;0,Q291&gt;0),"","MISMATCH")),"")</f>
        <v/>
      </c>
      <c r="M291" s="49" t="str">
        <f>IF(OR(Overview!$D$4="Preliminary Documentation Review",Overview!$D$4="Preliminary Precertification Review"),IF(AND(R291=0,S291=0),"",IF(AND(R291&gt;0,S291&gt;0),"","MISMATCH")),"")</f>
        <v/>
      </c>
      <c r="N291" s="49" t="str">
        <f>IF(OR(Overview!$D$4="Preliminary Documentation Review",Overview!$D$4="Preliminary Precertification Review"),IF(AND(T291=0,U291=0),"",IF(AND(T291&gt;0,U291&gt;0),"MISMATCH","")),"")</f>
        <v/>
      </c>
      <c r="O291" s="49" t="str">
        <f>IF(OR(Overview!$D$4="Preliminary Documentation Review",Overview!$D$4="Preliminary Precertification Review"),IF(AND(V291=0,W291=0),"",IF(AND(V291&gt;0,W291&gt;0),"","MISMATCH")),"")</f>
        <v/>
      </c>
      <c r="P291" s="44">
        <f t="shared" si="45"/>
        <v>0</v>
      </c>
      <c r="Q291" s="44">
        <f t="shared" si="43"/>
        <v>0</v>
      </c>
      <c r="R291" s="49">
        <f t="shared" si="46"/>
        <v>0</v>
      </c>
      <c r="S291" s="49">
        <f t="shared" si="44"/>
        <v>0</v>
      </c>
      <c r="T291" s="49">
        <f t="shared" si="49"/>
        <v>0</v>
      </c>
      <c r="U291" s="49">
        <f t="shared" si="50"/>
        <v>0</v>
      </c>
      <c r="V291" s="49">
        <f t="shared" si="47"/>
        <v>0</v>
      </c>
      <c r="W291" s="49">
        <f t="shared" si="48"/>
        <v>0</v>
      </c>
    </row>
    <row r="292" spans="2:23" ht="30" hidden="1">
      <c r="B292" s="933"/>
      <c r="C292" s="858"/>
      <c r="D292" s="861"/>
      <c r="E292" s="700" t="s">
        <v>644</v>
      </c>
      <c r="F292" s="218"/>
      <c r="G292" s="216"/>
      <c r="H292" s="66"/>
      <c r="I292" s="67"/>
      <c r="L292" s="49" t="str">
        <f>IF(OR(Overview!$D$4="Preliminary Documentation Review",Overview!$D$4="Preliminary Precertification Review"),IF(AND(P292=0,Q292=0),"",IF(AND(P292&gt;0,Q292&gt;0),"","MISMATCH")),"")</f>
        <v/>
      </c>
      <c r="M292" s="49" t="str">
        <f>IF(OR(Overview!$D$4="Preliminary Documentation Review",Overview!$D$4="Preliminary Precertification Review"),IF(AND(R292=0,S292=0),"",IF(AND(R292&gt;0,S292&gt;0),"","MISMATCH")),"")</f>
        <v/>
      </c>
      <c r="N292" s="49" t="str">
        <f>IF(OR(Overview!$D$4="Preliminary Documentation Review",Overview!$D$4="Preliminary Precertification Review"),IF(AND(T292=0,U292=0),"",IF(AND(T292&gt;0,U292&gt;0),"MISMATCH","")),"")</f>
        <v/>
      </c>
      <c r="O292" s="49" t="str">
        <f>IF(OR(Overview!$D$4="Preliminary Documentation Review",Overview!$D$4="Preliminary Precertification Review"),IF(AND(V292=0,W292=0),"",IF(AND(V292&gt;0,W292&gt;0),"","MISMATCH")),"")</f>
        <v/>
      </c>
      <c r="P292" s="44">
        <f t="shared" si="45"/>
        <v>0</v>
      </c>
      <c r="Q292" s="44">
        <f t="shared" si="43"/>
        <v>0</v>
      </c>
      <c r="R292" s="49">
        <f t="shared" si="46"/>
        <v>0</v>
      </c>
      <c r="S292" s="49">
        <f t="shared" si="44"/>
        <v>0</v>
      </c>
      <c r="T292" s="49">
        <f t="shared" si="49"/>
        <v>0</v>
      </c>
      <c r="U292" s="49">
        <f t="shared" si="50"/>
        <v>0</v>
      </c>
      <c r="V292" s="49">
        <f t="shared" si="47"/>
        <v>0</v>
      </c>
      <c r="W292" s="49">
        <f t="shared" si="48"/>
        <v>0</v>
      </c>
    </row>
    <row r="293" spans="2:23" ht="30" hidden="1">
      <c r="B293" s="933"/>
      <c r="C293" s="859"/>
      <c r="D293" s="862"/>
      <c r="E293" s="700" t="s">
        <v>645</v>
      </c>
      <c r="F293" s="219"/>
      <c r="G293" s="216"/>
      <c r="H293" s="66"/>
      <c r="I293" s="67"/>
      <c r="L293" s="49" t="str">
        <f>IF(OR(Overview!$D$4="Preliminary Documentation Review",Overview!$D$4="Preliminary Precertification Review"),IF(AND(P293=0,Q293=0),"",IF(AND(P293&gt;0,Q293&gt;0),"","MISMATCH")),"")</f>
        <v/>
      </c>
      <c r="M293" s="49" t="str">
        <f>IF(OR(Overview!$D$4="Preliminary Documentation Review",Overview!$D$4="Preliminary Precertification Review"),IF(AND(R293=0,S293=0),"",IF(AND(R293&gt;0,S293&gt;0),"","MISMATCH")),"")</f>
        <v/>
      </c>
      <c r="N293" s="49" t="str">
        <f>IF(OR(Overview!$D$4="Preliminary Documentation Review",Overview!$D$4="Preliminary Precertification Review"),IF(AND(T293=0,U293=0),"",IF(AND(T293&gt;0,U293&gt;0),"MISMATCH","")),"")</f>
        <v/>
      </c>
      <c r="O293" s="49" t="str">
        <f>IF(OR(Overview!$D$4="Preliminary Documentation Review",Overview!$D$4="Preliminary Precertification Review"),IF(AND(V293=0,W293=0),"",IF(AND(V293&gt;0,W293&gt;0),"","MISMATCH")),"")</f>
        <v/>
      </c>
      <c r="P293" s="44">
        <f t="shared" si="45"/>
        <v>0</v>
      </c>
      <c r="Q293" s="44">
        <f t="shared" si="43"/>
        <v>0</v>
      </c>
      <c r="R293" s="49">
        <f t="shared" si="46"/>
        <v>0</v>
      </c>
      <c r="S293" s="49">
        <f t="shared" si="44"/>
        <v>0</v>
      </c>
      <c r="T293" s="49">
        <f t="shared" si="49"/>
        <v>0</v>
      </c>
      <c r="U293" s="49">
        <f t="shared" si="50"/>
        <v>0</v>
      </c>
      <c r="V293" s="49">
        <f t="shared" si="47"/>
        <v>0</v>
      </c>
      <c r="W293" s="49">
        <f t="shared" si="48"/>
        <v>0</v>
      </c>
    </row>
    <row r="294" spans="2:23" ht="30" hidden="1">
      <c r="B294" s="933"/>
      <c r="C294" s="857" t="s">
        <v>23</v>
      </c>
      <c r="D294" s="860" t="s">
        <v>726</v>
      </c>
      <c r="E294" s="700" t="s">
        <v>646</v>
      </c>
      <c r="F294" s="217"/>
      <c r="G294" s="216"/>
      <c r="H294" s="66"/>
      <c r="I294" s="67"/>
      <c r="L294" s="49" t="str">
        <f>IF(OR(Overview!$D$4="Preliminary Documentation Review",Overview!$D$4="Preliminary Precertification Review"),IF(AND(P294=0,Q294=0),"",IF(AND(P294&gt;0,Q294&gt;0),"","MISMATCH")),"")</f>
        <v/>
      </c>
      <c r="M294" s="49" t="str">
        <f>IF(OR(Overview!$D$4="Preliminary Documentation Review",Overview!$D$4="Preliminary Precertification Review"),IF(AND(R294=0,S294=0),"",IF(AND(R294&gt;0,S294&gt;0),"","MISMATCH")),"")</f>
        <v/>
      </c>
      <c r="N294" s="49" t="str">
        <f>IF(OR(Overview!$D$4="Preliminary Documentation Review",Overview!$D$4="Preliminary Precertification Review"),IF(AND(T294=0,U294=0),"",IF(AND(T294&gt;0,U294&gt;0),"MISMATCH","")),"")</f>
        <v/>
      </c>
      <c r="O294" s="49" t="str">
        <f>IF(OR(Overview!$D$4="Preliminary Documentation Review",Overview!$D$4="Preliminary Precertification Review"),IF(AND(V294=0,W294=0),"",IF(AND(V294&gt;0,W294&gt;0),"","MISMATCH")),"")</f>
        <v/>
      </c>
      <c r="P294" s="44">
        <f t="shared" si="45"/>
        <v>0</v>
      </c>
      <c r="Q294" s="44">
        <f t="shared" si="43"/>
        <v>0</v>
      </c>
      <c r="R294" s="49">
        <f t="shared" si="46"/>
        <v>0</v>
      </c>
      <c r="S294" s="49">
        <f t="shared" si="44"/>
        <v>0</v>
      </c>
      <c r="T294" s="49">
        <f t="shared" si="49"/>
        <v>0</v>
      </c>
      <c r="U294" s="49">
        <f t="shared" si="50"/>
        <v>0</v>
      </c>
      <c r="V294" s="49">
        <f t="shared" si="47"/>
        <v>0</v>
      </c>
      <c r="W294" s="49">
        <f t="shared" si="48"/>
        <v>0</v>
      </c>
    </row>
    <row r="295" spans="2:23" ht="30" hidden="1">
      <c r="B295" s="933"/>
      <c r="C295" s="859"/>
      <c r="D295" s="862"/>
      <c r="E295" s="700" t="s">
        <v>647</v>
      </c>
      <c r="F295" s="219"/>
      <c r="G295" s="216"/>
      <c r="H295" s="66"/>
      <c r="I295" s="67"/>
      <c r="L295" s="49" t="str">
        <f>IF(OR(Overview!$D$4="Preliminary Documentation Review",Overview!$D$4="Preliminary Precertification Review"),IF(AND(P295=0,Q295=0),"",IF(AND(P295&gt;0,Q295&gt;0),"","MISMATCH")),"")</f>
        <v/>
      </c>
      <c r="M295" s="49" t="str">
        <f>IF(OR(Overview!$D$4="Preliminary Documentation Review",Overview!$D$4="Preliminary Precertification Review"),IF(AND(R295=0,S295=0),"",IF(AND(R295&gt;0,S295&gt;0),"","MISMATCH")),"")</f>
        <v/>
      </c>
      <c r="N295" s="49" t="str">
        <f>IF(OR(Overview!$D$4="Preliminary Documentation Review",Overview!$D$4="Preliminary Precertification Review"),IF(AND(T295=0,U295=0),"",IF(AND(T295&gt;0,U295&gt;0),"MISMATCH","")),"")</f>
        <v/>
      </c>
      <c r="O295" s="49" t="str">
        <f>IF(OR(Overview!$D$4="Preliminary Documentation Review",Overview!$D$4="Preliminary Precertification Review"),IF(AND(V295=0,W295=0),"",IF(AND(V295&gt;0,W295&gt;0),"","MISMATCH")),"")</f>
        <v/>
      </c>
      <c r="P295" s="44">
        <f t="shared" si="45"/>
        <v>0</v>
      </c>
      <c r="Q295" s="44">
        <f t="shared" si="43"/>
        <v>0</v>
      </c>
      <c r="R295" s="49">
        <f t="shared" si="46"/>
        <v>0</v>
      </c>
      <c r="S295" s="49">
        <f t="shared" si="44"/>
        <v>0</v>
      </c>
      <c r="T295" s="49">
        <f t="shared" si="49"/>
        <v>0</v>
      </c>
      <c r="U295" s="49">
        <f t="shared" si="50"/>
        <v>0</v>
      </c>
      <c r="V295" s="49">
        <f t="shared" si="47"/>
        <v>0</v>
      </c>
      <c r="W295" s="49">
        <f t="shared" si="48"/>
        <v>0</v>
      </c>
    </row>
    <row r="296" spans="2:23" ht="30" hidden="1">
      <c r="B296" s="640"/>
      <c r="C296" s="698" t="s">
        <v>23</v>
      </c>
      <c r="D296" s="641" t="s">
        <v>1051</v>
      </c>
      <c r="E296" s="700" t="s">
        <v>1052</v>
      </c>
      <c r="F296" s="219"/>
      <c r="G296" s="216"/>
      <c r="H296" s="66"/>
      <c r="I296" s="67"/>
      <c r="L296" s="49" t="str">
        <f>IF(OR(Overview!$D$4="Preliminary Documentation Review",Overview!$D$4="Preliminary Precertification Review"),IF(AND(P296=0,Q296=0),"",IF(AND(P296&gt;0,Q296&gt;0),"","MISMATCH")),"")</f>
        <v/>
      </c>
      <c r="M296" s="49" t="str">
        <f>IF(OR(Overview!$D$4="Preliminary Documentation Review",Overview!$D$4="Preliminary Precertification Review"),IF(AND(R296=0,S296=0),"",IF(AND(R296&gt;0,S296&gt;0),"","MISMATCH")),"")</f>
        <v/>
      </c>
      <c r="N296" s="49" t="str">
        <f>IF(OR(Overview!$D$4="Preliminary Documentation Review",Overview!$D$4="Preliminary Precertification Review"),IF(AND(T296=0,U296=0),"",IF(AND(T296&gt;0,U296&gt;0),"MISMATCH","")),"")</f>
        <v/>
      </c>
      <c r="O296" s="49" t="str">
        <f>IF(OR(Overview!$D$4="Preliminary Documentation Review",Overview!$D$4="Preliminary Precertification Review"),IF(AND(V296=0,W296=0),"",IF(AND(V296&gt;0,W296&gt;0),"","MISMATCH")),"")</f>
        <v/>
      </c>
      <c r="P296" s="44">
        <f t="shared" si="45"/>
        <v>0</v>
      </c>
      <c r="Q296" s="44">
        <f t="shared" si="43"/>
        <v>0</v>
      </c>
      <c r="R296" s="49">
        <f t="shared" si="46"/>
        <v>0</v>
      </c>
      <c r="S296" s="49">
        <f t="shared" si="44"/>
        <v>0</v>
      </c>
      <c r="T296" s="49">
        <f t="shared" si="49"/>
        <v>0</v>
      </c>
      <c r="U296" s="49">
        <f t="shared" si="50"/>
        <v>0</v>
      </c>
      <c r="V296" s="49">
        <f t="shared" si="47"/>
        <v>0</v>
      </c>
      <c r="W296" s="49">
        <f t="shared" si="48"/>
        <v>0</v>
      </c>
    </row>
    <row r="297" spans="2:23">
      <c r="B297" s="149"/>
      <c r="C297" s="150"/>
      <c r="D297" s="151"/>
      <c r="E297" s="152"/>
      <c r="F297" s="222"/>
      <c r="G297" s="222"/>
      <c r="H297" s="153"/>
      <c r="I297" s="154"/>
      <c r="L297" s="49" t="str">
        <f>IF(OR(Overview!$D$4="Preliminary Documentation Review",Overview!$D$4="Preliminary Precertification Review"),IF(AND(P297=0,Q297=0),"",IF(AND(P297&gt;0,Q297&gt;0),"","MISMATCH")),"")</f>
        <v/>
      </c>
      <c r="M297" s="49" t="str">
        <f>IF(OR(Overview!$D$4="Preliminary Documentation Review",Overview!$D$4="Preliminary Precertification Review"),IF(AND(R297=0,S297=0),"",IF(AND(R297&gt;0,S297&gt;0),"","MISMATCH")),"")</f>
        <v/>
      </c>
      <c r="N297" s="49" t="str">
        <f>IF(OR(Overview!$D$4="Preliminary Documentation Review",Overview!$D$4="Preliminary Precertification Review"),IF(AND(T297=0,U297=0),"",IF(AND(T297&gt;0,U297&gt;0),"MISMATCH","")),"")</f>
        <v/>
      </c>
      <c r="O297" s="49" t="str">
        <f>IF(OR(Overview!$D$4="Preliminary Documentation Review",Overview!$D$4="Preliminary Precertification Review"),IF(AND(V297=0,W297=0),"",IF(AND(V297&gt;0,W297&gt;0),"","MISMATCH")),"")</f>
        <v/>
      </c>
      <c r="P297" s="44">
        <f t="shared" si="45"/>
        <v>0</v>
      </c>
      <c r="Q297" s="44">
        <f t="shared" si="43"/>
        <v>0</v>
      </c>
      <c r="R297" s="49">
        <f t="shared" si="46"/>
        <v>0</v>
      </c>
      <c r="S297" s="49">
        <f t="shared" si="44"/>
        <v>0</v>
      </c>
      <c r="T297" s="49">
        <f t="shared" si="49"/>
        <v>0</v>
      </c>
      <c r="U297" s="49">
        <f t="shared" si="50"/>
        <v>0</v>
      </c>
      <c r="V297" s="49">
        <f t="shared" si="47"/>
        <v>0</v>
      </c>
      <c r="W297" s="49">
        <f t="shared" si="48"/>
        <v>0</v>
      </c>
    </row>
    <row r="298" spans="2:23">
      <c r="B298" s="75"/>
      <c r="C298" s="76"/>
      <c r="D298" s="77"/>
      <c r="E298" s="78"/>
      <c r="F298" s="222"/>
      <c r="G298" s="222"/>
      <c r="H298" s="80"/>
      <c r="I298" s="81"/>
      <c r="L298" s="49" t="str">
        <f>IF(OR(Overview!$D$4="Preliminary Documentation Review",Overview!$D$4="Preliminary Precertification Review"),IF(AND(P298=0,Q298=0),"",IF(AND(P298&gt;0,Q298&gt;0),"","MISMATCH")),"")</f>
        <v/>
      </c>
      <c r="M298" s="49" t="str">
        <f>IF(OR(Overview!$D$4="Preliminary Documentation Review",Overview!$D$4="Preliminary Precertification Review"),IF(AND(R298=0,S298=0),"",IF(AND(R298&gt;0,S298&gt;0),"","MISMATCH")),"")</f>
        <v/>
      </c>
      <c r="N298" s="49" t="str">
        <f>IF(OR(Overview!$D$4="Preliminary Documentation Review",Overview!$D$4="Preliminary Precertification Review"),IF(AND(T298=0,U298=0),"",IF(AND(T298&gt;0,U298&gt;0),"MISMATCH","")),"")</f>
        <v/>
      </c>
      <c r="O298" s="49" t="str">
        <f>IF(OR(Overview!$D$4="Preliminary Documentation Review",Overview!$D$4="Preliminary Precertification Review"),IF(AND(V298=0,W298=0),"",IF(AND(V298&gt;0,W298&gt;0),"","MISMATCH")),"")</f>
        <v/>
      </c>
      <c r="P298" s="44">
        <f t="shared" si="45"/>
        <v>0</v>
      </c>
      <c r="Q298" s="44">
        <f t="shared" si="43"/>
        <v>0</v>
      </c>
      <c r="R298" s="49">
        <f t="shared" si="46"/>
        <v>0</v>
      </c>
      <c r="S298" s="49">
        <f t="shared" si="44"/>
        <v>0</v>
      </c>
      <c r="T298" s="49">
        <f t="shared" si="49"/>
        <v>0</v>
      </c>
      <c r="U298" s="49">
        <f t="shared" si="50"/>
        <v>0</v>
      </c>
      <c r="V298" s="49">
        <f t="shared" si="47"/>
        <v>0</v>
      </c>
      <c r="W298" s="49">
        <f t="shared" si="48"/>
        <v>0</v>
      </c>
    </row>
    <row r="299" spans="2:23" ht="15.6" thickBot="1">
      <c r="B299" s="155"/>
      <c r="C299" s="156"/>
      <c r="D299" s="156"/>
      <c r="E299" s="156"/>
      <c r="F299" s="156"/>
      <c r="G299" s="156"/>
      <c r="H299" s="156"/>
      <c r="I299" s="180"/>
      <c r="L299" s="49" t="str">
        <f>IF(OR(Overview!$D$4="Preliminary Documentation Review",Overview!$D$4="Preliminary Precertification Review"),IF(AND(P299=0,Q299=0),"",IF(AND(P299&gt;0,Q299&gt;0),"","MISMATCH")),"")</f>
        <v/>
      </c>
      <c r="M299" s="49" t="str">
        <f>IF(OR(Overview!$D$4="Preliminary Documentation Review",Overview!$D$4="Preliminary Precertification Review"),IF(AND(R299=0,S299=0),"",IF(AND(R299&gt;0,S299&gt;0),"","MISMATCH")),"")</f>
        <v/>
      </c>
      <c r="N299" s="49" t="str">
        <f>IF(OR(Overview!$D$4="Preliminary Documentation Review",Overview!$D$4="Preliminary Precertification Review"),IF(AND(T299=0,U299=0),"",IF(AND(T299&gt;0,U299&gt;0),"MISMATCH","")),"")</f>
        <v/>
      </c>
    </row>
    <row r="300" spans="2:23" s="65" customFormat="1" ht="99.9" hidden="1" customHeight="1">
      <c r="B300" s="157"/>
      <c r="C300" s="869" t="s">
        <v>716</v>
      </c>
      <c r="D300" s="870"/>
      <c r="E300" s="870"/>
      <c r="F300" s="870"/>
      <c r="G300" s="870"/>
      <c r="H300" s="870"/>
      <c r="I300" s="871"/>
      <c r="J300" s="64"/>
      <c r="K300" s="190"/>
      <c r="L300" s="49" t="str">
        <f>IF(OR(Overview!$D$4="Preliminary Documentation Review",Overview!$D$4="Preliminary Precertification Review"),IF(AND(P300=0,Q300=0),"",IF(AND(P300&gt;0,Q300&gt;0),"","MISMATCH")),"")</f>
        <v/>
      </c>
      <c r="M300" s="49" t="str">
        <f>IF(OR(Overview!$D$4="Preliminary Documentation Review",Overview!$D$4="Preliminary Precertification Review"),IF(AND(R300=0,S300=0),"",IF(AND(R300&gt;0,S300&gt;0),"","MISMATCH")),"")</f>
        <v/>
      </c>
    </row>
    <row r="301" spans="2:23" s="65" customFormat="1" ht="15.6" hidden="1" customHeight="1" thickBot="1">
      <c r="B301" s="889"/>
      <c r="C301" s="890"/>
      <c r="D301" s="890"/>
      <c r="E301" s="890"/>
      <c r="F301" s="890"/>
      <c r="G301" s="890"/>
      <c r="H301" s="890"/>
      <c r="I301" s="891"/>
      <c r="J301" s="64"/>
      <c r="K301" s="190"/>
      <c r="L301" s="49" t="str">
        <f>IF(OR(Overview!$D$4="Preliminary Documentation Review",Overview!$D$4="Preliminary Precertification Review"),IF(AND(P301=0,Q301=0),"",IF(AND(P301&gt;0,Q301&gt;0),"","MISMATCH")),"")</f>
        <v/>
      </c>
      <c r="M301" s="49" t="str">
        <f>IF(OR(Overview!$D$4="Preliminary Documentation Review",Overview!$D$4="Preliminary Precertification Review"),IF(AND(R301=0,S301=0),"",IF(AND(R301&gt;0,S301&gt;0),"","MISMATCH")),"")</f>
        <v/>
      </c>
    </row>
    <row r="302" spans="2:23" ht="30">
      <c r="B302" s="865" t="s">
        <v>209</v>
      </c>
      <c r="C302" s="857" t="s">
        <v>23</v>
      </c>
      <c r="D302" s="888" t="s">
        <v>210</v>
      </c>
      <c r="E302" s="860" t="s">
        <v>318</v>
      </c>
      <c r="F302" s="726" t="s">
        <v>735</v>
      </c>
      <c r="G302" s="208" t="s">
        <v>1071</v>
      </c>
      <c r="H302" s="701"/>
      <c r="I302" s="727" t="s">
        <v>1150</v>
      </c>
      <c r="K302" s="197" t="s">
        <v>740</v>
      </c>
      <c r="N302" s="47"/>
      <c r="O302" s="47"/>
      <c r="P302" s="44">
        <f t="shared" ref="P302:P321" si="51">IFERROR(SEARCH("COMMENTS TO BE ADDRESS",$I302),0)</f>
        <v>0</v>
      </c>
      <c r="Q302" s="44">
        <f t="shared" si="43"/>
        <v>0</v>
      </c>
      <c r="R302" s="49">
        <f t="shared" ref="R302:R321" si="52">IFERROR(SEARCH("equirements of this part will be v",$I302),0)</f>
        <v>0</v>
      </c>
      <c r="S302" s="49">
        <f t="shared" si="44"/>
        <v>0</v>
      </c>
      <c r="T302" s="47"/>
    </row>
    <row r="303" spans="2:23" ht="181.8">
      <c r="B303" s="865"/>
      <c r="C303" s="858"/>
      <c r="D303" s="888"/>
      <c r="E303" s="861"/>
      <c r="F303" s="728"/>
      <c r="G303" s="208" t="s">
        <v>1061</v>
      </c>
      <c r="H303" s="701" t="s">
        <v>328</v>
      </c>
      <c r="I303" s="794" t="s">
        <v>1159</v>
      </c>
      <c r="K303" s="197" t="s">
        <v>741</v>
      </c>
      <c r="N303" s="47"/>
      <c r="O303" s="47"/>
      <c r="P303" s="44">
        <f t="shared" si="51"/>
        <v>375</v>
      </c>
      <c r="Q303" s="44">
        <f t="shared" si="43"/>
        <v>0</v>
      </c>
      <c r="R303" s="49">
        <f t="shared" si="52"/>
        <v>0</v>
      </c>
      <c r="S303" s="49">
        <f t="shared" si="44"/>
        <v>0</v>
      </c>
      <c r="T303" s="47"/>
    </row>
    <row r="304" spans="2:23" ht="15.6" hidden="1">
      <c r="B304" s="865"/>
      <c r="C304" s="858"/>
      <c r="D304" s="888"/>
      <c r="E304" s="861"/>
      <c r="F304" s="728"/>
      <c r="G304" s="208"/>
      <c r="H304" s="729"/>
      <c r="I304" s="703"/>
      <c r="K304" s="197" t="s">
        <v>742</v>
      </c>
      <c r="N304" s="47"/>
      <c r="O304" s="47"/>
      <c r="P304" s="44">
        <f t="shared" si="51"/>
        <v>0</v>
      </c>
      <c r="Q304" s="44">
        <f t="shared" si="43"/>
        <v>0</v>
      </c>
      <c r="R304" s="49">
        <f t="shared" si="52"/>
        <v>0</v>
      </c>
      <c r="S304" s="49">
        <f t="shared" si="44"/>
        <v>0</v>
      </c>
      <c r="T304" s="47"/>
    </row>
    <row r="305" spans="2:20" ht="15.6" hidden="1">
      <c r="B305" s="865"/>
      <c r="C305" s="858"/>
      <c r="D305" s="888"/>
      <c r="E305" s="861"/>
      <c r="F305" s="728"/>
      <c r="G305" s="208"/>
      <c r="H305" s="729"/>
      <c r="I305" s="703"/>
      <c r="J305" s="158"/>
      <c r="K305" s="198"/>
      <c r="N305" s="47"/>
      <c r="O305" s="47"/>
      <c r="P305" s="44">
        <f t="shared" si="51"/>
        <v>0</v>
      </c>
      <c r="Q305" s="44">
        <f t="shared" si="43"/>
        <v>0</v>
      </c>
      <c r="R305" s="49">
        <f t="shared" si="52"/>
        <v>0</v>
      </c>
      <c r="S305" s="49">
        <f t="shared" si="44"/>
        <v>0</v>
      </c>
      <c r="T305" s="47"/>
    </row>
    <row r="306" spans="2:20" ht="15.6" hidden="1">
      <c r="B306" s="865"/>
      <c r="C306" s="858"/>
      <c r="D306" s="888"/>
      <c r="E306" s="861"/>
      <c r="F306" s="728"/>
      <c r="G306" s="208"/>
      <c r="H306" s="729"/>
      <c r="I306" s="703"/>
      <c r="J306" s="158"/>
      <c r="N306" s="47"/>
      <c r="O306" s="47"/>
      <c r="P306" s="44">
        <f t="shared" si="51"/>
        <v>0</v>
      </c>
      <c r="Q306" s="44">
        <f t="shared" si="43"/>
        <v>0</v>
      </c>
      <c r="R306" s="49">
        <f t="shared" si="52"/>
        <v>0</v>
      </c>
      <c r="S306" s="49">
        <f t="shared" si="44"/>
        <v>0</v>
      </c>
      <c r="T306" s="47"/>
    </row>
    <row r="307" spans="2:20" ht="15.6" hidden="1">
      <c r="B307" s="865"/>
      <c r="C307" s="858"/>
      <c r="D307" s="888"/>
      <c r="E307" s="861"/>
      <c r="F307" s="728"/>
      <c r="G307" s="208"/>
      <c r="H307" s="729"/>
      <c r="I307" s="730"/>
      <c r="J307" s="158"/>
      <c r="N307" s="47"/>
      <c r="O307" s="47"/>
      <c r="P307" s="44">
        <f t="shared" si="51"/>
        <v>0</v>
      </c>
      <c r="Q307" s="44">
        <f t="shared" si="43"/>
        <v>0</v>
      </c>
      <c r="R307" s="49">
        <f t="shared" si="52"/>
        <v>0</v>
      </c>
      <c r="S307" s="49">
        <f t="shared" si="44"/>
        <v>0</v>
      </c>
      <c r="T307" s="47"/>
    </row>
    <row r="308" spans="2:20" ht="15.6" hidden="1">
      <c r="B308" s="865"/>
      <c r="C308" s="858"/>
      <c r="D308" s="888"/>
      <c r="E308" s="861"/>
      <c r="F308" s="728"/>
      <c r="G308" s="208"/>
      <c r="H308" s="729"/>
      <c r="I308" s="730"/>
      <c r="J308" s="158"/>
      <c r="N308" s="47"/>
      <c r="O308" s="47"/>
      <c r="P308" s="44">
        <f t="shared" si="51"/>
        <v>0</v>
      </c>
      <c r="Q308" s="44">
        <f t="shared" si="43"/>
        <v>0</v>
      </c>
      <c r="R308" s="49">
        <f t="shared" si="52"/>
        <v>0</v>
      </c>
      <c r="S308" s="49">
        <f t="shared" si="44"/>
        <v>0</v>
      </c>
      <c r="T308" s="47"/>
    </row>
    <row r="309" spans="2:20" ht="15.6" hidden="1">
      <c r="B309" s="865"/>
      <c r="C309" s="858"/>
      <c r="D309" s="888"/>
      <c r="E309" s="861"/>
      <c r="F309" s="728"/>
      <c r="G309" s="208"/>
      <c r="H309" s="729"/>
      <c r="I309" s="730"/>
      <c r="J309" s="158"/>
      <c r="N309" s="47"/>
      <c r="O309" s="47"/>
      <c r="P309" s="44">
        <f t="shared" si="51"/>
        <v>0</v>
      </c>
      <c r="Q309" s="44">
        <f t="shared" si="43"/>
        <v>0</v>
      </c>
      <c r="R309" s="49">
        <f t="shared" si="52"/>
        <v>0</v>
      </c>
      <c r="S309" s="49">
        <f t="shared" si="44"/>
        <v>0</v>
      </c>
      <c r="T309" s="47"/>
    </row>
    <row r="310" spans="2:20" ht="15.6" hidden="1">
      <c r="B310" s="865"/>
      <c r="C310" s="858"/>
      <c r="D310" s="888"/>
      <c r="E310" s="861"/>
      <c r="F310" s="728"/>
      <c r="G310" s="208"/>
      <c r="H310" s="729"/>
      <c r="I310" s="730"/>
      <c r="J310" s="158"/>
      <c r="N310" s="47"/>
      <c r="O310" s="47"/>
      <c r="P310" s="44">
        <f t="shared" si="51"/>
        <v>0</v>
      </c>
      <c r="Q310" s="44">
        <f t="shared" si="43"/>
        <v>0</v>
      </c>
      <c r="R310" s="49">
        <f t="shared" si="52"/>
        <v>0</v>
      </c>
      <c r="S310" s="49">
        <f t="shared" si="44"/>
        <v>0</v>
      </c>
      <c r="T310" s="47"/>
    </row>
    <row r="311" spans="2:20" ht="15.6" hidden="1">
      <c r="B311" s="865"/>
      <c r="C311" s="858"/>
      <c r="D311" s="888"/>
      <c r="E311" s="861"/>
      <c r="F311" s="728"/>
      <c r="G311" s="208"/>
      <c r="H311" s="729"/>
      <c r="I311" s="730"/>
      <c r="J311" s="158"/>
      <c r="N311" s="47"/>
      <c r="O311" s="47"/>
      <c r="P311" s="44">
        <f t="shared" si="51"/>
        <v>0</v>
      </c>
      <c r="Q311" s="44">
        <f t="shared" si="43"/>
        <v>0</v>
      </c>
      <c r="R311" s="49">
        <f t="shared" si="52"/>
        <v>0</v>
      </c>
      <c r="S311" s="49">
        <f t="shared" si="44"/>
        <v>0</v>
      </c>
      <c r="T311" s="47"/>
    </row>
    <row r="312" spans="2:20" ht="15.6" hidden="1">
      <c r="B312" s="865"/>
      <c r="C312" s="859"/>
      <c r="D312" s="888"/>
      <c r="E312" s="862"/>
      <c r="F312" s="723"/>
      <c r="G312" s="208"/>
      <c r="H312" s="729"/>
      <c r="I312" s="730"/>
      <c r="J312" s="158"/>
      <c r="N312" s="47"/>
      <c r="O312" s="47"/>
      <c r="P312" s="44">
        <f t="shared" si="51"/>
        <v>0</v>
      </c>
      <c r="Q312" s="44">
        <f t="shared" si="43"/>
        <v>0</v>
      </c>
      <c r="R312" s="49">
        <f t="shared" si="52"/>
        <v>0</v>
      </c>
      <c r="S312" s="49">
        <f t="shared" si="44"/>
        <v>0</v>
      </c>
      <c r="T312" s="47"/>
    </row>
    <row r="313" spans="2:20" ht="196.8">
      <c r="B313" s="865"/>
      <c r="C313" s="881" t="s">
        <v>23</v>
      </c>
      <c r="D313" s="888" t="s">
        <v>211</v>
      </c>
      <c r="E313" s="700" t="s">
        <v>636</v>
      </c>
      <c r="F313" s="208">
        <v>1</v>
      </c>
      <c r="G313" s="208" t="s">
        <v>1071</v>
      </c>
      <c r="H313" s="701" t="s">
        <v>369</v>
      </c>
      <c r="I313" s="67" t="s">
        <v>1154</v>
      </c>
      <c r="L313" s="49" t="str">
        <f>IF(OR(Overview!$D$4="Preliminary Documentation Review",Overview!$D$4="Preliminary Precertification Review"),IF(AND(P313=0,Q313=0),"",IF(AND(P313&gt;0,Q313&gt;0),"","MISMATCH")),"")</f>
        <v/>
      </c>
      <c r="M313" s="49" t="str">
        <f>IF(OR(Overview!$D$4="Preliminary Documentation Review",Overview!$D$4="Preliminary Precertification Review"),IF(AND(R313=0,S313=0),"",IF(AND(R313&gt;0,S313&gt;0),"","MISMATCH")),"")</f>
        <v/>
      </c>
      <c r="N313" s="47"/>
      <c r="O313" s="47"/>
      <c r="P313" s="44">
        <f t="shared" si="51"/>
        <v>314</v>
      </c>
      <c r="Q313" s="44">
        <f t="shared" si="43"/>
        <v>0</v>
      </c>
      <c r="R313" s="49">
        <f t="shared" si="52"/>
        <v>0</v>
      </c>
      <c r="S313" s="49">
        <f t="shared" si="44"/>
        <v>0</v>
      </c>
      <c r="T313" s="47"/>
    </row>
    <row r="314" spans="2:20" ht="45.6">
      <c r="B314" s="865"/>
      <c r="C314" s="881" t="s">
        <v>23</v>
      </c>
      <c r="D314" s="888" t="s">
        <v>212</v>
      </c>
      <c r="E314" s="700" t="s">
        <v>637</v>
      </c>
      <c r="F314" s="208"/>
      <c r="G314" s="208" t="s">
        <v>1061</v>
      </c>
      <c r="H314" s="701" t="s">
        <v>324</v>
      </c>
      <c r="I314" s="67" t="s">
        <v>1145</v>
      </c>
      <c r="L314" s="49" t="str">
        <f>IF(OR(Overview!$D$4="Preliminary Documentation Review",Overview!$D$4="Preliminary Precertification Review"),IF(AND(P314=0,Q314=0),"",IF(AND(P314&gt;0,Q314&gt;0),"","MISMATCH")),"")</f>
        <v/>
      </c>
      <c r="M314" s="49" t="str">
        <f>IF(OR(Overview!$D$4="Preliminary Documentation Review",Overview!$D$4="Preliminary Precertification Review"),IF(AND(R314=0,S314=0),"",IF(AND(R314&gt;0,S314&gt;0),"","MISMATCH")),"")</f>
        <v/>
      </c>
      <c r="N314" s="47"/>
      <c r="O314" s="47"/>
      <c r="P314" s="44">
        <f t="shared" si="51"/>
        <v>0</v>
      </c>
      <c r="Q314" s="44">
        <f t="shared" si="43"/>
        <v>0</v>
      </c>
      <c r="R314" s="49">
        <f t="shared" si="52"/>
        <v>0</v>
      </c>
      <c r="S314" s="49">
        <f t="shared" si="44"/>
        <v>0</v>
      </c>
      <c r="T314" s="47"/>
    </row>
    <row r="315" spans="2:20" ht="45.6">
      <c r="B315" s="865"/>
      <c r="C315" s="881" t="s">
        <v>23</v>
      </c>
      <c r="D315" s="888" t="s">
        <v>213</v>
      </c>
      <c r="E315" s="700" t="s">
        <v>638</v>
      </c>
      <c r="F315" s="208"/>
      <c r="G315" s="208" t="s">
        <v>1061</v>
      </c>
      <c r="H315" s="701" t="s">
        <v>324</v>
      </c>
      <c r="I315" s="67" t="s">
        <v>1145</v>
      </c>
      <c r="L315" s="49" t="str">
        <f>IF(OR(Overview!$D$4="Preliminary Documentation Review",Overview!$D$4="Preliminary Precertification Review"),IF(AND(P315=0,Q315=0),"",IF(AND(P315&gt;0,Q315&gt;0),"","MISMATCH")),"")</f>
        <v/>
      </c>
      <c r="M315" s="49" t="str">
        <f>IF(OR(Overview!$D$4="Preliminary Documentation Review",Overview!$D$4="Preliminary Precertification Review"),IF(AND(R315=0,S315=0),"",IF(AND(R315&gt;0,S315&gt;0),"","MISMATCH")),"")</f>
        <v/>
      </c>
      <c r="N315" s="47"/>
      <c r="O315" s="47"/>
      <c r="P315" s="44">
        <f t="shared" si="51"/>
        <v>0</v>
      </c>
      <c r="Q315" s="44">
        <f t="shared" ref="Q315:Q321" si="53">IFERROR(SEARCH("Pending Documentation",$H315),0)</f>
        <v>0</v>
      </c>
      <c r="R315" s="49">
        <f t="shared" si="52"/>
        <v>0</v>
      </c>
      <c r="S315" s="49">
        <f t="shared" ref="S315:S321" si="54">IFERROR(SEARCH("Pending On",$H315),0)</f>
        <v>0</v>
      </c>
      <c r="T315" s="47"/>
    </row>
    <row r="316" spans="2:20" ht="196.8">
      <c r="B316" s="865"/>
      <c r="C316" s="881" t="s">
        <v>23</v>
      </c>
      <c r="D316" s="888" t="s">
        <v>214</v>
      </c>
      <c r="E316" s="700" t="s">
        <v>319</v>
      </c>
      <c r="F316" s="208">
        <v>5</v>
      </c>
      <c r="G316" s="208" t="s">
        <v>1071</v>
      </c>
      <c r="H316" s="701" t="s">
        <v>369</v>
      </c>
      <c r="I316" s="67" t="s">
        <v>1154</v>
      </c>
      <c r="L316" s="49" t="str">
        <f>IF(OR(Overview!$D$4="Preliminary Documentation Review",Overview!$D$4="Preliminary Precertification Review"),IF(AND(P316=0,Q316=0),"",IF(AND(P316&gt;0,Q316&gt;0),"","MISMATCH")),"")</f>
        <v/>
      </c>
      <c r="M316" s="49" t="str">
        <f>IF(OR(Overview!$D$4="Preliminary Documentation Review",Overview!$D$4="Preliminary Precertification Review"),IF(AND(R316=0,S316=0),"",IF(AND(R316&gt;0,S316&gt;0),"","MISMATCH")),"")</f>
        <v/>
      </c>
      <c r="N316" s="47"/>
      <c r="O316" s="47"/>
      <c r="P316" s="44">
        <f t="shared" si="51"/>
        <v>314</v>
      </c>
      <c r="Q316" s="44">
        <f t="shared" si="53"/>
        <v>0</v>
      </c>
      <c r="R316" s="49">
        <f t="shared" si="52"/>
        <v>0</v>
      </c>
      <c r="S316" s="49">
        <f t="shared" si="54"/>
        <v>0</v>
      </c>
      <c r="T316" s="47"/>
    </row>
    <row r="317" spans="2:20" ht="30" hidden="1">
      <c r="B317" s="732"/>
      <c r="C317" s="857" t="s">
        <v>23</v>
      </c>
      <c r="D317" s="860" t="s">
        <v>1092</v>
      </c>
      <c r="E317" s="700" t="s">
        <v>1093</v>
      </c>
      <c r="F317" s="726"/>
      <c r="G317" s="208"/>
      <c r="H317" s="701"/>
      <c r="I317" s="67"/>
      <c r="K317" s="60"/>
      <c r="L317" s="49" t="str">
        <f>IF(OR(Overview!$D$4="Preliminary Documentation Review",Overview!$D$4="Preliminary Precertification Review"),IF(AND(P317=0,Q317=0),"",IF(AND(P317&gt;0,Q317&gt;0),"","MISMATCH")),"")</f>
        <v/>
      </c>
      <c r="M317" s="49" t="str">
        <f>IF(OR(Overview!$D$4="Preliminary Documentation Review",Overview!$D$4="Preliminary Precertification Review"),IF(AND(R317=0,S317=0),"",IF(AND(R317&gt;0,S317&gt;0),"","MISMATCH")),"")</f>
        <v/>
      </c>
      <c r="N317" s="47"/>
      <c r="O317" s="47"/>
      <c r="P317" s="44">
        <f t="shared" si="51"/>
        <v>0</v>
      </c>
      <c r="Q317" s="44">
        <f t="shared" si="53"/>
        <v>0</v>
      </c>
      <c r="R317" s="49">
        <f t="shared" si="52"/>
        <v>0</v>
      </c>
      <c r="S317" s="49">
        <f t="shared" si="54"/>
        <v>0</v>
      </c>
      <c r="T317" s="47"/>
    </row>
    <row r="318" spans="2:20" ht="30" hidden="1">
      <c r="B318" s="732"/>
      <c r="C318" s="858"/>
      <c r="D318" s="861"/>
      <c r="E318" s="700" t="s">
        <v>1095</v>
      </c>
      <c r="F318" s="728"/>
      <c r="G318" s="208"/>
      <c r="H318" s="701"/>
      <c r="I318" s="67"/>
      <c r="K318" s="60"/>
      <c r="L318" s="49" t="str">
        <f>IF(OR(Overview!$D$4="Preliminary Documentation Review",Overview!$D$4="Preliminary Precertification Review"),IF(AND(P318=0,Q318=0),"",IF(AND(P318&gt;0,Q318&gt;0),"","MISMATCH")),"")</f>
        <v/>
      </c>
      <c r="M318" s="49" t="str">
        <f>IF(OR(Overview!$D$4="Preliminary Documentation Review",Overview!$D$4="Preliminary Precertification Review"),IF(AND(R318=0,S318=0),"",IF(AND(R318&gt;0,S318&gt;0),"","MISMATCH")),"")</f>
        <v/>
      </c>
      <c r="N318" s="47"/>
      <c r="O318" s="47"/>
      <c r="P318" s="44">
        <f t="shared" si="51"/>
        <v>0</v>
      </c>
      <c r="Q318" s="44">
        <f t="shared" si="53"/>
        <v>0</v>
      </c>
      <c r="R318" s="49">
        <f t="shared" si="52"/>
        <v>0</v>
      </c>
      <c r="S318" s="49">
        <f t="shared" si="54"/>
        <v>0</v>
      </c>
      <c r="T318" s="47"/>
    </row>
    <row r="319" spans="2:20" ht="30" hidden="1">
      <c r="B319" s="732"/>
      <c r="C319" s="858"/>
      <c r="D319" s="861"/>
      <c r="E319" s="700" t="s">
        <v>1096</v>
      </c>
      <c r="F319" s="728"/>
      <c r="G319" s="208"/>
      <c r="H319" s="701"/>
      <c r="I319" s="67"/>
      <c r="K319" s="60"/>
      <c r="L319" s="49" t="str">
        <f>IF(OR(Overview!$D$4="Preliminary Documentation Review",Overview!$D$4="Preliminary Precertification Review"),IF(AND(P319=0,Q319=0),"",IF(AND(P319&gt;0,Q319&gt;0),"","MISMATCH")),"")</f>
        <v/>
      </c>
      <c r="M319" s="49" t="str">
        <f>IF(OR(Overview!$D$4="Preliminary Documentation Review",Overview!$D$4="Preliminary Precertification Review"),IF(AND(R319=0,S319=0),"",IF(AND(R319&gt;0,S319&gt;0),"","MISMATCH")),"")</f>
        <v/>
      </c>
      <c r="N319" s="47"/>
      <c r="O319" s="47"/>
      <c r="P319" s="44">
        <f t="shared" si="51"/>
        <v>0</v>
      </c>
      <c r="Q319" s="44">
        <f t="shared" si="53"/>
        <v>0</v>
      </c>
      <c r="R319" s="49">
        <f t="shared" si="52"/>
        <v>0</v>
      </c>
      <c r="S319" s="49">
        <f t="shared" si="54"/>
        <v>0</v>
      </c>
      <c r="T319" s="47"/>
    </row>
    <row r="320" spans="2:20" ht="30" hidden="1">
      <c r="B320" s="732"/>
      <c r="C320" s="859"/>
      <c r="D320" s="862"/>
      <c r="E320" s="700" t="s">
        <v>1097</v>
      </c>
      <c r="F320" s="723"/>
      <c r="G320" s="208"/>
      <c r="H320" s="701"/>
      <c r="I320" s="67"/>
      <c r="K320" s="60"/>
      <c r="L320" s="49" t="str">
        <f>IF(OR(Overview!$D$4="Preliminary Documentation Review",Overview!$D$4="Preliminary Precertification Review"),IF(AND(P320=0,Q320=0),"",IF(AND(P320&gt;0,Q320&gt;0),"","MISMATCH")),"")</f>
        <v/>
      </c>
      <c r="M320" s="49" t="str">
        <f>IF(OR(Overview!$D$4="Preliminary Documentation Review",Overview!$D$4="Preliminary Precertification Review"),IF(AND(R320=0,S320=0),"",IF(AND(R320&gt;0,S320&gt;0),"","MISMATCH")),"")</f>
        <v/>
      </c>
      <c r="N320" s="47"/>
      <c r="O320" s="47"/>
      <c r="P320" s="44">
        <f t="shared" si="51"/>
        <v>0</v>
      </c>
      <c r="Q320" s="44">
        <f t="shared" si="53"/>
        <v>0</v>
      </c>
      <c r="R320" s="49">
        <f t="shared" si="52"/>
        <v>0</v>
      </c>
      <c r="S320" s="49">
        <f t="shared" si="54"/>
        <v>0</v>
      </c>
      <c r="T320" s="47"/>
    </row>
    <row r="321" spans="2:19">
      <c r="B321" s="159"/>
      <c r="C321" s="160"/>
      <c r="D321" s="161"/>
      <c r="E321" s="162"/>
      <c r="F321" s="162"/>
      <c r="G321" s="162"/>
      <c r="H321" s="163"/>
      <c r="I321" s="164"/>
      <c r="L321" s="49" t="str">
        <f>IF(OR(Overview!$D$4="Preliminary Documentation Review",Overview!$D$4="Preliminary Precertification Review"),IF(AND(P321=0,Q321=0),"",IF(AND(P321&gt;0,Q321&gt;0),"","MISMATCH")),"")</f>
        <v/>
      </c>
      <c r="M321" s="49" t="str">
        <f>IF(OR(Overview!$D$4="Preliminary Documentation Review",Overview!$D$4="Preliminary Precertification Review"),IF(AND(R321=0,S321=0),"",IF(AND(R321&gt;0,S321&gt;0),"","MISMATCH")),"")</f>
        <v/>
      </c>
      <c r="P321" s="44">
        <f t="shared" si="51"/>
        <v>0</v>
      </c>
      <c r="Q321" s="44">
        <f t="shared" si="53"/>
        <v>0</v>
      </c>
      <c r="R321" s="49">
        <f t="shared" si="52"/>
        <v>0</v>
      </c>
      <c r="S321" s="49">
        <f t="shared" si="54"/>
        <v>0</v>
      </c>
    </row>
    <row r="322" spans="2:19" ht="15.6" thickBot="1">
      <c r="B322" s="165"/>
      <c r="C322" s="166"/>
      <c r="D322" s="167"/>
      <c r="E322" s="168"/>
      <c r="F322" s="168"/>
      <c r="G322" s="168"/>
      <c r="H322" s="169"/>
      <c r="I322" s="170"/>
      <c r="L322" s="49" t="str">
        <f>IF(OR(Overview!$D$4="Preliminary Documentation Review",Overview!$D$4="Preliminary Precertification Review"),IF(AND(P322=0,Q322=0),"",IF(AND(P322&gt;0,Q322&gt;0),"","MISMATCH")),"")</f>
        <v/>
      </c>
      <c r="M322" s="49" t="str">
        <f>IF(OR(Overview!$D$4="Preliminary Documentation Review",Overview!$D$4="Preliminary Precertification Review"),IF(AND(R322=0,S322=0),"",IF(AND(R322&gt;0,S322&gt;0),"","MISMATCH")),"")</f>
        <v/>
      </c>
    </row>
    <row r="323" spans="2:19">
      <c r="F323" s="58"/>
      <c r="G323" s="59"/>
    </row>
    <row r="324" spans="2:19" ht="15" customHeight="1">
      <c r="F324" s="863" t="s">
        <v>337</v>
      </c>
      <c r="G324" s="864"/>
    </row>
    <row r="325" spans="2:19" ht="15" customHeight="1">
      <c r="F325" s="864"/>
      <c r="G325" s="864"/>
    </row>
    <row r="326" spans="2:19" ht="15" customHeight="1">
      <c r="F326" s="864"/>
      <c r="G326" s="864"/>
    </row>
    <row r="327" spans="2:19" ht="15" customHeight="1">
      <c r="F327" s="864"/>
      <c r="G327" s="864"/>
    </row>
    <row r="328" spans="2:19" ht="15" customHeight="1">
      <c r="F328" s="864"/>
      <c r="G328" s="864"/>
    </row>
    <row r="329" spans="2:19" ht="15" customHeight="1">
      <c r="F329" s="864"/>
      <c r="G329" s="864"/>
    </row>
    <row r="330" spans="2:19" ht="15" customHeight="1">
      <c r="F330" s="864"/>
      <c r="G330" s="864"/>
    </row>
    <row r="331" spans="2:19" ht="15" customHeight="1">
      <c r="F331" s="864"/>
      <c r="G331" s="864"/>
    </row>
    <row r="332" spans="2:19" ht="15" customHeight="1">
      <c r="F332" s="864"/>
      <c r="G332" s="864"/>
    </row>
    <row r="333" spans="2:19" ht="15" customHeight="1">
      <c r="F333" s="864"/>
      <c r="G333" s="864"/>
    </row>
    <row r="349" spans="2:2">
      <c r="B349" s="171"/>
    </row>
    <row r="350" spans="2:2">
      <c r="B350" s="171"/>
    </row>
    <row r="351" spans="2:2">
      <c r="B351" s="171"/>
    </row>
    <row r="352" spans="2:2">
      <c r="B352" s="171"/>
    </row>
    <row r="353" spans="2:2">
      <c r="B353" s="171"/>
    </row>
    <row r="354" spans="2:2">
      <c r="B354" s="171"/>
    </row>
    <row r="355" spans="2:2">
      <c r="B355" s="171"/>
    </row>
    <row r="356" spans="2:2">
      <c r="B356" s="171"/>
    </row>
    <row r="357" spans="2:2">
      <c r="B357" s="171"/>
    </row>
    <row r="358" spans="2:2">
      <c r="B358" s="171"/>
    </row>
    <row r="359" spans="2:2">
      <c r="B359" s="171"/>
    </row>
    <row r="360" spans="2:2">
      <c r="B360" s="171"/>
    </row>
    <row r="361" spans="2:2">
      <c r="B361" s="171"/>
    </row>
    <row r="362" spans="2:2">
      <c r="B362" s="171"/>
    </row>
    <row r="363" spans="2:2">
      <c r="B363" s="171"/>
    </row>
    <row r="364" spans="2:2">
      <c r="B364" s="171"/>
    </row>
    <row r="365" spans="2:2">
      <c r="B365" s="171"/>
    </row>
    <row r="366" spans="2:2">
      <c r="B366" s="171"/>
    </row>
    <row r="367" spans="2:2">
      <c r="B367" s="171"/>
    </row>
    <row r="368" spans="2:2">
      <c r="B368" s="171"/>
    </row>
    <row r="369" spans="2:2">
      <c r="B369" s="171"/>
    </row>
    <row r="370" spans="2:2">
      <c r="B370" s="171"/>
    </row>
    <row r="371" spans="2:2">
      <c r="B371" s="171"/>
    </row>
    <row r="372" spans="2:2">
      <c r="B372" s="171"/>
    </row>
    <row r="373" spans="2:2">
      <c r="B373" s="171"/>
    </row>
    <row r="374" spans="2:2">
      <c r="B374" s="171"/>
    </row>
    <row r="375" spans="2:2">
      <c r="B375" s="171"/>
    </row>
    <row r="376" spans="2:2">
      <c r="B376" s="171"/>
    </row>
    <row r="377" spans="2:2">
      <c r="B377" s="171"/>
    </row>
    <row r="378" spans="2:2">
      <c r="B378" s="171"/>
    </row>
    <row r="379" spans="2:2">
      <c r="B379" s="171"/>
    </row>
    <row r="380" spans="2:2">
      <c r="B380" s="171"/>
    </row>
    <row r="381" spans="2:2">
      <c r="B381" s="171"/>
    </row>
    <row r="382" spans="2:2">
      <c r="B382" s="171"/>
    </row>
    <row r="383" spans="2:2">
      <c r="B383" s="171"/>
    </row>
    <row r="384" spans="2:2">
      <c r="B384" s="171"/>
    </row>
    <row r="385" spans="2:2">
      <c r="B385" s="171"/>
    </row>
    <row r="386" spans="2:2">
      <c r="B386" s="171"/>
    </row>
    <row r="387" spans="2:2">
      <c r="B387" s="171"/>
    </row>
    <row r="388" spans="2:2">
      <c r="B388" s="171"/>
    </row>
    <row r="389" spans="2:2">
      <c r="B389" s="171"/>
    </row>
    <row r="390" spans="2:2">
      <c r="B390" s="171"/>
    </row>
    <row r="391" spans="2:2">
      <c r="B391" s="171"/>
    </row>
    <row r="392" spans="2:2">
      <c r="B392" s="171"/>
    </row>
    <row r="393" spans="2:2">
      <c r="B393" s="171"/>
    </row>
    <row r="394" spans="2:2">
      <c r="B394" s="171"/>
    </row>
    <row r="395" spans="2:2">
      <c r="B395" s="171"/>
    </row>
    <row r="396" spans="2:2">
      <c r="B396" s="171"/>
    </row>
    <row r="397" spans="2:2">
      <c r="B397" s="171"/>
    </row>
    <row r="398" spans="2:2">
      <c r="B398" s="171"/>
    </row>
    <row r="399" spans="2:2">
      <c r="B399" s="171"/>
    </row>
    <row r="400" spans="2:2">
      <c r="B400" s="171"/>
    </row>
    <row r="401" spans="2:2">
      <c r="B401" s="171"/>
    </row>
    <row r="402" spans="2:2">
      <c r="B402" s="171"/>
    </row>
    <row r="403" spans="2:2">
      <c r="B403" s="171"/>
    </row>
    <row r="404" spans="2:2">
      <c r="B404" s="171"/>
    </row>
    <row r="405" spans="2:2">
      <c r="B405" s="171"/>
    </row>
    <row r="406" spans="2:2">
      <c r="B406" s="171"/>
    </row>
    <row r="407" spans="2:2">
      <c r="B407" s="171"/>
    </row>
    <row r="408" spans="2:2">
      <c r="B408" s="171"/>
    </row>
    <row r="409" spans="2:2">
      <c r="B409" s="171"/>
    </row>
    <row r="410" spans="2:2">
      <c r="B410" s="171"/>
    </row>
    <row r="411" spans="2:2">
      <c r="B411" s="171"/>
    </row>
    <row r="412" spans="2:2">
      <c r="B412" s="171"/>
    </row>
    <row r="413" spans="2:2">
      <c r="B413" s="171"/>
    </row>
    <row r="414" spans="2:2">
      <c r="B414" s="171"/>
    </row>
    <row r="415" spans="2:2">
      <c r="B415" s="171"/>
    </row>
    <row r="416" spans="2:2">
      <c r="B416" s="171"/>
    </row>
    <row r="417" spans="2:2">
      <c r="B417" s="171"/>
    </row>
    <row r="418" spans="2:2">
      <c r="B418" s="171"/>
    </row>
    <row r="419" spans="2:2">
      <c r="B419" s="171"/>
    </row>
    <row r="420" spans="2:2">
      <c r="B420" s="171"/>
    </row>
    <row r="421" spans="2:2">
      <c r="B421" s="171"/>
    </row>
    <row r="422" spans="2:2">
      <c r="B422" s="171"/>
    </row>
    <row r="423" spans="2:2">
      <c r="B423" s="171"/>
    </row>
    <row r="424" spans="2:2">
      <c r="B424" s="171"/>
    </row>
    <row r="425" spans="2:2">
      <c r="B425" s="171"/>
    </row>
    <row r="426" spans="2:2">
      <c r="B426" s="171"/>
    </row>
    <row r="427" spans="2:2">
      <c r="B427" s="171"/>
    </row>
    <row r="428" spans="2:2">
      <c r="B428" s="171"/>
    </row>
    <row r="429" spans="2:2">
      <c r="B429" s="171"/>
    </row>
    <row r="430" spans="2:2">
      <c r="B430" s="171"/>
    </row>
    <row r="431" spans="2:2">
      <c r="B431" s="171"/>
    </row>
    <row r="432" spans="2:2">
      <c r="B432" s="171"/>
    </row>
    <row r="433" spans="2:2">
      <c r="B433" s="171"/>
    </row>
    <row r="434" spans="2:2">
      <c r="B434" s="171"/>
    </row>
    <row r="435" spans="2:2">
      <c r="B435" s="171"/>
    </row>
    <row r="436" spans="2:2">
      <c r="B436" s="171"/>
    </row>
    <row r="437" spans="2:2">
      <c r="B437" s="171"/>
    </row>
    <row r="438" spans="2:2">
      <c r="B438" s="171"/>
    </row>
    <row r="439" spans="2:2">
      <c r="B439" s="171"/>
    </row>
    <row r="440" spans="2:2">
      <c r="B440" s="171"/>
    </row>
    <row r="441" spans="2:2">
      <c r="B441" s="171"/>
    </row>
    <row r="442" spans="2:2">
      <c r="B442" s="171"/>
    </row>
    <row r="443" spans="2:2">
      <c r="B443" s="171"/>
    </row>
    <row r="444" spans="2:2">
      <c r="B444" s="171"/>
    </row>
    <row r="445" spans="2:2">
      <c r="B445" s="171"/>
    </row>
    <row r="446" spans="2:2">
      <c r="B446" s="171"/>
    </row>
    <row r="447" spans="2:2">
      <c r="B447" s="171"/>
    </row>
    <row r="448" spans="2:2">
      <c r="B448" s="171"/>
    </row>
    <row r="449" spans="2:2">
      <c r="B449" s="171"/>
    </row>
    <row r="450" spans="2:2">
      <c r="B450" s="171"/>
    </row>
    <row r="451" spans="2:2">
      <c r="B451" s="171"/>
    </row>
    <row r="452" spans="2:2">
      <c r="B452" s="171"/>
    </row>
    <row r="453" spans="2:2">
      <c r="B453" s="171"/>
    </row>
    <row r="454" spans="2:2">
      <c r="B454" s="171"/>
    </row>
    <row r="455" spans="2:2">
      <c r="B455" s="171"/>
    </row>
    <row r="456" spans="2:2">
      <c r="B456" s="171"/>
    </row>
    <row r="457" spans="2:2">
      <c r="B457" s="171"/>
    </row>
    <row r="458" spans="2:2">
      <c r="B458" s="171"/>
    </row>
    <row r="459" spans="2:2">
      <c r="B459" s="171"/>
    </row>
    <row r="460" spans="2:2">
      <c r="B460" s="171"/>
    </row>
    <row r="461" spans="2:2">
      <c r="B461" s="171"/>
    </row>
    <row r="462" spans="2:2">
      <c r="B462" s="171"/>
    </row>
    <row r="463" spans="2:2">
      <c r="B463" s="171"/>
    </row>
    <row r="464" spans="2:2">
      <c r="B464" s="171"/>
    </row>
    <row r="465" spans="2:2">
      <c r="B465" s="171"/>
    </row>
    <row r="466" spans="2:2">
      <c r="B466" s="171"/>
    </row>
    <row r="467" spans="2:2">
      <c r="B467" s="171"/>
    </row>
    <row r="468" spans="2:2">
      <c r="B468" s="171"/>
    </row>
    <row r="469" spans="2:2">
      <c r="B469" s="171"/>
    </row>
    <row r="470" spans="2:2">
      <c r="B470" s="171"/>
    </row>
    <row r="471" spans="2:2">
      <c r="B471" s="171"/>
    </row>
    <row r="472" spans="2:2">
      <c r="B472" s="171"/>
    </row>
    <row r="473" spans="2:2">
      <c r="B473" s="171"/>
    </row>
    <row r="474" spans="2:2">
      <c r="B474" s="171"/>
    </row>
    <row r="475" spans="2:2">
      <c r="B475" s="171"/>
    </row>
    <row r="476" spans="2:2">
      <c r="B476" s="171"/>
    </row>
    <row r="477" spans="2:2">
      <c r="B477" s="171"/>
    </row>
    <row r="478" spans="2:2">
      <c r="B478" s="171"/>
    </row>
    <row r="479" spans="2:2">
      <c r="B479" s="171"/>
    </row>
    <row r="480" spans="2:2">
      <c r="B480" s="171"/>
    </row>
    <row r="481" spans="2:2">
      <c r="B481" s="171"/>
    </row>
    <row r="482" spans="2:2">
      <c r="B482" s="171"/>
    </row>
    <row r="483" spans="2:2">
      <c r="B483" s="171"/>
    </row>
    <row r="484" spans="2:2">
      <c r="B484" s="171"/>
    </row>
    <row r="485" spans="2:2">
      <c r="B485" s="171"/>
    </row>
    <row r="486" spans="2:2">
      <c r="B486" s="171"/>
    </row>
    <row r="487" spans="2:2">
      <c r="B487" s="171"/>
    </row>
    <row r="488" spans="2:2">
      <c r="B488" s="171"/>
    </row>
    <row r="489" spans="2:2">
      <c r="B489" s="171"/>
    </row>
    <row r="490" spans="2:2">
      <c r="B490" s="171"/>
    </row>
    <row r="491" spans="2:2">
      <c r="B491" s="171"/>
    </row>
    <row r="492" spans="2:2">
      <c r="B492" s="171"/>
    </row>
    <row r="493" spans="2:2">
      <c r="B493" s="171"/>
    </row>
    <row r="494" spans="2:2">
      <c r="B494" s="171"/>
    </row>
    <row r="495" spans="2:2">
      <c r="B495" s="171"/>
    </row>
    <row r="496" spans="2:2">
      <c r="B496" s="171"/>
    </row>
    <row r="497" spans="2:2">
      <c r="B497" s="171"/>
    </row>
    <row r="498" spans="2:2">
      <c r="B498" s="171"/>
    </row>
    <row r="499" spans="2:2">
      <c r="B499" s="171"/>
    </row>
    <row r="500" spans="2:2">
      <c r="B500" s="171"/>
    </row>
    <row r="501" spans="2:2">
      <c r="B501" s="171"/>
    </row>
    <row r="502" spans="2:2">
      <c r="B502" s="171"/>
    </row>
    <row r="503" spans="2:2">
      <c r="B503" s="171"/>
    </row>
    <row r="504" spans="2:2">
      <c r="B504" s="171"/>
    </row>
    <row r="505" spans="2:2">
      <c r="B505" s="171"/>
    </row>
    <row r="506" spans="2:2">
      <c r="B506" s="171"/>
    </row>
    <row r="507" spans="2:2">
      <c r="B507" s="171"/>
    </row>
    <row r="508" spans="2:2">
      <c r="B508" s="171"/>
    </row>
    <row r="509" spans="2:2">
      <c r="B509" s="171"/>
    </row>
    <row r="510" spans="2:2">
      <c r="B510" s="171"/>
    </row>
    <row r="511" spans="2:2">
      <c r="B511" s="171"/>
    </row>
    <row r="512" spans="2:2">
      <c r="B512" s="171"/>
    </row>
    <row r="513" spans="2:2">
      <c r="B513" s="171"/>
    </row>
    <row r="514" spans="2:2">
      <c r="B514" s="171"/>
    </row>
    <row r="515" spans="2:2">
      <c r="B515" s="171"/>
    </row>
    <row r="516" spans="2:2">
      <c r="B516" s="171"/>
    </row>
    <row r="517" spans="2:2">
      <c r="B517" s="171"/>
    </row>
    <row r="518" spans="2:2">
      <c r="B518" s="171"/>
    </row>
    <row r="519" spans="2:2">
      <c r="B519" s="171"/>
    </row>
    <row r="520" spans="2:2">
      <c r="B520" s="171"/>
    </row>
    <row r="521" spans="2:2">
      <c r="B521" s="171"/>
    </row>
    <row r="522" spans="2:2">
      <c r="B522" s="171"/>
    </row>
    <row r="523" spans="2:2">
      <c r="B523" s="171"/>
    </row>
    <row r="524" spans="2:2">
      <c r="B524" s="171"/>
    </row>
    <row r="525" spans="2:2">
      <c r="B525" s="171"/>
    </row>
    <row r="526" spans="2:2">
      <c r="B526" s="171"/>
    </row>
    <row r="527" spans="2:2">
      <c r="B527" s="171"/>
    </row>
    <row r="528" spans="2:2">
      <c r="B528" s="171"/>
    </row>
    <row r="529" spans="2:2">
      <c r="B529" s="171"/>
    </row>
    <row r="530" spans="2:2">
      <c r="B530" s="171"/>
    </row>
    <row r="531" spans="2:2">
      <c r="B531" s="171"/>
    </row>
    <row r="532" spans="2:2">
      <c r="B532" s="171"/>
    </row>
    <row r="533" spans="2:2">
      <c r="B533" s="171"/>
    </row>
    <row r="534" spans="2:2">
      <c r="B534" s="171"/>
    </row>
    <row r="535" spans="2:2">
      <c r="B535" s="171"/>
    </row>
    <row r="536" spans="2:2">
      <c r="B536" s="171"/>
    </row>
    <row r="537" spans="2:2">
      <c r="B537" s="171"/>
    </row>
    <row r="538" spans="2:2">
      <c r="B538" s="171"/>
    </row>
    <row r="539" spans="2:2">
      <c r="B539" s="171"/>
    </row>
    <row r="540" spans="2:2">
      <c r="B540" s="171"/>
    </row>
    <row r="541" spans="2:2">
      <c r="B541" s="171"/>
    </row>
    <row r="542" spans="2:2">
      <c r="B542" s="171"/>
    </row>
    <row r="543" spans="2:2">
      <c r="B543" s="171"/>
    </row>
    <row r="544" spans="2:2">
      <c r="B544" s="171"/>
    </row>
    <row r="545" spans="2:2">
      <c r="B545" s="171"/>
    </row>
    <row r="546" spans="2:2">
      <c r="B546" s="171"/>
    </row>
    <row r="547" spans="2:2">
      <c r="B547" s="171"/>
    </row>
    <row r="548" spans="2:2">
      <c r="B548" s="171"/>
    </row>
    <row r="549" spans="2:2">
      <c r="B549" s="171"/>
    </row>
    <row r="550" spans="2:2">
      <c r="B550" s="171"/>
    </row>
    <row r="551" spans="2:2">
      <c r="B551" s="171"/>
    </row>
    <row r="552" spans="2:2">
      <c r="B552" s="171"/>
    </row>
    <row r="553" spans="2:2">
      <c r="B553" s="171"/>
    </row>
    <row r="554" spans="2:2">
      <c r="B554" s="171"/>
    </row>
    <row r="555" spans="2:2">
      <c r="B555" s="171"/>
    </row>
    <row r="556" spans="2:2">
      <c r="B556" s="171"/>
    </row>
    <row r="557" spans="2:2">
      <c r="B557" s="171"/>
    </row>
    <row r="558" spans="2:2">
      <c r="B558" s="171"/>
    </row>
    <row r="559" spans="2:2">
      <c r="B559" s="171"/>
    </row>
    <row r="560" spans="2:2">
      <c r="B560" s="171"/>
    </row>
    <row r="561" spans="2:2">
      <c r="B561" s="171"/>
    </row>
    <row r="562" spans="2:2">
      <c r="B562" s="171"/>
    </row>
    <row r="563" spans="2:2">
      <c r="B563" s="171"/>
    </row>
    <row r="564" spans="2:2">
      <c r="B564" s="171"/>
    </row>
    <row r="565" spans="2:2">
      <c r="B565" s="171"/>
    </row>
    <row r="566" spans="2:2">
      <c r="B566" s="171"/>
    </row>
    <row r="567" spans="2:2">
      <c r="B567" s="171"/>
    </row>
    <row r="568" spans="2:2">
      <c r="B568" s="171"/>
    </row>
    <row r="569" spans="2:2">
      <c r="B569" s="171"/>
    </row>
    <row r="570" spans="2:2">
      <c r="B570" s="171"/>
    </row>
    <row r="571" spans="2:2">
      <c r="B571" s="171"/>
    </row>
    <row r="572" spans="2:2">
      <c r="B572" s="171"/>
    </row>
    <row r="573" spans="2:2">
      <c r="B573" s="171"/>
    </row>
    <row r="574" spans="2:2">
      <c r="B574" s="171"/>
    </row>
    <row r="575" spans="2:2">
      <c r="B575" s="171"/>
    </row>
    <row r="576" spans="2:2">
      <c r="B576" s="171"/>
    </row>
    <row r="577" spans="2:2">
      <c r="B577" s="171"/>
    </row>
    <row r="578" spans="2:2">
      <c r="B578" s="171"/>
    </row>
    <row r="579" spans="2:2">
      <c r="B579" s="171"/>
    </row>
    <row r="580" spans="2:2">
      <c r="B580" s="171"/>
    </row>
    <row r="581" spans="2:2">
      <c r="B581" s="171"/>
    </row>
    <row r="582" spans="2:2">
      <c r="B582" s="171"/>
    </row>
    <row r="583" spans="2:2">
      <c r="B583" s="171"/>
    </row>
    <row r="584" spans="2:2">
      <c r="B584" s="171"/>
    </row>
    <row r="585" spans="2:2">
      <c r="B585" s="171"/>
    </row>
    <row r="586" spans="2:2">
      <c r="B586" s="171"/>
    </row>
    <row r="587" spans="2:2">
      <c r="B587" s="171"/>
    </row>
    <row r="588" spans="2:2">
      <c r="B588" s="171"/>
    </row>
    <row r="589" spans="2:2">
      <c r="B589" s="171"/>
    </row>
    <row r="590" spans="2:2">
      <c r="B590" s="171"/>
    </row>
    <row r="591" spans="2:2">
      <c r="B591" s="171"/>
    </row>
    <row r="592" spans="2:2">
      <c r="B592" s="171"/>
    </row>
    <row r="593" spans="2:2">
      <c r="B593" s="171"/>
    </row>
    <row r="594" spans="2:2">
      <c r="B594" s="171"/>
    </row>
    <row r="595" spans="2:2">
      <c r="B595" s="171"/>
    </row>
    <row r="596" spans="2:2">
      <c r="B596" s="171"/>
    </row>
    <row r="597" spans="2:2">
      <c r="B597" s="171"/>
    </row>
    <row r="598" spans="2:2">
      <c r="B598" s="171"/>
    </row>
    <row r="599" spans="2:2">
      <c r="B599" s="171"/>
    </row>
    <row r="600" spans="2:2">
      <c r="B600" s="171"/>
    </row>
    <row r="601" spans="2:2">
      <c r="B601" s="171"/>
    </row>
    <row r="602" spans="2:2">
      <c r="B602" s="171"/>
    </row>
    <row r="603" spans="2:2">
      <c r="B603" s="171"/>
    </row>
    <row r="604" spans="2:2">
      <c r="B604" s="171"/>
    </row>
    <row r="605" spans="2:2">
      <c r="B605" s="171"/>
    </row>
    <row r="606" spans="2:2">
      <c r="B606" s="171"/>
    </row>
    <row r="607" spans="2:2">
      <c r="B607" s="171"/>
    </row>
    <row r="608" spans="2:2">
      <c r="B608" s="171"/>
    </row>
    <row r="609" spans="2:2">
      <c r="B609" s="171"/>
    </row>
    <row r="610" spans="2:2">
      <c r="B610" s="171"/>
    </row>
    <row r="611" spans="2:2">
      <c r="B611" s="171"/>
    </row>
    <row r="612" spans="2:2">
      <c r="B612" s="171"/>
    </row>
    <row r="613" spans="2:2">
      <c r="B613" s="171"/>
    </row>
    <row r="614" spans="2:2">
      <c r="B614" s="171"/>
    </row>
    <row r="615" spans="2:2">
      <c r="B615" s="171"/>
    </row>
    <row r="616" spans="2:2">
      <c r="B616" s="171"/>
    </row>
    <row r="617" spans="2:2">
      <c r="B617" s="171"/>
    </row>
    <row r="618" spans="2:2">
      <c r="B618" s="171"/>
    </row>
    <row r="619" spans="2:2">
      <c r="B619" s="171"/>
    </row>
    <row r="620" spans="2:2">
      <c r="B620" s="171"/>
    </row>
    <row r="621" spans="2:2">
      <c r="B621" s="171"/>
    </row>
    <row r="622" spans="2:2">
      <c r="B622" s="171"/>
    </row>
    <row r="623" spans="2:2">
      <c r="B623" s="171"/>
    </row>
    <row r="624" spans="2:2">
      <c r="B624" s="171"/>
    </row>
    <row r="625" spans="2:2">
      <c r="B625" s="171"/>
    </row>
    <row r="626" spans="2:2">
      <c r="B626" s="171"/>
    </row>
    <row r="627" spans="2:2">
      <c r="B627" s="171"/>
    </row>
    <row r="628" spans="2:2">
      <c r="B628" s="171"/>
    </row>
    <row r="629" spans="2:2">
      <c r="B629" s="171"/>
    </row>
    <row r="630" spans="2:2">
      <c r="B630" s="171"/>
    </row>
    <row r="631" spans="2:2">
      <c r="B631" s="171"/>
    </row>
    <row r="632" spans="2:2">
      <c r="B632" s="171"/>
    </row>
    <row r="633" spans="2:2">
      <c r="B633" s="171"/>
    </row>
    <row r="634" spans="2:2">
      <c r="B634" s="171"/>
    </row>
    <row r="635" spans="2:2">
      <c r="B635" s="171"/>
    </row>
    <row r="636" spans="2:2">
      <c r="B636" s="171"/>
    </row>
    <row r="637" spans="2:2">
      <c r="B637" s="171"/>
    </row>
    <row r="638" spans="2:2">
      <c r="B638" s="171"/>
    </row>
    <row r="639" spans="2:2">
      <c r="B639" s="171"/>
    </row>
    <row r="640" spans="2:2">
      <c r="B640" s="171"/>
    </row>
    <row r="641" spans="2:2">
      <c r="B641" s="171"/>
    </row>
    <row r="642" spans="2:2">
      <c r="B642" s="171"/>
    </row>
    <row r="643" spans="2:2">
      <c r="B643" s="171"/>
    </row>
    <row r="644" spans="2:2">
      <c r="B644" s="171"/>
    </row>
    <row r="645" spans="2:2">
      <c r="B645" s="171"/>
    </row>
    <row r="646" spans="2:2">
      <c r="B646" s="171"/>
    </row>
    <row r="647" spans="2:2">
      <c r="B647" s="171"/>
    </row>
    <row r="648" spans="2:2">
      <c r="B648" s="171"/>
    </row>
    <row r="649" spans="2:2">
      <c r="B649" s="171"/>
    </row>
    <row r="650" spans="2:2">
      <c r="B650" s="171"/>
    </row>
    <row r="651" spans="2:2">
      <c r="B651" s="171"/>
    </row>
    <row r="652" spans="2:2">
      <c r="B652" s="171"/>
    </row>
    <row r="653" spans="2:2">
      <c r="B653" s="171"/>
    </row>
    <row r="654" spans="2:2">
      <c r="B654" s="171"/>
    </row>
    <row r="655" spans="2:2">
      <c r="B655" s="171"/>
    </row>
    <row r="656" spans="2:2">
      <c r="B656" s="171"/>
    </row>
    <row r="657" spans="2:2">
      <c r="B657" s="171"/>
    </row>
    <row r="658" spans="2:2">
      <c r="B658" s="171"/>
    </row>
    <row r="659" spans="2:2">
      <c r="B659" s="171"/>
    </row>
    <row r="660" spans="2:2">
      <c r="B660" s="171"/>
    </row>
    <row r="661" spans="2:2">
      <c r="B661" s="171"/>
    </row>
    <row r="662" spans="2:2">
      <c r="B662" s="171"/>
    </row>
    <row r="663" spans="2:2">
      <c r="B663" s="171"/>
    </row>
    <row r="664" spans="2:2">
      <c r="B664" s="171"/>
    </row>
    <row r="665" spans="2:2">
      <c r="B665" s="171"/>
    </row>
    <row r="666" spans="2:2">
      <c r="B666" s="171"/>
    </row>
    <row r="667" spans="2:2">
      <c r="B667" s="171"/>
    </row>
    <row r="668" spans="2:2">
      <c r="B668" s="171"/>
    </row>
    <row r="669" spans="2:2">
      <c r="B669" s="171"/>
    </row>
    <row r="670" spans="2:2">
      <c r="B670" s="171"/>
    </row>
    <row r="671" spans="2:2">
      <c r="B671" s="171"/>
    </row>
    <row r="672" spans="2:2">
      <c r="B672" s="171"/>
    </row>
    <row r="673" spans="2:2">
      <c r="B673" s="171"/>
    </row>
    <row r="674" spans="2:2">
      <c r="B674" s="171"/>
    </row>
    <row r="675" spans="2:2">
      <c r="B675" s="171"/>
    </row>
    <row r="676" spans="2:2">
      <c r="B676" s="171"/>
    </row>
    <row r="677" spans="2:2">
      <c r="B677" s="171"/>
    </row>
    <row r="678" spans="2:2">
      <c r="B678" s="171"/>
    </row>
    <row r="679" spans="2:2">
      <c r="B679" s="171"/>
    </row>
    <row r="680" spans="2:2">
      <c r="B680" s="171"/>
    </row>
    <row r="681" spans="2:2">
      <c r="B681" s="171"/>
    </row>
    <row r="682" spans="2:2">
      <c r="B682" s="171"/>
    </row>
    <row r="683" spans="2:2">
      <c r="B683" s="171"/>
    </row>
    <row r="684" spans="2:2">
      <c r="B684" s="171"/>
    </row>
    <row r="685" spans="2:2">
      <c r="B685" s="171"/>
    </row>
    <row r="686" spans="2:2">
      <c r="B686" s="171"/>
    </row>
    <row r="687" spans="2:2">
      <c r="B687" s="171"/>
    </row>
    <row r="688" spans="2:2">
      <c r="B688" s="171"/>
    </row>
    <row r="689" spans="2:2">
      <c r="B689" s="171"/>
    </row>
    <row r="690" spans="2:2">
      <c r="B690" s="171"/>
    </row>
    <row r="691" spans="2:2">
      <c r="B691" s="171"/>
    </row>
    <row r="692" spans="2:2">
      <c r="B692" s="171"/>
    </row>
    <row r="693" spans="2:2">
      <c r="B693" s="171"/>
    </row>
    <row r="694" spans="2:2">
      <c r="B694" s="171"/>
    </row>
    <row r="695" spans="2:2">
      <c r="B695" s="171"/>
    </row>
    <row r="696" spans="2:2">
      <c r="B696" s="171"/>
    </row>
    <row r="697" spans="2:2">
      <c r="B697" s="171"/>
    </row>
    <row r="698" spans="2:2">
      <c r="B698" s="171"/>
    </row>
    <row r="699" spans="2:2">
      <c r="B699" s="171"/>
    </row>
    <row r="700" spans="2:2">
      <c r="B700" s="171"/>
    </row>
    <row r="701" spans="2:2">
      <c r="B701" s="171"/>
    </row>
    <row r="702" spans="2:2">
      <c r="B702" s="171"/>
    </row>
    <row r="703" spans="2:2">
      <c r="B703" s="171"/>
    </row>
    <row r="704" spans="2:2">
      <c r="B704" s="171"/>
    </row>
    <row r="705" spans="2:2">
      <c r="B705" s="171"/>
    </row>
    <row r="706" spans="2:2">
      <c r="B706" s="171"/>
    </row>
    <row r="707" spans="2:2">
      <c r="B707" s="171"/>
    </row>
    <row r="708" spans="2:2">
      <c r="B708" s="171"/>
    </row>
    <row r="709" spans="2:2">
      <c r="B709" s="171"/>
    </row>
    <row r="710" spans="2:2">
      <c r="B710" s="171"/>
    </row>
    <row r="711" spans="2:2">
      <c r="B711" s="171"/>
    </row>
    <row r="712" spans="2:2">
      <c r="B712" s="171"/>
    </row>
    <row r="713" spans="2:2">
      <c r="B713" s="171"/>
    </row>
    <row r="714" spans="2:2">
      <c r="B714" s="171"/>
    </row>
    <row r="715" spans="2:2">
      <c r="B715" s="171"/>
    </row>
    <row r="716" spans="2:2">
      <c r="B716" s="171"/>
    </row>
    <row r="717" spans="2:2">
      <c r="B717" s="171"/>
    </row>
    <row r="718" spans="2:2">
      <c r="B718" s="171"/>
    </row>
    <row r="719" spans="2:2">
      <c r="B719" s="171"/>
    </row>
    <row r="720" spans="2:2">
      <c r="B720" s="171"/>
    </row>
    <row r="721" spans="2:2">
      <c r="B721" s="171"/>
    </row>
    <row r="722" spans="2:2">
      <c r="B722" s="171"/>
    </row>
    <row r="723" spans="2:2">
      <c r="B723" s="171"/>
    </row>
    <row r="724" spans="2:2">
      <c r="B724" s="171"/>
    </row>
    <row r="725" spans="2:2">
      <c r="B725" s="171"/>
    </row>
    <row r="726" spans="2:2">
      <c r="B726" s="171"/>
    </row>
    <row r="727" spans="2:2">
      <c r="B727" s="171"/>
    </row>
    <row r="728" spans="2:2">
      <c r="B728" s="171"/>
    </row>
    <row r="729" spans="2:2">
      <c r="B729" s="171"/>
    </row>
    <row r="730" spans="2:2">
      <c r="B730" s="171"/>
    </row>
    <row r="731" spans="2:2">
      <c r="B731" s="171"/>
    </row>
    <row r="732" spans="2:2">
      <c r="B732" s="171"/>
    </row>
    <row r="733" spans="2:2">
      <c r="B733" s="171"/>
    </row>
    <row r="734" spans="2:2">
      <c r="B734" s="171"/>
    </row>
    <row r="735" spans="2:2">
      <c r="B735" s="171"/>
    </row>
    <row r="736" spans="2:2">
      <c r="B736" s="171"/>
    </row>
    <row r="737" spans="2:2">
      <c r="B737" s="171"/>
    </row>
    <row r="738" spans="2:2">
      <c r="B738" s="171"/>
    </row>
    <row r="739" spans="2:2">
      <c r="B739" s="171"/>
    </row>
    <row r="740" spans="2:2">
      <c r="B740" s="171"/>
    </row>
    <row r="741" spans="2:2">
      <c r="B741" s="171"/>
    </row>
    <row r="742" spans="2:2">
      <c r="B742" s="171"/>
    </row>
    <row r="743" spans="2:2">
      <c r="B743" s="171"/>
    </row>
    <row r="744" spans="2:2">
      <c r="B744" s="171"/>
    </row>
    <row r="745" spans="2:2">
      <c r="B745" s="171"/>
    </row>
    <row r="746" spans="2:2">
      <c r="B746" s="171"/>
    </row>
    <row r="747" spans="2:2">
      <c r="B747" s="171"/>
    </row>
    <row r="748" spans="2:2">
      <c r="B748" s="171"/>
    </row>
    <row r="749" spans="2:2">
      <c r="B749" s="171"/>
    </row>
    <row r="750" spans="2:2">
      <c r="B750" s="171"/>
    </row>
    <row r="751" spans="2:2">
      <c r="B751" s="171"/>
    </row>
    <row r="752" spans="2:2">
      <c r="B752" s="171"/>
    </row>
    <row r="753" spans="2:2">
      <c r="B753" s="171"/>
    </row>
    <row r="754" spans="2:2">
      <c r="B754" s="171"/>
    </row>
    <row r="755" spans="2:2">
      <c r="B755" s="171"/>
    </row>
    <row r="756" spans="2:2">
      <c r="B756" s="171"/>
    </row>
    <row r="757" spans="2:2">
      <c r="B757" s="171"/>
    </row>
    <row r="758" spans="2:2">
      <c r="B758" s="171"/>
    </row>
    <row r="759" spans="2:2">
      <c r="B759" s="171"/>
    </row>
    <row r="760" spans="2:2">
      <c r="B760" s="171"/>
    </row>
    <row r="761" spans="2:2">
      <c r="B761" s="171"/>
    </row>
    <row r="762" spans="2:2">
      <c r="B762" s="171"/>
    </row>
    <row r="763" spans="2:2">
      <c r="B763" s="171"/>
    </row>
    <row r="764" spans="2:2">
      <c r="B764" s="171"/>
    </row>
    <row r="765" spans="2:2">
      <c r="B765" s="171"/>
    </row>
    <row r="766" spans="2:2">
      <c r="B766" s="171"/>
    </row>
    <row r="767" spans="2:2">
      <c r="B767" s="171"/>
    </row>
    <row r="768" spans="2:2">
      <c r="B768" s="171"/>
    </row>
    <row r="769" spans="2:2">
      <c r="B769" s="171"/>
    </row>
    <row r="770" spans="2:2">
      <c r="B770" s="171"/>
    </row>
    <row r="771" spans="2:2">
      <c r="B771" s="171"/>
    </row>
    <row r="772" spans="2:2">
      <c r="B772" s="171"/>
    </row>
    <row r="773" spans="2:2">
      <c r="B773" s="171"/>
    </row>
    <row r="774" spans="2:2">
      <c r="B774" s="171"/>
    </row>
    <row r="775" spans="2:2">
      <c r="B775" s="171"/>
    </row>
    <row r="776" spans="2:2">
      <c r="B776" s="171"/>
    </row>
    <row r="777" spans="2:2">
      <c r="B777" s="171"/>
    </row>
    <row r="778" spans="2:2">
      <c r="B778" s="171"/>
    </row>
    <row r="779" spans="2:2">
      <c r="B779" s="171"/>
    </row>
    <row r="780" spans="2:2">
      <c r="B780" s="171"/>
    </row>
    <row r="781" spans="2:2">
      <c r="B781" s="171"/>
    </row>
    <row r="782" spans="2:2">
      <c r="B782" s="171"/>
    </row>
    <row r="783" spans="2:2">
      <c r="B783" s="171"/>
    </row>
    <row r="784" spans="2:2">
      <c r="B784" s="171"/>
    </row>
    <row r="785" spans="2:2">
      <c r="B785" s="171"/>
    </row>
    <row r="786" spans="2:2">
      <c r="B786" s="171"/>
    </row>
    <row r="787" spans="2:2">
      <c r="B787" s="171"/>
    </row>
    <row r="788" spans="2:2">
      <c r="B788" s="171"/>
    </row>
    <row r="789" spans="2:2">
      <c r="B789" s="171"/>
    </row>
    <row r="790" spans="2:2">
      <c r="B790" s="171"/>
    </row>
    <row r="791" spans="2:2">
      <c r="B791" s="171"/>
    </row>
    <row r="792" spans="2:2">
      <c r="B792" s="171"/>
    </row>
    <row r="793" spans="2:2">
      <c r="B793" s="171"/>
    </row>
    <row r="794" spans="2:2">
      <c r="B794" s="171"/>
    </row>
    <row r="795" spans="2:2">
      <c r="B795" s="171"/>
    </row>
    <row r="796" spans="2:2">
      <c r="B796" s="171"/>
    </row>
    <row r="797" spans="2:2">
      <c r="B797" s="171"/>
    </row>
    <row r="798" spans="2:2">
      <c r="B798" s="171"/>
    </row>
    <row r="799" spans="2:2">
      <c r="B799" s="171"/>
    </row>
    <row r="800" spans="2:2">
      <c r="B800" s="171"/>
    </row>
    <row r="801" spans="2:2">
      <c r="B801" s="171"/>
    </row>
    <row r="802" spans="2:2">
      <c r="B802" s="171"/>
    </row>
    <row r="803" spans="2:2">
      <c r="B803" s="171"/>
    </row>
    <row r="804" spans="2:2">
      <c r="B804" s="171"/>
    </row>
    <row r="805" spans="2:2">
      <c r="B805" s="171"/>
    </row>
    <row r="806" spans="2:2">
      <c r="B806" s="171"/>
    </row>
    <row r="807" spans="2:2">
      <c r="B807" s="171"/>
    </row>
    <row r="808" spans="2:2">
      <c r="B808" s="171"/>
    </row>
    <row r="809" spans="2:2">
      <c r="B809" s="171"/>
    </row>
    <row r="810" spans="2:2">
      <c r="B810" s="171"/>
    </row>
    <row r="811" spans="2:2">
      <c r="B811" s="171"/>
    </row>
    <row r="812" spans="2:2">
      <c r="B812" s="171"/>
    </row>
    <row r="813" spans="2:2">
      <c r="B813" s="171"/>
    </row>
    <row r="814" spans="2:2">
      <c r="B814" s="171"/>
    </row>
    <row r="815" spans="2:2">
      <c r="B815" s="171"/>
    </row>
    <row r="816" spans="2:2">
      <c r="B816" s="171"/>
    </row>
    <row r="817" spans="2:2">
      <c r="B817" s="171"/>
    </row>
    <row r="818" spans="2:2">
      <c r="B818" s="171"/>
    </row>
    <row r="819" spans="2:2">
      <c r="B819" s="171"/>
    </row>
    <row r="820" spans="2:2">
      <c r="B820" s="171"/>
    </row>
    <row r="821" spans="2:2">
      <c r="B821" s="171"/>
    </row>
    <row r="822" spans="2:2">
      <c r="B822" s="171"/>
    </row>
    <row r="823" spans="2:2">
      <c r="B823" s="171"/>
    </row>
    <row r="824" spans="2:2">
      <c r="B824" s="171"/>
    </row>
    <row r="825" spans="2:2">
      <c r="B825" s="171"/>
    </row>
    <row r="826" spans="2:2">
      <c r="B826" s="171"/>
    </row>
    <row r="827" spans="2:2">
      <c r="B827" s="171"/>
    </row>
    <row r="828" spans="2:2">
      <c r="B828" s="171"/>
    </row>
    <row r="829" spans="2:2">
      <c r="B829" s="171"/>
    </row>
    <row r="830" spans="2:2">
      <c r="B830" s="171"/>
    </row>
    <row r="831" spans="2:2">
      <c r="B831" s="171"/>
    </row>
    <row r="832" spans="2:2">
      <c r="B832" s="171"/>
    </row>
    <row r="833" spans="2:2">
      <c r="B833" s="171"/>
    </row>
    <row r="834" spans="2:2">
      <c r="B834" s="171"/>
    </row>
    <row r="835" spans="2:2">
      <c r="B835" s="171"/>
    </row>
    <row r="836" spans="2:2">
      <c r="B836" s="171"/>
    </row>
    <row r="837" spans="2:2">
      <c r="B837" s="171"/>
    </row>
    <row r="838" spans="2:2">
      <c r="B838" s="171"/>
    </row>
    <row r="839" spans="2:2">
      <c r="B839" s="171"/>
    </row>
    <row r="840" spans="2:2">
      <c r="B840" s="171"/>
    </row>
    <row r="841" spans="2:2">
      <c r="B841" s="171"/>
    </row>
    <row r="842" spans="2:2">
      <c r="B842" s="171"/>
    </row>
    <row r="843" spans="2:2">
      <c r="B843" s="171"/>
    </row>
    <row r="844" spans="2:2">
      <c r="B844" s="171"/>
    </row>
    <row r="845" spans="2:2">
      <c r="B845" s="171"/>
    </row>
    <row r="846" spans="2:2">
      <c r="B846" s="171"/>
    </row>
    <row r="847" spans="2:2">
      <c r="B847" s="171"/>
    </row>
    <row r="848" spans="2:2">
      <c r="B848" s="171"/>
    </row>
    <row r="849" spans="2:2">
      <c r="B849" s="171"/>
    </row>
    <row r="850" spans="2:2">
      <c r="B850" s="171"/>
    </row>
    <row r="851" spans="2:2">
      <c r="B851" s="171"/>
    </row>
    <row r="852" spans="2:2">
      <c r="B852" s="171"/>
    </row>
    <row r="853" spans="2:2">
      <c r="B853" s="171"/>
    </row>
    <row r="854" spans="2:2">
      <c r="B854" s="171"/>
    </row>
    <row r="855" spans="2:2">
      <c r="B855" s="171"/>
    </row>
    <row r="856" spans="2:2">
      <c r="B856" s="171"/>
    </row>
    <row r="857" spans="2:2">
      <c r="B857" s="171"/>
    </row>
    <row r="858" spans="2:2">
      <c r="B858" s="171"/>
    </row>
    <row r="859" spans="2:2">
      <c r="B859" s="171"/>
    </row>
    <row r="860" spans="2:2">
      <c r="B860" s="171"/>
    </row>
    <row r="861" spans="2:2">
      <c r="B861" s="171"/>
    </row>
    <row r="862" spans="2:2">
      <c r="B862" s="171"/>
    </row>
    <row r="863" spans="2:2">
      <c r="B863" s="171"/>
    </row>
    <row r="864" spans="2:2">
      <c r="B864" s="171"/>
    </row>
    <row r="865" spans="2:2">
      <c r="B865" s="171"/>
    </row>
    <row r="866" spans="2:2">
      <c r="B866" s="171"/>
    </row>
    <row r="867" spans="2:2">
      <c r="B867" s="171"/>
    </row>
    <row r="868" spans="2:2">
      <c r="B868" s="171"/>
    </row>
    <row r="869" spans="2:2">
      <c r="B869" s="171"/>
    </row>
    <row r="870" spans="2:2">
      <c r="B870" s="171"/>
    </row>
    <row r="871" spans="2:2">
      <c r="B871" s="171"/>
    </row>
    <row r="872" spans="2:2">
      <c r="B872" s="171"/>
    </row>
    <row r="873" spans="2:2">
      <c r="B873" s="171"/>
    </row>
    <row r="874" spans="2:2">
      <c r="B874" s="171"/>
    </row>
    <row r="875" spans="2:2">
      <c r="B875" s="171"/>
    </row>
    <row r="876" spans="2:2">
      <c r="B876" s="171"/>
    </row>
    <row r="877" spans="2:2">
      <c r="B877" s="171"/>
    </row>
    <row r="878" spans="2:2">
      <c r="B878" s="171"/>
    </row>
    <row r="879" spans="2:2">
      <c r="B879" s="171"/>
    </row>
    <row r="880" spans="2:2">
      <c r="B880" s="171"/>
    </row>
    <row r="881" spans="2:2">
      <c r="B881" s="171"/>
    </row>
    <row r="882" spans="2:2">
      <c r="B882" s="171"/>
    </row>
    <row r="883" spans="2:2">
      <c r="B883" s="171"/>
    </row>
    <row r="884" spans="2:2">
      <c r="B884" s="171"/>
    </row>
    <row r="885" spans="2:2">
      <c r="B885" s="171"/>
    </row>
    <row r="886" spans="2:2">
      <c r="B886" s="171"/>
    </row>
    <row r="887" spans="2:2">
      <c r="B887" s="171"/>
    </row>
    <row r="888" spans="2:2">
      <c r="B888" s="171"/>
    </row>
    <row r="889" spans="2:2">
      <c r="B889" s="171"/>
    </row>
    <row r="890" spans="2:2">
      <c r="B890" s="171"/>
    </row>
    <row r="891" spans="2:2">
      <c r="B891" s="171"/>
    </row>
    <row r="892" spans="2:2">
      <c r="B892" s="171"/>
    </row>
    <row r="893" spans="2:2">
      <c r="B893" s="171"/>
    </row>
    <row r="894" spans="2:2">
      <c r="B894" s="171"/>
    </row>
    <row r="895" spans="2:2">
      <c r="B895" s="171"/>
    </row>
    <row r="896" spans="2:2">
      <c r="B896" s="171"/>
    </row>
    <row r="897" spans="2:2">
      <c r="B897" s="171"/>
    </row>
    <row r="898" spans="2:2">
      <c r="B898" s="171"/>
    </row>
    <row r="899" spans="2:2">
      <c r="B899" s="171"/>
    </row>
    <row r="900" spans="2:2">
      <c r="B900" s="171"/>
    </row>
    <row r="901" spans="2:2">
      <c r="B901" s="171"/>
    </row>
    <row r="902" spans="2:2">
      <c r="B902" s="171"/>
    </row>
    <row r="903" spans="2:2">
      <c r="B903" s="171"/>
    </row>
    <row r="904" spans="2:2">
      <c r="B904" s="171"/>
    </row>
    <row r="905" spans="2:2">
      <c r="B905" s="171"/>
    </row>
    <row r="906" spans="2:2">
      <c r="B906" s="171"/>
    </row>
    <row r="907" spans="2:2">
      <c r="B907" s="171"/>
    </row>
    <row r="908" spans="2:2">
      <c r="B908" s="171"/>
    </row>
    <row r="909" spans="2:2">
      <c r="B909" s="171"/>
    </row>
    <row r="910" spans="2:2">
      <c r="B910" s="171"/>
    </row>
    <row r="911" spans="2:2">
      <c r="B911" s="171"/>
    </row>
    <row r="912" spans="2:2">
      <c r="B912" s="171"/>
    </row>
    <row r="913" spans="2:2">
      <c r="B913" s="171"/>
    </row>
    <row r="914" spans="2:2">
      <c r="B914" s="171"/>
    </row>
    <row r="915" spans="2:2">
      <c r="B915" s="171"/>
    </row>
    <row r="916" spans="2:2">
      <c r="B916" s="171"/>
    </row>
    <row r="917" spans="2:2">
      <c r="B917" s="171"/>
    </row>
    <row r="918" spans="2:2">
      <c r="B918" s="171"/>
    </row>
    <row r="919" spans="2:2">
      <c r="B919" s="171"/>
    </row>
    <row r="920" spans="2:2">
      <c r="B920" s="171"/>
    </row>
    <row r="921" spans="2:2">
      <c r="B921" s="171"/>
    </row>
    <row r="922" spans="2:2">
      <c r="B922" s="171"/>
    </row>
    <row r="923" spans="2:2">
      <c r="B923" s="171"/>
    </row>
    <row r="924" spans="2:2">
      <c r="B924" s="171"/>
    </row>
    <row r="925" spans="2:2">
      <c r="B925" s="171"/>
    </row>
    <row r="926" spans="2:2">
      <c r="B926" s="171"/>
    </row>
    <row r="927" spans="2:2">
      <c r="B927" s="171"/>
    </row>
    <row r="928" spans="2:2">
      <c r="B928" s="171"/>
    </row>
    <row r="929" spans="2:2">
      <c r="B929" s="171"/>
    </row>
    <row r="930" spans="2:2">
      <c r="B930" s="171"/>
    </row>
    <row r="931" spans="2:2">
      <c r="B931" s="171"/>
    </row>
    <row r="932" spans="2:2">
      <c r="B932" s="171"/>
    </row>
    <row r="933" spans="2:2">
      <c r="B933" s="171"/>
    </row>
    <row r="934" spans="2:2">
      <c r="B934" s="171"/>
    </row>
    <row r="935" spans="2:2">
      <c r="B935" s="171"/>
    </row>
    <row r="936" spans="2:2">
      <c r="B936" s="171"/>
    </row>
    <row r="937" spans="2:2">
      <c r="B937" s="171"/>
    </row>
    <row r="938" spans="2:2">
      <c r="B938" s="171"/>
    </row>
    <row r="939" spans="2:2">
      <c r="B939" s="171"/>
    </row>
    <row r="940" spans="2:2">
      <c r="B940" s="171"/>
    </row>
    <row r="941" spans="2:2">
      <c r="B941" s="171"/>
    </row>
    <row r="942" spans="2:2">
      <c r="B942" s="171"/>
    </row>
    <row r="943" spans="2:2">
      <c r="B943" s="171"/>
    </row>
    <row r="944" spans="2:2">
      <c r="B944" s="171"/>
    </row>
    <row r="945" spans="2:2">
      <c r="B945" s="171"/>
    </row>
    <row r="946" spans="2:2">
      <c r="B946" s="171"/>
    </row>
    <row r="947" spans="2:2">
      <c r="B947" s="171"/>
    </row>
    <row r="948" spans="2:2">
      <c r="B948" s="171"/>
    </row>
    <row r="949" spans="2:2">
      <c r="B949" s="171"/>
    </row>
    <row r="950" spans="2:2">
      <c r="B950" s="171"/>
    </row>
    <row r="951" spans="2:2">
      <c r="B951" s="171"/>
    </row>
    <row r="952" spans="2:2">
      <c r="B952" s="171"/>
    </row>
    <row r="953" spans="2:2">
      <c r="B953" s="171"/>
    </row>
    <row r="954" spans="2:2">
      <c r="B954" s="171"/>
    </row>
    <row r="955" spans="2:2">
      <c r="B955" s="171"/>
    </row>
    <row r="956" spans="2:2">
      <c r="B956" s="171"/>
    </row>
    <row r="957" spans="2:2">
      <c r="B957" s="171"/>
    </row>
    <row r="958" spans="2:2">
      <c r="B958" s="171"/>
    </row>
    <row r="959" spans="2:2">
      <c r="B959" s="171"/>
    </row>
    <row r="960" spans="2:2">
      <c r="B960" s="171"/>
    </row>
    <row r="961" spans="2:2">
      <c r="B961" s="171"/>
    </row>
    <row r="962" spans="2:2">
      <c r="B962" s="171"/>
    </row>
    <row r="963" spans="2:2">
      <c r="B963" s="171"/>
    </row>
    <row r="964" spans="2:2">
      <c r="B964" s="171"/>
    </row>
    <row r="965" spans="2:2">
      <c r="B965" s="171"/>
    </row>
    <row r="966" spans="2:2">
      <c r="B966" s="171"/>
    </row>
    <row r="967" spans="2:2">
      <c r="B967" s="171"/>
    </row>
    <row r="968" spans="2:2">
      <c r="B968" s="171"/>
    </row>
    <row r="969" spans="2:2">
      <c r="B969" s="171"/>
    </row>
    <row r="970" spans="2:2">
      <c r="B970" s="171"/>
    </row>
    <row r="971" spans="2:2">
      <c r="B971" s="171"/>
    </row>
    <row r="972" spans="2:2">
      <c r="B972" s="171"/>
    </row>
    <row r="973" spans="2:2">
      <c r="B973" s="171"/>
    </row>
    <row r="974" spans="2:2">
      <c r="B974" s="171"/>
    </row>
    <row r="975" spans="2:2">
      <c r="B975" s="171"/>
    </row>
    <row r="976" spans="2:2">
      <c r="B976" s="171"/>
    </row>
    <row r="977" spans="2:2">
      <c r="B977" s="171"/>
    </row>
    <row r="978" spans="2:2">
      <c r="B978" s="171"/>
    </row>
    <row r="979" spans="2:2">
      <c r="B979" s="171"/>
    </row>
    <row r="980" spans="2:2">
      <c r="B980" s="171"/>
    </row>
    <row r="981" spans="2:2">
      <c r="B981" s="171"/>
    </row>
    <row r="982" spans="2:2">
      <c r="B982" s="171"/>
    </row>
    <row r="983" spans="2:2">
      <c r="B983" s="171"/>
    </row>
    <row r="984" spans="2:2">
      <c r="B984" s="171"/>
    </row>
    <row r="985" spans="2:2">
      <c r="B985" s="171"/>
    </row>
    <row r="986" spans="2:2">
      <c r="B986" s="171"/>
    </row>
    <row r="987" spans="2:2">
      <c r="B987" s="171"/>
    </row>
    <row r="988" spans="2:2">
      <c r="B988" s="171"/>
    </row>
    <row r="989" spans="2:2">
      <c r="B989" s="171"/>
    </row>
    <row r="990" spans="2:2">
      <c r="B990" s="171"/>
    </row>
    <row r="991" spans="2:2">
      <c r="B991" s="171"/>
    </row>
    <row r="992" spans="2:2">
      <c r="B992" s="171"/>
    </row>
    <row r="993" spans="2:2">
      <c r="B993" s="171"/>
    </row>
    <row r="994" spans="2:2">
      <c r="B994" s="171"/>
    </row>
    <row r="995" spans="2:2">
      <c r="B995" s="171"/>
    </row>
    <row r="996" spans="2:2">
      <c r="B996" s="171"/>
    </row>
    <row r="997" spans="2:2">
      <c r="B997" s="171"/>
    </row>
    <row r="998" spans="2:2">
      <c r="B998" s="171"/>
    </row>
    <row r="999" spans="2:2">
      <c r="B999" s="171"/>
    </row>
    <row r="1000" spans="2:2">
      <c r="B1000" s="171"/>
    </row>
    <row r="1001" spans="2:2">
      <c r="B1001" s="171"/>
    </row>
    <row r="1002" spans="2:2">
      <c r="B1002" s="171"/>
    </row>
    <row r="1003" spans="2:2">
      <c r="B1003" s="171"/>
    </row>
    <row r="1004" spans="2:2">
      <c r="B1004" s="171"/>
    </row>
    <row r="1005" spans="2:2">
      <c r="B1005" s="171"/>
    </row>
    <row r="1006" spans="2:2">
      <c r="B1006" s="171"/>
    </row>
    <row r="1007" spans="2:2">
      <c r="B1007" s="171"/>
    </row>
    <row r="1008" spans="2:2">
      <c r="B1008" s="171"/>
    </row>
    <row r="1009" spans="2:2">
      <c r="B1009" s="171"/>
    </row>
    <row r="1010" spans="2:2">
      <c r="B1010" s="171"/>
    </row>
    <row r="1011" spans="2:2">
      <c r="B1011" s="171"/>
    </row>
    <row r="1012" spans="2:2">
      <c r="B1012" s="171"/>
    </row>
    <row r="1013" spans="2:2">
      <c r="B1013" s="171"/>
    </row>
    <row r="1014" spans="2:2">
      <c r="B1014" s="171"/>
    </row>
    <row r="1015" spans="2:2">
      <c r="B1015" s="171"/>
    </row>
    <row r="1016" spans="2:2">
      <c r="B1016" s="171"/>
    </row>
    <row r="1017" spans="2:2">
      <c r="B1017" s="171"/>
    </row>
    <row r="1018" spans="2:2">
      <c r="B1018" s="171"/>
    </row>
    <row r="1019" spans="2:2">
      <c r="B1019" s="171"/>
    </row>
    <row r="1020" spans="2:2">
      <c r="B1020" s="171"/>
    </row>
    <row r="1021" spans="2:2">
      <c r="B1021" s="171"/>
    </row>
    <row r="1022" spans="2:2">
      <c r="B1022" s="171"/>
    </row>
    <row r="1023" spans="2:2">
      <c r="B1023" s="171"/>
    </row>
    <row r="1024" spans="2:2">
      <c r="B1024" s="171"/>
    </row>
    <row r="1025" spans="2:2">
      <c r="B1025" s="171"/>
    </row>
    <row r="1026" spans="2:2">
      <c r="B1026" s="171"/>
    </row>
    <row r="1027" spans="2:2">
      <c r="B1027" s="171"/>
    </row>
    <row r="1028" spans="2:2">
      <c r="B1028" s="171"/>
    </row>
    <row r="1029" spans="2:2">
      <c r="B1029" s="171"/>
    </row>
    <row r="1030" spans="2:2">
      <c r="B1030" s="171"/>
    </row>
    <row r="1031" spans="2:2">
      <c r="B1031" s="171"/>
    </row>
    <row r="1032" spans="2:2">
      <c r="B1032" s="171"/>
    </row>
    <row r="1033" spans="2:2">
      <c r="B1033" s="171"/>
    </row>
    <row r="1034" spans="2:2">
      <c r="B1034" s="171"/>
    </row>
    <row r="1035" spans="2:2">
      <c r="B1035" s="171"/>
    </row>
    <row r="1036" spans="2:2">
      <c r="B1036" s="171"/>
    </row>
    <row r="1037" spans="2:2">
      <c r="B1037" s="171"/>
    </row>
    <row r="1038" spans="2:2">
      <c r="B1038" s="171"/>
    </row>
    <row r="1039" spans="2:2">
      <c r="B1039" s="171"/>
    </row>
    <row r="1040" spans="2:2">
      <c r="B1040" s="171"/>
    </row>
    <row r="1041" spans="2:2">
      <c r="B1041" s="171"/>
    </row>
    <row r="1042" spans="2:2">
      <c r="B1042" s="171"/>
    </row>
    <row r="1043" spans="2:2">
      <c r="B1043" s="171"/>
    </row>
    <row r="1044" spans="2:2">
      <c r="B1044" s="171"/>
    </row>
    <row r="1045" spans="2:2">
      <c r="B1045" s="171"/>
    </row>
    <row r="1046" spans="2:2">
      <c r="B1046" s="171"/>
    </row>
    <row r="1047" spans="2:2">
      <c r="B1047" s="171"/>
    </row>
    <row r="1048" spans="2:2">
      <c r="B1048" s="171"/>
    </row>
    <row r="1049" spans="2:2">
      <c r="B1049" s="171"/>
    </row>
    <row r="1050" spans="2:2">
      <c r="B1050" s="171"/>
    </row>
    <row r="1051" spans="2:2">
      <c r="B1051" s="171"/>
    </row>
    <row r="1052" spans="2:2">
      <c r="B1052" s="171"/>
    </row>
    <row r="1053" spans="2:2">
      <c r="B1053" s="171"/>
    </row>
    <row r="1054" spans="2:2">
      <c r="B1054" s="171"/>
    </row>
    <row r="1055" spans="2:2">
      <c r="B1055" s="171"/>
    </row>
    <row r="1056" spans="2:2">
      <c r="B1056" s="171"/>
    </row>
    <row r="1057" spans="2:2">
      <c r="B1057" s="171"/>
    </row>
    <row r="1058" spans="2:2">
      <c r="B1058" s="171"/>
    </row>
    <row r="1059" spans="2:2">
      <c r="B1059" s="171"/>
    </row>
    <row r="1060" spans="2:2">
      <c r="B1060" s="171"/>
    </row>
    <row r="1061" spans="2:2">
      <c r="B1061" s="171"/>
    </row>
    <row r="1062" spans="2:2">
      <c r="B1062" s="171"/>
    </row>
    <row r="1063" spans="2:2">
      <c r="B1063" s="171"/>
    </row>
    <row r="1064" spans="2:2">
      <c r="B1064" s="171"/>
    </row>
    <row r="1065" spans="2:2">
      <c r="B1065" s="171"/>
    </row>
    <row r="1066" spans="2:2">
      <c r="B1066" s="171"/>
    </row>
    <row r="1067" spans="2:2">
      <c r="B1067" s="171"/>
    </row>
    <row r="1068" spans="2:2">
      <c r="B1068" s="171"/>
    </row>
    <row r="1069" spans="2:2">
      <c r="B1069" s="171"/>
    </row>
    <row r="1070" spans="2:2">
      <c r="B1070" s="171"/>
    </row>
    <row r="1071" spans="2:2">
      <c r="B1071" s="171"/>
    </row>
    <row r="1072" spans="2:2">
      <c r="B1072" s="171"/>
    </row>
    <row r="1073" spans="2:2">
      <c r="B1073" s="171"/>
    </row>
    <row r="1074" spans="2:2">
      <c r="B1074" s="171"/>
    </row>
    <row r="1075" spans="2:2">
      <c r="B1075" s="171"/>
    </row>
    <row r="1076" spans="2:2">
      <c r="B1076" s="171"/>
    </row>
    <row r="1077" spans="2:2">
      <c r="B1077" s="171"/>
    </row>
    <row r="1078" spans="2:2">
      <c r="B1078" s="171"/>
    </row>
    <row r="1079" spans="2:2">
      <c r="B1079" s="171"/>
    </row>
    <row r="1080" spans="2:2">
      <c r="B1080" s="171"/>
    </row>
    <row r="1081" spans="2:2">
      <c r="B1081" s="171"/>
    </row>
    <row r="1082" spans="2:2">
      <c r="B1082" s="171"/>
    </row>
    <row r="1083" spans="2:2">
      <c r="B1083" s="171"/>
    </row>
    <row r="1084" spans="2:2">
      <c r="B1084" s="171"/>
    </row>
    <row r="1085" spans="2:2">
      <c r="B1085" s="171"/>
    </row>
    <row r="1086" spans="2:2">
      <c r="B1086" s="171"/>
    </row>
    <row r="1087" spans="2:2">
      <c r="B1087" s="171"/>
    </row>
    <row r="1088" spans="2:2">
      <c r="B1088" s="171"/>
    </row>
  </sheetData>
  <sheetProtection autoFilter="0"/>
  <mergeCells count="278">
    <mergeCell ref="B44:B64"/>
    <mergeCell ref="C182:C183"/>
    <mergeCell ref="D182:D183"/>
    <mergeCell ref="D215:D216"/>
    <mergeCell ref="C215:C216"/>
    <mergeCell ref="D291:D293"/>
    <mergeCell ref="D294:D295"/>
    <mergeCell ref="C291:C293"/>
    <mergeCell ref="C294:C295"/>
    <mergeCell ref="B253:B295"/>
    <mergeCell ref="B222:B247"/>
    <mergeCell ref="C201"/>
    <mergeCell ref="D201"/>
    <mergeCell ref="C243:C244"/>
    <mergeCell ref="D243:D244"/>
    <mergeCell ref="C209:C210"/>
    <mergeCell ref="D209:D210"/>
    <mergeCell ref="C211:C212"/>
    <mergeCell ref="D211:D212"/>
    <mergeCell ref="C245:C246"/>
    <mergeCell ref="D245:D246"/>
    <mergeCell ref="C240:C241"/>
    <mergeCell ref="D55"/>
    <mergeCell ref="C56:C57"/>
    <mergeCell ref="D17:D18"/>
    <mergeCell ref="C10:C14"/>
    <mergeCell ref="D10:D14"/>
    <mergeCell ref="D23:D26"/>
    <mergeCell ref="C23:C26"/>
    <mergeCell ref="C72:C74"/>
    <mergeCell ref="D72:D74"/>
    <mergeCell ref="D62:D63"/>
    <mergeCell ref="C47:C53"/>
    <mergeCell ref="D47:D53"/>
    <mergeCell ref="C54"/>
    <mergeCell ref="D70:D71"/>
    <mergeCell ref="C62:C63"/>
    <mergeCell ref="C70:C71"/>
    <mergeCell ref="D54"/>
    <mergeCell ref="C44:C46"/>
    <mergeCell ref="D44:D46"/>
    <mergeCell ref="C58"/>
    <mergeCell ref="D58"/>
    <mergeCell ref="C42:I42"/>
    <mergeCell ref="C43:I43"/>
    <mergeCell ref="C59:C61"/>
    <mergeCell ref="D59:D61"/>
    <mergeCell ref="C55"/>
    <mergeCell ref="B2:I3"/>
    <mergeCell ref="C19"/>
    <mergeCell ref="C20:C22"/>
    <mergeCell ref="D20:D22"/>
    <mergeCell ref="C17:C18"/>
    <mergeCell ref="C15:C16"/>
    <mergeCell ref="D15:D16"/>
    <mergeCell ref="C8:I8"/>
    <mergeCell ref="C30:C31"/>
    <mergeCell ref="D30:D31"/>
    <mergeCell ref="C9:I9"/>
    <mergeCell ref="B7:I7"/>
    <mergeCell ref="B5:I5"/>
    <mergeCell ref="B6:I6"/>
    <mergeCell ref="B10:B38"/>
    <mergeCell ref="C37:C38"/>
    <mergeCell ref="C35"/>
    <mergeCell ref="C36"/>
    <mergeCell ref="C33"/>
    <mergeCell ref="C34"/>
    <mergeCell ref="D37:D38"/>
    <mergeCell ref="C32"/>
    <mergeCell ref="C27:C29"/>
    <mergeCell ref="D27:D29"/>
    <mergeCell ref="E302:E312"/>
    <mergeCell ref="C135:C137"/>
    <mergeCell ref="D135:D137"/>
    <mergeCell ref="C128:C131"/>
    <mergeCell ref="D128:D131"/>
    <mergeCell ref="D88"/>
    <mergeCell ref="C222:C223"/>
    <mergeCell ref="C91"/>
    <mergeCell ref="D91"/>
    <mergeCell ref="C117"/>
    <mergeCell ref="D117"/>
    <mergeCell ref="C118:C122"/>
    <mergeCell ref="D118:D122"/>
    <mergeCell ref="C172:C174"/>
    <mergeCell ref="D172:D174"/>
    <mergeCell ref="C89:C90"/>
    <mergeCell ref="D89:D90"/>
    <mergeCell ref="C107"/>
    <mergeCell ref="D107"/>
    <mergeCell ref="C101"/>
    <mergeCell ref="D101"/>
    <mergeCell ref="C102:C103"/>
    <mergeCell ref="D102:D103"/>
    <mergeCell ref="C98:C99"/>
    <mergeCell ref="D56:D57"/>
    <mergeCell ref="D75:D77"/>
    <mergeCell ref="C87"/>
    <mergeCell ref="D87"/>
    <mergeCell ref="C88"/>
    <mergeCell ref="C83:C84"/>
    <mergeCell ref="D83:D84"/>
    <mergeCell ref="C85:C86"/>
    <mergeCell ref="D85:D86"/>
    <mergeCell ref="C81"/>
    <mergeCell ref="D81"/>
    <mergeCell ref="C82"/>
    <mergeCell ref="D82"/>
    <mergeCell ref="C78:C79"/>
    <mergeCell ref="D78:D79"/>
    <mergeCell ref="C80"/>
    <mergeCell ref="C75:C77"/>
    <mergeCell ref="D80"/>
    <mergeCell ref="D98:D99"/>
    <mergeCell ref="C100"/>
    <mergeCell ref="D100"/>
    <mergeCell ref="B117:B145"/>
    <mergeCell ref="C108:C109"/>
    <mergeCell ref="D108:D109"/>
    <mergeCell ref="C110:C111"/>
    <mergeCell ref="D110:D111"/>
    <mergeCell ref="C134"/>
    <mergeCell ref="D134"/>
    <mergeCell ref="C132:C133"/>
    <mergeCell ref="D132:D133"/>
    <mergeCell ref="C123:C125"/>
    <mergeCell ref="D123:D125"/>
    <mergeCell ref="C126:C127"/>
    <mergeCell ref="D126:D127"/>
    <mergeCell ref="C143:C144"/>
    <mergeCell ref="D143:D144"/>
    <mergeCell ref="C145"/>
    <mergeCell ref="D145"/>
    <mergeCell ref="C138:C139"/>
    <mergeCell ref="D138:D139"/>
    <mergeCell ref="B98:B111"/>
    <mergeCell ref="C104:C106"/>
    <mergeCell ref="D104:D106"/>
    <mergeCell ref="D159:D160"/>
    <mergeCell ref="C159:C160"/>
    <mergeCell ref="B151:B166"/>
    <mergeCell ref="C155:C156"/>
    <mergeCell ref="D155:D156"/>
    <mergeCell ref="C157:C158"/>
    <mergeCell ref="D157:D158"/>
    <mergeCell ref="D151:D152"/>
    <mergeCell ref="C151:C152"/>
    <mergeCell ref="D164:D166"/>
    <mergeCell ref="C164:C166"/>
    <mergeCell ref="D153:D154"/>
    <mergeCell ref="C153:C154"/>
    <mergeCell ref="B148:H148"/>
    <mergeCell ref="C149:I149"/>
    <mergeCell ref="C150:I150"/>
    <mergeCell ref="C161"/>
    <mergeCell ref="D161"/>
    <mergeCell ref="C140:C142"/>
    <mergeCell ref="D140:D142"/>
    <mergeCell ref="B169:H169"/>
    <mergeCell ref="C170:I170"/>
    <mergeCell ref="C171:I171"/>
    <mergeCell ref="B191:B216"/>
    <mergeCell ref="C200"/>
    <mergeCell ref="D200"/>
    <mergeCell ref="C199"/>
    <mergeCell ref="D199"/>
    <mergeCell ref="C184:C185"/>
    <mergeCell ref="D184:D185"/>
    <mergeCell ref="C191:C193"/>
    <mergeCell ref="D191:D193"/>
    <mergeCell ref="B172:B185"/>
    <mergeCell ref="C175"/>
    <mergeCell ref="D175"/>
    <mergeCell ref="C176:C177"/>
    <mergeCell ref="D176:D177"/>
    <mergeCell ref="D178:D180"/>
    <mergeCell ref="C181"/>
    <mergeCell ref="C189:I189"/>
    <mergeCell ref="B219:I219"/>
    <mergeCell ref="C220:I220"/>
    <mergeCell ref="B221:I221"/>
    <mergeCell ref="D181"/>
    <mergeCell ref="C204:C205"/>
    <mergeCell ref="D204:D205"/>
    <mergeCell ref="C206:C208"/>
    <mergeCell ref="D206:D208"/>
    <mergeCell ref="C202"/>
    <mergeCell ref="D202"/>
    <mergeCell ref="C203"/>
    <mergeCell ref="D203"/>
    <mergeCell ref="C197:C198"/>
    <mergeCell ref="D197:D198"/>
    <mergeCell ref="C194:C196"/>
    <mergeCell ref="D194:D196"/>
    <mergeCell ref="C213"/>
    <mergeCell ref="D213"/>
    <mergeCell ref="C267:C268"/>
    <mergeCell ref="C289"/>
    <mergeCell ref="D289"/>
    <mergeCell ref="C315"/>
    <mergeCell ref="D315"/>
    <mergeCell ref="C316"/>
    <mergeCell ref="D316"/>
    <mergeCell ref="C313"/>
    <mergeCell ref="D313"/>
    <mergeCell ref="C314"/>
    <mergeCell ref="D314"/>
    <mergeCell ref="C302:C312"/>
    <mergeCell ref="D302:D312"/>
    <mergeCell ref="C300:I300"/>
    <mergeCell ref="B301:I301"/>
    <mergeCell ref="C284:C286"/>
    <mergeCell ref="D284:D286"/>
    <mergeCell ref="C287:C288"/>
    <mergeCell ref="D287:D288"/>
    <mergeCell ref="D267:D268"/>
    <mergeCell ref="C269:C270"/>
    <mergeCell ref="D269:D270"/>
    <mergeCell ref="C271:C272"/>
    <mergeCell ref="C281"/>
    <mergeCell ref="D281"/>
    <mergeCell ref="C282:C283"/>
    <mergeCell ref="D282:D283"/>
    <mergeCell ref="C276:C279"/>
    <mergeCell ref="D276:D279"/>
    <mergeCell ref="C280"/>
    <mergeCell ref="D280"/>
    <mergeCell ref="D271:D272"/>
    <mergeCell ref="C273:C275"/>
    <mergeCell ref="D273:D275"/>
    <mergeCell ref="D255:D258"/>
    <mergeCell ref="C259:C260"/>
    <mergeCell ref="D259:D260"/>
    <mergeCell ref="C234:C235"/>
    <mergeCell ref="D234:D235"/>
    <mergeCell ref="D231:D232"/>
    <mergeCell ref="C224"/>
    <mergeCell ref="D225:D228"/>
    <mergeCell ref="C225:C228"/>
    <mergeCell ref="C233"/>
    <mergeCell ref="C229:C230"/>
    <mergeCell ref="D229:D230"/>
    <mergeCell ref="C236"/>
    <mergeCell ref="C231:C232"/>
    <mergeCell ref="C237"/>
    <mergeCell ref="C247"/>
    <mergeCell ref="D247"/>
    <mergeCell ref="C253:C254"/>
    <mergeCell ref="D253:D254"/>
    <mergeCell ref="D238:D239"/>
    <mergeCell ref="C238:C239"/>
    <mergeCell ref="D240:D241"/>
    <mergeCell ref="C242"/>
    <mergeCell ref="C317:C320"/>
    <mergeCell ref="D317:D320"/>
    <mergeCell ref="F324:G333"/>
    <mergeCell ref="B302:B316"/>
    <mergeCell ref="B188:I188"/>
    <mergeCell ref="C68:I68"/>
    <mergeCell ref="C69:I69"/>
    <mergeCell ref="C96:I96"/>
    <mergeCell ref="C97:I97"/>
    <mergeCell ref="B95:I95"/>
    <mergeCell ref="B70:B92"/>
    <mergeCell ref="B114:H114"/>
    <mergeCell ref="C115:I115"/>
    <mergeCell ref="C116:I116"/>
    <mergeCell ref="C178:C180"/>
    <mergeCell ref="D222:D223"/>
    <mergeCell ref="B250:I250"/>
    <mergeCell ref="C251:I251"/>
    <mergeCell ref="B252:I252"/>
    <mergeCell ref="C261:C264"/>
    <mergeCell ref="D261:D264"/>
    <mergeCell ref="C265:C266"/>
    <mergeCell ref="D265:D266"/>
    <mergeCell ref="C255:C258"/>
  </mergeCells>
  <printOptions horizontalCentered="1"/>
  <pageMargins left="0.7" right="0.7" top="0.75" bottom="0.5" header="0.3" footer="0.3"/>
  <pageSetup scale="33" fitToHeight="0" orientation="portrait" r:id="rId1"/>
  <rowBreaks count="10" manualBreakCount="10">
    <brk id="39" max="13" man="1"/>
    <brk id="65" max="13" man="1"/>
    <brk id="93" max="13" man="1"/>
    <brk id="112" max="13" man="1"/>
    <brk id="146" max="13" man="1"/>
    <brk id="167" max="13" man="1"/>
    <brk id="186" max="11" man="1"/>
    <brk id="217" max="13" man="1"/>
    <brk id="248" max="16383" man="1"/>
    <brk id="297" max="13" man="1"/>
  </rowBreaks>
  <colBreaks count="3" manualBreakCount="3">
    <brk id="7" max="251" man="1"/>
    <brk id="9" max="246" man="1"/>
    <brk id="10"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89AC82B9-D45A-459E-A6A0-A144BAA248B8}">
          <x14:formula1>
            <xm:f>Lists!$P$2:$P$8</xm:f>
          </x14:formula1>
          <xm:sqref>H253:H296 H44:H66 H70:H94 H98:H113 H117:H147 H151:H168 H172:H187 H191:H218 H222:H249 H10:H40 H302:H316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6B817-01C9-4A67-9EFA-9EA7BB72746D}">
  <sheetPr codeName="Sheet5">
    <pageSetUpPr fitToPage="1"/>
  </sheetPr>
  <dimension ref="A1:AM122"/>
  <sheetViews>
    <sheetView view="pageBreakPreview" topLeftCell="A13" zoomScale="85" zoomScaleNormal="70" zoomScaleSheetLayoutView="85" workbookViewId="0">
      <selection activeCell="F29" sqref="F29:F30"/>
    </sheetView>
  </sheetViews>
  <sheetFormatPr defaultColWidth="8.88671875" defaultRowHeight="13.8"/>
  <cols>
    <col min="1" max="1" width="8.6640625" style="224" customWidth="1"/>
    <col min="2" max="2" width="10.6640625" style="224" customWidth="1"/>
    <col min="3" max="3" width="16.6640625" style="223" bestFit="1" customWidth="1"/>
    <col min="4" max="4" width="45.6640625" style="516" customWidth="1"/>
    <col min="5" max="6" width="12.6640625" style="223" customWidth="1"/>
    <col min="7" max="9" width="24.6640625" style="223" customWidth="1"/>
    <col min="10" max="16" width="24.6640625" style="224" customWidth="1"/>
    <col min="17" max="17" width="1.6640625" style="224" customWidth="1"/>
    <col min="18" max="18" width="14" style="224" customWidth="1"/>
    <col min="19" max="19" width="21.109375" style="223" bestFit="1" customWidth="1"/>
    <col min="20" max="27" width="8.88671875" style="224"/>
    <col min="28" max="37" width="8.88671875" style="224" customWidth="1"/>
    <col min="38" max="38" width="10.109375" style="224" customWidth="1"/>
    <col min="39" max="39" width="9.6640625" style="224" customWidth="1"/>
    <col min="40" max="16384" width="8.88671875" style="224"/>
  </cols>
  <sheetData>
    <row r="1" spans="1:29" s="485" customFormat="1" ht="21.9" customHeight="1">
      <c r="A1" s="975" t="str">
        <f>Overview!C1</f>
        <v xml:space="preserve"> 	2202025367 - Shenzhen Prince Bay Mixed-use Development DY04-02</v>
      </c>
      <c r="B1" s="975"/>
      <c r="C1" s="975"/>
      <c r="D1" s="975"/>
      <c r="E1" s="975"/>
      <c r="F1" s="975"/>
      <c r="G1" s="975"/>
      <c r="H1" s="516"/>
      <c r="I1" s="516"/>
      <c r="S1" s="457" t="s">
        <v>1060</v>
      </c>
      <c r="AB1" s="517"/>
      <c r="AC1" s="518"/>
    </row>
    <row r="2" spans="1:29" s="485" customFormat="1" ht="18" customHeight="1">
      <c r="A2" s="976" t="s">
        <v>778</v>
      </c>
      <c r="B2" s="976"/>
      <c r="C2" s="226"/>
      <c r="D2" s="226"/>
      <c r="E2" s="226"/>
      <c r="F2" s="226"/>
      <c r="G2" s="226"/>
      <c r="H2" s="516"/>
      <c r="I2" s="516"/>
      <c r="S2" s="223" t="s">
        <v>1061</v>
      </c>
      <c r="T2" s="519" t="s">
        <v>1013</v>
      </c>
      <c r="AB2" s="520"/>
      <c r="AC2" s="521"/>
    </row>
    <row r="3" spans="1:29" ht="18" customHeight="1">
      <c r="A3" s="983" t="s">
        <v>779</v>
      </c>
      <c r="B3" s="983"/>
      <c r="C3" s="983"/>
      <c r="D3" s="983"/>
      <c r="E3" s="983"/>
      <c r="F3" s="983"/>
      <c r="G3" s="983"/>
      <c r="H3" s="983"/>
      <c r="I3" s="983"/>
      <c r="J3" s="983"/>
      <c r="K3" s="497"/>
      <c r="L3" s="497"/>
      <c r="M3" s="497"/>
      <c r="N3" s="497"/>
      <c r="O3" s="497"/>
      <c r="P3" s="497"/>
      <c r="S3" s="223" t="s">
        <v>1061</v>
      </c>
      <c r="AB3" s="522"/>
      <c r="AC3" s="523"/>
    </row>
    <row r="4" spans="1:29" ht="15" customHeight="1" thickBot="1">
      <c r="S4" s="223" t="s">
        <v>1061</v>
      </c>
      <c r="AB4" s="522"/>
      <c r="AC4" s="523"/>
    </row>
    <row r="5" spans="1:29" ht="24" customHeight="1" thickBot="1">
      <c r="B5" s="977" t="s">
        <v>7</v>
      </c>
      <c r="C5" s="978"/>
      <c r="D5" s="978"/>
      <c r="E5" s="978"/>
      <c r="F5" s="978"/>
      <c r="G5" s="978"/>
      <c r="H5" s="978"/>
      <c r="I5" s="978"/>
      <c r="J5" s="978"/>
      <c r="K5" s="978"/>
      <c r="L5" s="978"/>
      <c r="M5" s="978"/>
      <c r="N5" s="978"/>
      <c r="O5" s="978"/>
      <c r="P5" s="979"/>
      <c r="S5" s="223" t="s">
        <v>1061</v>
      </c>
      <c r="AB5" s="522"/>
      <c r="AC5" s="523"/>
    </row>
    <row r="6" spans="1:29" ht="99.9" customHeight="1" thickBot="1">
      <c r="B6" s="524"/>
      <c r="C6" s="980" t="s">
        <v>780</v>
      </c>
      <c r="D6" s="981"/>
      <c r="E6" s="981"/>
      <c r="F6" s="981"/>
      <c r="G6" s="981"/>
      <c r="H6" s="981"/>
      <c r="I6" s="981"/>
      <c r="J6" s="981"/>
      <c r="K6" s="981"/>
      <c r="L6" s="981"/>
      <c r="M6" s="981"/>
      <c r="N6" s="981"/>
      <c r="O6" s="981"/>
      <c r="P6" s="982"/>
      <c r="S6" s="223" t="s">
        <v>1061</v>
      </c>
      <c r="AB6" s="522"/>
      <c r="AC6" s="523"/>
    </row>
    <row r="7" spans="1:29" ht="24" customHeight="1" thickBot="1">
      <c r="B7" s="524"/>
      <c r="C7" s="939" t="s">
        <v>781</v>
      </c>
      <c r="D7" s="939"/>
      <c r="E7" s="939"/>
      <c r="F7" s="939"/>
      <c r="G7" s="939"/>
      <c r="H7" s="939"/>
      <c r="I7" s="939"/>
      <c r="J7" s="939"/>
      <c r="K7" s="939"/>
      <c r="L7" s="939"/>
      <c r="M7" s="939"/>
      <c r="N7" s="939"/>
      <c r="O7" s="939"/>
      <c r="P7" s="940"/>
      <c r="S7" s="223" t="s">
        <v>1061</v>
      </c>
      <c r="AB7" s="522"/>
      <c r="AC7" s="523"/>
    </row>
    <row r="8" spans="1:29" ht="49.95" customHeight="1">
      <c r="B8" s="524"/>
      <c r="C8" s="525"/>
      <c r="D8" s="526" t="s">
        <v>960</v>
      </c>
      <c r="E8" s="941" t="s">
        <v>783</v>
      </c>
      <c r="F8" s="942"/>
      <c r="G8" s="232" t="s">
        <v>784</v>
      </c>
      <c r="H8" s="232" t="s">
        <v>785</v>
      </c>
      <c r="I8" s="232" t="s">
        <v>786</v>
      </c>
      <c r="J8" s="527"/>
      <c r="K8" s="527"/>
      <c r="L8" s="527"/>
      <c r="M8" s="527"/>
      <c r="N8" s="527"/>
      <c r="O8" s="527"/>
      <c r="P8" s="528"/>
      <c r="S8" s="223" t="s">
        <v>1061</v>
      </c>
      <c r="AB8" s="522" t="s">
        <v>787</v>
      </c>
      <c r="AC8" s="523"/>
    </row>
    <row r="9" spans="1:29" ht="24" customHeight="1">
      <c r="B9" s="524"/>
      <c r="C9" s="678" t="s">
        <v>932</v>
      </c>
      <c r="D9" s="529" t="s">
        <v>788</v>
      </c>
      <c r="E9" s="973">
        <v>15</v>
      </c>
      <c r="F9" s="974"/>
      <c r="G9" s="530">
        <v>50</v>
      </c>
      <c r="H9" s="531" t="str">
        <f>_xlfn.CONCAT(E9*1.2,"/",G9*1.2)</f>
        <v>18/60</v>
      </c>
      <c r="I9" s="531" t="s">
        <v>789</v>
      </c>
      <c r="J9" s="532"/>
      <c r="K9" s="532"/>
      <c r="L9" s="532"/>
      <c r="M9" s="532"/>
      <c r="N9" s="532"/>
      <c r="O9" s="532"/>
      <c r="P9" s="533"/>
      <c r="S9" s="223" t="s">
        <v>1061</v>
      </c>
      <c r="AB9" s="522">
        <f>E9*1.2</f>
        <v>18</v>
      </c>
      <c r="AC9" s="523">
        <f>G9*1.2</f>
        <v>60</v>
      </c>
    </row>
    <row r="10" spans="1:29" ht="20.100000000000001" customHeight="1">
      <c r="B10" s="524"/>
      <c r="C10" s="574">
        <v>1</v>
      </c>
      <c r="D10" s="582"/>
      <c r="E10" s="962"/>
      <c r="F10" s="962"/>
      <c r="G10" s="666"/>
      <c r="H10" s="228" t="str">
        <f>IF(ISNUMBER(E10),IF(D10&lt;&gt;"",IF(IF(_xlfn.CONCAT(AB10,IF((AND(AB10&lt;&gt;"",AC10&lt;&gt;"")),"/",""),AC10)="","",_xlfn.CONCAT(AB10,IF((AND(AB10&lt;&gt;"",AC10&lt;&gt;"")),"/",""),AC10))="","No",(IF(_xlfn.CONCAT(AB10,IF((AND(AB10&lt;&gt;"",AC10&lt;&gt;"")),"/",""),AC10)="","",_xlfn.CONCAT(AB10,IF((AND(AB10&lt;&gt;"",AC10&lt;&gt;"")),"/",""),AC10)))),""),"")</f>
        <v/>
      </c>
      <c r="I10" s="578"/>
      <c r="J10" s="532"/>
      <c r="K10" s="532"/>
      <c r="L10" s="532"/>
      <c r="M10" s="532"/>
      <c r="N10" s="532"/>
      <c r="O10" s="532"/>
      <c r="P10" s="533"/>
      <c r="S10" s="223" t="str">
        <f t="shared" ref="S10:S19" si="0">IF(D10&lt;&gt;"","No","Yes")</f>
        <v>Yes</v>
      </c>
      <c r="AB10" s="522" t="str">
        <f t="shared" ref="AB10:AB19" si="1">IF($E10&lt;&gt;"",IF($E10&lt;$E$9,"",IF($E10&lt;$AB$9,"PM2.5",IF(E10&gt;=$AB$9,"PM2.5-OVER",""))),"")</f>
        <v/>
      </c>
      <c r="AC10" s="523" t="str">
        <f t="shared" ref="AC10:AC19" si="2">IF($G10&lt;&gt;"",IF($G10&lt;$G$9,"",IF($G10&lt;$AC$9,"PM10",IF(G10&gt;=$AC$9,"PM10-OVER",""))),"")</f>
        <v/>
      </c>
    </row>
    <row r="11" spans="1:29" ht="20.100000000000001" customHeight="1">
      <c r="B11" s="524"/>
      <c r="C11" s="574">
        <v>2</v>
      </c>
      <c r="D11" s="582"/>
      <c r="E11" s="962"/>
      <c r="F11" s="962"/>
      <c r="G11" s="666"/>
      <c r="H11" s="228" t="str">
        <f t="shared" ref="H11:H19" si="3">IF(ISNUMBER(E11),IF(D11&lt;&gt;"",IF(IF(_xlfn.CONCAT(AB11,IF((AND(AB11&lt;&gt;"",AC11&lt;&gt;"")),"/",""),AC11)="","",_xlfn.CONCAT(AB11,IF((AND(AB11&lt;&gt;"",AC11&lt;&gt;"")),"/",""),AC11))="","No",(IF(_xlfn.CONCAT(AB11,IF((AND(AB11&lt;&gt;"",AC11&lt;&gt;"")),"/",""),AC11)="","",_xlfn.CONCAT(AB11,IF((AND(AB11&lt;&gt;"",AC11&lt;&gt;"")),"/",""),AC11)))),""),"")</f>
        <v/>
      </c>
      <c r="I11" s="578"/>
      <c r="J11" s="532"/>
      <c r="K11" s="532"/>
      <c r="L11" s="532"/>
      <c r="M11" s="532"/>
      <c r="N11" s="532"/>
      <c r="O11" s="532"/>
      <c r="P11" s="533"/>
      <c r="S11" s="223" t="str">
        <f t="shared" si="0"/>
        <v>Yes</v>
      </c>
      <c r="AB11" s="522" t="str">
        <f t="shared" si="1"/>
        <v/>
      </c>
      <c r="AC11" s="523" t="str">
        <f t="shared" si="2"/>
        <v/>
      </c>
    </row>
    <row r="12" spans="1:29" ht="20.100000000000001" customHeight="1">
      <c r="B12" s="524"/>
      <c r="C12" s="574">
        <v>3</v>
      </c>
      <c r="D12" s="582"/>
      <c r="E12" s="962"/>
      <c r="F12" s="962"/>
      <c r="G12" s="666"/>
      <c r="H12" s="228" t="str">
        <f t="shared" si="3"/>
        <v/>
      </c>
      <c r="I12" s="578"/>
      <c r="J12" s="532"/>
      <c r="K12" s="532"/>
      <c r="L12" s="532"/>
      <c r="M12" s="532"/>
      <c r="N12" s="532"/>
      <c r="O12" s="532"/>
      <c r="P12" s="533"/>
      <c r="S12" s="223" t="str">
        <f t="shared" si="0"/>
        <v>Yes</v>
      </c>
      <c r="AB12" s="522" t="str">
        <f t="shared" si="1"/>
        <v/>
      </c>
      <c r="AC12" s="523" t="str">
        <f t="shared" si="2"/>
        <v/>
      </c>
    </row>
    <row r="13" spans="1:29" ht="20.100000000000001" customHeight="1">
      <c r="B13" s="524"/>
      <c r="C13" s="574">
        <v>4</v>
      </c>
      <c r="D13" s="582"/>
      <c r="E13" s="962"/>
      <c r="F13" s="962"/>
      <c r="G13" s="666"/>
      <c r="H13" s="228" t="str">
        <f t="shared" si="3"/>
        <v/>
      </c>
      <c r="I13" s="578"/>
      <c r="J13" s="532"/>
      <c r="K13" s="532"/>
      <c r="L13" s="532"/>
      <c r="M13" s="532"/>
      <c r="N13" s="532"/>
      <c r="O13" s="532"/>
      <c r="P13" s="533"/>
      <c r="S13" s="223" t="str">
        <f t="shared" si="0"/>
        <v>Yes</v>
      </c>
      <c r="AB13" s="522" t="str">
        <f t="shared" si="1"/>
        <v/>
      </c>
      <c r="AC13" s="523" t="str">
        <f t="shared" si="2"/>
        <v/>
      </c>
    </row>
    <row r="14" spans="1:29" ht="20.100000000000001" customHeight="1">
      <c r="B14" s="524"/>
      <c r="C14" s="574">
        <v>5</v>
      </c>
      <c r="D14" s="582"/>
      <c r="E14" s="962"/>
      <c r="F14" s="962"/>
      <c r="G14" s="666"/>
      <c r="H14" s="228" t="str">
        <f t="shared" si="3"/>
        <v/>
      </c>
      <c r="I14" s="578"/>
      <c r="J14" s="532"/>
      <c r="K14" s="532"/>
      <c r="L14" s="532"/>
      <c r="M14" s="532"/>
      <c r="N14" s="532"/>
      <c r="O14" s="532"/>
      <c r="P14" s="533"/>
      <c r="S14" s="223" t="str">
        <f t="shared" si="0"/>
        <v>Yes</v>
      </c>
      <c r="AB14" s="522" t="str">
        <f t="shared" si="1"/>
        <v/>
      </c>
      <c r="AC14" s="523" t="str">
        <f t="shared" si="2"/>
        <v/>
      </c>
    </row>
    <row r="15" spans="1:29" ht="20.100000000000001" customHeight="1">
      <c r="B15" s="524"/>
      <c r="C15" s="574">
        <v>6</v>
      </c>
      <c r="D15" s="582"/>
      <c r="E15" s="962"/>
      <c r="F15" s="962"/>
      <c r="G15" s="666"/>
      <c r="H15" s="228" t="str">
        <f t="shared" si="3"/>
        <v/>
      </c>
      <c r="I15" s="578"/>
      <c r="J15" s="532"/>
      <c r="K15" s="532"/>
      <c r="L15" s="532"/>
      <c r="M15" s="532"/>
      <c r="N15" s="532"/>
      <c r="O15" s="532"/>
      <c r="P15" s="533"/>
      <c r="S15" s="223" t="str">
        <f t="shared" si="0"/>
        <v>Yes</v>
      </c>
      <c r="AB15" s="522" t="str">
        <f t="shared" si="1"/>
        <v/>
      </c>
      <c r="AC15" s="523" t="str">
        <f t="shared" si="2"/>
        <v/>
      </c>
    </row>
    <row r="16" spans="1:29" ht="20.100000000000001" customHeight="1">
      <c r="B16" s="524"/>
      <c r="C16" s="574">
        <v>7</v>
      </c>
      <c r="D16" s="582"/>
      <c r="E16" s="962"/>
      <c r="F16" s="962"/>
      <c r="G16" s="666"/>
      <c r="H16" s="228" t="str">
        <f t="shared" si="3"/>
        <v/>
      </c>
      <c r="I16" s="578"/>
      <c r="J16" s="532"/>
      <c r="K16" s="532"/>
      <c r="L16" s="532"/>
      <c r="M16" s="532"/>
      <c r="N16" s="532"/>
      <c r="O16" s="532"/>
      <c r="P16" s="533"/>
      <c r="S16" s="223" t="str">
        <f t="shared" si="0"/>
        <v>Yes</v>
      </c>
      <c r="T16" s="224" t="str">
        <f t="shared" ref="T16:T19" si="4">IF($E16&lt;&gt;"",IF($E16&lt;$E$9,"",IF($E16&lt;$E$9*1.2,"PM2.5","")),"")</f>
        <v/>
      </c>
      <c r="U16" s="224" t="str">
        <f t="shared" ref="U16:U19" si="5">IF($G16&lt;&gt;"",IF($G16&lt;$G$9,"",IF($G16&lt;$G$9*1.2,"PM10","")),"")</f>
        <v/>
      </c>
      <c r="AB16" s="522" t="str">
        <f t="shared" si="1"/>
        <v/>
      </c>
      <c r="AC16" s="523" t="str">
        <f t="shared" si="2"/>
        <v/>
      </c>
    </row>
    <row r="17" spans="2:39" ht="20.100000000000001" customHeight="1">
      <c r="B17" s="524"/>
      <c r="C17" s="574">
        <v>8</v>
      </c>
      <c r="D17" s="582"/>
      <c r="E17" s="962"/>
      <c r="F17" s="962"/>
      <c r="G17" s="666"/>
      <c r="H17" s="228" t="str">
        <f t="shared" si="3"/>
        <v/>
      </c>
      <c r="I17" s="578"/>
      <c r="J17" s="532"/>
      <c r="K17" s="532"/>
      <c r="L17" s="532"/>
      <c r="M17" s="532"/>
      <c r="N17" s="532"/>
      <c r="O17" s="532"/>
      <c r="P17" s="533"/>
      <c r="S17" s="223" t="str">
        <f t="shared" si="0"/>
        <v>Yes</v>
      </c>
      <c r="T17" s="224" t="str">
        <f t="shared" si="4"/>
        <v/>
      </c>
      <c r="U17" s="224" t="str">
        <f t="shared" si="5"/>
        <v/>
      </c>
      <c r="AB17" s="522" t="str">
        <f t="shared" si="1"/>
        <v/>
      </c>
      <c r="AC17" s="523" t="str">
        <f t="shared" si="2"/>
        <v/>
      </c>
    </row>
    <row r="18" spans="2:39" ht="20.100000000000001" customHeight="1">
      <c r="B18" s="524"/>
      <c r="C18" s="574">
        <v>9</v>
      </c>
      <c r="D18" s="582"/>
      <c r="E18" s="962"/>
      <c r="F18" s="962"/>
      <c r="G18" s="666"/>
      <c r="H18" s="228" t="str">
        <f t="shared" si="3"/>
        <v/>
      </c>
      <c r="I18" s="578"/>
      <c r="J18" s="532"/>
      <c r="K18" s="532"/>
      <c r="L18" s="532"/>
      <c r="M18" s="532"/>
      <c r="N18" s="532"/>
      <c r="O18" s="532"/>
      <c r="P18" s="533"/>
      <c r="S18" s="223" t="str">
        <f t="shared" si="0"/>
        <v>Yes</v>
      </c>
      <c r="T18" s="224" t="str">
        <f t="shared" si="4"/>
        <v/>
      </c>
      <c r="U18" s="224" t="str">
        <f t="shared" si="5"/>
        <v/>
      </c>
      <c r="AB18" s="522" t="str">
        <f t="shared" si="1"/>
        <v/>
      </c>
      <c r="AC18" s="523" t="str">
        <f t="shared" si="2"/>
        <v/>
      </c>
    </row>
    <row r="19" spans="2:39" ht="20.100000000000001" customHeight="1" thickBot="1">
      <c r="B19" s="524"/>
      <c r="C19" s="576">
        <v>10</v>
      </c>
      <c r="D19" s="583"/>
      <c r="E19" s="972"/>
      <c r="F19" s="972"/>
      <c r="G19" s="667"/>
      <c r="H19" s="234" t="str">
        <f t="shared" si="3"/>
        <v/>
      </c>
      <c r="I19" s="579"/>
      <c r="J19" s="534"/>
      <c r="K19" s="534"/>
      <c r="L19" s="534"/>
      <c r="M19" s="534"/>
      <c r="N19" s="534"/>
      <c r="O19" s="534"/>
      <c r="P19" s="535"/>
      <c r="S19" s="223" t="str">
        <f t="shared" si="0"/>
        <v>Yes</v>
      </c>
      <c r="T19" s="224" t="str">
        <f t="shared" si="4"/>
        <v/>
      </c>
      <c r="U19" s="224" t="str">
        <f t="shared" si="5"/>
        <v/>
      </c>
      <c r="AB19" s="522" t="str">
        <f t="shared" si="1"/>
        <v/>
      </c>
      <c r="AC19" s="523" t="str">
        <f t="shared" si="2"/>
        <v/>
      </c>
    </row>
    <row r="20" spans="2:39" ht="24" customHeight="1" thickBot="1">
      <c r="B20" s="524"/>
      <c r="C20" s="939" t="s">
        <v>790</v>
      </c>
      <c r="D20" s="939"/>
      <c r="E20" s="939"/>
      <c r="F20" s="939"/>
      <c r="G20" s="939"/>
      <c r="H20" s="939"/>
      <c r="I20" s="939"/>
      <c r="J20" s="939"/>
      <c r="K20" s="939"/>
      <c r="L20" s="939"/>
      <c r="M20" s="939"/>
      <c r="N20" s="939"/>
      <c r="O20" s="939"/>
      <c r="P20" s="940"/>
      <c r="S20" s="223" t="s">
        <v>1061</v>
      </c>
      <c r="AB20" s="522"/>
      <c r="AC20" s="523"/>
    </row>
    <row r="21" spans="2:39" ht="49.95" customHeight="1">
      <c r="B21" s="524"/>
      <c r="C21" s="525"/>
      <c r="D21" s="526" t="str">
        <f>D$8</f>
        <v>Location Name</v>
      </c>
      <c r="E21" s="941" t="s">
        <v>791</v>
      </c>
      <c r="F21" s="942"/>
      <c r="G21" s="232" t="s">
        <v>792</v>
      </c>
      <c r="H21" s="232" t="s">
        <v>793</v>
      </c>
      <c r="I21" s="232" t="s">
        <v>794</v>
      </c>
      <c r="J21" s="232" t="s">
        <v>795</v>
      </c>
      <c r="K21" s="232" t="s">
        <v>796</v>
      </c>
      <c r="L21" s="232" t="s">
        <v>797</v>
      </c>
      <c r="M21" s="232" t="s">
        <v>798</v>
      </c>
      <c r="N21" s="232" t="s">
        <v>799</v>
      </c>
      <c r="O21" s="232" t="s">
        <v>800</v>
      </c>
      <c r="P21" s="481" t="s">
        <v>801</v>
      </c>
      <c r="S21" s="223" t="s">
        <v>1061</v>
      </c>
      <c r="AB21" s="522"/>
      <c r="AC21" s="523"/>
    </row>
    <row r="22" spans="2:39" ht="45" customHeight="1">
      <c r="B22" s="524"/>
      <c r="C22" s="678" t="str">
        <f>C$9</f>
        <v>Measurement</v>
      </c>
      <c r="D22" s="529" t="s">
        <v>788</v>
      </c>
      <c r="E22" s="531">
        <v>27</v>
      </c>
      <c r="F22" s="227" t="s">
        <v>802</v>
      </c>
      <c r="G22" s="531">
        <v>30</v>
      </c>
      <c r="H22" s="531">
        <v>400</v>
      </c>
      <c r="I22" s="531">
        <v>20</v>
      </c>
      <c r="J22" s="531">
        <v>500</v>
      </c>
      <c r="K22" s="531">
        <v>150</v>
      </c>
      <c r="L22" s="531">
        <v>400</v>
      </c>
      <c r="M22" s="531">
        <v>35</v>
      </c>
      <c r="N22" s="531">
        <v>1000</v>
      </c>
      <c r="O22" s="531">
        <v>3500</v>
      </c>
      <c r="P22" s="536">
        <v>3500</v>
      </c>
      <c r="S22" s="223" t="s">
        <v>1061</v>
      </c>
      <c r="AB22" s="537" t="s">
        <v>803</v>
      </c>
      <c r="AC22" s="537"/>
      <c r="AL22" s="459" t="s">
        <v>967</v>
      </c>
      <c r="AM22" s="459" t="s">
        <v>1058</v>
      </c>
    </row>
    <row r="23" spans="2:39" ht="20.100000000000001" customHeight="1">
      <c r="B23" s="524"/>
      <c r="C23" s="955">
        <v>1</v>
      </c>
      <c r="D23" s="957"/>
      <c r="E23" s="968"/>
      <c r="F23" s="970" t="str">
        <f>IF(E23&lt;&gt;"",IF($E23&lt;$E$22,"No",IF($E23&lt;$E$22*1.2,"Yes",IF(ISNUMBER(E23),"NOT MET",""))),"")</f>
        <v/>
      </c>
      <c r="G23" s="666"/>
      <c r="H23" s="666"/>
      <c r="I23" s="666"/>
      <c r="J23" s="666"/>
      <c r="K23" s="666"/>
      <c r="L23" s="666"/>
      <c r="M23" s="642"/>
      <c r="N23" s="666"/>
      <c r="O23" s="666"/>
      <c r="P23" s="643"/>
      <c r="Q23" s="229"/>
      <c r="R23" s="229" t="s">
        <v>804</v>
      </c>
      <c r="S23" s="223" t="str">
        <f>IF(Q23="Low Flow","Yes",IF(D23="","Yes","No"))</f>
        <v>Yes</v>
      </c>
      <c r="T23" s="458" t="s">
        <v>805</v>
      </c>
      <c r="AB23" s="537" t="str">
        <f>IF(G23&lt;&gt;"",IF(AND(G23&gt;G$22,G23&lt;=G$22*1.05), "Yes",IF(G23&gt;G$22*1.05,"Over","")),"")</f>
        <v/>
      </c>
      <c r="AC23" s="537" t="str">
        <f t="shared" ref="AC23:AC43" si="6">IF(H23&lt;&gt;"",IF(AND(H23&gt;H$22,H23&lt;=H$22*1.05), "Yes",IF(H23&gt;H$22*1.05,"Over","")),"")</f>
        <v/>
      </c>
      <c r="AD23" s="537" t="str">
        <f t="shared" ref="AD23:AD43" si="7">IF(I23&lt;&gt;"",IF(AND(I23&gt;I$22,I23&lt;=I$22*1.05), "Yes",IF(I23&gt;I$22*1.05,"Over","")),"")</f>
        <v/>
      </c>
      <c r="AE23" s="537" t="str">
        <f t="shared" ref="AE23:AE43" si="8">IF(J23&lt;&gt;"",IF(AND(J23&gt;J$22,J23&lt;=J$22*1.05), "Yes",IF(J23&gt;J$22*1.05,"Over","")),"")</f>
        <v/>
      </c>
      <c r="AF23" s="537" t="str">
        <f t="shared" ref="AF23:AF43" si="9">IF(K23&lt;&gt;"",IF(AND(K23&gt;K$22,K23&lt;=K$22*1.05), "Yes",IF(K23&gt;K$22*1.05,"Over","")),"")</f>
        <v/>
      </c>
      <c r="AG23" s="537" t="str">
        <f t="shared" ref="AG23:AG43" si="10">IF(L23&lt;&gt;"",IF(AND(L23&gt;L$22,L23&lt;=L$22*1.05), "Yes",IF(L23&gt;L$22*1.05,"Over","")),"")</f>
        <v/>
      </c>
      <c r="AH23" s="537" t="str">
        <f t="shared" ref="AH23:AH43" si="11">IF(M23&lt;&gt;"",IF(AND(M23&gt;M$22,M23&lt;=M$22*1.05), "Yes",IF(M23&gt;M$22*1.05,"Over","")),"")</f>
        <v/>
      </c>
      <c r="AI23" s="537" t="str">
        <f t="shared" ref="AI23:AI43" si="12">IF(N23&lt;&gt;"",IF(AND(N23&gt;N$22,N23&lt;=N$22*1.05), "Yes",IF(N23&gt;N$22*1.05,"Over","")),"")</f>
        <v/>
      </c>
      <c r="AJ23" s="537" t="str">
        <f t="shared" ref="AJ23:AJ43" si="13">IF(O23&lt;&gt;"",IF(AND(O23&gt;O$22,O23&lt;=O$22*1.05), "Yes",IF(O23&gt;O$22*1.05,"Over","")),"")</f>
        <v/>
      </c>
      <c r="AK23" s="537" t="str">
        <f t="shared" ref="AK23:AK43" si="14">IF(P23&lt;&gt;"",IF(AND(P23&gt;P$22,P23&lt;=P$22*1.05), "Yes",IF(P23&gt;P$22*1.05,"Over","")),"")</f>
        <v/>
      </c>
      <c r="AL23" s="537">
        <f>COUNTIF(AB23:AK23,"Yes")</f>
        <v>0</v>
      </c>
      <c r="AM23" s="224">
        <f>COUNTIF(AB23:AK23,"Over")</f>
        <v>0</v>
      </c>
    </row>
    <row r="24" spans="2:39" ht="20.100000000000001" customHeight="1">
      <c r="B24" s="524"/>
      <c r="C24" s="956"/>
      <c r="D24" s="958"/>
      <c r="E24" s="969"/>
      <c r="F24" s="971" t="str">
        <f t="shared" ref="F24:F42" si="15">IF($E24&lt;$E$22,"",IF($E24&lt;$E$22*1.2,"Yes",""))</f>
        <v/>
      </c>
      <c r="G24" s="666"/>
      <c r="H24" s="666"/>
      <c r="I24" s="666"/>
      <c r="J24" s="666"/>
      <c r="K24" s="666"/>
      <c r="L24" s="666"/>
      <c r="M24" s="666"/>
      <c r="N24" s="666"/>
      <c r="O24" s="666"/>
      <c r="P24" s="643"/>
      <c r="Q24" s="229"/>
      <c r="R24" s="229" t="s">
        <v>806</v>
      </c>
      <c r="S24" s="223" t="str">
        <f t="shared" ref="S24:S42" si="16">IF(Q24="Low Flow","Yes",IF(D24="","Yes","No"))</f>
        <v>Yes</v>
      </c>
      <c r="T24" s="230"/>
      <c r="U24" s="230"/>
      <c r="V24" s="230" t="s">
        <v>807</v>
      </c>
      <c r="AB24" s="537" t="str">
        <f t="shared" ref="AB24:AB43" si="17">IF(G24&lt;&gt;"",IF(AND(G24&gt;G$22,G24&lt;=G$22*1.05), "Yes",IF(G24&gt;G$22*1.05,"Over","")),"")</f>
        <v/>
      </c>
      <c r="AC24" s="537" t="str">
        <f t="shared" si="6"/>
        <v/>
      </c>
      <c r="AD24" s="537" t="str">
        <f t="shared" si="7"/>
        <v/>
      </c>
      <c r="AE24" s="537" t="str">
        <f t="shared" si="8"/>
        <v/>
      </c>
      <c r="AF24" s="537" t="str">
        <f t="shared" si="9"/>
        <v/>
      </c>
      <c r="AG24" s="537" t="str">
        <f t="shared" si="10"/>
        <v/>
      </c>
      <c r="AH24" s="537" t="str">
        <f t="shared" si="11"/>
        <v/>
      </c>
      <c r="AI24" s="537" t="str">
        <f t="shared" si="12"/>
        <v/>
      </c>
      <c r="AJ24" s="537" t="str">
        <f t="shared" si="13"/>
        <v/>
      </c>
      <c r="AK24" s="537" t="str">
        <f t="shared" si="14"/>
        <v/>
      </c>
      <c r="AL24" s="537">
        <f t="shared" ref="AL24:AL43" si="18">COUNTIF(AB24:AK24,"Yes")</f>
        <v>0</v>
      </c>
      <c r="AM24" s="224">
        <f t="shared" ref="AM24:AM43" si="19">COUNTIF(AB24:AK24,"Over")</f>
        <v>0</v>
      </c>
    </row>
    <row r="25" spans="2:39" ht="20.100000000000001" customHeight="1">
      <c r="B25" s="524"/>
      <c r="C25" s="955">
        <v>2</v>
      </c>
      <c r="D25" s="957"/>
      <c r="E25" s="968"/>
      <c r="F25" s="970" t="str">
        <f t="shared" ref="F25:F27" si="20">IF(E25&lt;&gt;"",IF($E25&lt;$E$22,"No",IF($E25&lt;$E$22*1.2,"Yes",IF(ISNUMBER(E25),"NOT MET",""))),"")</f>
        <v/>
      </c>
      <c r="G25" s="666"/>
      <c r="H25" s="666"/>
      <c r="I25" s="666"/>
      <c r="J25" s="666"/>
      <c r="K25" s="666"/>
      <c r="L25" s="666"/>
      <c r="M25" s="666"/>
      <c r="N25" s="666"/>
      <c r="O25" s="666"/>
      <c r="P25" s="643"/>
      <c r="Q25" s="229"/>
      <c r="R25" s="229" t="s">
        <v>804</v>
      </c>
      <c r="S25" s="223" t="str">
        <f t="shared" si="16"/>
        <v>Yes</v>
      </c>
      <c r="T25" s="230"/>
      <c r="U25" s="230"/>
      <c r="V25" s="230" t="s">
        <v>808</v>
      </c>
      <c r="AB25" s="537" t="str">
        <f t="shared" si="17"/>
        <v/>
      </c>
      <c r="AC25" s="537" t="str">
        <f t="shared" si="6"/>
        <v/>
      </c>
      <c r="AD25" s="537" t="str">
        <f t="shared" si="7"/>
        <v/>
      </c>
      <c r="AE25" s="537" t="str">
        <f t="shared" si="8"/>
        <v/>
      </c>
      <c r="AF25" s="537" t="str">
        <f t="shared" si="9"/>
        <v/>
      </c>
      <c r="AG25" s="537" t="str">
        <f t="shared" si="10"/>
        <v/>
      </c>
      <c r="AH25" s="537" t="str">
        <f t="shared" si="11"/>
        <v/>
      </c>
      <c r="AI25" s="537" t="str">
        <f t="shared" si="12"/>
        <v/>
      </c>
      <c r="AJ25" s="537" t="str">
        <f t="shared" si="13"/>
        <v/>
      </c>
      <c r="AK25" s="537" t="str">
        <f t="shared" si="14"/>
        <v/>
      </c>
      <c r="AL25" s="537">
        <f t="shared" si="18"/>
        <v>0</v>
      </c>
      <c r="AM25" s="224">
        <f t="shared" si="19"/>
        <v>0</v>
      </c>
    </row>
    <row r="26" spans="2:39" ht="20.100000000000001" customHeight="1">
      <c r="B26" s="524"/>
      <c r="C26" s="956"/>
      <c r="D26" s="958"/>
      <c r="E26" s="969"/>
      <c r="F26" s="971" t="str">
        <f t="shared" si="15"/>
        <v/>
      </c>
      <c r="G26" s="666"/>
      <c r="H26" s="666"/>
      <c r="I26" s="666"/>
      <c r="J26" s="666"/>
      <c r="K26" s="666"/>
      <c r="L26" s="666"/>
      <c r="M26" s="666"/>
      <c r="N26" s="666"/>
      <c r="O26" s="666"/>
      <c r="P26" s="643"/>
      <c r="Q26" s="229"/>
      <c r="R26" s="229" t="s">
        <v>806</v>
      </c>
      <c r="S26" s="223" t="str">
        <f t="shared" si="16"/>
        <v>Yes</v>
      </c>
      <c r="T26" s="230"/>
      <c r="U26" s="230"/>
      <c r="V26" s="230" t="s">
        <v>809</v>
      </c>
      <c r="AB26" s="537" t="str">
        <f t="shared" si="17"/>
        <v/>
      </c>
      <c r="AC26" s="537" t="str">
        <f t="shared" si="6"/>
        <v/>
      </c>
      <c r="AD26" s="537" t="str">
        <f t="shared" si="7"/>
        <v/>
      </c>
      <c r="AE26" s="537" t="str">
        <f t="shared" si="8"/>
        <v/>
      </c>
      <c r="AF26" s="537" t="str">
        <f t="shared" si="9"/>
        <v/>
      </c>
      <c r="AG26" s="537" t="str">
        <f t="shared" si="10"/>
        <v/>
      </c>
      <c r="AH26" s="537" t="str">
        <f t="shared" si="11"/>
        <v/>
      </c>
      <c r="AI26" s="537" t="str">
        <f t="shared" si="12"/>
        <v/>
      </c>
      <c r="AJ26" s="537" t="str">
        <f t="shared" si="13"/>
        <v/>
      </c>
      <c r="AK26" s="537" t="str">
        <f t="shared" si="14"/>
        <v/>
      </c>
      <c r="AL26" s="537">
        <f t="shared" si="18"/>
        <v>0</v>
      </c>
      <c r="AM26" s="224">
        <f t="shared" si="19"/>
        <v>0</v>
      </c>
    </row>
    <row r="27" spans="2:39" ht="20.100000000000001" customHeight="1">
      <c r="B27" s="524"/>
      <c r="C27" s="955">
        <v>3</v>
      </c>
      <c r="D27" s="957"/>
      <c r="E27" s="968"/>
      <c r="F27" s="970" t="str">
        <f t="shared" si="20"/>
        <v/>
      </c>
      <c r="G27" s="666"/>
      <c r="H27" s="666"/>
      <c r="I27" s="666"/>
      <c r="J27" s="666"/>
      <c r="K27" s="666"/>
      <c r="L27" s="666"/>
      <c r="M27" s="666"/>
      <c r="N27" s="666"/>
      <c r="O27" s="666"/>
      <c r="P27" s="643"/>
      <c r="Q27" s="229"/>
      <c r="R27" s="229" t="s">
        <v>804</v>
      </c>
      <c r="S27" s="223" t="str">
        <f t="shared" si="16"/>
        <v>Yes</v>
      </c>
      <c r="T27" s="458" t="s">
        <v>810</v>
      </c>
      <c r="U27" s="230"/>
      <c r="AB27" s="537" t="str">
        <f t="shared" si="17"/>
        <v/>
      </c>
      <c r="AC27" s="537" t="str">
        <f t="shared" si="6"/>
        <v/>
      </c>
      <c r="AD27" s="537" t="str">
        <f t="shared" si="7"/>
        <v/>
      </c>
      <c r="AE27" s="537" t="str">
        <f t="shared" si="8"/>
        <v/>
      </c>
      <c r="AF27" s="537" t="str">
        <f t="shared" si="9"/>
        <v/>
      </c>
      <c r="AG27" s="537" t="str">
        <f t="shared" si="10"/>
        <v/>
      </c>
      <c r="AH27" s="537" t="str">
        <f t="shared" si="11"/>
        <v/>
      </c>
      <c r="AI27" s="537" t="str">
        <f t="shared" si="12"/>
        <v/>
      </c>
      <c r="AJ27" s="537" t="str">
        <f t="shared" si="13"/>
        <v/>
      </c>
      <c r="AK27" s="537" t="str">
        <f t="shared" si="14"/>
        <v/>
      </c>
      <c r="AL27" s="537">
        <f t="shared" si="18"/>
        <v>0</v>
      </c>
      <c r="AM27" s="224">
        <f t="shared" si="19"/>
        <v>0</v>
      </c>
    </row>
    <row r="28" spans="2:39" ht="20.100000000000001" customHeight="1">
      <c r="B28" s="524"/>
      <c r="C28" s="956"/>
      <c r="D28" s="958"/>
      <c r="E28" s="969"/>
      <c r="F28" s="971" t="str">
        <f t="shared" si="15"/>
        <v/>
      </c>
      <c r="G28" s="666"/>
      <c r="H28" s="666"/>
      <c r="I28" s="666"/>
      <c r="J28" s="666"/>
      <c r="K28" s="666"/>
      <c r="L28" s="666"/>
      <c r="M28" s="666"/>
      <c r="N28" s="666"/>
      <c r="O28" s="666"/>
      <c r="P28" s="643"/>
      <c r="Q28" s="229"/>
      <c r="R28" s="229" t="s">
        <v>806</v>
      </c>
      <c r="S28" s="223" t="str">
        <f t="shared" si="16"/>
        <v>Yes</v>
      </c>
      <c r="T28" s="458" t="s">
        <v>811</v>
      </c>
      <c r="U28" s="230"/>
      <c r="AB28" s="537" t="str">
        <f t="shared" si="17"/>
        <v/>
      </c>
      <c r="AC28" s="537" t="str">
        <f t="shared" si="6"/>
        <v/>
      </c>
      <c r="AD28" s="537" t="str">
        <f t="shared" si="7"/>
        <v/>
      </c>
      <c r="AE28" s="537" t="str">
        <f t="shared" si="8"/>
        <v/>
      </c>
      <c r="AF28" s="537" t="str">
        <f t="shared" si="9"/>
        <v/>
      </c>
      <c r="AG28" s="537" t="str">
        <f t="shared" si="10"/>
        <v/>
      </c>
      <c r="AH28" s="537" t="str">
        <f t="shared" si="11"/>
        <v/>
      </c>
      <c r="AI28" s="537" t="str">
        <f t="shared" si="12"/>
        <v/>
      </c>
      <c r="AJ28" s="537" t="str">
        <f t="shared" si="13"/>
        <v/>
      </c>
      <c r="AK28" s="537" t="str">
        <f t="shared" si="14"/>
        <v/>
      </c>
      <c r="AL28" s="537">
        <f t="shared" si="18"/>
        <v>0</v>
      </c>
      <c r="AM28" s="224">
        <f t="shared" si="19"/>
        <v>0</v>
      </c>
    </row>
    <row r="29" spans="2:39" ht="20.100000000000001" customHeight="1">
      <c r="B29" s="524"/>
      <c r="C29" s="955">
        <v>4</v>
      </c>
      <c r="D29" s="957"/>
      <c r="E29" s="968"/>
      <c r="F29" s="970" t="str">
        <f t="shared" ref="F29" si="21">IF(E29&lt;&gt;"",IF($E29&lt;$E$22,"No",IF($E29&lt;$E$22*1.2,"Yes",IF(ISNUMBER(E29),"NOT MET",""))),"")</f>
        <v/>
      </c>
      <c r="G29" s="666"/>
      <c r="H29" s="666"/>
      <c r="I29" s="666"/>
      <c r="J29" s="666"/>
      <c r="K29" s="666"/>
      <c r="L29" s="666"/>
      <c r="M29" s="666"/>
      <c r="N29" s="666"/>
      <c r="O29" s="666"/>
      <c r="P29" s="643"/>
      <c r="Q29" s="229"/>
      <c r="R29" s="229" t="s">
        <v>804</v>
      </c>
      <c r="S29" s="223" t="str">
        <f t="shared" si="16"/>
        <v>Yes</v>
      </c>
      <c r="T29" s="458" t="s">
        <v>812</v>
      </c>
      <c r="U29" s="230"/>
      <c r="AB29" s="537" t="str">
        <f t="shared" si="17"/>
        <v/>
      </c>
      <c r="AC29" s="537" t="str">
        <f t="shared" si="6"/>
        <v/>
      </c>
      <c r="AD29" s="537" t="str">
        <f t="shared" si="7"/>
        <v/>
      </c>
      <c r="AE29" s="537" t="str">
        <f t="shared" si="8"/>
        <v/>
      </c>
      <c r="AF29" s="537" t="str">
        <f t="shared" si="9"/>
        <v/>
      </c>
      <c r="AG29" s="537" t="str">
        <f t="shared" si="10"/>
        <v/>
      </c>
      <c r="AH29" s="537" t="str">
        <f t="shared" si="11"/>
        <v/>
      </c>
      <c r="AI29" s="537" t="str">
        <f t="shared" si="12"/>
        <v/>
      </c>
      <c r="AJ29" s="537" t="str">
        <f t="shared" si="13"/>
        <v/>
      </c>
      <c r="AK29" s="537" t="str">
        <f t="shared" si="14"/>
        <v/>
      </c>
      <c r="AL29" s="537">
        <f t="shared" si="18"/>
        <v>0</v>
      </c>
      <c r="AM29" s="224">
        <f t="shared" si="19"/>
        <v>0</v>
      </c>
    </row>
    <row r="30" spans="2:39" ht="20.100000000000001" customHeight="1">
      <c r="B30" s="524"/>
      <c r="C30" s="956"/>
      <c r="D30" s="958"/>
      <c r="E30" s="969"/>
      <c r="F30" s="971" t="str">
        <f t="shared" si="15"/>
        <v/>
      </c>
      <c r="G30" s="666"/>
      <c r="H30" s="666"/>
      <c r="I30" s="666"/>
      <c r="J30" s="666"/>
      <c r="K30" s="666"/>
      <c r="L30" s="666"/>
      <c r="M30" s="666"/>
      <c r="N30" s="666"/>
      <c r="O30" s="666"/>
      <c r="P30" s="643"/>
      <c r="Q30" s="229"/>
      <c r="R30" s="229" t="s">
        <v>806</v>
      </c>
      <c r="S30" s="223" t="str">
        <f t="shared" si="16"/>
        <v>Yes</v>
      </c>
      <c r="T30" s="231"/>
      <c r="AB30" s="537" t="str">
        <f t="shared" si="17"/>
        <v/>
      </c>
      <c r="AC30" s="537" t="str">
        <f t="shared" si="6"/>
        <v/>
      </c>
      <c r="AD30" s="537" t="str">
        <f t="shared" si="7"/>
        <v/>
      </c>
      <c r="AE30" s="537" t="str">
        <f t="shared" si="8"/>
        <v/>
      </c>
      <c r="AF30" s="537" t="str">
        <f t="shared" si="9"/>
        <v/>
      </c>
      <c r="AG30" s="537" t="str">
        <f t="shared" si="10"/>
        <v/>
      </c>
      <c r="AH30" s="537" t="str">
        <f t="shared" si="11"/>
        <v/>
      </c>
      <c r="AI30" s="537" t="str">
        <f t="shared" si="12"/>
        <v/>
      </c>
      <c r="AJ30" s="537" t="str">
        <f t="shared" si="13"/>
        <v/>
      </c>
      <c r="AK30" s="537" t="str">
        <f t="shared" si="14"/>
        <v/>
      </c>
      <c r="AL30" s="537">
        <f t="shared" si="18"/>
        <v>0</v>
      </c>
      <c r="AM30" s="224">
        <f t="shared" si="19"/>
        <v>0</v>
      </c>
    </row>
    <row r="31" spans="2:39" ht="20.100000000000001" customHeight="1">
      <c r="B31" s="524"/>
      <c r="C31" s="955">
        <v>5</v>
      </c>
      <c r="D31" s="957"/>
      <c r="E31" s="968"/>
      <c r="F31" s="970" t="str">
        <f t="shared" ref="F31" si="22">IF(E31&lt;&gt;"",IF($E31&lt;$E$22,"No",IF($E31&lt;$E$22*1.2,"Yes",IF(ISNUMBER(E31),"NOT MET",""))),"")</f>
        <v/>
      </c>
      <c r="G31" s="666"/>
      <c r="H31" s="666"/>
      <c r="I31" s="666"/>
      <c r="J31" s="666"/>
      <c r="K31" s="666"/>
      <c r="L31" s="666"/>
      <c r="M31" s="666"/>
      <c r="N31" s="666"/>
      <c r="O31" s="666"/>
      <c r="P31" s="643"/>
      <c r="Q31" s="229"/>
      <c r="R31" s="229" t="s">
        <v>804</v>
      </c>
      <c r="S31" s="223" t="str">
        <f t="shared" si="16"/>
        <v>Yes</v>
      </c>
      <c r="AB31" s="537" t="str">
        <f t="shared" si="17"/>
        <v/>
      </c>
      <c r="AC31" s="537" t="str">
        <f t="shared" si="6"/>
        <v/>
      </c>
      <c r="AD31" s="537" t="str">
        <f t="shared" si="7"/>
        <v/>
      </c>
      <c r="AE31" s="537" t="str">
        <f t="shared" si="8"/>
        <v/>
      </c>
      <c r="AF31" s="537" t="str">
        <f t="shared" si="9"/>
        <v/>
      </c>
      <c r="AG31" s="537" t="str">
        <f t="shared" si="10"/>
        <v/>
      </c>
      <c r="AH31" s="537" t="str">
        <f t="shared" si="11"/>
        <v/>
      </c>
      <c r="AI31" s="537" t="str">
        <f t="shared" si="12"/>
        <v/>
      </c>
      <c r="AJ31" s="537" t="str">
        <f t="shared" si="13"/>
        <v/>
      </c>
      <c r="AK31" s="537" t="str">
        <f t="shared" si="14"/>
        <v/>
      </c>
      <c r="AL31" s="537">
        <f t="shared" si="18"/>
        <v>0</v>
      </c>
      <c r="AM31" s="224">
        <f t="shared" si="19"/>
        <v>0</v>
      </c>
    </row>
    <row r="32" spans="2:39" ht="20.100000000000001" customHeight="1">
      <c r="B32" s="524"/>
      <c r="C32" s="956"/>
      <c r="D32" s="958"/>
      <c r="E32" s="969"/>
      <c r="F32" s="971" t="str">
        <f t="shared" si="15"/>
        <v/>
      </c>
      <c r="G32" s="666"/>
      <c r="H32" s="666"/>
      <c r="I32" s="666"/>
      <c r="J32" s="666"/>
      <c r="K32" s="666"/>
      <c r="L32" s="666"/>
      <c r="M32" s="666"/>
      <c r="N32" s="666"/>
      <c r="O32" s="666"/>
      <c r="P32" s="643"/>
      <c r="Q32" s="229"/>
      <c r="R32" s="229" t="s">
        <v>806</v>
      </c>
      <c r="S32" s="223" t="str">
        <f t="shared" si="16"/>
        <v>Yes</v>
      </c>
      <c r="AB32" s="537" t="str">
        <f t="shared" si="17"/>
        <v/>
      </c>
      <c r="AC32" s="537" t="str">
        <f t="shared" si="6"/>
        <v/>
      </c>
      <c r="AD32" s="537" t="str">
        <f t="shared" si="7"/>
        <v/>
      </c>
      <c r="AE32" s="537" t="str">
        <f t="shared" si="8"/>
        <v/>
      </c>
      <c r="AF32" s="537" t="str">
        <f t="shared" si="9"/>
        <v/>
      </c>
      <c r="AG32" s="537" t="str">
        <f t="shared" si="10"/>
        <v/>
      </c>
      <c r="AH32" s="537" t="str">
        <f t="shared" si="11"/>
        <v/>
      </c>
      <c r="AI32" s="537" t="str">
        <f t="shared" si="12"/>
        <v/>
      </c>
      <c r="AJ32" s="537" t="str">
        <f t="shared" si="13"/>
        <v/>
      </c>
      <c r="AK32" s="537" t="str">
        <f t="shared" si="14"/>
        <v/>
      </c>
      <c r="AL32" s="537">
        <f t="shared" si="18"/>
        <v>0</v>
      </c>
      <c r="AM32" s="224">
        <f t="shared" si="19"/>
        <v>0</v>
      </c>
    </row>
    <row r="33" spans="2:39" ht="20.100000000000001" customHeight="1">
      <c r="B33" s="524"/>
      <c r="C33" s="955">
        <v>6</v>
      </c>
      <c r="D33" s="957"/>
      <c r="E33" s="968"/>
      <c r="F33" s="970" t="str">
        <f t="shared" ref="F33" si="23">IF(E33&lt;&gt;"",IF($E33&lt;$E$22,"No",IF($E33&lt;$E$22*1.2,"Yes",IF(ISNUMBER(E33),"NOT MET",""))),"")</f>
        <v/>
      </c>
      <c r="G33" s="666"/>
      <c r="H33" s="666"/>
      <c r="I33" s="666"/>
      <c r="J33" s="666"/>
      <c r="K33" s="666"/>
      <c r="L33" s="666"/>
      <c r="M33" s="666"/>
      <c r="N33" s="666"/>
      <c r="O33" s="666"/>
      <c r="P33" s="643"/>
      <c r="Q33" s="229"/>
      <c r="R33" s="229" t="s">
        <v>804</v>
      </c>
      <c r="S33" s="223" t="str">
        <f t="shared" si="16"/>
        <v>Yes</v>
      </c>
      <c r="AB33" s="537" t="str">
        <f t="shared" si="17"/>
        <v/>
      </c>
      <c r="AC33" s="537" t="str">
        <f t="shared" si="6"/>
        <v/>
      </c>
      <c r="AD33" s="537" t="str">
        <f t="shared" si="7"/>
        <v/>
      </c>
      <c r="AE33" s="537" t="str">
        <f t="shared" si="8"/>
        <v/>
      </c>
      <c r="AF33" s="537" t="str">
        <f t="shared" si="9"/>
        <v/>
      </c>
      <c r="AG33" s="537" t="str">
        <f t="shared" si="10"/>
        <v/>
      </c>
      <c r="AH33" s="537" t="str">
        <f t="shared" si="11"/>
        <v/>
      </c>
      <c r="AI33" s="537" t="str">
        <f t="shared" si="12"/>
        <v/>
      </c>
      <c r="AJ33" s="537" t="str">
        <f t="shared" si="13"/>
        <v/>
      </c>
      <c r="AK33" s="537" t="str">
        <f t="shared" si="14"/>
        <v/>
      </c>
      <c r="AL33" s="537">
        <f t="shared" si="18"/>
        <v>0</v>
      </c>
      <c r="AM33" s="224">
        <f t="shared" si="19"/>
        <v>0</v>
      </c>
    </row>
    <row r="34" spans="2:39" ht="20.100000000000001" customHeight="1">
      <c r="B34" s="524"/>
      <c r="C34" s="956"/>
      <c r="D34" s="958"/>
      <c r="E34" s="969"/>
      <c r="F34" s="971" t="str">
        <f t="shared" si="15"/>
        <v/>
      </c>
      <c r="G34" s="666"/>
      <c r="H34" s="666"/>
      <c r="I34" s="666"/>
      <c r="J34" s="666"/>
      <c r="K34" s="666"/>
      <c r="L34" s="666"/>
      <c r="M34" s="666"/>
      <c r="N34" s="666"/>
      <c r="O34" s="666"/>
      <c r="P34" s="643"/>
      <c r="Q34" s="229"/>
      <c r="R34" s="229" t="s">
        <v>806</v>
      </c>
      <c r="S34" s="223" t="str">
        <f t="shared" si="16"/>
        <v>Yes</v>
      </c>
      <c r="AB34" s="537" t="str">
        <f t="shared" si="17"/>
        <v/>
      </c>
      <c r="AC34" s="537" t="str">
        <f t="shared" si="6"/>
        <v/>
      </c>
      <c r="AD34" s="537" t="str">
        <f t="shared" si="7"/>
        <v/>
      </c>
      <c r="AE34" s="537" t="str">
        <f t="shared" si="8"/>
        <v/>
      </c>
      <c r="AF34" s="537" t="str">
        <f t="shared" si="9"/>
        <v/>
      </c>
      <c r="AG34" s="537" t="str">
        <f t="shared" si="10"/>
        <v/>
      </c>
      <c r="AH34" s="537" t="str">
        <f t="shared" si="11"/>
        <v/>
      </c>
      <c r="AI34" s="537" t="str">
        <f t="shared" si="12"/>
        <v/>
      </c>
      <c r="AJ34" s="537" t="str">
        <f t="shared" si="13"/>
        <v/>
      </c>
      <c r="AK34" s="537" t="str">
        <f t="shared" si="14"/>
        <v/>
      </c>
      <c r="AL34" s="537">
        <f t="shared" si="18"/>
        <v>0</v>
      </c>
      <c r="AM34" s="224">
        <f t="shared" si="19"/>
        <v>0</v>
      </c>
    </row>
    <row r="35" spans="2:39" ht="20.100000000000001" customHeight="1">
      <c r="B35" s="524"/>
      <c r="C35" s="955">
        <v>7</v>
      </c>
      <c r="D35" s="957"/>
      <c r="E35" s="968"/>
      <c r="F35" s="970" t="str">
        <f t="shared" ref="F35" si="24">IF(E35&lt;&gt;"",IF($E35&lt;$E$22,"No",IF($E35&lt;$E$22*1.2,"Yes",IF(ISNUMBER(E35),"NOT MET",""))),"")</f>
        <v/>
      </c>
      <c r="G35" s="666"/>
      <c r="H35" s="666"/>
      <c r="I35" s="666"/>
      <c r="J35" s="666"/>
      <c r="K35" s="666"/>
      <c r="L35" s="666"/>
      <c r="M35" s="666"/>
      <c r="N35" s="666"/>
      <c r="O35" s="666"/>
      <c r="P35" s="643"/>
      <c r="Q35" s="229"/>
      <c r="R35" s="229" t="s">
        <v>804</v>
      </c>
      <c r="S35" s="223" t="str">
        <f t="shared" si="16"/>
        <v>Yes</v>
      </c>
      <c r="AB35" s="537" t="str">
        <f t="shared" si="17"/>
        <v/>
      </c>
      <c r="AC35" s="537" t="str">
        <f t="shared" si="6"/>
        <v/>
      </c>
      <c r="AD35" s="537" t="str">
        <f t="shared" si="7"/>
        <v/>
      </c>
      <c r="AE35" s="537" t="str">
        <f t="shared" si="8"/>
        <v/>
      </c>
      <c r="AF35" s="537" t="str">
        <f t="shared" si="9"/>
        <v/>
      </c>
      <c r="AG35" s="537" t="str">
        <f t="shared" si="10"/>
        <v/>
      </c>
      <c r="AH35" s="537" t="str">
        <f t="shared" si="11"/>
        <v/>
      </c>
      <c r="AI35" s="537" t="str">
        <f t="shared" si="12"/>
        <v/>
      </c>
      <c r="AJ35" s="537" t="str">
        <f t="shared" si="13"/>
        <v/>
      </c>
      <c r="AK35" s="537" t="str">
        <f t="shared" si="14"/>
        <v/>
      </c>
      <c r="AL35" s="537">
        <f t="shared" si="18"/>
        <v>0</v>
      </c>
      <c r="AM35" s="224">
        <f t="shared" si="19"/>
        <v>0</v>
      </c>
    </row>
    <row r="36" spans="2:39" ht="20.100000000000001" customHeight="1">
      <c r="B36" s="524"/>
      <c r="C36" s="956"/>
      <c r="D36" s="958"/>
      <c r="E36" s="969"/>
      <c r="F36" s="971" t="str">
        <f t="shared" si="15"/>
        <v/>
      </c>
      <c r="G36" s="666"/>
      <c r="H36" s="666"/>
      <c r="I36" s="666"/>
      <c r="J36" s="666"/>
      <c r="K36" s="666"/>
      <c r="L36" s="666"/>
      <c r="M36" s="666"/>
      <c r="N36" s="666"/>
      <c r="O36" s="666"/>
      <c r="P36" s="643"/>
      <c r="Q36" s="229"/>
      <c r="R36" s="229" t="s">
        <v>806</v>
      </c>
      <c r="S36" s="223" t="str">
        <f t="shared" si="16"/>
        <v>Yes</v>
      </c>
      <c r="AB36" s="537" t="str">
        <f t="shared" si="17"/>
        <v/>
      </c>
      <c r="AC36" s="537" t="str">
        <f t="shared" si="6"/>
        <v/>
      </c>
      <c r="AD36" s="537" t="str">
        <f t="shared" si="7"/>
        <v/>
      </c>
      <c r="AE36" s="537" t="str">
        <f t="shared" si="8"/>
        <v/>
      </c>
      <c r="AF36" s="537" t="str">
        <f t="shared" si="9"/>
        <v/>
      </c>
      <c r="AG36" s="537" t="str">
        <f t="shared" si="10"/>
        <v/>
      </c>
      <c r="AH36" s="537" t="str">
        <f t="shared" si="11"/>
        <v/>
      </c>
      <c r="AI36" s="537" t="str">
        <f t="shared" si="12"/>
        <v/>
      </c>
      <c r="AJ36" s="537" t="str">
        <f t="shared" si="13"/>
        <v/>
      </c>
      <c r="AK36" s="537" t="str">
        <f t="shared" si="14"/>
        <v/>
      </c>
      <c r="AL36" s="537">
        <f t="shared" si="18"/>
        <v>0</v>
      </c>
      <c r="AM36" s="224">
        <f t="shared" si="19"/>
        <v>0</v>
      </c>
    </row>
    <row r="37" spans="2:39" ht="20.100000000000001" customHeight="1">
      <c r="B37" s="524"/>
      <c r="C37" s="955">
        <v>8</v>
      </c>
      <c r="D37" s="957"/>
      <c r="E37" s="968"/>
      <c r="F37" s="970" t="str">
        <f t="shared" ref="F37" si="25">IF(E37&lt;&gt;"",IF($E37&lt;$E$22,"No",IF($E37&lt;$E$22*1.2,"Yes",IF(ISNUMBER(E37),"NOT MET",""))),"")</f>
        <v/>
      </c>
      <c r="G37" s="666"/>
      <c r="H37" s="666"/>
      <c r="I37" s="666"/>
      <c r="J37" s="666"/>
      <c r="K37" s="666"/>
      <c r="L37" s="666"/>
      <c r="M37" s="666"/>
      <c r="N37" s="666"/>
      <c r="O37" s="666"/>
      <c r="P37" s="643"/>
      <c r="Q37" s="229"/>
      <c r="R37" s="229" t="s">
        <v>804</v>
      </c>
      <c r="S37" s="223" t="str">
        <f t="shared" si="16"/>
        <v>Yes</v>
      </c>
      <c r="AB37" s="537" t="str">
        <f t="shared" si="17"/>
        <v/>
      </c>
      <c r="AC37" s="537" t="str">
        <f t="shared" si="6"/>
        <v/>
      </c>
      <c r="AD37" s="537" t="str">
        <f t="shared" si="7"/>
        <v/>
      </c>
      <c r="AE37" s="537" t="str">
        <f t="shared" si="8"/>
        <v/>
      </c>
      <c r="AF37" s="537" t="str">
        <f t="shared" si="9"/>
        <v/>
      </c>
      <c r="AG37" s="537" t="str">
        <f t="shared" si="10"/>
        <v/>
      </c>
      <c r="AH37" s="537" t="str">
        <f t="shared" si="11"/>
        <v/>
      </c>
      <c r="AI37" s="537" t="str">
        <f t="shared" si="12"/>
        <v/>
      </c>
      <c r="AJ37" s="537" t="str">
        <f t="shared" si="13"/>
        <v/>
      </c>
      <c r="AK37" s="537" t="str">
        <f t="shared" si="14"/>
        <v/>
      </c>
      <c r="AL37" s="537">
        <f t="shared" si="18"/>
        <v>0</v>
      </c>
      <c r="AM37" s="224">
        <f t="shared" si="19"/>
        <v>0</v>
      </c>
    </row>
    <row r="38" spans="2:39" ht="20.100000000000001" customHeight="1">
      <c r="B38" s="524"/>
      <c r="C38" s="956"/>
      <c r="D38" s="958"/>
      <c r="E38" s="969"/>
      <c r="F38" s="971" t="str">
        <f t="shared" si="15"/>
        <v/>
      </c>
      <c r="G38" s="666"/>
      <c r="H38" s="666"/>
      <c r="I38" s="666"/>
      <c r="J38" s="666"/>
      <c r="K38" s="666"/>
      <c r="L38" s="666"/>
      <c r="M38" s="666"/>
      <c r="N38" s="666"/>
      <c r="O38" s="666"/>
      <c r="P38" s="643"/>
      <c r="Q38" s="229"/>
      <c r="R38" s="229" t="s">
        <v>806</v>
      </c>
      <c r="S38" s="223" t="str">
        <f t="shared" si="16"/>
        <v>Yes</v>
      </c>
      <c r="AB38" s="537" t="str">
        <f t="shared" si="17"/>
        <v/>
      </c>
      <c r="AC38" s="537" t="str">
        <f t="shared" si="6"/>
        <v/>
      </c>
      <c r="AD38" s="537" t="str">
        <f t="shared" si="7"/>
        <v/>
      </c>
      <c r="AE38" s="537" t="str">
        <f t="shared" si="8"/>
        <v/>
      </c>
      <c r="AF38" s="537" t="str">
        <f t="shared" si="9"/>
        <v/>
      </c>
      <c r="AG38" s="537" t="str">
        <f t="shared" si="10"/>
        <v/>
      </c>
      <c r="AH38" s="537" t="str">
        <f t="shared" si="11"/>
        <v/>
      </c>
      <c r="AI38" s="537" t="str">
        <f t="shared" si="12"/>
        <v/>
      </c>
      <c r="AJ38" s="537" t="str">
        <f t="shared" si="13"/>
        <v/>
      </c>
      <c r="AK38" s="537" t="str">
        <f t="shared" si="14"/>
        <v/>
      </c>
      <c r="AL38" s="537">
        <f t="shared" si="18"/>
        <v>0</v>
      </c>
      <c r="AM38" s="224">
        <f t="shared" si="19"/>
        <v>0</v>
      </c>
    </row>
    <row r="39" spans="2:39" ht="20.100000000000001" customHeight="1">
      <c r="B39" s="524"/>
      <c r="C39" s="955">
        <v>9</v>
      </c>
      <c r="D39" s="961"/>
      <c r="E39" s="962"/>
      <c r="F39" s="963" t="str">
        <f t="shared" ref="F39" si="26">IF(E39&lt;&gt;"",IF($E39&lt;$E$22,"No",IF($E39&lt;$E$22*1.2,"Yes",IF(ISNUMBER(E39),"NOT MET",""))),"")</f>
        <v/>
      </c>
      <c r="G39" s="666"/>
      <c r="H39" s="666"/>
      <c r="I39" s="666"/>
      <c r="J39" s="666"/>
      <c r="K39" s="666"/>
      <c r="L39" s="666"/>
      <c r="M39" s="666"/>
      <c r="N39" s="666"/>
      <c r="O39" s="666"/>
      <c r="P39" s="643"/>
      <c r="Q39" s="229"/>
      <c r="R39" s="229" t="s">
        <v>804</v>
      </c>
      <c r="S39" s="223" t="str">
        <f t="shared" si="16"/>
        <v>Yes</v>
      </c>
      <c r="AB39" s="537" t="str">
        <f t="shared" si="17"/>
        <v/>
      </c>
      <c r="AC39" s="537" t="str">
        <f t="shared" si="6"/>
        <v/>
      </c>
      <c r="AD39" s="537" t="str">
        <f t="shared" si="7"/>
        <v/>
      </c>
      <c r="AE39" s="537" t="str">
        <f t="shared" si="8"/>
        <v/>
      </c>
      <c r="AF39" s="537" t="str">
        <f t="shared" si="9"/>
        <v/>
      </c>
      <c r="AG39" s="537" t="str">
        <f t="shared" si="10"/>
        <v/>
      </c>
      <c r="AH39" s="537" t="str">
        <f t="shared" si="11"/>
        <v/>
      </c>
      <c r="AI39" s="537" t="str">
        <f t="shared" si="12"/>
        <v/>
      </c>
      <c r="AJ39" s="537" t="str">
        <f t="shared" si="13"/>
        <v/>
      </c>
      <c r="AK39" s="537" t="str">
        <f t="shared" si="14"/>
        <v/>
      </c>
      <c r="AL39" s="537">
        <f t="shared" si="18"/>
        <v>0</v>
      </c>
      <c r="AM39" s="224">
        <f t="shared" si="19"/>
        <v>0</v>
      </c>
    </row>
    <row r="40" spans="2:39" ht="20.100000000000001" customHeight="1">
      <c r="B40" s="524"/>
      <c r="C40" s="956"/>
      <c r="D40" s="961"/>
      <c r="E40" s="962"/>
      <c r="F40" s="963" t="str">
        <f t="shared" si="15"/>
        <v/>
      </c>
      <c r="G40" s="666"/>
      <c r="H40" s="666"/>
      <c r="I40" s="666"/>
      <c r="J40" s="666"/>
      <c r="K40" s="666"/>
      <c r="L40" s="666"/>
      <c r="M40" s="666"/>
      <c r="N40" s="666"/>
      <c r="O40" s="666"/>
      <c r="P40" s="643"/>
      <c r="Q40" s="229"/>
      <c r="R40" s="229" t="s">
        <v>806</v>
      </c>
      <c r="S40" s="223" t="str">
        <f t="shared" si="16"/>
        <v>Yes</v>
      </c>
      <c r="AB40" s="537" t="str">
        <f t="shared" si="17"/>
        <v/>
      </c>
      <c r="AC40" s="537" t="str">
        <f t="shared" si="6"/>
        <v/>
      </c>
      <c r="AD40" s="537" t="str">
        <f t="shared" si="7"/>
        <v/>
      </c>
      <c r="AE40" s="537" t="str">
        <f t="shared" si="8"/>
        <v/>
      </c>
      <c r="AF40" s="537" t="str">
        <f t="shared" si="9"/>
        <v/>
      </c>
      <c r="AG40" s="537" t="str">
        <f t="shared" si="10"/>
        <v/>
      </c>
      <c r="AH40" s="537" t="str">
        <f t="shared" si="11"/>
        <v/>
      </c>
      <c r="AI40" s="537" t="str">
        <f t="shared" si="12"/>
        <v/>
      </c>
      <c r="AJ40" s="537" t="str">
        <f t="shared" si="13"/>
        <v/>
      </c>
      <c r="AK40" s="537" t="str">
        <f t="shared" si="14"/>
        <v/>
      </c>
      <c r="AL40" s="537">
        <f t="shared" si="18"/>
        <v>0</v>
      </c>
      <c r="AM40" s="224">
        <f t="shared" si="19"/>
        <v>0</v>
      </c>
    </row>
    <row r="41" spans="2:39" ht="20.100000000000001" customHeight="1">
      <c r="B41" s="524"/>
      <c r="C41" s="955">
        <v>10</v>
      </c>
      <c r="D41" s="961"/>
      <c r="E41" s="962"/>
      <c r="F41" s="963" t="str">
        <f t="shared" ref="F41" si="27">IF(E41&lt;&gt;"",IF($E41&lt;$E$22,"No",IF($E41&lt;$E$22*1.2,"Yes",IF(ISNUMBER(E41),"NOT MET",""))),"")</f>
        <v/>
      </c>
      <c r="G41" s="666"/>
      <c r="H41" s="666"/>
      <c r="I41" s="666"/>
      <c r="J41" s="666"/>
      <c r="K41" s="666"/>
      <c r="L41" s="666"/>
      <c r="M41" s="666"/>
      <c r="N41" s="666"/>
      <c r="O41" s="666"/>
      <c r="P41" s="643"/>
      <c r="Q41" s="229"/>
      <c r="R41" s="229" t="s">
        <v>804</v>
      </c>
      <c r="S41" s="223" t="str">
        <f t="shared" si="16"/>
        <v>Yes</v>
      </c>
      <c r="AB41" s="537" t="str">
        <f t="shared" si="17"/>
        <v/>
      </c>
      <c r="AC41" s="537" t="str">
        <f t="shared" si="6"/>
        <v/>
      </c>
      <c r="AD41" s="537" t="str">
        <f t="shared" si="7"/>
        <v/>
      </c>
      <c r="AE41" s="537" t="str">
        <f t="shared" si="8"/>
        <v/>
      </c>
      <c r="AF41" s="537" t="str">
        <f t="shared" si="9"/>
        <v/>
      </c>
      <c r="AG41" s="537" t="str">
        <f t="shared" si="10"/>
        <v/>
      </c>
      <c r="AH41" s="537" t="str">
        <f t="shared" si="11"/>
        <v/>
      </c>
      <c r="AI41" s="537" t="str">
        <f t="shared" si="12"/>
        <v/>
      </c>
      <c r="AJ41" s="537" t="str">
        <f t="shared" si="13"/>
        <v/>
      </c>
      <c r="AK41" s="537" t="str">
        <f t="shared" si="14"/>
        <v/>
      </c>
      <c r="AL41" s="537">
        <f t="shared" si="18"/>
        <v>0</v>
      </c>
      <c r="AM41" s="224">
        <f t="shared" si="19"/>
        <v>0</v>
      </c>
    </row>
    <row r="42" spans="2:39" ht="20.100000000000001" customHeight="1">
      <c r="B42" s="524"/>
      <c r="C42" s="956"/>
      <c r="D42" s="961"/>
      <c r="E42" s="962"/>
      <c r="F42" s="963" t="str">
        <f t="shared" si="15"/>
        <v/>
      </c>
      <c r="G42" s="666"/>
      <c r="H42" s="666"/>
      <c r="I42" s="666"/>
      <c r="J42" s="666"/>
      <c r="K42" s="666"/>
      <c r="L42" s="666"/>
      <c r="M42" s="666"/>
      <c r="N42" s="666"/>
      <c r="O42" s="666"/>
      <c r="P42" s="644"/>
      <c r="Q42" s="229"/>
      <c r="R42" s="229" t="s">
        <v>806</v>
      </c>
      <c r="S42" s="223" t="str">
        <f t="shared" si="16"/>
        <v>Yes</v>
      </c>
      <c r="AB42" s="537" t="str">
        <f t="shared" si="17"/>
        <v/>
      </c>
      <c r="AC42" s="537" t="str">
        <f t="shared" si="6"/>
        <v/>
      </c>
      <c r="AD42" s="537" t="str">
        <f t="shared" si="7"/>
        <v/>
      </c>
      <c r="AE42" s="537" t="str">
        <f t="shared" si="8"/>
        <v/>
      </c>
      <c r="AF42" s="537" t="str">
        <f t="shared" si="9"/>
        <v/>
      </c>
      <c r="AG42" s="537" t="str">
        <f t="shared" si="10"/>
        <v/>
      </c>
      <c r="AH42" s="537" t="str">
        <f t="shared" si="11"/>
        <v/>
      </c>
      <c r="AI42" s="537" t="str">
        <f t="shared" si="12"/>
        <v/>
      </c>
      <c r="AJ42" s="537" t="str">
        <f t="shared" si="13"/>
        <v/>
      </c>
      <c r="AK42" s="537" t="str">
        <f t="shared" si="14"/>
        <v/>
      </c>
      <c r="AL42" s="537">
        <f t="shared" si="18"/>
        <v>0</v>
      </c>
      <c r="AM42" s="224">
        <f t="shared" si="19"/>
        <v>0</v>
      </c>
    </row>
    <row r="43" spans="2:39" ht="20.100000000000001" customHeight="1">
      <c r="B43" s="524"/>
      <c r="C43" s="538" t="s">
        <v>813</v>
      </c>
      <c r="D43" s="679"/>
      <c r="E43" s="964"/>
      <c r="F43" s="965"/>
      <c r="G43" s="649"/>
      <c r="H43" s="649"/>
      <c r="I43" s="649"/>
      <c r="J43" s="649"/>
      <c r="K43" s="649"/>
      <c r="L43" s="649"/>
      <c r="M43" s="649"/>
      <c r="N43" s="649"/>
      <c r="O43" s="649"/>
      <c r="P43" s="650"/>
      <c r="Q43" s="540"/>
      <c r="R43" s="540" t="s">
        <v>814</v>
      </c>
      <c r="S43" s="223" t="s">
        <v>1061</v>
      </c>
      <c r="T43" s="540"/>
      <c r="U43" s="540"/>
      <c r="AB43" s="537" t="str">
        <f t="shared" si="17"/>
        <v/>
      </c>
      <c r="AC43" s="537" t="str">
        <f t="shared" si="6"/>
        <v/>
      </c>
      <c r="AD43" s="537" t="str">
        <f t="shared" si="7"/>
        <v/>
      </c>
      <c r="AE43" s="537" t="str">
        <f t="shared" si="8"/>
        <v/>
      </c>
      <c r="AF43" s="537" t="str">
        <f t="shared" si="9"/>
        <v/>
      </c>
      <c r="AG43" s="537" t="str">
        <f t="shared" si="10"/>
        <v/>
      </c>
      <c r="AH43" s="537" t="str">
        <f t="shared" si="11"/>
        <v/>
      </c>
      <c r="AI43" s="537" t="str">
        <f t="shared" si="12"/>
        <v/>
      </c>
      <c r="AJ43" s="537" t="str">
        <f t="shared" si="13"/>
        <v/>
      </c>
      <c r="AK43" s="537" t="str">
        <f t="shared" si="14"/>
        <v/>
      </c>
      <c r="AL43" s="537">
        <f t="shared" si="18"/>
        <v>0</v>
      </c>
      <c r="AM43" s="224">
        <f t="shared" si="19"/>
        <v>0</v>
      </c>
    </row>
    <row r="44" spans="2:39" ht="75" customHeight="1">
      <c r="B44" s="524"/>
      <c r="C44" s="541"/>
      <c r="D44" s="680" t="str">
        <f>D$8</f>
        <v>Location Name</v>
      </c>
      <c r="E44" s="966" t="s">
        <v>815</v>
      </c>
      <c r="F44" s="967"/>
      <c r="G44" s="227" t="s">
        <v>816</v>
      </c>
      <c r="H44" s="227" t="s">
        <v>817</v>
      </c>
      <c r="I44" s="227" t="s">
        <v>818</v>
      </c>
      <c r="J44" s="227" t="s">
        <v>819</v>
      </c>
      <c r="K44" s="227" t="s">
        <v>820</v>
      </c>
      <c r="L44" s="227" t="s">
        <v>821</v>
      </c>
      <c r="M44" s="227" t="s">
        <v>822</v>
      </c>
      <c r="N44" s="227" t="s">
        <v>1020</v>
      </c>
      <c r="O44" s="227" t="s">
        <v>823</v>
      </c>
      <c r="P44" s="484" t="s">
        <v>786</v>
      </c>
      <c r="S44" s="223" t="s">
        <v>1061</v>
      </c>
    </row>
    <row r="45" spans="2:39" ht="24" customHeight="1">
      <c r="B45" s="524"/>
      <c r="C45" s="678" t="str">
        <f>C$9</f>
        <v>Measurement</v>
      </c>
      <c r="D45" s="529" t="s">
        <v>788</v>
      </c>
      <c r="E45" s="959">
        <v>500</v>
      </c>
      <c r="F45" s="960"/>
      <c r="G45" s="531">
        <v>200</v>
      </c>
      <c r="H45" s="531">
        <v>4000</v>
      </c>
      <c r="I45" s="531">
        <v>450</v>
      </c>
      <c r="J45" s="531">
        <v>17.5</v>
      </c>
      <c r="K45" s="531">
        <v>150</v>
      </c>
      <c r="L45" s="531">
        <v>300</v>
      </c>
      <c r="M45" s="531">
        <v>100</v>
      </c>
      <c r="N45" s="531">
        <v>350</v>
      </c>
      <c r="O45" s="542" t="s">
        <v>824</v>
      </c>
      <c r="P45" s="543" t="s">
        <v>789</v>
      </c>
      <c r="S45" s="223" t="s">
        <v>1061</v>
      </c>
      <c r="AL45" s="459" t="s">
        <v>967</v>
      </c>
      <c r="AM45" s="459" t="s">
        <v>1058</v>
      </c>
    </row>
    <row r="46" spans="2:39" ht="20.100000000000001" customHeight="1">
      <c r="B46" s="524"/>
      <c r="C46" s="955">
        <v>1</v>
      </c>
      <c r="D46" s="957"/>
      <c r="E46" s="937"/>
      <c r="F46" s="938"/>
      <c r="G46" s="666"/>
      <c r="H46" s="666"/>
      <c r="I46" s="666"/>
      <c r="J46" s="666"/>
      <c r="K46" s="666"/>
      <c r="L46" s="666"/>
      <c r="M46" s="666"/>
      <c r="N46" s="666"/>
      <c r="O46" s="544" t="str">
        <f t="shared" ref="O46:O65" si="28">IF(E46&lt;&gt;"",IF(AL46&gt;0,"Yes","No"),"")</f>
        <v/>
      </c>
      <c r="P46" s="580" t="str">
        <f>IF(E46&lt;&gt;"",IF(AM46&gt;0,"NOT MET","MET"),"")</f>
        <v/>
      </c>
      <c r="Q46" s="229"/>
      <c r="R46" s="229" t="s">
        <v>804</v>
      </c>
      <c r="S46" s="223" t="str">
        <f t="shared" ref="S46:S65" si="29">IF(Q46="Low Flow","Yes",IF(D46="","Yes","No"))</f>
        <v>Yes</v>
      </c>
      <c r="AB46" s="537" t="str">
        <f>IF(E46&lt;&gt;"",IF(AND(E46&gt;E$45,E46&lt;=E$45*1.05), "Yes",IF(E46&gt;E$45*1.05,"Over","")),"")</f>
        <v/>
      </c>
      <c r="AC46" s="537" t="str">
        <f>IF(G46&lt;&gt;"",IF(AND(G46&gt;G$45,G46&lt;=G$45*1.05), "Yes",IF(G46&gt;G$45*1.05,"Over","")),"")</f>
        <v/>
      </c>
      <c r="AD46" s="537" t="str">
        <f t="shared" ref="AD46:AD65" si="30">IF(H46&lt;&gt;"",IF(AND(H46&gt;H$45,H46&lt;=H$45*1.05), "Yes",IF(H46&gt;H$45*1.05,"Over","")),"")</f>
        <v/>
      </c>
      <c r="AE46" s="537" t="str">
        <f t="shared" ref="AE46:AE65" si="31">IF(I46&lt;&gt;"",IF(AND(I46&gt;I$45,I46&lt;=I$45*1.05), "Yes",IF(I46&gt;I$45*1.05,"Over","")),"")</f>
        <v/>
      </c>
      <c r="AF46" s="537" t="str">
        <f t="shared" ref="AF46:AF65" si="32">IF(J46&lt;&gt;"",IF(AND(J46&gt;J$45,J46&lt;=J$45*1.05), "Yes",IF(J46&gt;J$45*1.05,"Over","")),"")</f>
        <v/>
      </c>
      <c r="AG46" s="537" t="str">
        <f t="shared" ref="AG46:AG65" si="33">IF(K46&lt;&gt;"",IF(AND(K46&gt;K$45,K46&lt;=K$45*1.05), "Yes",IF(K46&gt;K$45*1.05,"Over","")),"")</f>
        <v/>
      </c>
      <c r="AH46" s="537" t="str">
        <f t="shared" ref="AH46:AH65" si="34">IF(L46&lt;&gt;"",IF(AND(L46&gt;L$45,L46&lt;=L$45*1.05), "Yes",IF(L46&gt;L$45*1.05,"Over","")),"")</f>
        <v/>
      </c>
      <c r="AI46" s="537" t="str">
        <f t="shared" ref="AI46:AI65" si="35">IF(M46&lt;&gt;"",IF(AND(M46&gt;M$45,M46&lt;=M$45*1.05), "Yes",IF(M46&gt;M$45*1.05,"Over","")),"")</f>
        <v/>
      </c>
      <c r="AJ46" s="537" t="str">
        <f t="shared" ref="AJ46:AJ65" si="36">IF(N46&lt;&gt;"",IF(AND(N46&gt;N$45,N46&lt;=N$45*1.05), "Yes",IF(N46&gt;N$45*1.05,"Over","")),"")</f>
        <v/>
      </c>
      <c r="AL46" s="537">
        <f>COUNTIF(AB46:AK46,"Yes") +AL23</f>
        <v>0</v>
      </c>
      <c r="AM46" s="224">
        <f>COUNTIF(AB46:AK46,"Over") +AM23</f>
        <v>0</v>
      </c>
    </row>
    <row r="47" spans="2:39" ht="20.100000000000001" customHeight="1">
      <c r="B47" s="524"/>
      <c r="C47" s="956"/>
      <c r="D47" s="958"/>
      <c r="E47" s="937"/>
      <c r="F47" s="938"/>
      <c r="G47" s="665"/>
      <c r="H47" s="665"/>
      <c r="I47" s="665"/>
      <c r="J47" s="665"/>
      <c r="K47" s="665"/>
      <c r="L47" s="665"/>
      <c r="M47" s="665"/>
      <c r="N47" s="665"/>
      <c r="O47" s="545" t="str">
        <f t="shared" si="28"/>
        <v/>
      </c>
      <c r="P47" s="581" t="str">
        <f>IF(E47&lt;&gt;"",IF(AM47&gt;0,"NOT MET","MET"),"")</f>
        <v/>
      </c>
      <c r="Q47" s="229"/>
      <c r="R47" s="229" t="s">
        <v>806</v>
      </c>
      <c r="S47" s="223" t="str">
        <f t="shared" si="29"/>
        <v>Yes</v>
      </c>
      <c r="AB47" s="537" t="str">
        <f t="shared" ref="AB47:AB65" si="37">IF(E47&lt;&gt;"",IF(AND(E47&gt;E$45,E47&lt;=E$45*1.05), "Yes",IF(E47&gt;E$45*1.05,"Over","")),"")</f>
        <v/>
      </c>
      <c r="AC47" s="537" t="str">
        <f t="shared" ref="AC47:AC65" si="38">IF(G47&lt;&gt;"",IF(AND(G47&gt;G$45,G47&lt;=G$45*1.05), "Yes",IF(G47&gt;G$45*1.05,"Over","")),"")</f>
        <v/>
      </c>
      <c r="AD47" s="537" t="str">
        <f t="shared" si="30"/>
        <v/>
      </c>
      <c r="AE47" s="537" t="str">
        <f t="shared" si="31"/>
        <v/>
      </c>
      <c r="AF47" s="537" t="str">
        <f t="shared" si="32"/>
        <v/>
      </c>
      <c r="AG47" s="537" t="str">
        <f t="shared" si="33"/>
        <v/>
      </c>
      <c r="AH47" s="537" t="str">
        <f t="shared" si="34"/>
        <v/>
      </c>
      <c r="AI47" s="537" t="str">
        <f t="shared" si="35"/>
        <v/>
      </c>
      <c r="AJ47" s="537" t="str">
        <f t="shared" si="36"/>
        <v/>
      </c>
      <c r="AL47" s="537">
        <f t="shared" ref="AL47:AL65" si="39">COUNTIF(AB47:AK47,"Yes") +AL24</f>
        <v>0</v>
      </c>
      <c r="AM47" s="224">
        <f t="shared" ref="AM47:AM65" si="40">COUNTIF(AB47:AK47,"Over") +AM24</f>
        <v>0</v>
      </c>
    </row>
    <row r="48" spans="2:39" ht="20.100000000000001" customHeight="1">
      <c r="B48" s="524"/>
      <c r="C48" s="955">
        <v>2</v>
      </c>
      <c r="D48" s="957"/>
      <c r="E48" s="937"/>
      <c r="F48" s="938"/>
      <c r="G48" s="665"/>
      <c r="H48" s="665"/>
      <c r="I48" s="665"/>
      <c r="J48" s="665"/>
      <c r="K48" s="665"/>
      <c r="L48" s="665"/>
      <c r="M48" s="665"/>
      <c r="N48" s="665"/>
      <c r="O48" s="545" t="str">
        <f t="shared" si="28"/>
        <v/>
      </c>
      <c r="P48" s="581" t="str">
        <f t="shared" ref="P48:P65" si="41">IF(E48&lt;&gt;"",IF(AM48&gt;0,"NOT MET","MET"),"")</f>
        <v/>
      </c>
      <c r="Q48" s="229"/>
      <c r="R48" s="229" t="s">
        <v>804</v>
      </c>
      <c r="S48" s="223" t="str">
        <f t="shared" si="29"/>
        <v>Yes</v>
      </c>
      <c r="AB48" s="537" t="str">
        <f t="shared" si="37"/>
        <v/>
      </c>
      <c r="AC48" s="537" t="str">
        <f t="shared" si="38"/>
        <v/>
      </c>
      <c r="AD48" s="537" t="str">
        <f t="shared" si="30"/>
        <v/>
      </c>
      <c r="AE48" s="537" t="str">
        <f t="shared" si="31"/>
        <v/>
      </c>
      <c r="AF48" s="537" t="str">
        <f t="shared" si="32"/>
        <v/>
      </c>
      <c r="AG48" s="537" t="str">
        <f t="shared" si="33"/>
        <v/>
      </c>
      <c r="AH48" s="537" t="str">
        <f t="shared" si="34"/>
        <v/>
      </c>
      <c r="AI48" s="537" t="str">
        <f t="shared" si="35"/>
        <v/>
      </c>
      <c r="AJ48" s="537" t="str">
        <f t="shared" si="36"/>
        <v/>
      </c>
      <c r="AL48" s="537">
        <f t="shared" si="39"/>
        <v>0</v>
      </c>
      <c r="AM48" s="224">
        <f t="shared" si="40"/>
        <v>0</v>
      </c>
    </row>
    <row r="49" spans="2:39" ht="20.100000000000001" customHeight="1">
      <c r="B49" s="524"/>
      <c r="C49" s="956"/>
      <c r="D49" s="958"/>
      <c r="E49" s="937"/>
      <c r="F49" s="938"/>
      <c r="G49" s="665"/>
      <c r="H49" s="665"/>
      <c r="I49" s="665"/>
      <c r="J49" s="665"/>
      <c r="K49" s="665"/>
      <c r="L49" s="665"/>
      <c r="M49" s="665"/>
      <c r="N49" s="665"/>
      <c r="O49" s="545" t="str">
        <f t="shared" si="28"/>
        <v/>
      </c>
      <c r="P49" s="581" t="str">
        <f t="shared" si="41"/>
        <v/>
      </c>
      <c r="Q49" s="229"/>
      <c r="R49" s="229" t="s">
        <v>806</v>
      </c>
      <c r="S49" s="223" t="str">
        <f t="shared" si="29"/>
        <v>Yes</v>
      </c>
      <c r="AB49" s="537" t="str">
        <f t="shared" si="37"/>
        <v/>
      </c>
      <c r="AC49" s="537" t="str">
        <f t="shared" si="38"/>
        <v/>
      </c>
      <c r="AD49" s="537" t="str">
        <f t="shared" si="30"/>
        <v/>
      </c>
      <c r="AE49" s="537" t="str">
        <f t="shared" si="31"/>
        <v/>
      </c>
      <c r="AF49" s="537" t="str">
        <f t="shared" si="32"/>
        <v/>
      </c>
      <c r="AG49" s="537" t="str">
        <f t="shared" si="33"/>
        <v/>
      </c>
      <c r="AH49" s="537" t="str">
        <f t="shared" si="34"/>
        <v/>
      </c>
      <c r="AI49" s="537" t="str">
        <f t="shared" si="35"/>
        <v/>
      </c>
      <c r="AJ49" s="537" t="str">
        <f t="shared" si="36"/>
        <v/>
      </c>
      <c r="AL49" s="537">
        <f t="shared" si="39"/>
        <v>0</v>
      </c>
      <c r="AM49" s="224">
        <f t="shared" si="40"/>
        <v>0</v>
      </c>
    </row>
    <row r="50" spans="2:39" ht="20.100000000000001" customHeight="1">
      <c r="B50" s="524"/>
      <c r="C50" s="955">
        <v>3</v>
      </c>
      <c r="D50" s="957"/>
      <c r="E50" s="937"/>
      <c r="F50" s="938"/>
      <c r="G50" s="665"/>
      <c r="H50" s="665"/>
      <c r="I50" s="665"/>
      <c r="J50" s="665"/>
      <c r="K50" s="665"/>
      <c r="L50" s="665"/>
      <c r="M50" s="665"/>
      <c r="N50" s="665"/>
      <c r="O50" s="545" t="str">
        <f t="shared" si="28"/>
        <v/>
      </c>
      <c r="P50" s="581" t="str">
        <f t="shared" si="41"/>
        <v/>
      </c>
      <c r="Q50" s="229"/>
      <c r="R50" s="229" t="s">
        <v>804</v>
      </c>
      <c r="S50" s="223" t="str">
        <f t="shared" si="29"/>
        <v>Yes</v>
      </c>
      <c r="AB50" s="537" t="str">
        <f t="shared" si="37"/>
        <v/>
      </c>
      <c r="AC50" s="537" t="str">
        <f t="shared" si="38"/>
        <v/>
      </c>
      <c r="AD50" s="537" t="str">
        <f t="shared" si="30"/>
        <v/>
      </c>
      <c r="AE50" s="537" t="str">
        <f t="shared" si="31"/>
        <v/>
      </c>
      <c r="AF50" s="537" t="str">
        <f t="shared" si="32"/>
        <v/>
      </c>
      <c r="AG50" s="537" t="str">
        <f t="shared" si="33"/>
        <v/>
      </c>
      <c r="AH50" s="537" t="str">
        <f t="shared" si="34"/>
        <v/>
      </c>
      <c r="AI50" s="537" t="str">
        <f t="shared" si="35"/>
        <v/>
      </c>
      <c r="AJ50" s="537" t="str">
        <f t="shared" si="36"/>
        <v/>
      </c>
      <c r="AL50" s="537">
        <f t="shared" si="39"/>
        <v>0</v>
      </c>
      <c r="AM50" s="224">
        <f t="shared" si="40"/>
        <v>0</v>
      </c>
    </row>
    <row r="51" spans="2:39" ht="20.100000000000001" customHeight="1">
      <c r="B51" s="524"/>
      <c r="C51" s="956"/>
      <c r="D51" s="958"/>
      <c r="E51" s="937"/>
      <c r="F51" s="938"/>
      <c r="G51" s="666"/>
      <c r="H51" s="666"/>
      <c r="I51" s="666"/>
      <c r="J51" s="666"/>
      <c r="K51" s="666"/>
      <c r="L51" s="666"/>
      <c r="M51" s="666"/>
      <c r="N51" s="666"/>
      <c r="O51" s="544" t="str">
        <f t="shared" si="28"/>
        <v/>
      </c>
      <c r="P51" s="580" t="str">
        <f t="shared" si="41"/>
        <v/>
      </c>
      <c r="Q51" s="229"/>
      <c r="R51" s="229" t="s">
        <v>806</v>
      </c>
      <c r="S51" s="223" t="str">
        <f t="shared" si="29"/>
        <v>Yes</v>
      </c>
      <c r="AB51" s="537" t="str">
        <f t="shared" si="37"/>
        <v/>
      </c>
      <c r="AC51" s="537" t="str">
        <f t="shared" si="38"/>
        <v/>
      </c>
      <c r="AD51" s="537" t="str">
        <f t="shared" si="30"/>
        <v/>
      </c>
      <c r="AE51" s="537" t="str">
        <f t="shared" si="31"/>
        <v/>
      </c>
      <c r="AF51" s="537" t="str">
        <f t="shared" si="32"/>
        <v/>
      </c>
      <c r="AG51" s="537" t="str">
        <f t="shared" si="33"/>
        <v/>
      </c>
      <c r="AH51" s="537" t="str">
        <f t="shared" si="34"/>
        <v/>
      </c>
      <c r="AI51" s="537" t="str">
        <f t="shared" si="35"/>
        <v/>
      </c>
      <c r="AJ51" s="537" t="str">
        <f t="shared" si="36"/>
        <v/>
      </c>
      <c r="AL51" s="537">
        <f t="shared" si="39"/>
        <v>0</v>
      </c>
      <c r="AM51" s="224">
        <f t="shared" si="40"/>
        <v>0</v>
      </c>
    </row>
    <row r="52" spans="2:39" ht="20.100000000000001" customHeight="1">
      <c r="B52" s="524"/>
      <c r="C52" s="955">
        <v>4</v>
      </c>
      <c r="D52" s="957"/>
      <c r="E52" s="937"/>
      <c r="F52" s="938"/>
      <c r="G52" s="665"/>
      <c r="H52" s="665"/>
      <c r="I52" s="665"/>
      <c r="J52" s="665"/>
      <c r="K52" s="665"/>
      <c r="L52" s="665"/>
      <c r="M52" s="665"/>
      <c r="N52" s="665"/>
      <c r="O52" s="545" t="str">
        <f t="shared" si="28"/>
        <v/>
      </c>
      <c r="P52" s="581" t="str">
        <f t="shared" si="41"/>
        <v/>
      </c>
      <c r="Q52" s="229"/>
      <c r="R52" s="229" t="s">
        <v>804</v>
      </c>
      <c r="S52" s="223" t="str">
        <f t="shared" si="29"/>
        <v>Yes</v>
      </c>
      <c r="AB52" s="537" t="str">
        <f t="shared" si="37"/>
        <v/>
      </c>
      <c r="AC52" s="537" t="str">
        <f t="shared" si="38"/>
        <v/>
      </c>
      <c r="AD52" s="537" t="str">
        <f t="shared" si="30"/>
        <v/>
      </c>
      <c r="AE52" s="537" t="str">
        <f t="shared" si="31"/>
        <v/>
      </c>
      <c r="AF52" s="537" t="str">
        <f t="shared" si="32"/>
        <v/>
      </c>
      <c r="AG52" s="537" t="str">
        <f t="shared" si="33"/>
        <v/>
      </c>
      <c r="AH52" s="537" t="str">
        <f t="shared" si="34"/>
        <v/>
      </c>
      <c r="AI52" s="537" t="str">
        <f t="shared" si="35"/>
        <v/>
      </c>
      <c r="AJ52" s="537" t="str">
        <f t="shared" si="36"/>
        <v/>
      </c>
      <c r="AL52" s="537">
        <f t="shared" si="39"/>
        <v>0</v>
      </c>
      <c r="AM52" s="224">
        <f t="shared" si="40"/>
        <v>0</v>
      </c>
    </row>
    <row r="53" spans="2:39" ht="20.100000000000001" customHeight="1">
      <c r="B53" s="524"/>
      <c r="C53" s="956"/>
      <c r="D53" s="958"/>
      <c r="E53" s="937"/>
      <c r="F53" s="938"/>
      <c r="G53" s="665"/>
      <c r="H53" s="665"/>
      <c r="I53" s="665"/>
      <c r="J53" s="665"/>
      <c r="K53" s="665"/>
      <c r="L53" s="665"/>
      <c r="M53" s="665"/>
      <c r="N53" s="665"/>
      <c r="O53" s="545" t="str">
        <f t="shared" si="28"/>
        <v/>
      </c>
      <c r="P53" s="581" t="str">
        <f t="shared" si="41"/>
        <v/>
      </c>
      <c r="Q53" s="229"/>
      <c r="R53" s="229" t="s">
        <v>806</v>
      </c>
      <c r="S53" s="223" t="str">
        <f t="shared" si="29"/>
        <v>Yes</v>
      </c>
      <c r="AB53" s="537" t="str">
        <f t="shared" si="37"/>
        <v/>
      </c>
      <c r="AC53" s="537" t="str">
        <f t="shared" si="38"/>
        <v/>
      </c>
      <c r="AD53" s="537" t="str">
        <f t="shared" si="30"/>
        <v/>
      </c>
      <c r="AE53" s="537" t="str">
        <f t="shared" si="31"/>
        <v/>
      </c>
      <c r="AF53" s="537" t="str">
        <f t="shared" si="32"/>
        <v/>
      </c>
      <c r="AG53" s="537" t="str">
        <f t="shared" si="33"/>
        <v/>
      </c>
      <c r="AH53" s="537" t="str">
        <f t="shared" si="34"/>
        <v/>
      </c>
      <c r="AI53" s="537" t="str">
        <f t="shared" si="35"/>
        <v/>
      </c>
      <c r="AJ53" s="537" t="str">
        <f t="shared" si="36"/>
        <v/>
      </c>
      <c r="AL53" s="537">
        <f t="shared" si="39"/>
        <v>0</v>
      </c>
      <c r="AM53" s="224">
        <f t="shared" si="40"/>
        <v>0</v>
      </c>
    </row>
    <row r="54" spans="2:39" ht="20.100000000000001" customHeight="1">
      <c r="B54" s="524"/>
      <c r="C54" s="955">
        <v>5</v>
      </c>
      <c r="D54" s="957"/>
      <c r="E54" s="937"/>
      <c r="F54" s="938"/>
      <c r="G54" s="665"/>
      <c r="H54" s="665"/>
      <c r="I54" s="665"/>
      <c r="J54" s="665"/>
      <c r="K54" s="665"/>
      <c r="L54" s="665"/>
      <c r="M54" s="665"/>
      <c r="N54" s="665"/>
      <c r="O54" s="545" t="str">
        <f t="shared" si="28"/>
        <v/>
      </c>
      <c r="P54" s="581" t="str">
        <f t="shared" si="41"/>
        <v/>
      </c>
      <c r="Q54" s="229"/>
      <c r="R54" s="229" t="s">
        <v>804</v>
      </c>
      <c r="S54" s="223" t="str">
        <f t="shared" si="29"/>
        <v>Yes</v>
      </c>
      <c r="AB54" s="537" t="str">
        <f t="shared" si="37"/>
        <v/>
      </c>
      <c r="AC54" s="537" t="str">
        <f t="shared" si="38"/>
        <v/>
      </c>
      <c r="AD54" s="537" t="str">
        <f t="shared" si="30"/>
        <v/>
      </c>
      <c r="AE54" s="537" t="str">
        <f t="shared" si="31"/>
        <v/>
      </c>
      <c r="AF54" s="537" t="str">
        <f t="shared" si="32"/>
        <v/>
      </c>
      <c r="AG54" s="537" t="str">
        <f t="shared" si="33"/>
        <v/>
      </c>
      <c r="AH54" s="537" t="str">
        <f t="shared" si="34"/>
        <v/>
      </c>
      <c r="AI54" s="537" t="str">
        <f t="shared" si="35"/>
        <v/>
      </c>
      <c r="AJ54" s="537" t="str">
        <f t="shared" si="36"/>
        <v/>
      </c>
      <c r="AL54" s="537">
        <f t="shared" si="39"/>
        <v>0</v>
      </c>
      <c r="AM54" s="224">
        <f t="shared" si="40"/>
        <v>0</v>
      </c>
    </row>
    <row r="55" spans="2:39" ht="20.100000000000001" customHeight="1">
      <c r="B55" s="524"/>
      <c r="C55" s="956"/>
      <c r="D55" s="958"/>
      <c r="E55" s="937"/>
      <c r="F55" s="938"/>
      <c r="G55" s="665"/>
      <c r="H55" s="665"/>
      <c r="I55" s="665"/>
      <c r="J55" s="665"/>
      <c r="K55" s="665"/>
      <c r="L55" s="665"/>
      <c r="M55" s="665"/>
      <c r="N55" s="665"/>
      <c r="O55" s="545" t="str">
        <f t="shared" si="28"/>
        <v/>
      </c>
      <c r="P55" s="581" t="str">
        <f t="shared" si="41"/>
        <v/>
      </c>
      <c r="Q55" s="229"/>
      <c r="R55" s="229" t="s">
        <v>806</v>
      </c>
      <c r="S55" s="223" t="str">
        <f t="shared" si="29"/>
        <v>Yes</v>
      </c>
      <c r="AB55" s="537" t="str">
        <f t="shared" si="37"/>
        <v/>
      </c>
      <c r="AC55" s="537" t="str">
        <f t="shared" si="38"/>
        <v/>
      </c>
      <c r="AD55" s="537" t="str">
        <f t="shared" si="30"/>
        <v/>
      </c>
      <c r="AE55" s="537" t="str">
        <f t="shared" si="31"/>
        <v/>
      </c>
      <c r="AF55" s="537" t="str">
        <f t="shared" si="32"/>
        <v/>
      </c>
      <c r="AG55" s="537" t="str">
        <f t="shared" si="33"/>
        <v/>
      </c>
      <c r="AH55" s="537" t="str">
        <f t="shared" si="34"/>
        <v/>
      </c>
      <c r="AI55" s="537" t="str">
        <f t="shared" si="35"/>
        <v/>
      </c>
      <c r="AJ55" s="537" t="str">
        <f t="shared" si="36"/>
        <v/>
      </c>
      <c r="AL55" s="537">
        <f t="shared" si="39"/>
        <v>0</v>
      </c>
      <c r="AM55" s="224">
        <f t="shared" si="40"/>
        <v>0</v>
      </c>
    </row>
    <row r="56" spans="2:39" ht="20.100000000000001" customHeight="1">
      <c r="B56" s="524"/>
      <c r="C56" s="955">
        <v>6</v>
      </c>
      <c r="D56" s="957"/>
      <c r="E56" s="937"/>
      <c r="F56" s="938"/>
      <c r="G56" s="666"/>
      <c r="H56" s="666"/>
      <c r="I56" s="666"/>
      <c r="J56" s="666"/>
      <c r="K56" s="666"/>
      <c r="L56" s="666"/>
      <c r="M56" s="666"/>
      <c r="N56" s="666"/>
      <c r="O56" s="544" t="str">
        <f t="shared" si="28"/>
        <v/>
      </c>
      <c r="P56" s="580" t="str">
        <f t="shared" si="41"/>
        <v/>
      </c>
      <c r="Q56" s="229"/>
      <c r="R56" s="229" t="s">
        <v>804</v>
      </c>
      <c r="S56" s="223" t="str">
        <f t="shared" si="29"/>
        <v>Yes</v>
      </c>
      <c r="AB56" s="537" t="str">
        <f t="shared" si="37"/>
        <v/>
      </c>
      <c r="AC56" s="537" t="str">
        <f t="shared" si="38"/>
        <v/>
      </c>
      <c r="AD56" s="537" t="str">
        <f t="shared" si="30"/>
        <v/>
      </c>
      <c r="AE56" s="537" t="str">
        <f t="shared" si="31"/>
        <v/>
      </c>
      <c r="AF56" s="537" t="str">
        <f t="shared" si="32"/>
        <v/>
      </c>
      <c r="AG56" s="537" t="str">
        <f t="shared" si="33"/>
        <v/>
      </c>
      <c r="AH56" s="537" t="str">
        <f t="shared" si="34"/>
        <v/>
      </c>
      <c r="AI56" s="537" t="str">
        <f t="shared" si="35"/>
        <v/>
      </c>
      <c r="AJ56" s="537" t="str">
        <f t="shared" si="36"/>
        <v/>
      </c>
      <c r="AL56" s="537">
        <f t="shared" si="39"/>
        <v>0</v>
      </c>
      <c r="AM56" s="224">
        <f t="shared" si="40"/>
        <v>0</v>
      </c>
    </row>
    <row r="57" spans="2:39" ht="20.100000000000001" customHeight="1">
      <c r="B57" s="524"/>
      <c r="C57" s="956"/>
      <c r="D57" s="958"/>
      <c r="E57" s="937"/>
      <c r="F57" s="938"/>
      <c r="G57" s="665"/>
      <c r="H57" s="665"/>
      <c r="I57" s="665"/>
      <c r="J57" s="665"/>
      <c r="K57" s="665"/>
      <c r="L57" s="665"/>
      <c r="M57" s="665"/>
      <c r="N57" s="665"/>
      <c r="O57" s="545" t="str">
        <f t="shared" si="28"/>
        <v/>
      </c>
      <c r="P57" s="581" t="str">
        <f t="shared" si="41"/>
        <v/>
      </c>
      <c r="Q57" s="229"/>
      <c r="R57" s="229" t="s">
        <v>806</v>
      </c>
      <c r="S57" s="223" t="str">
        <f t="shared" si="29"/>
        <v>Yes</v>
      </c>
      <c r="AB57" s="537" t="str">
        <f t="shared" si="37"/>
        <v/>
      </c>
      <c r="AC57" s="537" t="str">
        <f t="shared" si="38"/>
        <v/>
      </c>
      <c r="AD57" s="537" t="str">
        <f t="shared" si="30"/>
        <v/>
      </c>
      <c r="AE57" s="537" t="str">
        <f t="shared" si="31"/>
        <v/>
      </c>
      <c r="AF57" s="537" t="str">
        <f t="shared" si="32"/>
        <v/>
      </c>
      <c r="AG57" s="537" t="str">
        <f t="shared" si="33"/>
        <v/>
      </c>
      <c r="AH57" s="537" t="str">
        <f t="shared" si="34"/>
        <v/>
      </c>
      <c r="AI57" s="537" t="str">
        <f t="shared" si="35"/>
        <v/>
      </c>
      <c r="AJ57" s="537" t="str">
        <f t="shared" si="36"/>
        <v/>
      </c>
      <c r="AL57" s="537">
        <f t="shared" si="39"/>
        <v>0</v>
      </c>
      <c r="AM57" s="224">
        <f t="shared" si="40"/>
        <v>0</v>
      </c>
    </row>
    <row r="58" spans="2:39" ht="20.100000000000001" customHeight="1">
      <c r="B58" s="524"/>
      <c r="C58" s="955">
        <v>7</v>
      </c>
      <c r="D58" s="957"/>
      <c r="E58" s="937"/>
      <c r="F58" s="938"/>
      <c r="G58" s="665"/>
      <c r="H58" s="665"/>
      <c r="I58" s="665"/>
      <c r="J58" s="665"/>
      <c r="K58" s="665"/>
      <c r="L58" s="665"/>
      <c r="M58" s="665"/>
      <c r="N58" s="665"/>
      <c r="O58" s="545" t="str">
        <f t="shared" si="28"/>
        <v/>
      </c>
      <c r="P58" s="581" t="str">
        <f t="shared" si="41"/>
        <v/>
      </c>
      <c r="Q58" s="229"/>
      <c r="R58" s="229" t="s">
        <v>804</v>
      </c>
      <c r="S58" s="223" t="str">
        <f t="shared" si="29"/>
        <v>Yes</v>
      </c>
      <c r="AB58" s="537" t="str">
        <f t="shared" si="37"/>
        <v/>
      </c>
      <c r="AC58" s="537" t="str">
        <f t="shared" si="38"/>
        <v/>
      </c>
      <c r="AD58" s="537" t="str">
        <f t="shared" si="30"/>
        <v/>
      </c>
      <c r="AE58" s="537" t="str">
        <f t="shared" si="31"/>
        <v/>
      </c>
      <c r="AF58" s="537" t="str">
        <f t="shared" si="32"/>
        <v/>
      </c>
      <c r="AG58" s="537" t="str">
        <f t="shared" si="33"/>
        <v/>
      </c>
      <c r="AH58" s="537" t="str">
        <f t="shared" si="34"/>
        <v/>
      </c>
      <c r="AI58" s="537" t="str">
        <f t="shared" si="35"/>
        <v/>
      </c>
      <c r="AJ58" s="537" t="str">
        <f t="shared" si="36"/>
        <v/>
      </c>
      <c r="AL58" s="537">
        <f t="shared" si="39"/>
        <v>0</v>
      </c>
      <c r="AM58" s="224">
        <f t="shared" si="40"/>
        <v>0</v>
      </c>
    </row>
    <row r="59" spans="2:39" ht="20.100000000000001" customHeight="1">
      <c r="B59" s="524"/>
      <c r="C59" s="956"/>
      <c r="D59" s="958"/>
      <c r="E59" s="937"/>
      <c r="F59" s="938"/>
      <c r="G59" s="665"/>
      <c r="H59" s="665"/>
      <c r="I59" s="665"/>
      <c r="J59" s="665"/>
      <c r="K59" s="665"/>
      <c r="L59" s="665"/>
      <c r="M59" s="665"/>
      <c r="N59" s="665"/>
      <c r="O59" s="545" t="str">
        <f t="shared" si="28"/>
        <v/>
      </c>
      <c r="P59" s="581" t="str">
        <f t="shared" si="41"/>
        <v/>
      </c>
      <c r="Q59" s="229"/>
      <c r="R59" s="229" t="s">
        <v>806</v>
      </c>
      <c r="S59" s="223" t="str">
        <f t="shared" si="29"/>
        <v>Yes</v>
      </c>
      <c r="AB59" s="537" t="str">
        <f t="shared" si="37"/>
        <v/>
      </c>
      <c r="AC59" s="537" t="str">
        <f t="shared" si="38"/>
        <v/>
      </c>
      <c r="AD59" s="537" t="str">
        <f t="shared" si="30"/>
        <v/>
      </c>
      <c r="AE59" s="537" t="str">
        <f t="shared" si="31"/>
        <v/>
      </c>
      <c r="AF59" s="537" t="str">
        <f t="shared" si="32"/>
        <v/>
      </c>
      <c r="AG59" s="537" t="str">
        <f t="shared" si="33"/>
        <v/>
      </c>
      <c r="AH59" s="537" t="str">
        <f t="shared" si="34"/>
        <v/>
      </c>
      <c r="AI59" s="537" t="str">
        <f t="shared" si="35"/>
        <v/>
      </c>
      <c r="AJ59" s="537" t="str">
        <f t="shared" si="36"/>
        <v/>
      </c>
      <c r="AL59" s="537">
        <f t="shared" si="39"/>
        <v>0</v>
      </c>
      <c r="AM59" s="224">
        <f t="shared" si="40"/>
        <v>0</v>
      </c>
    </row>
    <row r="60" spans="2:39" ht="20.100000000000001" customHeight="1">
      <c r="B60" s="524"/>
      <c r="C60" s="955">
        <v>8</v>
      </c>
      <c r="D60" s="957"/>
      <c r="E60" s="937"/>
      <c r="F60" s="938"/>
      <c r="G60" s="665"/>
      <c r="H60" s="665"/>
      <c r="I60" s="665"/>
      <c r="J60" s="665"/>
      <c r="K60" s="665"/>
      <c r="L60" s="665"/>
      <c r="M60" s="665"/>
      <c r="N60" s="665"/>
      <c r="O60" s="545" t="str">
        <f t="shared" si="28"/>
        <v/>
      </c>
      <c r="P60" s="581" t="str">
        <f t="shared" si="41"/>
        <v/>
      </c>
      <c r="Q60" s="229"/>
      <c r="R60" s="229" t="s">
        <v>804</v>
      </c>
      <c r="S60" s="223" t="str">
        <f t="shared" si="29"/>
        <v>Yes</v>
      </c>
      <c r="AB60" s="537" t="str">
        <f t="shared" si="37"/>
        <v/>
      </c>
      <c r="AC60" s="537" t="str">
        <f t="shared" si="38"/>
        <v/>
      </c>
      <c r="AD60" s="537" t="str">
        <f t="shared" si="30"/>
        <v/>
      </c>
      <c r="AE60" s="537" t="str">
        <f t="shared" si="31"/>
        <v/>
      </c>
      <c r="AF60" s="537" t="str">
        <f t="shared" si="32"/>
        <v/>
      </c>
      <c r="AG60" s="537" t="str">
        <f t="shared" si="33"/>
        <v/>
      </c>
      <c r="AH60" s="537" t="str">
        <f t="shared" si="34"/>
        <v/>
      </c>
      <c r="AI60" s="537" t="str">
        <f t="shared" si="35"/>
        <v/>
      </c>
      <c r="AJ60" s="537" t="str">
        <f t="shared" si="36"/>
        <v/>
      </c>
      <c r="AL60" s="537">
        <f t="shared" si="39"/>
        <v>0</v>
      </c>
      <c r="AM60" s="224">
        <f t="shared" si="40"/>
        <v>0</v>
      </c>
    </row>
    <row r="61" spans="2:39" ht="20.100000000000001" customHeight="1">
      <c r="B61" s="524"/>
      <c r="C61" s="956"/>
      <c r="D61" s="958"/>
      <c r="E61" s="937"/>
      <c r="F61" s="938"/>
      <c r="G61" s="666"/>
      <c r="H61" s="666"/>
      <c r="I61" s="666"/>
      <c r="J61" s="666"/>
      <c r="K61" s="666"/>
      <c r="L61" s="666"/>
      <c r="M61" s="666"/>
      <c r="N61" s="666"/>
      <c r="O61" s="544" t="str">
        <f t="shared" si="28"/>
        <v/>
      </c>
      <c r="P61" s="580" t="str">
        <f t="shared" si="41"/>
        <v/>
      </c>
      <c r="Q61" s="229"/>
      <c r="R61" s="229" t="s">
        <v>806</v>
      </c>
      <c r="S61" s="223" t="str">
        <f t="shared" si="29"/>
        <v>Yes</v>
      </c>
      <c r="AB61" s="537" t="str">
        <f t="shared" si="37"/>
        <v/>
      </c>
      <c r="AC61" s="537" t="str">
        <f t="shared" si="38"/>
        <v/>
      </c>
      <c r="AD61" s="537" t="str">
        <f t="shared" si="30"/>
        <v/>
      </c>
      <c r="AE61" s="537" t="str">
        <f t="shared" si="31"/>
        <v/>
      </c>
      <c r="AF61" s="537" t="str">
        <f t="shared" si="32"/>
        <v/>
      </c>
      <c r="AG61" s="537" t="str">
        <f t="shared" si="33"/>
        <v/>
      </c>
      <c r="AH61" s="537" t="str">
        <f t="shared" si="34"/>
        <v/>
      </c>
      <c r="AI61" s="537" t="str">
        <f t="shared" si="35"/>
        <v/>
      </c>
      <c r="AJ61" s="537" t="str">
        <f t="shared" si="36"/>
        <v/>
      </c>
      <c r="AL61" s="537">
        <f t="shared" si="39"/>
        <v>0</v>
      </c>
      <c r="AM61" s="224">
        <f t="shared" si="40"/>
        <v>0</v>
      </c>
    </row>
    <row r="62" spans="2:39" ht="20.100000000000001" customHeight="1">
      <c r="B62" s="524"/>
      <c r="C62" s="955">
        <v>9</v>
      </c>
      <c r="D62" s="957"/>
      <c r="E62" s="937"/>
      <c r="F62" s="938"/>
      <c r="G62" s="665"/>
      <c r="H62" s="665"/>
      <c r="I62" s="665"/>
      <c r="J62" s="665"/>
      <c r="K62" s="665"/>
      <c r="L62" s="665"/>
      <c r="M62" s="665"/>
      <c r="N62" s="665"/>
      <c r="O62" s="545" t="str">
        <f t="shared" si="28"/>
        <v/>
      </c>
      <c r="P62" s="581" t="str">
        <f t="shared" si="41"/>
        <v/>
      </c>
      <c r="Q62" s="229"/>
      <c r="R62" s="229" t="s">
        <v>804</v>
      </c>
      <c r="S62" s="223" t="str">
        <f t="shared" si="29"/>
        <v>Yes</v>
      </c>
      <c r="AB62" s="537" t="str">
        <f t="shared" si="37"/>
        <v/>
      </c>
      <c r="AC62" s="537" t="str">
        <f t="shared" si="38"/>
        <v/>
      </c>
      <c r="AD62" s="537" t="str">
        <f t="shared" si="30"/>
        <v/>
      </c>
      <c r="AE62" s="537" t="str">
        <f t="shared" si="31"/>
        <v/>
      </c>
      <c r="AF62" s="537" t="str">
        <f t="shared" si="32"/>
        <v/>
      </c>
      <c r="AG62" s="537" t="str">
        <f t="shared" si="33"/>
        <v/>
      </c>
      <c r="AH62" s="537" t="str">
        <f t="shared" si="34"/>
        <v/>
      </c>
      <c r="AI62" s="537" t="str">
        <f t="shared" si="35"/>
        <v/>
      </c>
      <c r="AJ62" s="537" t="str">
        <f t="shared" si="36"/>
        <v/>
      </c>
      <c r="AL62" s="537">
        <f t="shared" si="39"/>
        <v>0</v>
      </c>
      <c r="AM62" s="224">
        <f t="shared" si="40"/>
        <v>0</v>
      </c>
    </row>
    <row r="63" spans="2:39" ht="20.100000000000001" customHeight="1">
      <c r="B63" s="524"/>
      <c r="C63" s="956"/>
      <c r="D63" s="958"/>
      <c r="E63" s="937"/>
      <c r="F63" s="938"/>
      <c r="G63" s="665"/>
      <c r="H63" s="665"/>
      <c r="I63" s="665"/>
      <c r="J63" s="665"/>
      <c r="K63" s="665"/>
      <c r="L63" s="665"/>
      <c r="M63" s="665"/>
      <c r="N63" s="665"/>
      <c r="O63" s="545" t="str">
        <f t="shared" si="28"/>
        <v/>
      </c>
      <c r="P63" s="581" t="str">
        <f t="shared" si="41"/>
        <v/>
      </c>
      <c r="Q63" s="229"/>
      <c r="R63" s="229" t="s">
        <v>806</v>
      </c>
      <c r="S63" s="223" t="str">
        <f t="shared" si="29"/>
        <v>Yes</v>
      </c>
      <c r="AB63" s="537" t="str">
        <f t="shared" si="37"/>
        <v/>
      </c>
      <c r="AC63" s="537" t="str">
        <f t="shared" si="38"/>
        <v/>
      </c>
      <c r="AD63" s="537" t="str">
        <f t="shared" si="30"/>
        <v/>
      </c>
      <c r="AE63" s="537" t="str">
        <f t="shared" si="31"/>
        <v/>
      </c>
      <c r="AF63" s="537" t="str">
        <f t="shared" si="32"/>
        <v/>
      </c>
      <c r="AG63" s="537" t="str">
        <f t="shared" si="33"/>
        <v/>
      </c>
      <c r="AH63" s="537" t="str">
        <f t="shared" si="34"/>
        <v/>
      </c>
      <c r="AI63" s="537" t="str">
        <f t="shared" si="35"/>
        <v/>
      </c>
      <c r="AJ63" s="537" t="str">
        <f t="shared" si="36"/>
        <v/>
      </c>
      <c r="AL63" s="537">
        <f t="shared" si="39"/>
        <v>0</v>
      </c>
      <c r="AM63" s="224">
        <f t="shared" si="40"/>
        <v>0</v>
      </c>
    </row>
    <row r="64" spans="2:39" ht="20.100000000000001" customHeight="1">
      <c r="B64" s="524"/>
      <c r="C64" s="955">
        <v>10</v>
      </c>
      <c r="D64" s="957"/>
      <c r="E64" s="937"/>
      <c r="F64" s="938"/>
      <c r="G64" s="665"/>
      <c r="H64" s="665"/>
      <c r="I64" s="665"/>
      <c r="J64" s="665"/>
      <c r="K64" s="665"/>
      <c r="L64" s="665"/>
      <c r="M64" s="665"/>
      <c r="N64" s="665"/>
      <c r="O64" s="545" t="str">
        <f t="shared" si="28"/>
        <v/>
      </c>
      <c r="P64" s="581" t="str">
        <f t="shared" si="41"/>
        <v/>
      </c>
      <c r="Q64" s="229"/>
      <c r="R64" s="229" t="s">
        <v>804</v>
      </c>
      <c r="S64" s="223" t="str">
        <f t="shared" si="29"/>
        <v>Yes</v>
      </c>
      <c r="AB64" s="537" t="str">
        <f t="shared" si="37"/>
        <v/>
      </c>
      <c r="AC64" s="537" t="str">
        <f t="shared" si="38"/>
        <v/>
      </c>
      <c r="AD64" s="537" t="str">
        <f t="shared" si="30"/>
        <v/>
      </c>
      <c r="AE64" s="537" t="str">
        <f t="shared" si="31"/>
        <v/>
      </c>
      <c r="AF64" s="537" t="str">
        <f t="shared" si="32"/>
        <v/>
      </c>
      <c r="AG64" s="537" t="str">
        <f t="shared" si="33"/>
        <v/>
      </c>
      <c r="AH64" s="537" t="str">
        <f t="shared" si="34"/>
        <v/>
      </c>
      <c r="AI64" s="537" t="str">
        <f t="shared" si="35"/>
        <v/>
      </c>
      <c r="AJ64" s="537" t="str">
        <f t="shared" si="36"/>
        <v/>
      </c>
      <c r="AL64" s="537">
        <f t="shared" si="39"/>
        <v>0</v>
      </c>
      <c r="AM64" s="224">
        <f t="shared" si="40"/>
        <v>0</v>
      </c>
    </row>
    <row r="65" spans="1:39" ht="20.100000000000001" customHeight="1">
      <c r="B65" s="524"/>
      <c r="C65" s="956"/>
      <c r="D65" s="958"/>
      <c r="E65" s="937"/>
      <c r="F65" s="938"/>
      <c r="G65" s="665"/>
      <c r="H65" s="665"/>
      <c r="I65" s="665"/>
      <c r="J65" s="665"/>
      <c r="K65" s="665"/>
      <c r="L65" s="665"/>
      <c r="M65" s="665"/>
      <c r="N65" s="665"/>
      <c r="O65" s="545" t="str">
        <f t="shared" si="28"/>
        <v/>
      </c>
      <c r="P65" s="581" t="str">
        <f t="shared" si="41"/>
        <v/>
      </c>
      <c r="Q65" s="229"/>
      <c r="R65" s="229" t="s">
        <v>806</v>
      </c>
      <c r="S65" s="223" t="str">
        <f t="shared" si="29"/>
        <v>Yes</v>
      </c>
      <c r="AB65" s="537" t="str">
        <f t="shared" si="37"/>
        <v/>
      </c>
      <c r="AC65" s="537" t="str">
        <f t="shared" si="38"/>
        <v/>
      </c>
      <c r="AD65" s="537" t="str">
        <f t="shared" si="30"/>
        <v/>
      </c>
      <c r="AE65" s="537" t="str">
        <f t="shared" si="31"/>
        <v/>
      </c>
      <c r="AF65" s="537" t="str">
        <f t="shared" si="32"/>
        <v/>
      </c>
      <c r="AG65" s="537" t="str">
        <f t="shared" si="33"/>
        <v/>
      </c>
      <c r="AH65" s="537" t="str">
        <f t="shared" si="34"/>
        <v/>
      </c>
      <c r="AI65" s="537" t="str">
        <f t="shared" si="35"/>
        <v/>
      </c>
      <c r="AJ65" s="537" t="str">
        <f t="shared" si="36"/>
        <v/>
      </c>
      <c r="AL65" s="537">
        <f t="shared" si="39"/>
        <v>0</v>
      </c>
      <c r="AM65" s="224">
        <f t="shared" si="40"/>
        <v>0</v>
      </c>
    </row>
    <row r="66" spans="1:39" ht="20.100000000000001" customHeight="1" thickBot="1">
      <c r="B66" s="524"/>
      <c r="C66" s="546" t="s">
        <v>813</v>
      </c>
      <c r="D66" s="651"/>
      <c r="E66" s="953"/>
      <c r="F66" s="954"/>
      <c r="G66" s="652"/>
      <c r="H66" s="652"/>
      <c r="I66" s="652"/>
      <c r="J66" s="652"/>
      <c r="K66" s="652"/>
      <c r="L66" s="652"/>
      <c r="M66" s="652"/>
      <c r="N66" s="652"/>
      <c r="O66" s="548"/>
      <c r="P66" s="549"/>
      <c r="Q66" s="540"/>
      <c r="R66" s="540" t="s">
        <v>814</v>
      </c>
      <c r="S66" s="223" t="s">
        <v>1061</v>
      </c>
      <c r="T66" s="540"/>
      <c r="U66" s="540"/>
    </row>
    <row r="67" spans="1:39" ht="24" customHeight="1" thickBot="1">
      <c r="B67" s="524"/>
      <c r="C67" s="939" t="s">
        <v>825</v>
      </c>
      <c r="D67" s="939"/>
      <c r="E67" s="939"/>
      <c r="F67" s="939"/>
      <c r="G67" s="939"/>
      <c r="H67" s="939"/>
      <c r="I67" s="939"/>
      <c r="J67" s="939"/>
      <c r="K67" s="939"/>
      <c r="L67" s="939"/>
      <c r="M67" s="939"/>
      <c r="N67" s="939"/>
      <c r="O67" s="939"/>
      <c r="P67" s="940"/>
      <c r="S67" s="223" t="s">
        <v>1061</v>
      </c>
    </row>
    <row r="68" spans="1:39" ht="49.95" customHeight="1">
      <c r="B68" s="524"/>
      <c r="C68" s="525"/>
      <c r="D68" s="526" t="str">
        <f>D$8</f>
        <v>Location Name</v>
      </c>
      <c r="E68" s="941" t="s">
        <v>826</v>
      </c>
      <c r="F68" s="942"/>
      <c r="G68" s="232" t="s">
        <v>827</v>
      </c>
      <c r="H68" s="232" t="s">
        <v>785</v>
      </c>
      <c r="I68" s="232" t="s">
        <v>786</v>
      </c>
      <c r="J68" s="527"/>
      <c r="K68" s="527"/>
      <c r="L68" s="527"/>
      <c r="M68" s="527"/>
      <c r="N68" s="527"/>
      <c r="O68" s="527"/>
      <c r="P68" s="528"/>
      <c r="S68" s="223" t="s">
        <v>1061</v>
      </c>
      <c r="AB68" s="223"/>
    </row>
    <row r="69" spans="1:39" ht="24" customHeight="1">
      <c r="B69" s="524"/>
      <c r="C69" s="678" t="str">
        <f>C$9</f>
        <v>Measurement</v>
      </c>
      <c r="D69" s="529" t="s">
        <v>788</v>
      </c>
      <c r="E69" s="943">
        <v>9</v>
      </c>
      <c r="F69" s="944"/>
      <c r="G69" s="530">
        <v>51</v>
      </c>
      <c r="H69" s="531" t="str">
        <f>_xlfn.CONCAT("Ozone: ",G69*1.05)</f>
        <v>Ozone: 53.55</v>
      </c>
      <c r="I69" s="531" t="s">
        <v>789</v>
      </c>
      <c r="J69" s="532"/>
      <c r="K69" s="532"/>
      <c r="L69" s="532"/>
      <c r="M69" s="532"/>
      <c r="N69" s="532"/>
      <c r="O69" s="532"/>
      <c r="P69" s="533"/>
      <c r="S69" s="223" t="s">
        <v>1061</v>
      </c>
      <c r="AB69" s="550" t="s">
        <v>828</v>
      </c>
      <c r="AC69" s="223"/>
      <c r="AD69" s="223"/>
      <c r="AE69" s="223"/>
      <c r="AF69" s="223"/>
    </row>
    <row r="70" spans="1:39" ht="20.100000000000001" customHeight="1">
      <c r="B70" s="524"/>
      <c r="C70" s="574">
        <v>1</v>
      </c>
      <c r="D70" s="684"/>
      <c r="E70" s="937"/>
      <c r="F70" s="938"/>
      <c r="G70" s="666"/>
      <c r="H70" s="539" t="str">
        <f>IF(D70&lt;&gt;"",IF(ISNUMBER($G70),IF($G70&lt;$G$69,"No",IF($G70&lt;$G$69*1.05,"Yes","Over")),"No"),"")</f>
        <v/>
      </c>
      <c r="I70" s="578"/>
      <c r="J70" s="532"/>
      <c r="K70" s="532"/>
      <c r="L70" s="532"/>
      <c r="M70" s="532"/>
      <c r="N70" s="532"/>
      <c r="O70" s="532"/>
      <c r="P70" s="533"/>
      <c r="S70" s="223" t="str">
        <f t="shared" ref="S70:S79" si="42">IF(D70&lt;&gt;"","No","Yes")</f>
        <v>Yes</v>
      </c>
      <c r="AB70" s="550" t="str">
        <f t="shared" ref="AB70:AB79" si="43">IF($G70&lt;&gt;"",IF(AND($G70&gt;=G$69,$G70&lt;$G$69*1.05), "Yes",""),"")</f>
        <v/>
      </c>
      <c r="AC70" s="223"/>
      <c r="AD70" s="223"/>
      <c r="AE70" s="223"/>
      <c r="AF70" s="223"/>
    </row>
    <row r="71" spans="1:39" ht="20.100000000000001" customHeight="1">
      <c r="B71" s="524"/>
      <c r="C71" s="574">
        <v>2</v>
      </c>
      <c r="D71" s="684"/>
      <c r="E71" s="937"/>
      <c r="F71" s="938"/>
      <c r="G71" s="666"/>
      <c r="H71" s="539" t="str">
        <f t="shared" ref="H71:H79" si="44">IF(D71&lt;&gt;"",IF(ISNUMBER($G71),IF($G71&lt;$G$69,"No",IF($G71&lt;$G$69*1.05,"Yes","Over")),"No"),"")</f>
        <v/>
      </c>
      <c r="I71" s="578"/>
      <c r="J71" s="532"/>
      <c r="K71" s="532"/>
      <c r="L71" s="532"/>
      <c r="M71" s="532"/>
      <c r="N71" s="532"/>
      <c r="O71" s="532"/>
      <c r="P71" s="533"/>
      <c r="S71" s="223" t="str">
        <f t="shared" si="42"/>
        <v>Yes</v>
      </c>
      <c r="AB71" s="550" t="str">
        <f t="shared" si="43"/>
        <v/>
      </c>
      <c r="AC71" s="223"/>
      <c r="AD71" s="223"/>
      <c r="AE71" s="223"/>
      <c r="AF71" s="223"/>
    </row>
    <row r="72" spans="1:39" ht="20.100000000000001" customHeight="1">
      <c r="B72" s="524"/>
      <c r="C72" s="574">
        <v>3</v>
      </c>
      <c r="D72" s="684"/>
      <c r="E72" s="937"/>
      <c r="F72" s="938"/>
      <c r="G72" s="666"/>
      <c r="H72" s="539" t="str">
        <f t="shared" si="44"/>
        <v/>
      </c>
      <c r="I72" s="578"/>
      <c r="J72" s="532"/>
      <c r="K72" s="532"/>
      <c r="L72" s="532"/>
      <c r="M72" s="532"/>
      <c r="N72" s="532"/>
      <c r="O72" s="532"/>
      <c r="P72" s="533"/>
      <c r="S72" s="223" t="str">
        <f t="shared" si="42"/>
        <v>Yes</v>
      </c>
      <c r="AB72" s="550" t="str">
        <f t="shared" si="43"/>
        <v/>
      </c>
      <c r="AC72" s="223"/>
      <c r="AD72" s="223"/>
      <c r="AE72" s="223"/>
      <c r="AF72" s="223"/>
    </row>
    <row r="73" spans="1:39" ht="20.100000000000001" customHeight="1">
      <c r="B73" s="524"/>
      <c r="C73" s="574">
        <v>4</v>
      </c>
      <c r="D73" s="684"/>
      <c r="E73" s="937"/>
      <c r="F73" s="938"/>
      <c r="G73" s="666"/>
      <c r="H73" s="539" t="str">
        <f t="shared" si="44"/>
        <v/>
      </c>
      <c r="I73" s="578"/>
      <c r="J73" s="532"/>
      <c r="K73" s="532"/>
      <c r="L73" s="532"/>
      <c r="M73" s="532"/>
      <c r="N73" s="532"/>
      <c r="O73" s="532"/>
      <c r="P73" s="533"/>
      <c r="S73" s="223" t="str">
        <f t="shared" si="42"/>
        <v>Yes</v>
      </c>
      <c r="AB73" s="550" t="str">
        <f t="shared" si="43"/>
        <v/>
      </c>
      <c r="AC73" s="223"/>
      <c r="AD73" s="223"/>
      <c r="AE73" s="223"/>
      <c r="AF73" s="223"/>
    </row>
    <row r="74" spans="1:39" ht="20.100000000000001" customHeight="1">
      <c r="B74" s="524"/>
      <c r="C74" s="574">
        <v>5</v>
      </c>
      <c r="D74" s="684"/>
      <c r="E74" s="937"/>
      <c r="F74" s="938"/>
      <c r="G74" s="666"/>
      <c r="H74" s="539" t="str">
        <f t="shared" si="44"/>
        <v/>
      </c>
      <c r="I74" s="578"/>
      <c r="J74" s="532"/>
      <c r="K74" s="532"/>
      <c r="L74" s="532"/>
      <c r="M74" s="532"/>
      <c r="N74" s="532"/>
      <c r="O74" s="532"/>
      <c r="P74" s="533"/>
      <c r="S74" s="223" t="str">
        <f t="shared" si="42"/>
        <v>Yes</v>
      </c>
      <c r="AB74" s="550" t="str">
        <f t="shared" si="43"/>
        <v/>
      </c>
      <c r="AC74" s="223"/>
      <c r="AD74" s="223"/>
      <c r="AE74" s="223"/>
      <c r="AF74" s="223"/>
    </row>
    <row r="75" spans="1:39" ht="20.100000000000001" customHeight="1">
      <c r="B75" s="524"/>
      <c r="C75" s="574">
        <v>6</v>
      </c>
      <c r="D75" s="684"/>
      <c r="E75" s="937"/>
      <c r="F75" s="938"/>
      <c r="G75" s="666"/>
      <c r="H75" s="539" t="str">
        <f t="shared" si="44"/>
        <v/>
      </c>
      <c r="I75" s="578"/>
      <c r="J75" s="532"/>
      <c r="K75" s="532"/>
      <c r="L75" s="532"/>
      <c r="M75" s="532"/>
      <c r="N75" s="532"/>
      <c r="O75" s="532"/>
      <c r="P75" s="533"/>
      <c r="S75" s="223" t="str">
        <f t="shared" si="42"/>
        <v>Yes</v>
      </c>
      <c r="AB75" s="550" t="str">
        <f t="shared" si="43"/>
        <v/>
      </c>
      <c r="AC75" s="223"/>
      <c r="AD75" s="223"/>
      <c r="AE75" s="223"/>
      <c r="AF75" s="223"/>
    </row>
    <row r="76" spans="1:39" ht="20.100000000000001" customHeight="1">
      <c r="B76" s="524"/>
      <c r="C76" s="574">
        <v>7</v>
      </c>
      <c r="D76" s="684"/>
      <c r="E76" s="937"/>
      <c r="F76" s="938"/>
      <c r="G76" s="666"/>
      <c r="H76" s="539" t="str">
        <f t="shared" si="44"/>
        <v/>
      </c>
      <c r="I76" s="578"/>
      <c r="J76" s="532"/>
      <c r="K76" s="532"/>
      <c r="L76" s="532"/>
      <c r="M76" s="532"/>
      <c r="N76" s="532"/>
      <c r="O76" s="532"/>
      <c r="P76" s="533"/>
      <c r="S76" s="223" t="str">
        <f t="shared" si="42"/>
        <v>Yes</v>
      </c>
      <c r="AB76" s="550" t="str">
        <f t="shared" si="43"/>
        <v/>
      </c>
      <c r="AC76" s="223"/>
      <c r="AD76" s="223"/>
      <c r="AE76" s="223"/>
      <c r="AF76" s="223"/>
    </row>
    <row r="77" spans="1:39" ht="20.100000000000001" customHeight="1">
      <c r="B77" s="524"/>
      <c r="C77" s="574">
        <v>8</v>
      </c>
      <c r="D77" s="684"/>
      <c r="E77" s="937"/>
      <c r="F77" s="938"/>
      <c r="G77" s="666"/>
      <c r="H77" s="539" t="str">
        <f t="shared" si="44"/>
        <v/>
      </c>
      <c r="I77" s="578"/>
      <c r="J77" s="532"/>
      <c r="K77" s="532"/>
      <c r="L77" s="532"/>
      <c r="M77" s="532"/>
      <c r="N77" s="532"/>
      <c r="O77" s="532"/>
      <c r="P77" s="533"/>
      <c r="S77" s="223" t="str">
        <f t="shared" si="42"/>
        <v>Yes</v>
      </c>
      <c r="AB77" s="550" t="str">
        <f t="shared" si="43"/>
        <v/>
      </c>
      <c r="AC77" s="223"/>
      <c r="AD77" s="223"/>
      <c r="AE77" s="223"/>
      <c r="AF77" s="223"/>
    </row>
    <row r="78" spans="1:39" ht="20.100000000000001" customHeight="1">
      <c r="B78" s="524"/>
      <c r="C78" s="574">
        <v>9</v>
      </c>
      <c r="D78" s="684"/>
      <c r="E78" s="937"/>
      <c r="F78" s="938"/>
      <c r="G78" s="666"/>
      <c r="H78" s="539" t="str">
        <f t="shared" si="44"/>
        <v/>
      </c>
      <c r="I78" s="578"/>
      <c r="J78" s="532"/>
      <c r="K78" s="532"/>
      <c r="L78" s="532"/>
      <c r="M78" s="532"/>
      <c r="N78" s="532"/>
      <c r="O78" s="532"/>
      <c r="P78" s="533"/>
      <c r="S78" s="223" t="str">
        <f t="shared" si="42"/>
        <v>Yes</v>
      </c>
      <c r="AB78" s="550" t="str">
        <f t="shared" si="43"/>
        <v/>
      </c>
      <c r="AC78" s="223"/>
      <c r="AD78" s="223"/>
      <c r="AE78" s="223"/>
      <c r="AF78" s="223"/>
    </row>
    <row r="79" spans="1:39" ht="20.100000000000001" customHeight="1" thickBot="1">
      <c r="B79" s="524"/>
      <c r="C79" s="576">
        <v>10</v>
      </c>
      <c r="D79" s="685"/>
      <c r="E79" s="935"/>
      <c r="F79" s="936"/>
      <c r="G79" s="667"/>
      <c r="H79" s="547" t="str">
        <f t="shared" si="44"/>
        <v/>
      </c>
      <c r="I79" s="579"/>
      <c r="J79" s="534"/>
      <c r="K79" s="534"/>
      <c r="L79" s="534"/>
      <c r="M79" s="534"/>
      <c r="N79" s="534"/>
      <c r="O79" s="534"/>
      <c r="P79" s="535"/>
      <c r="S79" s="223" t="str">
        <f t="shared" si="42"/>
        <v>Yes</v>
      </c>
      <c r="AB79" s="550" t="str">
        <f t="shared" si="43"/>
        <v/>
      </c>
      <c r="AC79" s="223"/>
      <c r="AD79" s="223"/>
      <c r="AE79" s="223"/>
      <c r="AF79" s="223"/>
    </row>
    <row r="80" spans="1:39" ht="24" customHeight="1" thickBot="1">
      <c r="A80" s="551"/>
      <c r="B80" s="524"/>
      <c r="C80" s="939" t="s">
        <v>829</v>
      </c>
      <c r="D80" s="939"/>
      <c r="E80" s="939"/>
      <c r="F80" s="939"/>
      <c r="G80" s="939"/>
      <c r="H80" s="939"/>
      <c r="I80" s="939"/>
      <c r="J80" s="939"/>
      <c r="K80" s="939"/>
      <c r="L80" s="939"/>
      <c r="M80" s="939"/>
      <c r="N80" s="939"/>
      <c r="O80" s="939"/>
      <c r="P80" s="940"/>
      <c r="S80" s="223" t="str">
        <f>IF(D83="","Yes","No")</f>
        <v>Yes</v>
      </c>
      <c r="AB80" s="223"/>
      <c r="AC80" s="223"/>
      <c r="AD80" s="223"/>
      <c r="AE80" s="223"/>
      <c r="AF80" s="223"/>
    </row>
    <row r="81" spans="1:32" ht="49.95" customHeight="1">
      <c r="A81" s="551"/>
      <c r="B81" s="524"/>
      <c r="C81" s="525"/>
      <c r="D81" s="526" t="str">
        <f>D$8</f>
        <v>Location Name</v>
      </c>
      <c r="E81" s="941" t="s">
        <v>830</v>
      </c>
      <c r="F81" s="942"/>
      <c r="G81" s="232" t="s">
        <v>831</v>
      </c>
      <c r="H81" s="232" t="s">
        <v>785</v>
      </c>
      <c r="I81" s="232" t="s">
        <v>785</v>
      </c>
      <c r="J81" s="232" t="s">
        <v>786</v>
      </c>
      <c r="K81" s="232" t="s">
        <v>832</v>
      </c>
      <c r="L81" s="552"/>
      <c r="M81" s="553"/>
      <c r="N81" s="553"/>
      <c r="O81" s="553"/>
      <c r="P81" s="554"/>
      <c r="S81" s="223" t="str">
        <f>IF(D83="","Yes","No")</f>
        <v>Yes</v>
      </c>
      <c r="AB81" s="555" t="s">
        <v>833</v>
      </c>
      <c r="AC81" s="555" t="s">
        <v>834</v>
      </c>
      <c r="AD81" s="555" t="s">
        <v>835</v>
      </c>
      <c r="AE81" s="555" t="s">
        <v>836</v>
      </c>
      <c r="AF81" s="223"/>
    </row>
    <row r="82" spans="1:32" ht="24" customHeight="1">
      <c r="A82" s="551"/>
      <c r="B82" s="524"/>
      <c r="C82" s="678" t="str">
        <f>C$9</f>
        <v>Measurement</v>
      </c>
      <c r="D82" s="529" t="s">
        <v>788</v>
      </c>
      <c r="E82" s="951" t="s">
        <v>837</v>
      </c>
      <c r="F82" s="952"/>
      <c r="G82" s="556" t="s">
        <v>838</v>
      </c>
      <c r="H82" s="531" t="s">
        <v>839</v>
      </c>
      <c r="I82" s="531" t="s">
        <v>840</v>
      </c>
      <c r="J82" s="531" t="s">
        <v>789</v>
      </c>
      <c r="K82" s="227" t="s">
        <v>841</v>
      </c>
      <c r="L82" s="557"/>
      <c r="M82" s="558"/>
      <c r="N82" s="558"/>
      <c r="O82" s="558"/>
      <c r="P82" s="559"/>
      <c r="S82" s="223" t="str">
        <f>IF(D83="","Yes","No")</f>
        <v>Yes</v>
      </c>
      <c r="AB82" s="550">
        <v>12</v>
      </c>
      <c r="AC82" s="550">
        <v>10</v>
      </c>
      <c r="AD82" s="550">
        <v>30</v>
      </c>
      <c r="AE82" s="550">
        <v>20</v>
      </c>
      <c r="AF82" s="550" t="s">
        <v>842</v>
      </c>
    </row>
    <row r="83" spans="1:32" ht="20.100000000000001" customHeight="1">
      <c r="A83" s="551"/>
      <c r="B83" s="524"/>
      <c r="C83" s="574">
        <v>1</v>
      </c>
      <c r="D83" s="684"/>
      <c r="E83" s="945"/>
      <c r="F83" s="946"/>
      <c r="G83" s="642"/>
      <c r="H83" s="228" t="str">
        <f>IF(D83&lt;&gt;"",IF(_xlfn.CONCAT(IF($K83=2,"No",IF($K83=1,IF(SUM($AB83)&gt;1,"Yes","No"),"No")),IF($K83=1,"/No",IF($K83=2,IF(SUM($AC83)&gt;1,"/Yes","/No"),"/No")))="No/No","No/No",_xlfn.CONCAT(IF($K83=2,"No",IF($K83=1,IF(SUM($AB83)&gt;1,"Yes","No"),"No")),IF($K83=1,"/No",IF($K83=2,IF(SUM($AC83)&gt;1,"/Yes","/No"),"/No")))),"")</f>
        <v/>
      </c>
      <c r="I83" s="228" t="str">
        <f>IF(D83&lt;&gt;"",IF(_xlfn.CONCAT(IF($K83=2,"No",IF($K83=1,IF(SUM($AD83)&gt;1,"Yes","No"),"No")),IF($K83=1,"/No",IF($K83=2,IF(SUM($AE83)&gt;1,"/Yes","/No"),"/No")))="No/No","No/No",_xlfn.CONCAT(IF($K83=2,"No",IF($K83=1,IF(SUM($AD83)&gt;1,"Yes","No"),"No")),IF($K83=1,"/No",IF($K83=2,IF(SUM($AE83)&gt;1,"/Yes","/No"),"/No")))),"")</f>
        <v/>
      </c>
      <c r="J83" s="578" t="str">
        <f t="shared" ref="J83:J92" si="45">IF(AND(E83&lt;&gt;"",G83&lt;&gt;""), IF(K83=2,IF(AND(E83&lt;AC$82*1.2,G83&lt;AE$82*1.2),"MET","NOT MET"),IF(K83=1,IF(AND(E83&lt;AB$82*1.2,G83&lt;AD$82*1.2),"MET","NOT MET"),"")),"")</f>
        <v/>
      </c>
      <c r="K83" s="544">
        <f>MIN(AF$83:AF$92)</f>
        <v>0</v>
      </c>
      <c r="L83" s="557"/>
      <c r="M83" s="558"/>
      <c r="N83" s="558"/>
      <c r="O83" s="558"/>
      <c r="P83" s="559"/>
      <c r="S83" s="223" t="str">
        <f t="shared" ref="S83:S92" si="46">IF(D83="","Yes","No")</f>
        <v>Yes</v>
      </c>
      <c r="AB83" s="550" t="str">
        <f t="shared" ref="AB83:AB92" si="47">IF(AND($E83&lt;&gt;"",$D83&lt;&gt;""),IF(AND($E83&gt;=$AB$82,$E83&lt;$AB$82*1.2), $AB$82*1.2,""),"")</f>
        <v/>
      </c>
      <c r="AC83" s="550" t="str">
        <f t="shared" ref="AC83:AC92" si="48">IF(AND($E83&lt;&gt;"",$D83&lt;&gt;""),IF(AND($E83&gt;=$AC$82,$E83&lt;$AC$82*1.2), $AC$82*1.2,""),"")</f>
        <v/>
      </c>
      <c r="AD83" s="550" t="str">
        <f t="shared" ref="AD83:AE92" si="49">IF($G83&lt;&gt;"",IF(AND($G83&gt;=AD$82,$G83&lt;AD$82*1.2), AD$82*1.2,""),"")</f>
        <v/>
      </c>
      <c r="AE83" s="550" t="str">
        <f t="shared" si="49"/>
        <v/>
      </c>
      <c r="AF83" s="550" t="str">
        <f t="shared" ref="AF83:AF92" si="50">IF(AND(E83&lt;&gt;"",G83&lt;&gt;""),IF(AND($E83&lt;$AC$82*1.2,$G83&lt;$AE$82*1.2),2,1),"")</f>
        <v/>
      </c>
    </row>
    <row r="84" spans="1:32" ht="20.100000000000001" customHeight="1">
      <c r="A84" s="551"/>
      <c r="B84" s="524"/>
      <c r="C84" s="574">
        <v>2</v>
      </c>
      <c r="D84" s="684"/>
      <c r="E84" s="945"/>
      <c r="F84" s="946"/>
      <c r="G84" s="642"/>
      <c r="H84" s="228" t="str">
        <f t="shared" ref="H84:H92" si="51">IF(D84&lt;&gt;"",IF(_xlfn.CONCAT(IF($K84=2,"No",IF($K84=1,IF(SUM($AB84)&gt;1,"Yes","No"),"No")),IF($K84=1,"/No",IF($K84=2,IF(SUM($AC84)&gt;1,"/Yes","/No"),"/No")))="No/No","No/No",_xlfn.CONCAT(IF($K84=2,"No",IF($K84=1,IF(SUM($AB84)&gt;1,"Yes","No"),"No")),IF($K84=1,"/No",IF($K84=2,IF(SUM($AC84)&gt;1,"/Yes","/No"),"/No")))),"")</f>
        <v/>
      </c>
      <c r="I84" s="228" t="str">
        <f t="shared" ref="I84:I92" si="52">IF(D84&lt;&gt;"",IF(_xlfn.CONCAT(IF($K84=2,"No",IF($K84=1,IF(SUM($AD84)&gt;1,"Yes","No"),"No")),IF($K84=1,"/No",IF($K84=2,IF(SUM($AE84)&gt;1,"/Yes","/No"),"/No")))="No/No","No/No",_xlfn.CONCAT(IF($K84=2,"No",IF($K84=1,IF(SUM($AD84)&gt;1,"Yes","No"),"No")),IF($K84=1,"/No",IF($K84=2,IF(SUM($AE84)&gt;1,"/Yes","/No"),"/No")))),"")</f>
        <v/>
      </c>
      <c r="J84" s="578" t="str">
        <f t="shared" si="45"/>
        <v/>
      </c>
      <c r="K84" s="544">
        <f t="shared" ref="K84:K92" si="53">MIN(AF$83:AF$92)</f>
        <v>0</v>
      </c>
      <c r="L84" s="557"/>
      <c r="M84" s="558"/>
      <c r="N84" s="558"/>
      <c r="O84" s="558"/>
      <c r="P84" s="559"/>
      <c r="S84" s="223" t="str">
        <f t="shared" si="46"/>
        <v>Yes</v>
      </c>
      <c r="AB84" s="550" t="str">
        <f t="shared" si="47"/>
        <v/>
      </c>
      <c r="AC84" s="550" t="str">
        <f t="shared" si="48"/>
        <v/>
      </c>
      <c r="AD84" s="550" t="str">
        <f t="shared" si="49"/>
        <v/>
      </c>
      <c r="AE84" s="550" t="str">
        <f t="shared" si="49"/>
        <v/>
      </c>
      <c r="AF84" s="550" t="str">
        <f t="shared" si="50"/>
        <v/>
      </c>
    </row>
    <row r="85" spans="1:32" ht="20.100000000000001" customHeight="1">
      <c r="A85" s="551"/>
      <c r="B85" s="524"/>
      <c r="C85" s="574">
        <v>3</v>
      </c>
      <c r="D85" s="684"/>
      <c r="E85" s="945"/>
      <c r="F85" s="946"/>
      <c r="G85" s="642"/>
      <c r="H85" s="228" t="str">
        <f t="shared" si="51"/>
        <v/>
      </c>
      <c r="I85" s="228" t="str">
        <f t="shared" si="52"/>
        <v/>
      </c>
      <c r="J85" s="578" t="str">
        <f t="shared" si="45"/>
        <v/>
      </c>
      <c r="K85" s="544">
        <f t="shared" si="53"/>
        <v>0</v>
      </c>
      <c r="L85" s="557"/>
      <c r="M85" s="558"/>
      <c r="N85" s="558"/>
      <c r="O85" s="558"/>
      <c r="P85" s="559"/>
      <c r="S85" s="223" t="str">
        <f t="shared" si="46"/>
        <v>Yes</v>
      </c>
      <c r="AB85" s="550" t="str">
        <f t="shared" si="47"/>
        <v/>
      </c>
      <c r="AC85" s="550" t="str">
        <f t="shared" si="48"/>
        <v/>
      </c>
      <c r="AD85" s="550" t="str">
        <f t="shared" si="49"/>
        <v/>
      </c>
      <c r="AE85" s="550" t="str">
        <f t="shared" si="49"/>
        <v/>
      </c>
      <c r="AF85" s="550" t="str">
        <f t="shared" si="50"/>
        <v/>
      </c>
    </row>
    <row r="86" spans="1:32" ht="20.100000000000001" customHeight="1">
      <c r="A86" s="551"/>
      <c r="B86" s="524"/>
      <c r="C86" s="574">
        <v>4</v>
      </c>
      <c r="D86" s="684"/>
      <c r="E86" s="945"/>
      <c r="F86" s="946"/>
      <c r="G86" s="642"/>
      <c r="H86" s="228" t="str">
        <f t="shared" si="51"/>
        <v/>
      </c>
      <c r="I86" s="228" t="str">
        <f t="shared" si="52"/>
        <v/>
      </c>
      <c r="J86" s="578" t="str">
        <f t="shared" si="45"/>
        <v/>
      </c>
      <c r="K86" s="544">
        <f t="shared" si="53"/>
        <v>0</v>
      </c>
      <c r="L86" s="557"/>
      <c r="M86" s="558"/>
      <c r="N86" s="558"/>
      <c r="O86" s="558"/>
      <c r="P86" s="559"/>
      <c r="S86" s="223" t="str">
        <f t="shared" si="46"/>
        <v>Yes</v>
      </c>
      <c r="AB86" s="550" t="str">
        <f t="shared" si="47"/>
        <v/>
      </c>
      <c r="AC86" s="550" t="str">
        <f t="shared" si="48"/>
        <v/>
      </c>
      <c r="AD86" s="550" t="str">
        <f t="shared" si="49"/>
        <v/>
      </c>
      <c r="AE86" s="550" t="str">
        <f t="shared" si="49"/>
        <v/>
      </c>
      <c r="AF86" s="550" t="str">
        <f t="shared" si="50"/>
        <v/>
      </c>
    </row>
    <row r="87" spans="1:32" ht="20.100000000000001" customHeight="1">
      <c r="A87" s="551"/>
      <c r="B87" s="524"/>
      <c r="C87" s="574">
        <v>5</v>
      </c>
      <c r="D87" s="684"/>
      <c r="E87" s="945"/>
      <c r="F87" s="946"/>
      <c r="G87" s="642"/>
      <c r="H87" s="228" t="str">
        <f t="shared" si="51"/>
        <v/>
      </c>
      <c r="I87" s="233" t="str">
        <f t="shared" si="52"/>
        <v/>
      </c>
      <c r="J87" s="578" t="str">
        <f t="shared" si="45"/>
        <v/>
      </c>
      <c r="K87" s="544">
        <f t="shared" si="53"/>
        <v>0</v>
      </c>
      <c r="L87" s="557"/>
      <c r="M87" s="558"/>
      <c r="N87" s="558"/>
      <c r="O87" s="558"/>
      <c r="P87" s="559"/>
      <c r="S87" s="223" t="str">
        <f t="shared" si="46"/>
        <v>Yes</v>
      </c>
      <c r="AB87" s="550" t="str">
        <f t="shared" si="47"/>
        <v/>
      </c>
      <c r="AC87" s="550" t="str">
        <f t="shared" si="48"/>
        <v/>
      </c>
      <c r="AD87" s="550" t="str">
        <f t="shared" si="49"/>
        <v/>
      </c>
      <c r="AE87" s="550" t="str">
        <f t="shared" si="49"/>
        <v/>
      </c>
      <c r="AF87" s="550" t="str">
        <f t="shared" si="50"/>
        <v/>
      </c>
    </row>
    <row r="88" spans="1:32" ht="20.100000000000001" customHeight="1">
      <c r="A88" s="551"/>
      <c r="B88" s="524"/>
      <c r="C88" s="574">
        <v>6</v>
      </c>
      <c r="D88" s="684"/>
      <c r="E88" s="945"/>
      <c r="F88" s="946"/>
      <c r="G88" s="642"/>
      <c r="H88" s="228" t="str">
        <f t="shared" si="51"/>
        <v/>
      </c>
      <c r="I88" s="228" t="str">
        <f t="shared" si="52"/>
        <v/>
      </c>
      <c r="J88" s="578" t="str">
        <f t="shared" si="45"/>
        <v/>
      </c>
      <c r="K88" s="544">
        <f t="shared" si="53"/>
        <v>0</v>
      </c>
      <c r="L88" s="557"/>
      <c r="M88" s="558"/>
      <c r="N88" s="558"/>
      <c r="O88" s="558"/>
      <c r="P88" s="559"/>
      <c r="S88" s="223" t="str">
        <f t="shared" si="46"/>
        <v>Yes</v>
      </c>
      <c r="AB88" s="550" t="str">
        <f t="shared" si="47"/>
        <v/>
      </c>
      <c r="AC88" s="550" t="str">
        <f t="shared" si="48"/>
        <v/>
      </c>
      <c r="AD88" s="550" t="str">
        <f t="shared" si="49"/>
        <v/>
      </c>
      <c r="AE88" s="550" t="str">
        <f t="shared" si="49"/>
        <v/>
      </c>
      <c r="AF88" s="550" t="str">
        <f t="shared" si="50"/>
        <v/>
      </c>
    </row>
    <row r="89" spans="1:32" ht="20.100000000000001" customHeight="1">
      <c r="A89" s="551"/>
      <c r="B89" s="524"/>
      <c r="C89" s="574">
        <v>7</v>
      </c>
      <c r="D89" s="684"/>
      <c r="E89" s="945"/>
      <c r="F89" s="946"/>
      <c r="G89" s="642"/>
      <c r="H89" s="228" t="str">
        <f t="shared" si="51"/>
        <v/>
      </c>
      <c r="I89" s="228" t="str">
        <f t="shared" si="52"/>
        <v/>
      </c>
      <c r="J89" s="578" t="str">
        <f t="shared" si="45"/>
        <v/>
      </c>
      <c r="K89" s="544">
        <f t="shared" si="53"/>
        <v>0</v>
      </c>
      <c r="L89" s="557"/>
      <c r="M89" s="558"/>
      <c r="N89" s="558"/>
      <c r="O89" s="558"/>
      <c r="P89" s="559"/>
      <c r="S89" s="223" t="str">
        <f t="shared" si="46"/>
        <v>Yes</v>
      </c>
      <c r="AB89" s="550" t="str">
        <f t="shared" si="47"/>
        <v/>
      </c>
      <c r="AC89" s="550" t="str">
        <f t="shared" si="48"/>
        <v/>
      </c>
      <c r="AD89" s="550" t="str">
        <f t="shared" si="49"/>
        <v/>
      </c>
      <c r="AE89" s="550" t="str">
        <f t="shared" si="49"/>
        <v/>
      </c>
      <c r="AF89" s="550" t="str">
        <f t="shared" si="50"/>
        <v/>
      </c>
    </row>
    <row r="90" spans="1:32" ht="20.100000000000001" customHeight="1">
      <c r="A90" s="551"/>
      <c r="B90" s="524"/>
      <c r="C90" s="574">
        <v>8</v>
      </c>
      <c r="D90" s="684"/>
      <c r="E90" s="945"/>
      <c r="F90" s="946"/>
      <c r="G90" s="642"/>
      <c r="H90" s="228" t="str">
        <f t="shared" si="51"/>
        <v/>
      </c>
      <c r="I90" s="228" t="str">
        <f t="shared" si="52"/>
        <v/>
      </c>
      <c r="J90" s="578" t="str">
        <f t="shared" si="45"/>
        <v/>
      </c>
      <c r="K90" s="544">
        <f t="shared" si="53"/>
        <v>0</v>
      </c>
      <c r="L90" s="557"/>
      <c r="M90" s="558"/>
      <c r="N90" s="558"/>
      <c r="O90" s="558"/>
      <c r="P90" s="559"/>
      <c r="S90" s="223" t="str">
        <f t="shared" si="46"/>
        <v>Yes</v>
      </c>
      <c r="AB90" s="550" t="str">
        <f t="shared" si="47"/>
        <v/>
      </c>
      <c r="AC90" s="550" t="str">
        <f t="shared" si="48"/>
        <v/>
      </c>
      <c r="AD90" s="550" t="str">
        <f t="shared" si="49"/>
        <v/>
      </c>
      <c r="AE90" s="550" t="str">
        <f t="shared" si="49"/>
        <v/>
      </c>
      <c r="AF90" s="550" t="str">
        <f t="shared" si="50"/>
        <v/>
      </c>
    </row>
    <row r="91" spans="1:32" ht="20.100000000000001" customHeight="1">
      <c r="A91" s="551"/>
      <c r="B91" s="524"/>
      <c r="C91" s="574">
        <v>9</v>
      </c>
      <c r="D91" s="684"/>
      <c r="E91" s="945"/>
      <c r="F91" s="946"/>
      <c r="G91" s="642"/>
      <c r="H91" s="228" t="str">
        <f t="shared" si="51"/>
        <v/>
      </c>
      <c r="I91" s="228" t="str">
        <f t="shared" si="52"/>
        <v/>
      </c>
      <c r="J91" s="578" t="str">
        <f t="shared" si="45"/>
        <v/>
      </c>
      <c r="K91" s="544">
        <f t="shared" si="53"/>
        <v>0</v>
      </c>
      <c r="L91" s="557"/>
      <c r="M91" s="558"/>
      <c r="N91" s="558"/>
      <c r="O91" s="558"/>
      <c r="P91" s="559"/>
      <c r="S91" s="223" t="str">
        <f t="shared" si="46"/>
        <v>Yes</v>
      </c>
      <c r="AB91" s="550" t="str">
        <f t="shared" si="47"/>
        <v/>
      </c>
      <c r="AC91" s="550" t="str">
        <f t="shared" si="48"/>
        <v/>
      </c>
      <c r="AD91" s="550" t="str">
        <f t="shared" si="49"/>
        <v/>
      </c>
      <c r="AE91" s="550" t="str">
        <f t="shared" si="49"/>
        <v/>
      </c>
      <c r="AF91" s="550" t="str">
        <f t="shared" si="50"/>
        <v/>
      </c>
    </row>
    <row r="92" spans="1:32" ht="20.100000000000001" customHeight="1" thickBot="1">
      <c r="A92" s="551"/>
      <c r="B92" s="524"/>
      <c r="C92" s="576">
        <v>10</v>
      </c>
      <c r="D92" s="685"/>
      <c r="E92" s="947"/>
      <c r="F92" s="948"/>
      <c r="G92" s="645"/>
      <c r="H92" s="234" t="str">
        <f t="shared" si="51"/>
        <v/>
      </c>
      <c r="I92" s="234" t="str">
        <f t="shared" si="52"/>
        <v/>
      </c>
      <c r="J92" s="579" t="str">
        <f t="shared" si="45"/>
        <v/>
      </c>
      <c r="K92" s="560">
        <f t="shared" si="53"/>
        <v>0</v>
      </c>
      <c r="L92" s="561"/>
      <c r="M92" s="562"/>
      <c r="N92" s="562"/>
      <c r="O92" s="562"/>
      <c r="P92" s="563"/>
      <c r="S92" s="223" t="str">
        <f t="shared" si="46"/>
        <v>Yes</v>
      </c>
      <c r="AB92" s="550" t="str">
        <f t="shared" si="47"/>
        <v/>
      </c>
      <c r="AC92" s="550" t="str">
        <f t="shared" si="48"/>
        <v/>
      </c>
      <c r="AD92" s="550" t="str">
        <f t="shared" si="49"/>
        <v/>
      </c>
      <c r="AE92" s="550" t="str">
        <f t="shared" si="49"/>
        <v/>
      </c>
      <c r="AF92" s="550" t="str">
        <f t="shared" si="50"/>
        <v/>
      </c>
    </row>
    <row r="93" spans="1:32" ht="24" customHeight="1" thickBot="1">
      <c r="B93" s="524"/>
      <c r="C93" s="939" t="s">
        <v>843</v>
      </c>
      <c r="D93" s="939"/>
      <c r="E93" s="939"/>
      <c r="F93" s="939"/>
      <c r="G93" s="939"/>
      <c r="H93" s="939"/>
      <c r="I93" s="939"/>
      <c r="J93" s="939"/>
      <c r="K93" s="939"/>
      <c r="L93" s="939"/>
      <c r="M93" s="939"/>
      <c r="N93" s="939"/>
      <c r="O93" s="939"/>
      <c r="P93" s="940"/>
      <c r="S93" s="223" t="str">
        <f>IF(D96="","Yes","No")</f>
        <v>Yes</v>
      </c>
    </row>
    <row r="94" spans="1:32" ht="49.95" customHeight="1">
      <c r="B94" s="524"/>
      <c r="C94" s="525"/>
      <c r="D94" s="526" t="str">
        <f>D$8</f>
        <v>Location Name</v>
      </c>
      <c r="E94" s="941" t="s">
        <v>791</v>
      </c>
      <c r="F94" s="942"/>
      <c r="G94" s="232" t="s">
        <v>844</v>
      </c>
      <c r="H94" s="232" t="s">
        <v>785</v>
      </c>
      <c r="I94" s="232" t="s">
        <v>786</v>
      </c>
      <c r="J94" s="564"/>
      <c r="K94" s="564"/>
      <c r="L94" s="564"/>
      <c r="M94" s="564"/>
      <c r="N94" s="564"/>
      <c r="O94" s="564"/>
      <c r="P94" s="565"/>
      <c r="S94" s="223" t="str">
        <f>IF(D96="","Yes","No")</f>
        <v>Yes</v>
      </c>
    </row>
    <row r="95" spans="1:32" ht="45" customHeight="1">
      <c r="B95" s="524"/>
      <c r="C95" s="678" t="str">
        <f>C$9</f>
        <v>Measurement</v>
      </c>
      <c r="D95" s="529" t="s">
        <v>788</v>
      </c>
      <c r="E95" s="542">
        <v>13.4</v>
      </c>
      <c r="F95" s="227" t="s">
        <v>802</v>
      </c>
      <c r="G95" s="530">
        <v>3</v>
      </c>
      <c r="H95" s="531" t="str">
        <f>_xlfn.CONCAT("Benzene: ",G95*1.05)</f>
        <v>Benzene: 3.15</v>
      </c>
      <c r="I95" s="531" t="s">
        <v>789</v>
      </c>
      <c r="J95" s="566"/>
      <c r="K95" s="566"/>
      <c r="L95" s="566"/>
      <c r="M95" s="566"/>
      <c r="N95" s="566"/>
      <c r="O95" s="566"/>
      <c r="P95" s="567"/>
      <c r="S95" s="223" t="str">
        <f>IF(D96="","Yes","No")</f>
        <v>Yes</v>
      </c>
    </row>
    <row r="96" spans="1:32" ht="20.100000000000001" customHeight="1">
      <c r="B96" s="524"/>
      <c r="C96" s="574">
        <v>1</v>
      </c>
      <c r="D96" s="684"/>
      <c r="E96" s="666"/>
      <c r="F96" s="228" t="str">
        <f>IF(E96&lt;&gt;"",IF($E96&lt;$E$95,"No",IF($E96&lt;$E$95*1.2,"Yes","NOT MET")),"")</f>
        <v/>
      </c>
      <c r="G96" s="666"/>
      <c r="H96" s="228" t="str">
        <f>IF(D96&lt;&gt;"",IF(ISNUMBER($G96),IF($G96&lt;$G$95,"No",IF($G96&lt;$G$95*1.05,"Yes",IF($G96&gt;=$G$95*1.05,"Over"))),"No"),"")</f>
        <v/>
      </c>
      <c r="I96" s="578"/>
      <c r="J96" s="566"/>
      <c r="K96" s="566"/>
      <c r="L96" s="566"/>
      <c r="M96" s="566"/>
      <c r="N96" s="566"/>
      <c r="O96" s="566"/>
      <c r="P96" s="567"/>
      <c r="S96" s="223" t="str">
        <f t="shared" ref="S96:S105" si="54">IF(D96="","Yes","No")</f>
        <v>Yes</v>
      </c>
    </row>
    <row r="97" spans="1:21" ht="20.100000000000001" customHeight="1">
      <c r="B97" s="524"/>
      <c r="C97" s="574">
        <v>2</v>
      </c>
      <c r="D97" s="684"/>
      <c r="E97" s="666"/>
      <c r="F97" s="228" t="str">
        <f t="shared" ref="F97:F105" si="55">IF(E97&lt;&gt;"",IF($E97&lt;$E$95,"No",IF($E97&lt;$E$95*1.2,"Yes","NOT MET")),"")</f>
        <v/>
      </c>
      <c r="G97" s="666"/>
      <c r="H97" s="228" t="str">
        <f t="shared" ref="H97:H105" si="56">IF(D97&lt;&gt;"",IF(ISNUMBER($G97),IF($G97&lt;$G$95,"No",IF($G97&lt;$G$95*1.05,"Yes",IF($G97&gt;=$G$95*1.05,"Over"))),"No"),"")</f>
        <v/>
      </c>
      <c r="I97" s="578"/>
      <c r="J97" s="566"/>
      <c r="K97" s="566"/>
      <c r="L97" s="566"/>
      <c r="M97" s="566"/>
      <c r="N97" s="566"/>
      <c r="O97" s="566"/>
      <c r="P97" s="567"/>
      <c r="S97" s="223" t="str">
        <f t="shared" si="54"/>
        <v>Yes</v>
      </c>
    </row>
    <row r="98" spans="1:21" ht="20.100000000000001" customHeight="1">
      <c r="B98" s="524"/>
      <c r="C98" s="574">
        <v>3</v>
      </c>
      <c r="D98" s="684"/>
      <c r="E98" s="666"/>
      <c r="F98" s="228" t="str">
        <f t="shared" si="55"/>
        <v/>
      </c>
      <c r="G98" s="666"/>
      <c r="H98" s="228" t="str">
        <f t="shared" si="56"/>
        <v/>
      </c>
      <c r="I98" s="578"/>
      <c r="J98" s="566"/>
      <c r="K98" s="566"/>
      <c r="L98" s="566"/>
      <c r="M98" s="566"/>
      <c r="N98" s="566"/>
      <c r="O98" s="566"/>
      <c r="P98" s="567"/>
      <c r="S98" s="223" t="str">
        <f t="shared" si="54"/>
        <v>Yes</v>
      </c>
    </row>
    <row r="99" spans="1:21" ht="20.100000000000001" customHeight="1">
      <c r="B99" s="524"/>
      <c r="C99" s="574">
        <v>4</v>
      </c>
      <c r="D99" s="684"/>
      <c r="E99" s="666"/>
      <c r="F99" s="228" t="str">
        <f t="shared" si="55"/>
        <v/>
      </c>
      <c r="G99" s="666"/>
      <c r="H99" s="228" t="str">
        <f t="shared" si="56"/>
        <v/>
      </c>
      <c r="I99" s="578"/>
      <c r="J99" s="566"/>
      <c r="K99" s="566"/>
      <c r="L99" s="566"/>
      <c r="M99" s="566"/>
      <c r="N99" s="566"/>
      <c r="O99" s="566"/>
      <c r="P99" s="567"/>
      <c r="S99" s="223" t="str">
        <f t="shared" si="54"/>
        <v>Yes</v>
      </c>
    </row>
    <row r="100" spans="1:21" ht="20.100000000000001" customHeight="1">
      <c r="B100" s="524"/>
      <c r="C100" s="574">
        <v>5</v>
      </c>
      <c r="D100" s="684"/>
      <c r="E100" s="666"/>
      <c r="F100" s="228" t="str">
        <f t="shared" si="55"/>
        <v/>
      </c>
      <c r="G100" s="666"/>
      <c r="H100" s="228" t="str">
        <f t="shared" si="56"/>
        <v/>
      </c>
      <c r="I100" s="578"/>
      <c r="J100" s="566"/>
      <c r="K100" s="566"/>
      <c r="L100" s="566"/>
      <c r="M100" s="566"/>
      <c r="N100" s="566"/>
      <c r="O100" s="566"/>
      <c r="P100" s="567"/>
      <c r="S100" s="223" t="str">
        <f t="shared" si="54"/>
        <v>Yes</v>
      </c>
    </row>
    <row r="101" spans="1:21" ht="20.100000000000001" customHeight="1">
      <c r="B101" s="524"/>
      <c r="C101" s="574">
        <v>6</v>
      </c>
      <c r="D101" s="684"/>
      <c r="E101" s="666"/>
      <c r="F101" s="228" t="str">
        <f t="shared" si="55"/>
        <v/>
      </c>
      <c r="G101" s="666"/>
      <c r="H101" s="228" t="str">
        <f t="shared" si="56"/>
        <v/>
      </c>
      <c r="I101" s="578"/>
      <c r="J101" s="566"/>
      <c r="K101" s="566"/>
      <c r="L101" s="566"/>
      <c r="M101" s="566"/>
      <c r="N101" s="566"/>
      <c r="O101" s="566"/>
      <c r="P101" s="567"/>
      <c r="S101" s="223" t="str">
        <f t="shared" si="54"/>
        <v>Yes</v>
      </c>
    </row>
    <row r="102" spans="1:21" ht="20.100000000000001" customHeight="1">
      <c r="B102" s="524"/>
      <c r="C102" s="574">
        <v>7</v>
      </c>
      <c r="D102" s="684"/>
      <c r="E102" s="666"/>
      <c r="F102" s="228" t="str">
        <f t="shared" si="55"/>
        <v/>
      </c>
      <c r="G102" s="666"/>
      <c r="H102" s="228" t="str">
        <f t="shared" si="56"/>
        <v/>
      </c>
      <c r="I102" s="578"/>
      <c r="J102" s="566"/>
      <c r="K102" s="566"/>
      <c r="L102" s="566"/>
      <c r="M102" s="566"/>
      <c r="N102" s="566"/>
      <c r="O102" s="566"/>
      <c r="P102" s="567"/>
      <c r="S102" s="223" t="str">
        <f t="shared" si="54"/>
        <v>Yes</v>
      </c>
    </row>
    <row r="103" spans="1:21" ht="20.100000000000001" customHeight="1">
      <c r="B103" s="524"/>
      <c r="C103" s="574">
        <v>8</v>
      </c>
      <c r="D103" s="684"/>
      <c r="E103" s="666"/>
      <c r="F103" s="228" t="str">
        <f t="shared" si="55"/>
        <v/>
      </c>
      <c r="G103" s="666"/>
      <c r="H103" s="228" t="str">
        <f t="shared" si="56"/>
        <v/>
      </c>
      <c r="I103" s="578"/>
      <c r="J103" s="566"/>
      <c r="K103" s="566"/>
      <c r="L103" s="566"/>
      <c r="M103" s="566"/>
      <c r="N103" s="566"/>
      <c r="O103" s="566"/>
      <c r="P103" s="567"/>
      <c r="S103" s="223" t="str">
        <f t="shared" si="54"/>
        <v>Yes</v>
      </c>
    </row>
    <row r="104" spans="1:21" ht="20.100000000000001" customHeight="1">
      <c r="B104" s="524"/>
      <c r="C104" s="574">
        <v>9</v>
      </c>
      <c r="D104" s="684"/>
      <c r="E104" s="666"/>
      <c r="F104" s="228" t="str">
        <f t="shared" si="55"/>
        <v/>
      </c>
      <c r="G104" s="666"/>
      <c r="H104" s="228" t="str">
        <f t="shared" si="56"/>
        <v/>
      </c>
      <c r="I104" s="578"/>
      <c r="J104" s="566"/>
      <c r="K104" s="566"/>
      <c r="L104" s="566"/>
      <c r="M104" s="566"/>
      <c r="N104" s="566"/>
      <c r="O104" s="566"/>
      <c r="P104" s="567"/>
      <c r="S104" s="223" t="str">
        <f t="shared" si="54"/>
        <v>Yes</v>
      </c>
    </row>
    <row r="105" spans="1:21" ht="20.100000000000001" customHeight="1">
      <c r="B105" s="524"/>
      <c r="C105" s="574">
        <v>10</v>
      </c>
      <c r="D105" s="684"/>
      <c r="E105" s="666"/>
      <c r="F105" s="228" t="str">
        <f t="shared" si="55"/>
        <v/>
      </c>
      <c r="G105" s="666"/>
      <c r="H105" s="228" t="str">
        <f t="shared" si="56"/>
        <v/>
      </c>
      <c r="I105" s="578"/>
      <c r="J105" s="566"/>
      <c r="K105" s="566"/>
      <c r="L105" s="566"/>
      <c r="M105" s="566"/>
      <c r="N105" s="566"/>
      <c r="O105" s="566"/>
      <c r="P105" s="567"/>
      <c r="S105" s="223" t="str">
        <f t="shared" si="54"/>
        <v>Yes</v>
      </c>
    </row>
    <row r="106" spans="1:21" ht="20.100000000000001" customHeight="1" thickBot="1">
      <c r="B106" s="524"/>
      <c r="C106" s="568" t="s">
        <v>813</v>
      </c>
      <c r="D106" s="653"/>
      <c r="E106" s="949"/>
      <c r="F106" s="950"/>
      <c r="G106" s="654"/>
      <c r="H106" s="234"/>
      <c r="I106" s="234"/>
      <c r="J106" s="569"/>
      <c r="K106" s="569"/>
      <c r="L106" s="569"/>
      <c r="M106" s="569"/>
      <c r="N106" s="569"/>
      <c r="O106" s="569"/>
      <c r="P106" s="570"/>
      <c r="Q106" s="540"/>
      <c r="R106" s="540" t="s">
        <v>814</v>
      </c>
      <c r="S106" s="223" t="str">
        <f>IF(D96="","Yes","No")</f>
        <v>Yes</v>
      </c>
      <c r="T106" s="540"/>
      <c r="U106" s="540"/>
    </row>
    <row r="107" spans="1:21" ht="24" customHeight="1" thickBot="1">
      <c r="A107" s="551"/>
      <c r="B107" s="524"/>
      <c r="C107" s="939" t="s">
        <v>845</v>
      </c>
      <c r="D107" s="939"/>
      <c r="E107" s="939"/>
      <c r="F107" s="939"/>
      <c r="G107" s="939"/>
      <c r="H107" s="939"/>
      <c r="I107" s="939"/>
      <c r="J107" s="939"/>
      <c r="K107" s="939"/>
      <c r="L107" s="939"/>
      <c r="M107" s="939"/>
      <c r="N107" s="939"/>
      <c r="O107" s="939"/>
      <c r="P107" s="940"/>
      <c r="S107" s="223" t="str">
        <f>IF(D110="","Yes","No")</f>
        <v>Yes</v>
      </c>
    </row>
    <row r="108" spans="1:21" ht="49.95" customHeight="1">
      <c r="A108" s="551"/>
      <c r="B108" s="524"/>
      <c r="C108" s="525"/>
      <c r="D108" s="526" t="str">
        <f>D$8</f>
        <v>Location Name</v>
      </c>
      <c r="E108" s="941" t="s">
        <v>826</v>
      </c>
      <c r="F108" s="942"/>
      <c r="G108" s="232" t="s">
        <v>827</v>
      </c>
      <c r="H108" s="232" t="s">
        <v>785</v>
      </c>
      <c r="I108" s="232" t="s">
        <v>1089</v>
      </c>
      <c r="J108" s="232" t="s">
        <v>785</v>
      </c>
      <c r="K108" s="232" t="s">
        <v>786</v>
      </c>
      <c r="L108" s="552"/>
      <c r="M108" s="553"/>
      <c r="N108" s="553"/>
      <c r="O108" s="553"/>
      <c r="P108" s="554"/>
      <c r="S108" s="223" t="str">
        <f>IF(D110="","Yes","No")</f>
        <v>Yes</v>
      </c>
    </row>
    <row r="109" spans="1:21" ht="24" customHeight="1">
      <c r="A109" s="551"/>
      <c r="B109" s="524"/>
      <c r="C109" s="678" t="str">
        <f>C$9</f>
        <v>Measurement</v>
      </c>
      <c r="D109" s="529" t="s">
        <v>788</v>
      </c>
      <c r="E109" s="943">
        <v>6</v>
      </c>
      <c r="F109" s="944"/>
      <c r="G109" s="530">
        <v>25</v>
      </c>
      <c r="H109" s="531" t="str">
        <f>_xlfn.CONCAT("Ozone: ",G109*1.05)</f>
        <v>Ozone: 26.25</v>
      </c>
      <c r="I109" s="531">
        <v>21</v>
      </c>
      <c r="J109" s="531" t="str">
        <f>_xlfn.CONCAT("N02: ",I109*1.2)</f>
        <v>N02: 25.2</v>
      </c>
      <c r="K109" s="531" t="s">
        <v>789</v>
      </c>
      <c r="L109" s="557"/>
      <c r="M109" s="558"/>
      <c r="N109" s="558"/>
      <c r="O109" s="558"/>
      <c r="P109" s="559"/>
      <c r="S109" s="223" t="str">
        <f>IF(D110="","Yes","No")</f>
        <v>Yes</v>
      </c>
    </row>
    <row r="110" spans="1:21" ht="20.100000000000001" customHeight="1">
      <c r="A110" s="551"/>
      <c r="B110" s="524"/>
      <c r="C110" s="574">
        <v>1</v>
      </c>
      <c r="D110" s="684"/>
      <c r="E110" s="937"/>
      <c r="F110" s="938"/>
      <c r="G110" s="666"/>
      <c r="H110" s="228" t="str">
        <f>IF($G110&lt;&gt;"",IF($G110&lt;$G$109,"No",IF($G110&lt;$G$109*1.05,"Yes",IF($G110&gt;=$G$109*1.05,"Over"))),"")</f>
        <v/>
      </c>
      <c r="I110" s="666"/>
      <c r="J110" s="228" t="str">
        <f>IF($I110&lt;&gt;"",IF($I110&lt;$I$109,"No",IF($I110&lt;$I$109*1.2,"Yes","")),"")</f>
        <v/>
      </c>
      <c r="K110" s="578"/>
      <c r="L110" s="557"/>
      <c r="M110" s="558"/>
      <c r="N110" s="558"/>
      <c r="O110" s="558"/>
      <c r="P110" s="559"/>
      <c r="S110" s="223" t="str">
        <f t="shared" ref="S110:S119" si="57">IF(D110="","Yes","No")</f>
        <v>Yes</v>
      </c>
    </row>
    <row r="111" spans="1:21" ht="20.100000000000001" customHeight="1">
      <c r="A111" s="551"/>
      <c r="B111" s="524"/>
      <c r="C111" s="574">
        <v>2</v>
      </c>
      <c r="D111" s="684"/>
      <c r="E111" s="937"/>
      <c r="F111" s="938"/>
      <c r="G111" s="666"/>
      <c r="H111" s="228" t="str">
        <f t="shared" ref="H111:H119" si="58">IF($G111&lt;&gt;"",IF($G111&lt;$G$109,"No",IF($G111&lt;$G$109*1.05,"Yes",IF($G111&gt;=$G$109*1.05,"Over"))),"")</f>
        <v/>
      </c>
      <c r="I111" s="666"/>
      <c r="J111" s="228" t="str">
        <f t="shared" ref="J111:J119" si="59">IF($I111&lt;&gt;"",IF($I111&lt;$I$109,"No",IF($I111&lt;$I$109*1.2,"Yes","")),"")</f>
        <v/>
      </c>
      <c r="K111" s="578"/>
      <c r="L111" s="557"/>
      <c r="M111" s="558"/>
      <c r="N111" s="558"/>
      <c r="O111" s="558"/>
      <c r="P111" s="559"/>
      <c r="S111" s="223" t="str">
        <f t="shared" si="57"/>
        <v>Yes</v>
      </c>
    </row>
    <row r="112" spans="1:21" ht="20.100000000000001" customHeight="1">
      <c r="B112" s="524"/>
      <c r="C112" s="574">
        <v>3</v>
      </c>
      <c r="D112" s="684"/>
      <c r="E112" s="937"/>
      <c r="F112" s="938"/>
      <c r="G112" s="666"/>
      <c r="H112" s="228" t="str">
        <f t="shared" si="58"/>
        <v/>
      </c>
      <c r="I112" s="666"/>
      <c r="J112" s="228" t="str">
        <f t="shared" si="59"/>
        <v/>
      </c>
      <c r="K112" s="578"/>
      <c r="L112" s="557"/>
      <c r="M112" s="558"/>
      <c r="N112" s="558"/>
      <c r="O112" s="558"/>
      <c r="P112" s="559"/>
      <c r="S112" s="223" t="str">
        <f t="shared" si="57"/>
        <v>Yes</v>
      </c>
    </row>
    <row r="113" spans="2:20" ht="20.100000000000001" customHeight="1">
      <c r="B113" s="524"/>
      <c r="C113" s="574">
        <v>4</v>
      </c>
      <c r="D113" s="684"/>
      <c r="E113" s="937"/>
      <c r="F113" s="938"/>
      <c r="G113" s="666"/>
      <c r="H113" s="228" t="str">
        <f t="shared" si="58"/>
        <v/>
      </c>
      <c r="I113" s="666"/>
      <c r="J113" s="228" t="str">
        <f t="shared" si="59"/>
        <v/>
      </c>
      <c r="K113" s="578"/>
      <c r="L113" s="557"/>
      <c r="M113" s="558"/>
      <c r="N113" s="558"/>
      <c r="O113" s="558"/>
      <c r="P113" s="559"/>
      <c r="S113" s="223" t="str">
        <f t="shared" si="57"/>
        <v>Yes</v>
      </c>
    </row>
    <row r="114" spans="2:20" ht="20.100000000000001" customHeight="1">
      <c r="B114" s="524"/>
      <c r="C114" s="574">
        <v>5</v>
      </c>
      <c r="D114" s="684"/>
      <c r="E114" s="937"/>
      <c r="F114" s="938"/>
      <c r="G114" s="666"/>
      <c r="H114" s="228" t="str">
        <f t="shared" si="58"/>
        <v/>
      </c>
      <c r="I114" s="666"/>
      <c r="J114" s="228" t="str">
        <f t="shared" si="59"/>
        <v/>
      </c>
      <c r="K114" s="578"/>
      <c r="L114" s="557"/>
      <c r="M114" s="558"/>
      <c r="N114" s="558"/>
      <c r="O114" s="558"/>
      <c r="P114" s="559"/>
      <c r="S114" s="223" t="str">
        <f t="shared" si="57"/>
        <v>Yes</v>
      </c>
    </row>
    <row r="115" spans="2:20" ht="20.100000000000001" customHeight="1">
      <c r="B115" s="524"/>
      <c r="C115" s="574">
        <v>6</v>
      </c>
      <c r="D115" s="684"/>
      <c r="E115" s="937"/>
      <c r="F115" s="938"/>
      <c r="G115" s="666"/>
      <c r="H115" s="228" t="str">
        <f t="shared" si="58"/>
        <v/>
      </c>
      <c r="I115" s="666"/>
      <c r="J115" s="228" t="str">
        <f t="shared" si="59"/>
        <v/>
      </c>
      <c r="K115" s="578"/>
      <c r="L115" s="557"/>
      <c r="M115" s="558"/>
      <c r="N115" s="558"/>
      <c r="O115" s="558"/>
      <c r="P115" s="559"/>
      <c r="S115" s="223" t="str">
        <f t="shared" si="57"/>
        <v>Yes</v>
      </c>
    </row>
    <row r="116" spans="2:20" ht="20.100000000000001" customHeight="1">
      <c r="B116" s="524"/>
      <c r="C116" s="574">
        <v>7</v>
      </c>
      <c r="D116" s="684"/>
      <c r="E116" s="937"/>
      <c r="F116" s="938"/>
      <c r="G116" s="666"/>
      <c r="H116" s="228" t="str">
        <f t="shared" si="58"/>
        <v/>
      </c>
      <c r="I116" s="666"/>
      <c r="J116" s="228" t="str">
        <f t="shared" si="59"/>
        <v/>
      </c>
      <c r="K116" s="578"/>
      <c r="L116" s="557"/>
      <c r="M116" s="558"/>
      <c r="N116" s="558"/>
      <c r="O116" s="558"/>
      <c r="P116" s="559"/>
      <c r="S116" s="223" t="str">
        <f t="shared" si="57"/>
        <v>Yes</v>
      </c>
    </row>
    <row r="117" spans="2:20" ht="20.100000000000001" customHeight="1">
      <c r="B117" s="524"/>
      <c r="C117" s="574">
        <v>8</v>
      </c>
      <c r="D117" s="684"/>
      <c r="E117" s="937"/>
      <c r="F117" s="938"/>
      <c r="G117" s="666"/>
      <c r="H117" s="228" t="str">
        <f t="shared" si="58"/>
        <v/>
      </c>
      <c r="I117" s="666"/>
      <c r="J117" s="228" t="str">
        <f t="shared" si="59"/>
        <v/>
      </c>
      <c r="K117" s="578"/>
      <c r="L117" s="557"/>
      <c r="M117" s="558"/>
      <c r="N117" s="558"/>
      <c r="O117" s="558"/>
      <c r="P117" s="559"/>
      <c r="S117" s="223" t="str">
        <f t="shared" si="57"/>
        <v>Yes</v>
      </c>
      <c r="T117" s="231"/>
    </row>
    <row r="118" spans="2:20" ht="20.100000000000001" customHeight="1">
      <c r="B118" s="524"/>
      <c r="C118" s="574">
        <v>9</v>
      </c>
      <c r="D118" s="684"/>
      <c r="E118" s="937"/>
      <c r="F118" s="938"/>
      <c r="G118" s="666"/>
      <c r="H118" s="228" t="str">
        <f t="shared" si="58"/>
        <v/>
      </c>
      <c r="I118" s="666"/>
      <c r="J118" s="228" t="str">
        <f t="shared" si="59"/>
        <v/>
      </c>
      <c r="K118" s="578"/>
      <c r="L118" s="557"/>
      <c r="M118" s="558"/>
      <c r="N118" s="558"/>
      <c r="O118" s="558"/>
      <c r="P118" s="559"/>
      <c r="S118" s="223" t="str">
        <f t="shared" si="57"/>
        <v>Yes</v>
      </c>
    </row>
    <row r="119" spans="2:20" ht="20.100000000000001" customHeight="1" thickBot="1">
      <c r="B119" s="571"/>
      <c r="C119" s="576">
        <v>10</v>
      </c>
      <c r="D119" s="685"/>
      <c r="E119" s="935"/>
      <c r="F119" s="936"/>
      <c r="G119" s="667"/>
      <c r="H119" s="234" t="str">
        <f t="shared" si="58"/>
        <v/>
      </c>
      <c r="I119" s="667"/>
      <c r="J119" s="234" t="str">
        <f t="shared" si="59"/>
        <v/>
      </c>
      <c r="K119" s="579"/>
      <c r="L119" s="561"/>
      <c r="M119" s="562"/>
      <c r="N119" s="562"/>
      <c r="O119" s="562"/>
      <c r="P119" s="563"/>
      <c r="S119" s="223" t="str">
        <f t="shared" si="57"/>
        <v>Yes</v>
      </c>
    </row>
    <row r="120" spans="2:20" ht="10.199999999999999" customHeight="1">
      <c r="B120" s="235"/>
      <c r="C120" s="572"/>
      <c r="D120" s="573"/>
      <c r="E120" s="572"/>
      <c r="F120" s="572"/>
      <c r="G120" s="572"/>
      <c r="H120" s="572"/>
      <c r="I120" s="572"/>
      <c r="J120" s="235"/>
      <c r="K120" s="235"/>
      <c r="L120" s="235"/>
      <c r="M120" s="235"/>
      <c r="N120" s="235"/>
      <c r="O120" s="235"/>
      <c r="P120" s="235"/>
    </row>
    <row r="122" spans="2:20">
      <c r="D122" s="231"/>
    </row>
  </sheetData>
  <sheetProtection autoFilter="0"/>
  <autoFilter ref="S1:T119" xr:uid="{53AAEC96-4DB2-4B34-A6F2-22B7FBE951EA}"/>
  <mergeCells count="146">
    <mergeCell ref="A1:G1"/>
    <mergeCell ref="A2:B2"/>
    <mergeCell ref="B5:P5"/>
    <mergeCell ref="C6:P6"/>
    <mergeCell ref="C7:P7"/>
    <mergeCell ref="E14:F14"/>
    <mergeCell ref="E15:F15"/>
    <mergeCell ref="E16:F16"/>
    <mergeCell ref="A3:J3"/>
    <mergeCell ref="E17:F17"/>
    <mergeCell ref="E18:F18"/>
    <mergeCell ref="E19:F19"/>
    <mergeCell ref="E8:F8"/>
    <mergeCell ref="E9:F9"/>
    <mergeCell ref="E10:F10"/>
    <mergeCell ref="E11:F11"/>
    <mergeCell ref="E12:F12"/>
    <mergeCell ref="E13:F13"/>
    <mergeCell ref="C25:C26"/>
    <mergeCell ref="D25:D26"/>
    <mergeCell ref="E25:E26"/>
    <mergeCell ref="F25:F26"/>
    <mergeCell ref="C27:C28"/>
    <mergeCell ref="D27:D28"/>
    <mergeCell ref="E27:E28"/>
    <mergeCell ref="F27:F28"/>
    <mergeCell ref="C20:P20"/>
    <mergeCell ref="E21:F21"/>
    <mergeCell ref="C23:C24"/>
    <mergeCell ref="D23:D24"/>
    <mergeCell ref="E23:E24"/>
    <mergeCell ref="F23:F24"/>
    <mergeCell ref="C33:C34"/>
    <mergeCell ref="D33:D34"/>
    <mergeCell ref="E33:E34"/>
    <mergeCell ref="F33:F34"/>
    <mergeCell ref="C35:C36"/>
    <mergeCell ref="D35:D36"/>
    <mergeCell ref="E35:E36"/>
    <mergeCell ref="F35:F36"/>
    <mergeCell ref="C29:C30"/>
    <mergeCell ref="D29:D30"/>
    <mergeCell ref="E29:E30"/>
    <mergeCell ref="F29:F30"/>
    <mergeCell ref="C31:C32"/>
    <mergeCell ref="D31:D32"/>
    <mergeCell ref="E31:E32"/>
    <mergeCell ref="F31:F32"/>
    <mergeCell ref="C41:C42"/>
    <mergeCell ref="D41:D42"/>
    <mergeCell ref="E41:E42"/>
    <mergeCell ref="F41:F42"/>
    <mergeCell ref="E43:F43"/>
    <mergeCell ref="E44:F44"/>
    <mergeCell ref="C37:C38"/>
    <mergeCell ref="D37:D38"/>
    <mergeCell ref="E37:E38"/>
    <mergeCell ref="F37:F38"/>
    <mergeCell ref="C39:C40"/>
    <mergeCell ref="D39:D40"/>
    <mergeCell ref="E39:E40"/>
    <mergeCell ref="F39:F40"/>
    <mergeCell ref="C50:C51"/>
    <mergeCell ref="D50:D51"/>
    <mergeCell ref="E50:F50"/>
    <mergeCell ref="E51:F51"/>
    <mergeCell ref="C52:C53"/>
    <mergeCell ref="D52:D53"/>
    <mergeCell ref="E52:F52"/>
    <mergeCell ref="E53:F53"/>
    <mergeCell ref="E45:F45"/>
    <mergeCell ref="C46:C47"/>
    <mergeCell ref="D46:D47"/>
    <mergeCell ref="E46:F46"/>
    <mergeCell ref="E47:F47"/>
    <mergeCell ref="C48:C49"/>
    <mergeCell ref="D48:D49"/>
    <mergeCell ref="E48:F48"/>
    <mergeCell ref="E49:F49"/>
    <mergeCell ref="C58:C59"/>
    <mergeCell ref="D58:D59"/>
    <mergeCell ref="E58:F58"/>
    <mergeCell ref="E59:F59"/>
    <mergeCell ref="C60:C61"/>
    <mergeCell ref="D60:D61"/>
    <mergeCell ref="E60:F60"/>
    <mergeCell ref="E61:F61"/>
    <mergeCell ref="C54:C55"/>
    <mergeCell ref="D54:D55"/>
    <mergeCell ref="E54:F54"/>
    <mergeCell ref="E55:F55"/>
    <mergeCell ref="C56:C57"/>
    <mergeCell ref="D56:D57"/>
    <mergeCell ref="E56:F56"/>
    <mergeCell ref="E57:F57"/>
    <mergeCell ref="E66:F66"/>
    <mergeCell ref="C67:P67"/>
    <mergeCell ref="E68:F68"/>
    <mergeCell ref="E69:F69"/>
    <mergeCell ref="E70:F70"/>
    <mergeCell ref="E71:F71"/>
    <mergeCell ref="C62:C63"/>
    <mergeCell ref="D62:D63"/>
    <mergeCell ref="E62:F62"/>
    <mergeCell ref="E63:F63"/>
    <mergeCell ref="C64:C65"/>
    <mergeCell ref="D64:D65"/>
    <mergeCell ref="E64:F64"/>
    <mergeCell ref="E65:F65"/>
    <mergeCell ref="E78:F78"/>
    <mergeCell ref="E79:F79"/>
    <mergeCell ref="C80:P80"/>
    <mergeCell ref="E81:F81"/>
    <mergeCell ref="E82:F82"/>
    <mergeCell ref="E83:F83"/>
    <mergeCell ref="E72:F72"/>
    <mergeCell ref="E73:F73"/>
    <mergeCell ref="E74:F74"/>
    <mergeCell ref="E75:F75"/>
    <mergeCell ref="E76:F76"/>
    <mergeCell ref="E77:F77"/>
    <mergeCell ref="E90:F90"/>
    <mergeCell ref="E91:F91"/>
    <mergeCell ref="E92:F92"/>
    <mergeCell ref="C93:P93"/>
    <mergeCell ref="E94:F94"/>
    <mergeCell ref="E106:F106"/>
    <mergeCell ref="E84:F84"/>
    <mergeCell ref="E85:F85"/>
    <mergeCell ref="E86:F86"/>
    <mergeCell ref="E87:F87"/>
    <mergeCell ref="E88:F88"/>
    <mergeCell ref="E89:F89"/>
    <mergeCell ref="E119:F119"/>
    <mergeCell ref="E113:F113"/>
    <mergeCell ref="E114:F114"/>
    <mergeCell ref="E115:F115"/>
    <mergeCell ref="E116:F116"/>
    <mergeCell ref="E117:F117"/>
    <mergeCell ref="E118:F118"/>
    <mergeCell ref="C107:P107"/>
    <mergeCell ref="E108:F108"/>
    <mergeCell ref="E109:F109"/>
    <mergeCell ref="E110:F110"/>
    <mergeCell ref="E111:F111"/>
    <mergeCell ref="E112:F112"/>
  </mergeCells>
  <conditionalFormatting sqref="A1">
    <cfRule type="containsText" dxfId="114" priority="7" operator="containsText" text="Project Number Project Name">
      <formula>NOT(ISERROR(SEARCH("Project Number Project Name",A1)))</formula>
    </cfRule>
  </conditionalFormatting>
  <conditionalFormatting sqref="C6:P6">
    <cfRule type="containsText" dxfId="113" priority="6" operator="containsText" text="(replace with actual on-site observations)">
      <formula>NOT(ISERROR(SEARCH("(replace with actual on-site observations)",C6)))</formula>
    </cfRule>
  </conditionalFormatting>
  <conditionalFormatting sqref="G23:P42">
    <cfRule type="expression" dxfId="112" priority="4">
      <formula>IF($Q23="High Flow",IF(ISNUMBER(G23),IF(ISNUMBER(G24),IF(ABS((G24-G23)/G23) &gt; 0.25,TRUE,FALSE),FALSE),FALSE),FALSE)</formula>
    </cfRule>
    <cfRule type="expression" dxfId="111" priority="5">
      <formula>IF($Q23="Low Flow",IF(ISNUMBER(G23),IF(ISNUMBER(G22),IF(ABS((G22-G23)/G23) &gt; 0.25,TRUE,FALSE),FALSE),FALSE),FALSE)</formula>
    </cfRule>
  </conditionalFormatting>
  <conditionalFormatting sqref="E46:N65">
    <cfRule type="expression" dxfId="110" priority="1">
      <formula>IF($Q46="Low Flow",IF(ISNUMBER(E46),IF(ISNUMBER(E45),IF(ABS((E45-E46)/E46) &gt; 0.25,TRUE,FALSE),FALSE),FALSE),FALSE)</formula>
    </cfRule>
    <cfRule type="expression" dxfId="109" priority="3">
      <formula>IF($Q46="High Flow",IF(ISNUMBER(E46),IF(ISNUMBER(E47),IF(ABS((E47-E46)/E46) &gt; 0.25,TRUE,FALSE),FALSE),FALSE),FALSE)</formula>
    </cfRule>
  </conditionalFormatting>
  <conditionalFormatting sqref="A3">
    <cfRule type="cellIs" dxfId="108" priority="2" operator="equal">
      <formula>"[date] On-site Performance Verification Summary of Results"</formula>
    </cfRule>
  </conditionalFormatting>
  <pageMargins left="0.7" right="0.7" top="0.75" bottom="0.75" header="0.3" footer="0.3"/>
  <pageSetup scale="35"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6560-2D02-471F-A39A-F157C6A20A6A}">
  <sheetPr>
    <pageSetUpPr fitToPage="1"/>
  </sheetPr>
  <dimension ref="A1:AJ99"/>
  <sheetViews>
    <sheetView view="pageBreakPreview" topLeftCell="A46" zoomScale="70" zoomScaleNormal="70" zoomScaleSheetLayoutView="70" workbookViewId="0">
      <selection activeCell="H73" sqref="H73"/>
    </sheetView>
  </sheetViews>
  <sheetFormatPr defaultColWidth="8.88671875" defaultRowHeight="13.8"/>
  <cols>
    <col min="1" max="1" width="8.6640625" style="224" customWidth="1"/>
    <col min="2" max="2" width="10.6640625" style="224" customWidth="1"/>
    <col min="3" max="3" width="16.6640625" style="223" bestFit="1" customWidth="1"/>
    <col min="4" max="4" width="45.6640625" style="516" customWidth="1"/>
    <col min="5" max="6" width="12.6640625" style="223" customWidth="1"/>
    <col min="7" max="9" width="24.6640625" style="223" customWidth="1"/>
    <col min="10" max="13" width="24.6640625" style="224" customWidth="1"/>
    <col min="14" max="14" width="1.6640625" style="224" customWidth="1"/>
    <col min="15" max="15" width="14" style="224" customWidth="1"/>
    <col min="16" max="16" width="21.109375" style="223" bestFit="1" customWidth="1"/>
    <col min="17" max="24" width="8.88671875" style="224"/>
    <col min="25" max="34" width="8.88671875" style="224" customWidth="1"/>
    <col min="35" max="35" width="10.109375" style="224" customWidth="1"/>
    <col min="36" max="36" width="9.6640625" style="224" customWidth="1"/>
    <col min="37" max="16384" width="8.88671875" style="224"/>
  </cols>
  <sheetData>
    <row r="1" spans="1:26" s="485" customFormat="1" ht="21.9" customHeight="1">
      <c r="A1" s="975" t="str">
        <f>Overview!C1</f>
        <v xml:space="preserve"> 	2202025367 - Shenzhen Prince Bay Mixed-use Development DY04-02</v>
      </c>
      <c r="B1" s="975"/>
      <c r="C1" s="975"/>
      <c r="D1" s="975"/>
      <c r="E1" s="975"/>
      <c r="F1" s="975"/>
      <c r="G1" s="975"/>
      <c r="H1" s="516"/>
      <c r="I1" s="516"/>
      <c r="P1" s="457" t="s">
        <v>1060</v>
      </c>
      <c r="Y1" s="517"/>
      <c r="Z1" s="518"/>
    </row>
    <row r="2" spans="1:26" s="485" customFormat="1" ht="18" customHeight="1">
      <c r="A2" s="976" t="s">
        <v>778</v>
      </c>
      <c r="B2" s="976"/>
      <c r="C2" s="226"/>
      <c r="D2" s="226"/>
      <c r="E2" s="226"/>
      <c r="F2" s="226"/>
      <c r="G2" s="226"/>
      <c r="H2" s="516"/>
      <c r="I2" s="516"/>
      <c r="P2" s="223" t="s">
        <v>1061</v>
      </c>
      <c r="Q2" s="519" t="s">
        <v>1013</v>
      </c>
      <c r="Y2" s="520"/>
      <c r="Z2" s="521"/>
    </row>
    <row r="3" spans="1:26" ht="18" customHeight="1">
      <c r="A3" s="983" t="s">
        <v>779</v>
      </c>
      <c r="B3" s="983"/>
      <c r="C3" s="983"/>
      <c r="D3" s="983"/>
      <c r="E3" s="983"/>
      <c r="F3" s="983"/>
      <c r="G3" s="983"/>
      <c r="H3" s="983"/>
      <c r="I3" s="983"/>
      <c r="J3" s="983"/>
      <c r="K3" s="497"/>
      <c r="L3" s="497"/>
      <c r="M3" s="497"/>
      <c r="P3" s="223" t="s">
        <v>1061</v>
      </c>
      <c r="Y3" s="522"/>
      <c r="Z3" s="523"/>
    </row>
    <row r="4" spans="1:26" ht="15" customHeight="1" thickBot="1">
      <c r="P4" s="223" t="s">
        <v>1061</v>
      </c>
      <c r="Y4" s="522"/>
      <c r="Z4" s="523"/>
    </row>
    <row r="5" spans="1:26" ht="24" customHeight="1" thickBot="1">
      <c r="B5" s="977" t="s">
        <v>7</v>
      </c>
      <c r="C5" s="978"/>
      <c r="D5" s="978"/>
      <c r="E5" s="978"/>
      <c r="F5" s="978"/>
      <c r="G5" s="978"/>
      <c r="H5" s="978"/>
      <c r="I5" s="978"/>
      <c r="J5" s="978"/>
      <c r="K5" s="978"/>
      <c r="L5" s="978"/>
      <c r="M5" s="979"/>
      <c r="P5" s="223" t="s">
        <v>1061</v>
      </c>
      <c r="Y5" s="522"/>
      <c r="Z5" s="523"/>
    </row>
    <row r="6" spans="1:26" ht="99.9" customHeight="1" thickBot="1">
      <c r="B6" s="524"/>
      <c r="C6" s="980" t="s">
        <v>780</v>
      </c>
      <c r="D6" s="981"/>
      <c r="E6" s="981"/>
      <c r="F6" s="981"/>
      <c r="G6" s="981"/>
      <c r="H6" s="981"/>
      <c r="I6" s="981"/>
      <c r="J6" s="981"/>
      <c r="K6" s="981"/>
      <c r="L6" s="981"/>
      <c r="M6" s="982"/>
      <c r="P6" s="223" t="s">
        <v>1061</v>
      </c>
      <c r="Y6" s="522"/>
      <c r="Z6" s="523"/>
    </row>
    <row r="7" spans="1:26" ht="24" customHeight="1" thickBot="1">
      <c r="B7" s="524"/>
      <c r="C7" s="939" t="s">
        <v>781</v>
      </c>
      <c r="D7" s="939"/>
      <c r="E7" s="939"/>
      <c r="F7" s="939"/>
      <c r="G7" s="939"/>
      <c r="H7" s="939"/>
      <c r="I7" s="939"/>
      <c r="J7" s="939"/>
      <c r="K7" s="939"/>
      <c r="L7" s="939"/>
      <c r="M7" s="940"/>
      <c r="P7" s="223" t="s">
        <v>1061</v>
      </c>
      <c r="Y7" s="522"/>
      <c r="Z7" s="523"/>
    </row>
    <row r="8" spans="1:26" ht="49.95" customHeight="1">
      <c r="B8" s="524"/>
      <c r="C8" s="525"/>
      <c r="D8" s="526" t="s">
        <v>960</v>
      </c>
      <c r="E8" s="941" t="s">
        <v>783</v>
      </c>
      <c r="F8" s="942"/>
      <c r="G8" s="232" t="s">
        <v>784</v>
      </c>
      <c r="H8" s="232" t="s">
        <v>785</v>
      </c>
      <c r="I8" s="232" t="s">
        <v>786</v>
      </c>
      <c r="J8" s="527"/>
      <c r="K8" s="527"/>
      <c r="L8" s="527"/>
      <c r="M8" s="528"/>
      <c r="P8" s="223" t="s">
        <v>1061</v>
      </c>
      <c r="Y8" s="522" t="s">
        <v>787</v>
      </c>
      <c r="Z8" s="523"/>
    </row>
    <row r="9" spans="1:26" ht="24" customHeight="1">
      <c r="B9" s="524"/>
      <c r="C9" s="678" t="s">
        <v>932</v>
      </c>
      <c r="D9" s="529" t="s">
        <v>788</v>
      </c>
      <c r="E9" s="973">
        <v>15</v>
      </c>
      <c r="F9" s="974"/>
      <c r="G9" s="530">
        <v>50</v>
      </c>
      <c r="H9" s="531" t="str">
        <f>_xlfn.CONCAT(E9*1.2,"/",G9*1.2)</f>
        <v>18/60</v>
      </c>
      <c r="I9" s="531" t="s">
        <v>789</v>
      </c>
      <c r="J9" s="532"/>
      <c r="K9" s="532"/>
      <c r="L9" s="532"/>
      <c r="M9" s="533"/>
      <c r="P9" s="223" t="s">
        <v>1061</v>
      </c>
      <c r="Y9" s="522">
        <f>E9*1.2</f>
        <v>18</v>
      </c>
      <c r="Z9" s="523">
        <f>G9*1.2</f>
        <v>60</v>
      </c>
    </row>
    <row r="10" spans="1:26" ht="20.100000000000001" customHeight="1">
      <c r="B10" s="524"/>
      <c r="C10" s="574">
        <v>1</v>
      </c>
      <c r="D10" s="582"/>
      <c r="E10" s="962"/>
      <c r="F10" s="962"/>
      <c r="G10" s="666"/>
      <c r="H10" s="228" t="str">
        <f t="shared" ref="H10:H19" si="0">IF(ISNUMBER(E10),IF(D10&lt;&gt;"",IF(IF(_xlfn.CONCAT(Y10,IF((AND(Y10&lt;&gt;"",Z10&lt;&gt;"")),"/",""),Z10)="","",_xlfn.CONCAT(Y10,IF((AND(Y10&lt;&gt;"",Z10&lt;&gt;"")),"/",""),Z10))="","No",(IF(_xlfn.CONCAT(Y10,IF((AND(Y10&lt;&gt;"",Z10&lt;&gt;"")),"/",""),Z10)="","",_xlfn.CONCAT(Y10,IF((AND(Y10&lt;&gt;"",Z10&lt;&gt;"")),"/",""),Z10)))),""),"")</f>
        <v/>
      </c>
      <c r="I10" s="578"/>
      <c r="J10" s="532"/>
      <c r="K10" s="532"/>
      <c r="L10" s="532"/>
      <c r="M10" s="533"/>
      <c r="P10" s="223" t="str">
        <f t="shared" ref="P10:P19" si="1">IF(D10&lt;&gt;"","No","Yes")</f>
        <v>Yes</v>
      </c>
      <c r="Y10" s="522" t="str">
        <f t="shared" ref="Y10:Y19" si="2">IF($E10&lt;&gt;"",IF($E10&lt;$E$9,"",IF($E10&lt;$Y$9,"PM2.5",IF(E10&gt;=$Y$9,"PM2.5-OVER",""))),"")</f>
        <v/>
      </c>
      <c r="Z10" s="523" t="str">
        <f t="shared" ref="Z10:Z19" si="3">IF($G10&lt;&gt;"",IF($G10&lt;$G$9,"",IF($G10&lt;$Z$9,"PM10",IF(G10&gt;=$Z$9,"PM10-OVER",""))),"")</f>
        <v/>
      </c>
    </row>
    <row r="11" spans="1:26" ht="20.100000000000001" customHeight="1">
      <c r="B11" s="524"/>
      <c r="C11" s="574">
        <v>2</v>
      </c>
      <c r="D11" s="582"/>
      <c r="E11" s="962"/>
      <c r="F11" s="962"/>
      <c r="G11" s="666"/>
      <c r="H11" s="228" t="str">
        <f t="shared" si="0"/>
        <v/>
      </c>
      <c r="I11" s="578"/>
      <c r="J11" s="532"/>
      <c r="K11" s="532"/>
      <c r="L11" s="532"/>
      <c r="M11" s="533"/>
      <c r="P11" s="223" t="str">
        <f t="shared" si="1"/>
        <v>Yes</v>
      </c>
      <c r="Y11" s="522" t="str">
        <f t="shared" si="2"/>
        <v/>
      </c>
      <c r="Z11" s="523" t="str">
        <f t="shared" si="3"/>
        <v/>
      </c>
    </row>
    <row r="12" spans="1:26" ht="20.100000000000001" customHeight="1">
      <c r="B12" s="524"/>
      <c r="C12" s="574">
        <v>3</v>
      </c>
      <c r="D12" s="582"/>
      <c r="E12" s="962"/>
      <c r="F12" s="962"/>
      <c r="G12" s="666"/>
      <c r="H12" s="228" t="str">
        <f t="shared" si="0"/>
        <v/>
      </c>
      <c r="I12" s="578"/>
      <c r="J12" s="532"/>
      <c r="K12" s="532"/>
      <c r="L12" s="532"/>
      <c r="M12" s="533"/>
      <c r="P12" s="223" t="str">
        <f t="shared" si="1"/>
        <v>Yes</v>
      </c>
      <c r="Y12" s="522" t="str">
        <f t="shared" si="2"/>
        <v/>
      </c>
      <c r="Z12" s="523" t="str">
        <f t="shared" si="3"/>
        <v/>
      </c>
    </row>
    <row r="13" spans="1:26" ht="20.100000000000001" customHeight="1">
      <c r="B13" s="524"/>
      <c r="C13" s="574">
        <v>4</v>
      </c>
      <c r="D13" s="582"/>
      <c r="E13" s="962"/>
      <c r="F13" s="962"/>
      <c r="G13" s="666"/>
      <c r="H13" s="228" t="str">
        <f t="shared" si="0"/>
        <v/>
      </c>
      <c r="I13" s="578"/>
      <c r="J13" s="532"/>
      <c r="K13" s="532"/>
      <c r="L13" s="532"/>
      <c r="M13" s="533"/>
      <c r="P13" s="223" t="str">
        <f t="shared" si="1"/>
        <v>Yes</v>
      </c>
      <c r="Y13" s="522" t="str">
        <f t="shared" si="2"/>
        <v/>
      </c>
      <c r="Z13" s="523" t="str">
        <f t="shared" si="3"/>
        <v/>
      </c>
    </row>
    <row r="14" spans="1:26" ht="20.100000000000001" customHeight="1">
      <c r="B14" s="524"/>
      <c r="C14" s="574">
        <v>5</v>
      </c>
      <c r="D14" s="582"/>
      <c r="E14" s="962"/>
      <c r="F14" s="962"/>
      <c r="G14" s="666"/>
      <c r="H14" s="228" t="str">
        <f t="shared" si="0"/>
        <v/>
      </c>
      <c r="I14" s="578"/>
      <c r="J14" s="532"/>
      <c r="K14" s="532"/>
      <c r="L14" s="532"/>
      <c r="M14" s="533"/>
      <c r="P14" s="223" t="str">
        <f t="shared" si="1"/>
        <v>Yes</v>
      </c>
      <c r="Y14" s="522" t="str">
        <f t="shared" si="2"/>
        <v/>
      </c>
      <c r="Z14" s="523" t="str">
        <f t="shared" si="3"/>
        <v/>
      </c>
    </row>
    <row r="15" spans="1:26" ht="20.100000000000001" customHeight="1">
      <c r="B15" s="524"/>
      <c r="C15" s="574">
        <v>6</v>
      </c>
      <c r="D15" s="582"/>
      <c r="E15" s="962"/>
      <c r="F15" s="962"/>
      <c r="G15" s="666"/>
      <c r="H15" s="228" t="str">
        <f t="shared" si="0"/>
        <v/>
      </c>
      <c r="I15" s="578"/>
      <c r="J15" s="532"/>
      <c r="K15" s="532"/>
      <c r="L15" s="532"/>
      <c r="M15" s="533"/>
      <c r="P15" s="223" t="str">
        <f t="shared" si="1"/>
        <v>Yes</v>
      </c>
      <c r="Y15" s="522" t="str">
        <f t="shared" si="2"/>
        <v/>
      </c>
      <c r="Z15" s="523" t="str">
        <f t="shared" si="3"/>
        <v/>
      </c>
    </row>
    <row r="16" spans="1:26" ht="20.100000000000001" customHeight="1">
      <c r="B16" s="524"/>
      <c r="C16" s="574">
        <v>7</v>
      </c>
      <c r="D16" s="582"/>
      <c r="E16" s="962"/>
      <c r="F16" s="962"/>
      <c r="G16" s="666"/>
      <c r="H16" s="228" t="str">
        <f t="shared" si="0"/>
        <v/>
      </c>
      <c r="I16" s="578"/>
      <c r="J16" s="532"/>
      <c r="K16" s="532"/>
      <c r="L16" s="532"/>
      <c r="M16" s="533"/>
      <c r="P16" s="223" t="str">
        <f t="shared" si="1"/>
        <v>Yes</v>
      </c>
      <c r="Q16" s="224" t="str">
        <f t="shared" ref="Q16:Q19" si="4">IF($E16&lt;&gt;"",IF($E16&lt;$E$9,"",IF($E16&lt;$E$9*1.2,"PM2.5","")),"")</f>
        <v/>
      </c>
      <c r="R16" s="224" t="str">
        <f t="shared" ref="R16:R19" si="5">IF($G16&lt;&gt;"",IF($G16&lt;$G$9,"",IF($G16&lt;$G$9*1.2,"PM10","")),"")</f>
        <v/>
      </c>
      <c r="Y16" s="522" t="str">
        <f t="shared" si="2"/>
        <v/>
      </c>
      <c r="Z16" s="523" t="str">
        <f t="shared" si="3"/>
        <v/>
      </c>
    </row>
    <row r="17" spans="2:36" ht="20.100000000000001" customHeight="1">
      <c r="B17" s="524"/>
      <c r="C17" s="574">
        <v>8</v>
      </c>
      <c r="D17" s="582"/>
      <c r="E17" s="962"/>
      <c r="F17" s="962"/>
      <c r="G17" s="666"/>
      <c r="H17" s="228" t="str">
        <f t="shared" si="0"/>
        <v/>
      </c>
      <c r="I17" s="578"/>
      <c r="J17" s="532"/>
      <c r="K17" s="532"/>
      <c r="L17" s="532"/>
      <c r="M17" s="533"/>
      <c r="P17" s="223" t="str">
        <f t="shared" si="1"/>
        <v>Yes</v>
      </c>
      <c r="Q17" s="224" t="str">
        <f t="shared" si="4"/>
        <v/>
      </c>
      <c r="R17" s="224" t="str">
        <f t="shared" si="5"/>
        <v/>
      </c>
      <c r="Y17" s="522" t="str">
        <f t="shared" si="2"/>
        <v/>
      </c>
      <c r="Z17" s="523" t="str">
        <f t="shared" si="3"/>
        <v/>
      </c>
    </row>
    <row r="18" spans="2:36" ht="20.100000000000001" customHeight="1">
      <c r="B18" s="524"/>
      <c r="C18" s="574">
        <v>9</v>
      </c>
      <c r="D18" s="582"/>
      <c r="E18" s="962"/>
      <c r="F18" s="962"/>
      <c r="G18" s="666"/>
      <c r="H18" s="228" t="str">
        <f t="shared" si="0"/>
        <v/>
      </c>
      <c r="I18" s="578"/>
      <c r="J18" s="532"/>
      <c r="K18" s="532"/>
      <c r="L18" s="532"/>
      <c r="M18" s="533"/>
      <c r="P18" s="223" t="str">
        <f t="shared" si="1"/>
        <v>Yes</v>
      </c>
      <c r="Q18" s="224" t="str">
        <f t="shared" si="4"/>
        <v/>
      </c>
      <c r="R18" s="224" t="str">
        <f t="shared" si="5"/>
        <v/>
      </c>
      <c r="Y18" s="522" t="str">
        <f t="shared" si="2"/>
        <v/>
      </c>
      <c r="Z18" s="523" t="str">
        <f t="shared" si="3"/>
        <v/>
      </c>
    </row>
    <row r="19" spans="2:36" ht="20.100000000000001" customHeight="1" thickBot="1">
      <c r="B19" s="524"/>
      <c r="C19" s="576">
        <v>10</v>
      </c>
      <c r="D19" s="583"/>
      <c r="E19" s="972"/>
      <c r="F19" s="972"/>
      <c r="G19" s="667"/>
      <c r="H19" s="234" t="str">
        <f t="shared" si="0"/>
        <v/>
      </c>
      <c r="I19" s="579"/>
      <c r="J19" s="534"/>
      <c r="K19" s="534"/>
      <c r="L19" s="534"/>
      <c r="M19" s="535"/>
      <c r="P19" s="223" t="str">
        <f t="shared" si="1"/>
        <v>Yes</v>
      </c>
      <c r="Q19" s="224" t="str">
        <f t="shared" si="4"/>
        <v/>
      </c>
      <c r="R19" s="224" t="str">
        <f t="shared" si="5"/>
        <v/>
      </c>
      <c r="Y19" s="522" t="str">
        <f t="shared" si="2"/>
        <v/>
      </c>
      <c r="Z19" s="523" t="str">
        <f t="shared" si="3"/>
        <v/>
      </c>
    </row>
    <row r="20" spans="2:36" ht="24" customHeight="1" thickBot="1">
      <c r="B20" s="524"/>
      <c r="C20" s="939" t="s">
        <v>790</v>
      </c>
      <c r="D20" s="939"/>
      <c r="E20" s="939"/>
      <c r="F20" s="939"/>
      <c r="G20" s="939"/>
      <c r="H20" s="939"/>
      <c r="I20" s="939"/>
      <c r="J20" s="939"/>
      <c r="K20" s="939"/>
      <c r="L20" s="939"/>
      <c r="M20" s="940"/>
      <c r="P20" s="223" t="s">
        <v>1061</v>
      </c>
      <c r="Y20" s="522"/>
      <c r="Z20" s="523"/>
    </row>
    <row r="21" spans="2:36" ht="49.95" customHeight="1">
      <c r="B21" s="524"/>
      <c r="C21" s="525"/>
      <c r="D21" s="526" t="str">
        <f>D$8</f>
        <v>Location Name</v>
      </c>
      <c r="E21" s="941" t="s">
        <v>1101</v>
      </c>
      <c r="F21" s="942"/>
      <c r="G21" s="232" t="s">
        <v>792</v>
      </c>
      <c r="H21" s="227" t="s">
        <v>820</v>
      </c>
      <c r="I21" s="227" t="s">
        <v>823</v>
      </c>
      <c r="J21" s="232" t="s">
        <v>786</v>
      </c>
      <c r="K21" s="527"/>
      <c r="L21" s="527"/>
      <c r="M21" s="528"/>
      <c r="P21" s="223" t="s">
        <v>1061</v>
      </c>
      <c r="Y21" s="522"/>
      <c r="Z21" s="523"/>
    </row>
    <row r="22" spans="2:36" ht="45" customHeight="1">
      <c r="B22" s="524"/>
      <c r="C22" s="678" t="str">
        <f>C$9</f>
        <v>Measurement</v>
      </c>
      <c r="D22" s="529" t="s">
        <v>788</v>
      </c>
      <c r="E22" s="531">
        <v>50</v>
      </c>
      <c r="F22" s="227" t="s">
        <v>802</v>
      </c>
      <c r="G22" s="531">
        <v>10</v>
      </c>
      <c r="H22" s="531">
        <v>300</v>
      </c>
      <c r="I22" s="542" t="s">
        <v>824</v>
      </c>
      <c r="J22" s="531" t="s">
        <v>1102</v>
      </c>
      <c r="K22" s="532"/>
      <c r="L22" s="532"/>
      <c r="M22" s="533"/>
      <c r="P22" s="223" t="s">
        <v>1061</v>
      </c>
      <c r="Y22" s="537" t="s">
        <v>803</v>
      </c>
      <c r="Z22" s="537"/>
      <c r="AI22" s="459" t="s">
        <v>967</v>
      </c>
      <c r="AJ22" s="459" t="s">
        <v>1058</v>
      </c>
    </row>
    <row r="23" spans="2:36" ht="20.100000000000001" customHeight="1">
      <c r="B23" s="524"/>
      <c r="C23" s="955">
        <v>1</v>
      </c>
      <c r="D23" s="957" t="str">
        <f>IF(D10 &lt;&gt; "", D10,"")</f>
        <v/>
      </c>
      <c r="E23" s="968"/>
      <c r="F23" s="970" t="str">
        <f>IF(E23&lt;&gt;"",IF($E23&lt;$E$22,"No",IF($E23&lt;$E$22*1.2,"Yes",IF(ISNUMBER(E23),"NOT MET",""))),"")</f>
        <v/>
      </c>
      <c r="G23" s="666"/>
      <c r="H23" s="666"/>
      <c r="I23" s="544" t="s">
        <v>1061</v>
      </c>
      <c r="J23" s="791"/>
      <c r="K23" s="532"/>
      <c r="L23" s="532"/>
      <c r="M23" s="533"/>
      <c r="N23" s="229"/>
      <c r="O23" s="229" t="s">
        <v>804</v>
      </c>
      <c r="P23" s="223" t="str">
        <f t="shared" ref="P23:P42" si="6">IF(N23="Low Flow","Yes",IF(D23="","Yes","No"))</f>
        <v>Yes</v>
      </c>
      <c r="Q23" s="458" t="s">
        <v>805</v>
      </c>
      <c r="Y23" s="537" t="str">
        <f t="shared" ref="Y23:Y43" si="7">IF(G23&lt;&gt;"",IF(AND(G23&gt;G$22,G23&lt;=G$22*1.05), "Yes",IF(G23&gt;G$22*1.05,"Over","")),"")</f>
        <v/>
      </c>
      <c r="Z23" s="537" t="str">
        <f t="shared" ref="Z23:Z43" si="8">IF(H23&lt;&gt;"",IF(AND(H23&gt;H$22,H23&lt;=H$22*1.05), "Yes",IF(H23&gt;H$22*1.05,"Over","")),"")</f>
        <v/>
      </c>
      <c r="AA23" s="537" t="e">
        <f t="shared" ref="AA23:AA43" si="9">IF(I23&lt;&gt;"",IF(AND(I23&gt;I$22,I23&lt;=I$22*1.05), "Yes",IF(I23&gt;I$22*1.05,"Over","")),"")</f>
        <v>#VALUE!</v>
      </c>
      <c r="AB23" s="537" t="str">
        <f t="shared" ref="AB23:AB43" si="10">IF(J23&lt;&gt;"",IF(AND(J23&gt;J$22,J23&lt;=J$22*1.05), "Yes",IF(J23&gt;J$22*1.05,"Over","")),"")</f>
        <v/>
      </c>
      <c r="AC23" s="537" t="str">
        <f t="shared" ref="AC23:AC43" si="11">IF(K23&lt;&gt;"",IF(AND(K23&gt;K$22,K23&lt;=K$22*1.05), "Yes",IF(K23&gt;K$22*1.05,"Over","")),"")</f>
        <v/>
      </c>
      <c r="AD23" s="537" t="str">
        <f t="shared" ref="AD23:AD43" si="12">IF(L23&lt;&gt;"",IF(AND(L23&gt;L$22,L23&lt;=L$22*1.05), "Yes",IF(L23&gt;L$22*1.05,"Over","")),"")</f>
        <v/>
      </c>
      <c r="AE23" s="537" t="e">
        <f>IF(#REF!&lt;&gt;"",IF(AND(#REF!&gt;#REF!,#REF!&lt;=#REF!*1.05), "Yes",IF(#REF!&gt;#REF!*1.05,"Over","")),"")</f>
        <v>#REF!</v>
      </c>
      <c r="AF23" s="537" t="e">
        <f>IF(#REF!&lt;&gt;"",IF(AND(#REF!&gt;#REF!,#REF!&lt;=#REF!*1.05), "Yes",IF(#REF!&gt;#REF!*1.05,"Over","")),"")</f>
        <v>#REF!</v>
      </c>
      <c r="AG23" s="537" t="e">
        <f>IF(#REF!&lt;&gt;"",IF(AND(#REF!&gt;#REF!,#REF!&lt;=#REF!*1.05), "Yes",IF(#REF!&gt;#REF!*1.05,"Over","")),"")</f>
        <v>#REF!</v>
      </c>
      <c r="AH23" s="537" t="str">
        <f t="shared" ref="AH23:AH43" si="13">IF(M23&lt;&gt;"",IF(AND(M23&gt;M$22,M23&lt;=M$22*1.05), "Yes",IF(M23&gt;M$22*1.05,"Over","")),"")</f>
        <v/>
      </c>
      <c r="AI23" s="537">
        <f>COUNTIF(Y23:AH23,"Yes")</f>
        <v>0</v>
      </c>
      <c r="AJ23" s="224">
        <f>COUNTIF(Y23:AH23,"Over")</f>
        <v>0</v>
      </c>
    </row>
    <row r="24" spans="2:36" ht="20.100000000000001" customHeight="1">
      <c r="B24" s="524"/>
      <c r="C24" s="956"/>
      <c r="D24" s="958"/>
      <c r="E24" s="969"/>
      <c r="F24" s="971" t="str">
        <f t="shared" ref="F24:F42" si="14">IF($E24&lt;$E$22,"",IF($E24&lt;$E$22*1.2,"Yes",""))</f>
        <v/>
      </c>
      <c r="G24" s="666"/>
      <c r="H24" s="666"/>
      <c r="I24" s="544" t="s">
        <v>1061</v>
      </c>
      <c r="J24" s="791"/>
      <c r="K24" s="532"/>
      <c r="L24" s="532"/>
      <c r="M24" s="533"/>
      <c r="N24" s="229"/>
      <c r="O24" s="229" t="s">
        <v>806</v>
      </c>
      <c r="P24" s="223" t="str">
        <f t="shared" si="6"/>
        <v>Yes</v>
      </c>
      <c r="Q24" s="230"/>
      <c r="R24" s="230"/>
      <c r="S24" s="230" t="s">
        <v>807</v>
      </c>
      <c r="Y24" s="537" t="str">
        <f t="shared" si="7"/>
        <v/>
      </c>
      <c r="Z24" s="537" t="str">
        <f t="shared" si="8"/>
        <v/>
      </c>
      <c r="AA24" s="537" t="e">
        <f t="shared" si="9"/>
        <v>#VALUE!</v>
      </c>
      <c r="AB24" s="537" t="str">
        <f t="shared" si="10"/>
        <v/>
      </c>
      <c r="AC24" s="537" t="str">
        <f t="shared" si="11"/>
        <v/>
      </c>
      <c r="AD24" s="537" t="str">
        <f t="shared" si="12"/>
        <v/>
      </c>
      <c r="AE24" s="537" t="e">
        <f>IF(#REF!&lt;&gt;"",IF(AND(#REF!&gt;#REF!,#REF!&lt;=#REF!*1.05), "Yes",IF(#REF!&gt;#REF!*1.05,"Over","")),"")</f>
        <v>#REF!</v>
      </c>
      <c r="AF24" s="537" t="e">
        <f>IF(#REF!&lt;&gt;"",IF(AND(#REF!&gt;#REF!,#REF!&lt;=#REF!*1.05), "Yes",IF(#REF!&gt;#REF!*1.05,"Over","")),"")</f>
        <v>#REF!</v>
      </c>
      <c r="AG24" s="537" t="e">
        <f>IF(#REF!&lt;&gt;"",IF(AND(#REF!&gt;#REF!,#REF!&lt;=#REF!*1.05), "Yes",IF(#REF!&gt;#REF!*1.05,"Over","")),"")</f>
        <v>#REF!</v>
      </c>
      <c r="AH24" s="537" t="str">
        <f t="shared" si="13"/>
        <v/>
      </c>
      <c r="AI24" s="537">
        <f t="shared" ref="AI24:AI43" si="15">COUNTIF(Y24:AH24,"Yes")</f>
        <v>0</v>
      </c>
      <c r="AJ24" s="224">
        <f t="shared" ref="AJ24:AJ43" si="16">COUNTIF(Y24:AH24,"Over")</f>
        <v>0</v>
      </c>
    </row>
    <row r="25" spans="2:36" ht="20.100000000000001" customHeight="1">
      <c r="B25" s="524"/>
      <c r="C25" s="955">
        <v>2</v>
      </c>
      <c r="D25" s="957" t="str">
        <f>IF(D11 &lt;&gt; "", D11,"")</f>
        <v/>
      </c>
      <c r="E25" s="968"/>
      <c r="F25" s="970" t="str">
        <f t="shared" ref="F25" si="17">IF(E25&lt;&gt;"",IF($E25&lt;$E$22,"No",IF($E25&lt;$E$22*1.2,"Yes",IF(ISNUMBER(E25),"NOT MET",""))),"")</f>
        <v/>
      </c>
      <c r="G25" s="666"/>
      <c r="H25" s="666"/>
      <c r="I25" s="544" t="s">
        <v>1061</v>
      </c>
      <c r="J25" s="791"/>
      <c r="K25" s="532"/>
      <c r="L25" s="532"/>
      <c r="M25" s="533"/>
      <c r="N25" s="229"/>
      <c r="O25" s="229" t="s">
        <v>804</v>
      </c>
      <c r="P25" s="223" t="str">
        <f t="shared" si="6"/>
        <v>Yes</v>
      </c>
      <c r="Q25" s="230"/>
      <c r="R25" s="230"/>
      <c r="S25" s="230" t="s">
        <v>808</v>
      </c>
      <c r="Y25" s="537" t="str">
        <f t="shared" si="7"/>
        <v/>
      </c>
      <c r="Z25" s="537" t="str">
        <f t="shared" si="8"/>
        <v/>
      </c>
      <c r="AA25" s="537" t="e">
        <f t="shared" si="9"/>
        <v>#VALUE!</v>
      </c>
      <c r="AB25" s="537" t="str">
        <f t="shared" si="10"/>
        <v/>
      </c>
      <c r="AC25" s="537" t="str">
        <f t="shared" si="11"/>
        <v/>
      </c>
      <c r="AD25" s="537" t="str">
        <f t="shared" si="12"/>
        <v/>
      </c>
      <c r="AE25" s="537" t="e">
        <f>IF(#REF!&lt;&gt;"",IF(AND(#REF!&gt;#REF!,#REF!&lt;=#REF!*1.05), "Yes",IF(#REF!&gt;#REF!*1.05,"Over","")),"")</f>
        <v>#REF!</v>
      </c>
      <c r="AF25" s="537" t="e">
        <f>IF(#REF!&lt;&gt;"",IF(AND(#REF!&gt;#REF!,#REF!&lt;=#REF!*1.05), "Yes",IF(#REF!&gt;#REF!*1.05,"Over","")),"")</f>
        <v>#REF!</v>
      </c>
      <c r="AG25" s="537" t="e">
        <f>IF(#REF!&lt;&gt;"",IF(AND(#REF!&gt;#REF!,#REF!&lt;=#REF!*1.05), "Yes",IF(#REF!&gt;#REF!*1.05,"Over","")),"")</f>
        <v>#REF!</v>
      </c>
      <c r="AH25" s="537" t="str">
        <f t="shared" si="13"/>
        <v/>
      </c>
      <c r="AI25" s="537">
        <f t="shared" si="15"/>
        <v>0</v>
      </c>
      <c r="AJ25" s="224">
        <f t="shared" si="16"/>
        <v>0</v>
      </c>
    </row>
    <row r="26" spans="2:36" ht="20.100000000000001" customHeight="1">
      <c r="B26" s="524"/>
      <c r="C26" s="956"/>
      <c r="D26" s="958"/>
      <c r="E26" s="969"/>
      <c r="F26" s="971" t="str">
        <f t="shared" si="14"/>
        <v/>
      </c>
      <c r="G26" s="666"/>
      <c r="H26" s="666"/>
      <c r="I26" s="544" t="s">
        <v>1061</v>
      </c>
      <c r="J26" s="791"/>
      <c r="K26" s="532"/>
      <c r="L26" s="532"/>
      <c r="M26" s="533"/>
      <c r="N26" s="229"/>
      <c r="O26" s="229" t="s">
        <v>806</v>
      </c>
      <c r="P26" s="223" t="str">
        <f t="shared" si="6"/>
        <v>Yes</v>
      </c>
      <c r="Q26" s="230"/>
      <c r="R26" s="230"/>
      <c r="S26" s="230" t="s">
        <v>809</v>
      </c>
      <c r="Y26" s="537" t="str">
        <f t="shared" si="7"/>
        <v/>
      </c>
      <c r="Z26" s="537" t="str">
        <f t="shared" si="8"/>
        <v/>
      </c>
      <c r="AA26" s="537" t="e">
        <f t="shared" si="9"/>
        <v>#VALUE!</v>
      </c>
      <c r="AB26" s="537" t="str">
        <f t="shared" si="10"/>
        <v/>
      </c>
      <c r="AC26" s="537" t="str">
        <f t="shared" si="11"/>
        <v/>
      </c>
      <c r="AD26" s="537" t="str">
        <f t="shared" si="12"/>
        <v/>
      </c>
      <c r="AE26" s="537" t="e">
        <f>IF(#REF!&lt;&gt;"",IF(AND(#REF!&gt;#REF!,#REF!&lt;=#REF!*1.05), "Yes",IF(#REF!&gt;#REF!*1.05,"Over","")),"")</f>
        <v>#REF!</v>
      </c>
      <c r="AF26" s="537" t="e">
        <f>IF(#REF!&lt;&gt;"",IF(AND(#REF!&gt;#REF!,#REF!&lt;=#REF!*1.05), "Yes",IF(#REF!&gt;#REF!*1.05,"Over","")),"")</f>
        <v>#REF!</v>
      </c>
      <c r="AG26" s="537" t="e">
        <f>IF(#REF!&lt;&gt;"",IF(AND(#REF!&gt;#REF!,#REF!&lt;=#REF!*1.05), "Yes",IF(#REF!&gt;#REF!*1.05,"Over","")),"")</f>
        <v>#REF!</v>
      </c>
      <c r="AH26" s="537" t="str">
        <f t="shared" si="13"/>
        <v/>
      </c>
      <c r="AI26" s="537">
        <f t="shared" si="15"/>
        <v>0</v>
      </c>
      <c r="AJ26" s="224">
        <f t="shared" si="16"/>
        <v>0</v>
      </c>
    </row>
    <row r="27" spans="2:36" ht="20.100000000000001" customHeight="1">
      <c r="B27" s="524"/>
      <c r="C27" s="955">
        <v>3</v>
      </c>
      <c r="D27" s="957" t="str">
        <f>IF(D12 &lt;&gt; "", D12,"")</f>
        <v/>
      </c>
      <c r="E27" s="968"/>
      <c r="F27" s="970" t="str">
        <f t="shared" ref="F27" si="18">IF(E27&lt;&gt;"",IF($E27&lt;$E$22,"No",IF($E27&lt;$E$22*1.2,"Yes",IF(ISNUMBER(E27),"NOT MET",""))),"")</f>
        <v/>
      </c>
      <c r="G27" s="666"/>
      <c r="H27" s="666"/>
      <c r="I27" s="544" t="s">
        <v>1061</v>
      </c>
      <c r="J27" s="791"/>
      <c r="K27" s="532"/>
      <c r="L27" s="532"/>
      <c r="M27" s="533"/>
      <c r="N27" s="229"/>
      <c r="O27" s="229" t="s">
        <v>804</v>
      </c>
      <c r="P27" s="223" t="str">
        <f t="shared" si="6"/>
        <v>Yes</v>
      </c>
      <c r="Q27" s="458" t="s">
        <v>810</v>
      </c>
      <c r="R27" s="230"/>
      <c r="Y27" s="537" t="str">
        <f t="shared" si="7"/>
        <v/>
      </c>
      <c r="Z27" s="537" t="str">
        <f t="shared" si="8"/>
        <v/>
      </c>
      <c r="AA27" s="537" t="e">
        <f t="shared" si="9"/>
        <v>#VALUE!</v>
      </c>
      <c r="AB27" s="537" t="str">
        <f t="shared" si="10"/>
        <v/>
      </c>
      <c r="AC27" s="537" t="str">
        <f t="shared" si="11"/>
        <v/>
      </c>
      <c r="AD27" s="537" t="str">
        <f t="shared" si="12"/>
        <v/>
      </c>
      <c r="AE27" s="537" t="e">
        <f>IF(#REF!&lt;&gt;"",IF(AND(#REF!&gt;#REF!,#REF!&lt;=#REF!*1.05), "Yes",IF(#REF!&gt;#REF!*1.05,"Over","")),"")</f>
        <v>#REF!</v>
      </c>
      <c r="AF27" s="537" t="e">
        <f>IF(#REF!&lt;&gt;"",IF(AND(#REF!&gt;#REF!,#REF!&lt;=#REF!*1.05), "Yes",IF(#REF!&gt;#REF!*1.05,"Over","")),"")</f>
        <v>#REF!</v>
      </c>
      <c r="AG27" s="537" t="e">
        <f>IF(#REF!&lt;&gt;"",IF(AND(#REF!&gt;#REF!,#REF!&lt;=#REF!*1.05), "Yes",IF(#REF!&gt;#REF!*1.05,"Over","")),"")</f>
        <v>#REF!</v>
      </c>
      <c r="AH27" s="537" t="str">
        <f t="shared" si="13"/>
        <v/>
      </c>
      <c r="AI27" s="537">
        <f t="shared" si="15"/>
        <v>0</v>
      </c>
      <c r="AJ27" s="224">
        <f t="shared" si="16"/>
        <v>0</v>
      </c>
    </row>
    <row r="28" spans="2:36" ht="20.100000000000001" customHeight="1">
      <c r="B28" s="524"/>
      <c r="C28" s="956"/>
      <c r="D28" s="958"/>
      <c r="E28" s="969"/>
      <c r="F28" s="971" t="str">
        <f t="shared" si="14"/>
        <v/>
      </c>
      <c r="G28" s="666"/>
      <c r="H28" s="666"/>
      <c r="I28" s="544" t="s">
        <v>1061</v>
      </c>
      <c r="J28" s="791"/>
      <c r="K28" s="532"/>
      <c r="L28" s="532"/>
      <c r="M28" s="533"/>
      <c r="N28" s="229"/>
      <c r="O28" s="229" t="s">
        <v>806</v>
      </c>
      <c r="P28" s="223" t="str">
        <f t="shared" si="6"/>
        <v>Yes</v>
      </c>
      <c r="Q28" s="458" t="s">
        <v>811</v>
      </c>
      <c r="R28" s="230"/>
      <c r="Y28" s="537" t="str">
        <f t="shared" si="7"/>
        <v/>
      </c>
      <c r="Z28" s="537" t="str">
        <f t="shared" si="8"/>
        <v/>
      </c>
      <c r="AA28" s="537" t="e">
        <f t="shared" si="9"/>
        <v>#VALUE!</v>
      </c>
      <c r="AB28" s="537" t="str">
        <f t="shared" si="10"/>
        <v/>
      </c>
      <c r="AC28" s="537" t="str">
        <f t="shared" si="11"/>
        <v/>
      </c>
      <c r="AD28" s="537" t="str">
        <f t="shared" si="12"/>
        <v/>
      </c>
      <c r="AE28" s="537" t="e">
        <f>IF(#REF!&lt;&gt;"",IF(AND(#REF!&gt;#REF!,#REF!&lt;=#REF!*1.05), "Yes",IF(#REF!&gt;#REF!*1.05,"Over","")),"")</f>
        <v>#REF!</v>
      </c>
      <c r="AF28" s="537" t="e">
        <f>IF(#REF!&lt;&gt;"",IF(AND(#REF!&gt;#REF!,#REF!&lt;=#REF!*1.05), "Yes",IF(#REF!&gt;#REF!*1.05,"Over","")),"")</f>
        <v>#REF!</v>
      </c>
      <c r="AG28" s="537" t="e">
        <f>IF(#REF!&lt;&gt;"",IF(AND(#REF!&gt;#REF!,#REF!&lt;=#REF!*1.05), "Yes",IF(#REF!&gt;#REF!*1.05,"Over","")),"")</f>
        <v>#REF!</v>
      </c>
      <c r="AH28" s="537" t="str">
        <f t="shared" si="13"/>
        <v/>
      </c>
      <c r="AI28" s="537">
        <f t="shared" si="15"/>
        <v>0</v>
      </c>
      <c r="AJ28" s="224">
        <f t="shared" si="16"/>
        <v>0</v>
      </c>
    </row>
    <row r="29" spans="2:36" ht="20.100000000000001" customHeight="1">
      <c r="B29" s="524"/>
      <c r="C29" s="955">
        <v>4</v>
      </c>
      <c r="D29" s="957" t="str">
        <f>IF(D13 &lt;&gt; "", D13,"")</f>
        <v/>
      </c>
      <c r="E29" s="968"/>
      <c r="F29" s="970" t="str">
        <f t="shared" ref="F29" si="19">IF(E29&lt;&gt;"",IF($E29&lt;$E$22,"No",IF($E29&lt;$E$22*1.2,"Yes",IF(ISNUMBER(E29),"NOT MET",""))),"")</f>
        <v/>
      </c>
      <c r="G29" s="666"/>
      <c r="H29" s="666"/>
      <c r="I29" s="544" t="s">
        <v>1061</v>
      </c>
      <c r="J29" s="791"/>
      <c r="K29" s="532"/>
      <c r="L29" s="532"/>
      <c r="M29" s="533"/>
      <c r="N29" s="229"/>
      <c r="O29" s="229" t="s">
        <v>804</v>
      </c>
      <c r="P29" s="223" t="str">
        <f t="shared" si="6"/>
        <v>Yes</v>
      </c>
      <c r="Q29" s="458" t="s">
        <v>812</v>
      </c>
      <c r="R29" s="230"/>
      <c r="Y29" s="537" t="str">
        <f t="shared" si="7"/>
        <v/>
      </c>
      <c r="Z29" s="537" t="str">
        <f t="shared" si="8"/>
        <v/>
      </c>
      <c r="AA29" s="537" t="e">
        <f t="shared" si="9"/>
        <v>#VALUE!</v>
      </c>
      <c r="AB29" s="537" t="str">
        <f t="shared" si="10"/>
        <v/>
      </c>
      <c r="AC29" s="537" t="str">
        <f t="shared" si="11"/>
        <v/>
      </c>
      <c r="AD29" s="537" t="str">
        <f t="shared" si="12"/>
        <v/>
      </c>
      <c r="AE29" s="537" t="e">
        <f>IF(#REF!&lt;&gt;"",IF(AND(#REF!&gt;#REF!,#REF!&lt;=#REF!*1.05), "Yes",IF(#REF!&gt;#REF!*1.05,"Over","")),"")</f>
        <v>#REF!</v>
      </c>
      <c r="AF29" s="537" t="e">
        <f>IF(#REF!&lt;&gt;"",IF(AND(#REF!&gt;#REF!,#REF!&lt;=#REF!*1.05), "Yes",IF(#REF!&gt;#REF!*1.05,"Over","")),"")</f>
        <v>#REF!</v>
      </c>
      <c r="AG29" s="537" t="e">
        <f>IF(#REF!&lt;&gt;"",IF(AND(#REF!&gt;#REF!,#REF!&lt;=#REF!*1.05), "Yes",IF(#REF!&gt;#REF!*1.05,"Over","")),"")</f>
        <v>#REF!</v>
      </c>
      <c r="AH29" s="537" t="str">
        <f t="shared" si="13"/>
        <v/>
      </c>
      <c r="AI29" s="537">
        <f t="shared" si="15"/>
        <v>0</v>
      </c>
      <c r="AJ29" s="224">
        <f t="shared" si="16"/>
        <v>0</v>
      </c>
    </row>
    <row r="30" spans="2:36" ht="20.100000000000001" customHeight="1">
      <c r="B30" s="524"/>
      <c r="C30" s="956"/>
      <c r="D30" s="958"/>
      <c r="E30" s="969"/>
      <c r="F30" s="971" t="str">
        <f t="shared" si="14"/>
        <v/>
      </c>
      <c r="G30" s="666"/>
      <c r="H30" s="666"/>
      <c r="I30" s="544" t="s">
        <v>1061</v>
      </c>
      <c r="J30" s="791"/>
      <c r="K30" s="532"/>
      <c r="L30" s="532"/>
      <c r="M30" s="533"/>
      <c r="N30" s="229"/>
      <c r="O30" s="229" t="s">
        <v>806</v>
      </c>
      <c r="P30" s="223" t="str">
        <f t="shared" si="6"/>
        <v>Yes</v>
      </c>
      <c r="Q30" s="231"/>
      <c r="Y30" s="537" t="str">
        <f t="shared" si="7"/>
        <v/>
      </c>
      <c r="Z30" s="537" t="str">
        <f t="shared" si="8"/>
        <v/>
      </c>
      <c r="AA30" s="537" t="e">
        <f t="shared" si="9"/>
        <v>#VALUE!</v>
      </c>
      <c r="AB30" s="537" t="str">
        <f t="shared" si="10"/>
        <v/>
      </c>
      <c r="AC30" s="537" t="str">
        <f t="shared" si="11"/>
        <v/>
      </c>
      <c r="AD30" s="537" t="str">
        <f t="shared" si="12"/>
        <v/>
      </c>
      <c r="AE30" s="537" t="e">
        <f>IF(#REF!&lt;&gt;"",IF(AND(#REF!&gt;#REF!,#REF!&lt;=#REF!*1.05), "Yes",IF(#REF!&gt;#REF!*1.05,"Over","")),"")</f>
        <v>#REF!</v>
      </c>
      <c r="AF30" s="537" t="e">
        <f>IF(#REF!&lt;&gt;"",IF(AND(#REF!&gt;#REF!,#REF!&lt;=#REF!*1.05), "Yes",IF(#REF!&gt;#REF!*1.05,"Over","")),"")</f>
        <v>#REF!</v>
      </c>
      <c r="AG30" s="537" t="e">
        <f>IF(#REF!&lt;&gt;"",IF(AND(#REF!&gt;#REF!,#REF!&lt;=#REF!*1.05), "Yes",IF(#REF!&gt;#REF!*1.05,"Over","")),"")</f>
        <v>#REF!</v>
      </c>
      <c r="AH30" s="537" t="str">
        <f t="shared" si="13"/>
        <v/>
      </c>
      <c r="AI30" s="537">
        <f t="shared" si="15"/>
        <v>0</v>
      </c>
      <c r="AJ30" s="224">
        <f t="shared" si="16"/>
        <v>0</v>
      </c>
    </row>
    <row r="31" spans="2:36" ht="20.100000000000001" customHeight="1">
      <c r="B31" s="524"/>
      <c r="C31" s="955">
        <v>5</v>
      </c>
      <c r="D31" s="957" t="str">
        <f>IF(D14 &lt;&gt; "", D14,"")</f>
        <v/>
      </c>
      <c r="E31" s="968"/>
      <c r="F31" s="970" t="str">
        <f t="shared" ref="F31" si="20">IF(E31&lt;&gt;"",IF($E31&lt;$E$22,"No",IF($E31&lt;$E$22*1.2,"Yes",IF(ISNUMBER(E31),"NOT MET",""))),"")</f>
        <v/>
      </c>
      <c r="G31" s="666"/>
      <c r="H31" s="793"/>
      <c r="I31" s="544" t="s">
        <v>1061</v>
      </c>
      <c r="J31" s="791"/>
      <c r="K31" s="532"/>
      <c r="L31" s="532"/>
      <c r="M31" s="533"/>
      <c r="N31" s="229"/>
      <c r="O31" s="229" t="s">
        <v>804</v>
      </c>
      <c r="P31" s="223" t="str">
        <f t="shared" si="6"/>
        <v>Yes</v>
      </c>
      <c r="Y31" s="537" t="str">
        <f t="shared" si="7"/>
        <v/>
      </c>
      <c r="Z31" s="537" t="str">
        <f t="shared" si="8"/>
        <v/>
      </c>
      <c r="AA31" s="537" t="e">
        <f t="shared" si="9"/>
        <v>#VALUE!</v>
      </c>
      <c r="AB31" s="537" t="str">
        <f t="shared" si="10"/>
        <v/>
      </c>
      <c r="AC31" s="537" t="str">
        <f t="shared" si="11"/>
        <v/>
      </c>
      <c r="AD31" s="537" t="str">
        <f t="shared" si="12"/>
        <v/>
      </c>
      <c r="AE31" s="537" t="e">
        <f>IF(#REF!&lt;&gt;"",IF(AND(#REF!&gt;#REF!,#REF!&lt;=#REF!*1.05), "Yes",IF(#REF!&gt;#REF!*1.05,"Over","")),"")</f>
        <v>#REF!</v>
      </c>
      <c r="AF31" s="537" t="e">
        <f>IF(#REF!&lt;&gt;"",IF(AND(#REF!&gt;#REF!,#REF!&lt;=#REF!*1.05), "Yes",IF(#REF!&gt;#REF!*1.05,"Over","")),"")</f>
        <v>#REF!</v>
      </c>
      <c r="AG31" s="537" t="e">
        <f>IF(#REF!&lt;&gt;"",IF(AND(#REF!&gt;#REF!,#REF!&lt;=#REF!*1.05), "Yes",IF(#REF!&gt;#REF!*1.05,"Over","")),"")</f>
        <v>#REF!</v>
      </c>
      <c r="AH31" s="537" t="str">
        <f t="shared" si="13"/>
        <v/>
      </c>
      <c r="AI31" s="537">
        <f t="shared" si="15"/>
        <v>0</v>
      </c>
      <c r="AJ31" s="224">
        <f t="shared" si="16"/>
        <v>0</v>
      </c>
    </row>
    <row r="32" spans="2:36" ht="20.100000000000001" customHeight="1">
      <c r="B32" s="524"/>
      <c r="C32" s="956"/>
      <c r="D32" s="958"/>
      <c r="E32" s="969"/>
      <c r="F32" s="971" t="str">
        <f t="shared" si="14"/>
        <v/>
      </c>
      <c r="G32" s="666"/>
      <c r="H32" s="666"/>
      <c r="I32" s="544" t="s">
        <v>1061</v>
      </c>
      <c r="J32" s="791"/>
      <c r="K32" s="532"/>
      <c r="L32" s="532"/>
      <c r="M32" s="533"/>
      <c r="N32" s="229"/>
      <c r="O32" s="229" t="s">
        <v>806</v>
      </c>
      <c r="P32" s="223" t="str">
        <f t="shared" si="6"/>
        <v>Yes</v>
      </c>
      <c r="Y32" s="537" t="str">
        <f t="shared" si="7"/>
        <v/>
      </c>
      <c r="Z32" s="537" t="str">
        <f t="shared" si="8"/>
        <v/>
      </c>
      <c r="AA32" s="537" t="e">
        <f t="shared" si="9"/>
        <v>#VALUE!</v>
      </c>
      <c r="AB32" s="537" t="str">
        <f t="shared" si="10"/>
        <v/>
      </c>
      <c r="AC32" s="537" t="str">
        <f t="shared" si="11"/>
        <v/>
      </c>
      <c r="AD32" s="537" t="str">
        <f t="shared" si="12"/>
        <v/>
      </c>
      <c r="AE32" s="537" t="e">
        <f>IF(#REF!&lt;&gt;"",IF(AND(#REF!&gt;#REF!,#REF!&lt;=#REF!*1.05), "Yes",IF(#REF!&gt;#REF!*1.05,"Over","")),"")</f>
        <v>#REF!</v>
      </c>
      <c r="AF32" s="537" t="e">
        <f>IF(#REF!&lt;&gt;"",IF(AND(#REF!&gt;#REF!,#REF!&lt;=#REF!*1.05), "Yes",IF(#REF!&gt;#REF!*1.05,"Over","")),"")</f>
        <v>#REF!</v>
      </c>
      <c r="AG32" s="537" t="e">
        <f>IF(#REF!&lt;&gt;"",IF(AND(#REF!&gt;#REF!,#REF!&lt;=#REF!*1.05), "Yes",IF(#REF!&gt;#REF!*1.05,"Over","")),"")</f>
        <v>#REF!</v>
      </c>
      <c r="AH32" s="537" t="str">
        <f t="shared" si="13"/>
        <v/>
      </c>
      <c r="AI32" s="537">
        <f t="shared" si="15"/>
        <v>0</v>
      </c>
      <c r="AJ32" s="224">
        <f t="shared" si="16"/>
        <v>0</v>
      </c>
    </row>
    <row r="33" spans="2:36" ht="20.100000000000001" customHeight="1">
      <c r="B33" s="524"/>
      <c r="C33" s="955">
        <v>6</v>
      </c>
      <c r="D33" s="957" t="str">
        <f>IF(D15 &lt;&gt; "", D15,"")</f>
        <v/>
      </c>
      <c r="E33" s="968"/>
      <c r="F33" s="970" t="str">
        <f t="shared" ref="F33" si="21">IF(E33&lt;&gt;"",IF($E33&lt;$E$22,"No",IF($E33&lt;$E$22*1.2,"Yes",IF(ISNUMBER(E33),"NOT MET",""))),"")</f>
        <v/>
      </c>
      <c r="G33" s="666"/>
      <c r="H33" s="666"/>
      <c r="I33" s="544" t="s">
        <v>1061</v>
      </c>
      <c r="J33" s="791"/>
      <c r="K33" s="532"/>
      <c r="L33" s="532"/>
      <c r="M33" s="533"/>
      <c r="N33" s="229"/>
      <c r="O33" s="229" t="s">
        <v>804</v>
      </c>
      <c r="P33" s="223" t="str">
        <f t="shared" si="6"/>
        <v>Yes</v>
      </c>
      <c r="Y33" s="537" t="str">
        <f t="shared" si="7"/>
        <v/>
      </c>
      <c r="Z33" s="537" t="str">
        <f t="shared" si="8"/>
        <v/>
      </c>
      <c r="AA33" s="537" t="e">
        <f t="shared" si="9"/>
        <v>#VALUE!</v>
      </c>
      <c r="AB33" s="537" t="str">
        <f t="shared" si="10"/>
        <v/>
      </c>
      <c r="AC33" s="537" t="str">
        <f t="shared" si="11"/>
        <v/>
      </c>
      <c r="AD33" s="537" t="str">
        <f t="shared" si="12"/>
        <v/>
      </c>
      <c r="AE33" s="537" t="e">
        <f>IF(#REF!&lt;&gt;"",IF(AND(#REF!&gt;#REF!,#REF!&lt;=#REF!*1.05), "Yes",IF(#REF!&gt;#REF!*1.05,"Over","")),"")</f>
        <v>#REF!</v>
      </c>
      <c r="AF33" s="537" t="e">
        <f>IF(#REF!&lt;&gt;"",IF(AND(#REF!&gt;#REF!,#REF!&lt;=#REF!*1.05), "Yes",IF(#REF!&gt;#REF!*1.05,"Over","")),"")</f>
        <v>#REF!</v>
      </c>
      <c r="AG33" s="537" t="e">
        <f>IF(#REF!&lt;&gt;"",IF(AND(#REF!&gt;#REF!,#REF!&lt;=#REF!*1.05), "Yes",IF(#REF!&gt;#REF!*1.05,"Over","")),"")</f>
        <v>#REF!</v>
      </c>
      <c r="AH33" s="537" t="str">
        <f t="shared" si="13"/>
        <v/>
      </c>
      <c r="AI33" s="537">
        <f t="shared" si="15"/>
        <v>0</v>
      </c>
      <c r="AJ33" s="224">
        <f t="shared" si="16"/>
        <v>0</v>
      </c>
    </row>
    <row r="34" spans="2:36" ht="20.100000000000001" customHeight="1">
      <c r="B34" s="524"/>
      <c r="C34" s="956"/>
      <c r="D34" s="958"/>
      <c r="E34" s="969"/>
      <c r="F34" s="971" t="str">
        <f t="shared" si="14"/>
        <v/>
      </c>
      <c r="G34" s="666"/>
      <c r="H34" s="666"/>
      <c r="I34" s="544" t="s">
        <v>1061</v>
      </c>
      <c r="J34" s="791"/>
      <c r="K34" s="532"/>
      <c r="L34" s="532"/>
      <c r="M34" s="533"/>
      <c r="N34" s="229"/>
      <c r="O34" s="229" t="s">
        <v>806</v>
      </c>
      <c r="P34" s="223" t="str">
        <f t="shared" si="6"/>
        <v>Yes</v>
      </c>
      <c r="Y34" s="537" t="str">
        <f t="shared" si="7"/>
        <v/>
      </c>
      <c r="Z34" s="537" t="str">
        <f t="shared" si="8"/>
        <v/>
      </c>
      <c r="AA34" s="537" t="e">
        <f t="shared" si="9"/>
        <v>#VALUE!</v>
      </c>
      <c r="AB34" s="537" t="str">
        <f t="shared" si="10"/>
        <v/>
      </c>
      <c r="AC34" s="537" t="str">
        <f t="shared" si="11"/>
        <v/>
      </c>
      <c r="AD34" s="537" t="str">
        <f t="shared" si="12"/>
        <v/>
      </c>
      <c r="AE34" s="537" t="e">
        <f>IF(#REF!&lt;&gt;"",IF(AND(#REF!&gt;#REF!,#REF!&lt;=#REF!*1.05), "Yes",IF(#REF!&gt;#REF!*1.05,"Over","")),"")</f>
        <v>#REF!</v>
      </c>
      <c r="AF34" s="537" t="e">
        <f>IF(#REF!&lt;&gt;"",IF(AND(#REF!&gt;#REF!,#REF!&lt;=#REF!*1.05), "Yes",IF(#REF!&gt;#REF!*1.05,"Over","")),"")</f>
        <v>#REF!</v>
      </c>
      <c r="AG34" s="537" t="e">
        <f>IF(#REF!&lt;&gt;"",IF(AND(#REF!&gt;#REF!,#REF!&lt;=#REF!*1.05), "Yes",IF(#REF!&gt;#REF!*1.05,"Over","")),"")</f>
        <v>#REF!</v>
      </c>
      <c r="AH34" s="537" t="str">
        <f t="shared" si="13"/>
        <v/>
      </c>
      <c r="AI34" s="537">
        <f t="shared" si="15"/>
        <v>0</v>
      </c>
      <c r="AJ34" s="224">
        <f t="shared" si="16"/>
        <v>0</v>
      </c>
    </row>
    <row r="35" spans="2:36" ht="20.100000000000001" customHeight="1">
      <c r="B35" s="524"/>
      <c r="C35" s="955">
        <v>7</v>
      </c>
      <c r="D35" s="957" t="str">
        <f>IF(D16 &lt;&gt; "", D16,"")</f>
        <v/>
      </c>
      <c r="E35" s="968"/>
      <c r="F35" s="970" t="str">
        <f t="shared" ref="F35" si="22">IF(E35&lt;&gt;"",IF($E35&lt;$E$22,"No",IF($E35&lt;$E$22*1.2,"Yes",IF(ISNUMBER(E35),"NOT MET",""))),"")</f>
        <v/>
      </c>
      <c r="G35" s="666"/>
      <c r="H35" s="666"/>
      <c r="I35" s="544" t="s">
        <v>1061</v>
      </c>
      <c r="J35" s="791"/>
      <c r="K35" s="532"/>
      <c r="L35" s="532"/>
      <c r="M35" s="533"/>
      <c r="N35" s="229"/>
      <c r="O35" s="229" t="s">
        <v>804</v>
      </c>
      <c r="P35" s="223" t="str">
        <f t="shared" si="6"/>
        <v>Yes</v>
      </c>
      <c r="Y35" s="537" t="str">
        <f t="shared" si="7"/>
        <v/>
      </c>
      <c r="Z35" s="537" t="str">
        <f t="shared" si="8"/>
        <v/>
      </c>
      <c r="AA35" s="537" t="e">
        <f t="shared" si="9"/>
        <v>#VALUE!</v>
      </c>
      <c r="AB35" s="537" t="str">
        <f t="shared" si="10"/>
        <v/>
      </c>
      <c r="AC35" s="537" t="str">
        <f t="shared" si="11"/>
        <v/>
      </c>
      <c r="AD35" s="537" t="str">
        <f t="shared" si="12"/>
        <v/>
      </c>
      <c r="AE35" s="537" t="e">
        <f>IF(#REF!&lt;&gt;"",IF(AND(#REF!&gt;#REF!,#REF!&lt;=#REF!*1.05), "Yes",IF(#REF!&gt;#REF!*1.05,"Over","")),"")</f>
        <v>#REF!</v>
      </c>
      <c r="AF35" s="537" t="e">
        <f>IF(#REF!&lt;&gt;"",IF(AND(#REF!&gt;#REF!,#REF!&lt;=#REF!*1.05), "Yes",IF(#REF!&gt;#REF!*1.05,"Over","")),"")</f>
        <v>#REF!</v>
      </c>
      <c r="AG35" s="537" t="e">
        <f>IF(#REF!&lt;&gt;"",IF(AND(#REF!&gt;#REF!,#REF!&lt;=#REF!*1.05), "Yes",IF(#REF!&gt;#REF!*1.05,"Over","")),"")</f>
        <v>#REF!</v>
      </c>
      <c r="AH35" s="537" t="str">
        <f t="shared" si="13"/>
        <v/>
      </c>
      <c r="AI35" s="537">
        <f t="shared" si="15"/>
        <v>0</v>
      </c>
      <c r="AJ35" s="224">
        <f t="shared" si="16"/>
        <v>0</v>
      </c>
    </row>
    <row r="36" spans="2:36" ht="20.100000000000001" customHeight="1">
      <c r="B36" s="524"/>
      <c r="C36" s="956"/>
      <c r="D36" s="958"/>
      <c r="E36" s="969"/>
      <c r="F36" s="971" t="str">
        <f t="shared" si="14"/>
        <v/>
      </c>
      <c r="G36" s="666"/>
      <c r="H36" s="666"/>
      <c r="I36" s="544" t="s">
        <v>1061</v>
      </c>
      <c r="J36" s="791"/>
      <c r="K36" s="532"/>
      <c r="L36" s="532"/>
      <c r="M36" s="533"/>
      <c r="N36" s="229"/>
      <c r="O36" s="229" t="s">
        <v>806</v>
      </c>
      <c r="P36" s="223" t="str">
        <f t="shared" si="6"/>
        <v>Yes</v>
      </c>
      <c r="Y36" s="537" t="str">
        <f t="shared" si="7"/>
        <v/>
      </c>
      <c r="Z36" s="537" t="str">
        <f t="shared" si="8"/>
        <v/>
      </c>
      <c r="AA36" s="537" t="e">
        <f t="shared" si="9"/>
        <v>#VALUE!</v>
      </c>
      <c r="AB36" s="537" t="str">
        <f t="shared" si="10"/>
        <v/>
      </c>
      <c r="AC36" s="537" t="str">
        <f t="shared" si="11"/>
        <v/>
      </c>
      <c r="AD36" s="537" t="str">
        <f t="shared" si="12"/>
        <v/>
      </c>
      <c r="AE36" s="537" t="e">
        <f>IF(#REF!&lt;&gt;"",IF(AND(#REF!&gt;#REF!,#REF!&lt;=#REF!*1.05), "Yes",IF(#REF!&gt;#REF!*1.05,"Over","")),"")</f>
        <v>#REF!</v>
      </c>
      <c r="AF36" s="537" t="e">
        <f>IF(#REF!&lt;&gt;"",IF(AND(#REF!&gt;#REF!,#REF!&lt;=#REF!*1.05), "Yes",IF(#REF!&gt;#REF!*1.05,"Over","")),"")</f>
        <v>#REF!</v>
      </c>
      <c r="AG36" s="537" t="e">
        <f>IF(#REF!&lt;&gt;"",IF(AND(#REF!&gt;#REF!,#REF!&lt;=#REF!*1.05), "Yes",IF(#REF!&gt;#REF!*1.05,"Over","")),"")</f>
        <v>#REF!</v>
      </c>
      <c r="AH36" s="537" t="str">
        <f t="shared" si="13"/>
        <v/>
      </c>
      <c r="AI36" s="537">
        <f t="shared" si="15"/>
        <v>0</v>
      </c>
      <c r="AJ36" s="224">
        <f t="shared" si="16"/>
        <v>0</v>
      </c>
    </row>
    <row r="37" spans="2:36" ht="20.100000000000001" customHeight="1">
      <c r="B37" s="524"/>
      <c r="C37" s="955">
        <v>8</v>
      </c>
      <c r="D37" s="957" t="str">
        <f>IF(D17 &lt;&gt; "", D17,"")</f>
        <v/>
      </c>
      <c r="E37" s="968"/>
      <c r="F37" s="970" t="str">
        <f t="shared" ref="F37" si="23">IF(E37&lt;&gt;"",IF($E37&lt;$E$22,"No",IF($E37&lt;$E$22*1.2,"Yes",IF(ISNUMBER(E37),"NOT MET",""))),"")</f>
        <v/>
      </c>
      <c r="G37" s="666"/>
      <c r="H37" s="666"/>
      <c r="I37" s="544" t="s">
        <v>1061</v>
      </c>
      <c r="J37" s="791"/>
      <c r="K37" s="532"/>
      <c r="L37" s="532"/>
      <c r="M37" s="533"/>
      <c r="N37" s="229"/>
      <c r="O37" s="229" t="s">
        <v>804</v>
      </c>
      <c r="P37" s="223" t="str">
        <f t="shared" si="6"/>
        <v>Yes</v>
      </c>
      <c r="Y37" s="537" t="str">
        <f t="shared" si="7"/>
        <v/>
      </c>
      <c r="Z37" s="537" t="str">
        <f t="shared" si="8"/>
        <v/>
      </c>
      <c r="AA37" s="537" t="e">
        <f t="shared" si="9"/>
        <v>#VALUE!</v>
      </c>
      <c r="AB37" s="537" t="str">
        <f t="shared" si="10"/>
        <v/>
      </c>
      <c r="AC37" s="537" t="str">
        <f t="shared" si="11"/>
        <v/>
      </c>
      <c r="AD37" s="537" t="str">
        <f t="shared" si="12"/>
        <v/>
      </c>
      <c r="AE37" s="537" t="e">
        <f>IF(#REF!&lt;&gt;"",IF(AND(#REF!&gt;#REF!,#REF!&lt;=#REF!*1.05), "Yes",IF(#REF!&gt;#REF!*1.05,"Over","")),"")</f>
        <v>#REF!</v>
      </c>
      <c r="AF37" s="537" t="e">
        <f>IF(#REF!&lt;&gt;"",IF(AND(#REF!&gt;#REF!,#REF!&lt;=#REF!*1.05), "Yes",IF(#REF!&gt;#REF!*1.05,"Over","")),"")</f>
        <v>#REF!</v>
      </c>
      <c r="AG37" s="537" t="e">
        <f>IF(#REF!&lt;&gt;"",IF(AND(#REF!&gt;#REF!,#REF!&lt;=#REF!*1.05), "Yes",IF(#REF!&gt;#REF!*1.05,"Over","")),"")</f>
        <v>#REF!</v>
      </c>
      <c r="AH37" s="537" t="str">
        <f t="shared" si="13"/>
        <v/>
      </c>
      <c r="AI37" s="537">
        <f t="shared" si="15"/>
        <v>0</v>
      </c>
      <c r="AJ37" s="224">
        <f t="shared" si="16"/>
        <v>0</v>
      </c>
    </row>
    <row r="38" spans="2:36" ht="20.100000000000001" customHeight="1">
      <c r="B38" s="524"/>
      <c r="C38" s="956"/>
      <c r="D38" s="958"/>
      <c r="E38" s="969"/>
      <c r="F38" s="971" t="str">
        <f t="shared" si="14"/>
        <v/>
      </c>
      <c r="G38" s="666"/>
      <c r="H38" s="666"/>
      <c r="I38" s="544" t="s">
        <v>1061</v>
      </c>
      <c r="J38" s="791"/>
      <c r="K38" s="532"/>
      <c r="L38" s="532"/>
      <c r="M38" s="533"/>
      <c r="N38" s="229"/>
      <c r="O38" s="229" t="s">
        <v>806</v>
      </c>
      <c r="P38" s="223" t="str">
        <f t="shared" si="6"/>
        <v>Yes</v>
      </c>
      <c r="Y38" s="537" t="str">
        <f t="shared" si="7"/>
        <v/>
      </c>
      <c r="Z38" s="537" t="str">
        <f t="shared" si="8"/>
        <v/>
      </c>
      <c r="AA38" s="537" t="e">
        <f t="shared" si="9"/>
        <v>#VALUE!</v>
      </c>
      <c r="AB38" s="537" t="str">
        <f t="shared" si="10"/>
        <v/>
      </c>
      <c r="AC38" s="537" t="str">
        <f t="shared" si="11"/>
        <v/>
      </c>
      <c r="AD38" s="537" t="str">
        <f t="shared" si="12"/>
        <v/>
      </c>
      <c r="AE38" s="537" t="e">
        <f>IF(#REF!&lt;&gt;"",IF(AND(#REF!&gt;#REF!,#REF!&lt;=#REF!*1.05), "Yes",IF(#REF!&gt;#REF!*1.05,"Over","")),"")</f>
        <v>#REF!</v>
      </c>
      <c r="AF38" s="537" t="e">
        <f>IF(#REF!&lt;&gt;"",IF(AND(#REF!&gt;#REF!,#REF!&lt;=#REF!*1.05), "Yes",IF(#REF!&gt;#REF!*1.05,"Over","")),"")</f>
        <v>#REF!</v>
      </c>
      <c r="AG38" s="537" t="e">
        <f>IF(#REF!&lt;&gt;"",IF(AND(#REF!&gt;#REF!,#REF!&lt;=#REF!*1.05), "Yes",IF(#REF!&gt;#REF!*1.05,"Over","")),"")</f>
        <v>#REF!</v>
      </c>
      <c r="AH38" s="537" t="str">
        <f t="shared" si="13"/>
        <v/>
      </c>
      <c r="AI38" s="537">
        <f t="shared" si="15"/>
        <v>0</v>
      </c>
      <c r="AJ38" s="224">
        <f t="shared" si="16"/>
        <v>0</v>
      </c>
    </row>
    <row r="39" spans="2:36" ht="20.100000000000001" customHeight="1">
      <c r="B39" s="524"/>
      <c r="C39" s="955">
        <v>9</v>
      </c>
      <c r="D39" s="961" t="str">
        <f>IF(D18 &lt;&gt; "", D18,"")</f>
        <v/>
      </c>
      <c r="E39" s="962"/>
      <c r="F39" s="963" t="str">
        <f t="shared" ref="F39" si="24">IF(E39&lt;&gt;"",IF($E39&lt;$E$22,"No",IF($E39&lt;$E$22*1.2,"Yes",IF(ISNUMBER(E39),"NOT MET",""))),"")</f>
        <v/>
      </c>
      <c r="G39" s="666"/>
      <c r="H39" s="666"/>
      <c r="I39" s="544" t="s">
        <v>1061</v>
      </c>
      <c r="J39" s="791"/>
      <c r="K39" s="532"/>
      <c r="L39" s="532"/>
      <c r="M39" s="533"/>
      <c r="N39" s="229"/>
      <c r="O39" s="229" t="s">
        <v>804</v>
      </c>
      <c r="P39" s="223" t="str">
        <f t="shared" si="6"/>
        <v>Yes</v>
      </c>
      <c r="Y39" s="537" t="str">
        <f t="shared" si="7"/>
        <v/>
      </c>
      <c r="Z39" s="537" t="str">
        <f t="shared" si="8"/>
        <v/>
      </c>
      <c r="AA39" s="537" t="e">
        <f t="shared" si="9"/>
        <v>#VALUE!</v>
      </c>
      <c r="AB39" s="537" t="str">
        <f t="shared" si="10"/>
        <v/>
      </c>
      <c r="AC39" s="537" t="str">
        <f t="shared" si="11"/>
        <v/>
      </c>
      <c r="AD39" s="537" t="str">
        <f t="shared" si="12"/>
        <v/>
      </c>
      <c r="AE39" s="537" t="e">
        <f>IF(#REF!&lt;&gt;"",IF(AND(#REF!&gt;#REF!,#REF!&lt;=#REF!*1.05), "Yes",IF(#REF!&gt;#REF!*1.05,"Over","")),"")</f>
        <v>#REF!</v>
      </c>
      <c r="AF39" s="537" t="e">
        <f>IF(#REF!&lt;&gt;"",IF(AND(#REF!&gt;#REF!,#REF!&lt;=#REF!*1.05), "Yes",IF(#REF!&gt;#REF!*1.05,"Over","")),"")</f>
        <v>#REF!</v>
      </c>
      <c r="AG39" s="537" t="e">
        <f>IF(#REF!&lt;&gt;"",IF(AND(#REF!&gt;#REF!,#REF!&lt;=#REF!*1.05), "Yes",IF(#REF!&gt;#REF!*1.05,"Over","")),"")</f>
        <v>#REF!</v>
      </c>
      <c r="AH39" s="537" t="str">
        <f t="shared" si="13"/>
        <v/>
      </c>
      <c r="AI39" s="537">
        <f t="shared" si="15"/>
        <v>0</v>
      </c>
      <c r="AJ39" s="224">
        <f t="shared" si="16"/>
        <v>0</v>
      </c>
    </row>
    <row r="40" spans="2:36" ht="20.100000000000001" customHeight="1">
      <c r="B40" s="524"/>
      <c r="C40" s="956"/>
      <c r="D40" s="961"/>
      <c r="E40" s="962"/>
      <c r="F40" s="963" t="str">
        <f t="shared" si="14"/>
        <v/>
      </c>
      <c r="G40" s="666"/>
      <c r="H40" s="666"/>
      <c r="I40" s="544" t="s">
        <v>1061</v>
      </c>
      <c r="J40" s="791"/>
      <c r="K40" s="532"/>
      <c r="L40" s="532"/>
      <c r="M40" s="533"/>
      <c r="N40" s="229"/>
      <c r="O40" s="229" t="s">
        <v>806</v>
      </c>
      <c r="P40" s="223" t="str">
        <f t="shared" si="6"/>
        <v>Yes</v>
      </c>
      <c r="Y40" s="537" t="str">
        <f t="shared" si="7"/>
        <v/>
      </c>
      <c r="Z40" s="537" t="str">
        <f t="shared" si="8"/>
        <v/>
      </c>
      <c r="AA40" s="537" t="e">
        <f t="shared" si="9"/>
        <v>#VALUE!</v>
      </c>
      <c r="AB40" s="537" t="str">
        <f t="shared" si="10"/>
        <v/>
      </c>
      <c r="AC40" s="537" t="str">
        <f t="shared" si="11"/>
        <v/>
      </c>
      <c r="AD40" s="537" t="str">
        <f t="shared" si="12"/>
        <v/>
      </c>
      <c r="AE40" s="537" t="e">
        <f>IF(#REF!&lt;&gt;"",IF(AND(#REF!&gt;#REF!,#REF!&lt;=#REF!*1.05), "Yes",IF(#REF!&gt;#REF!*1.05,"Over","")),"")</f>
        <v>#REF!</v>
      </c>
      <c r="AF40" s="537" t="e">
        <f>IF(#REF!&lt;&gt;"",IF(AND(#REF!&gt;#REF!,#REF!&lt;=#REF!*1.05), "Yes",IF(#REF!&gt;#REF!*1.05,"Over","")),"")</f>
        <v>#REF!</v>
      </c>
      <c r="AG40" s="537" t="e">
        <f>IF(#REF!&lt;&gt;"",IF(AND(#REF!&gt;#REF!,#REF!&lt;=#REF!*1.05), "Yes",IF(#REF!&gt;#REF!*1.05,"Over","")),"")</f>
        <v>#REF!</v>
      </c>
      <c r="AH40" s="537" t="str">
        <f t="shared" si="13"/>
        <v/>
      </c>
      <c r="AI40" s="537">
        <f t="shared" si="15"/>
        <v>0</v>
      </c>
      <c r="AJ40" s="224">
        <f t="shared" si="16"/>
        <v>0</v>
      </c>
    </row>
    <row r="41" spans="2:36" ht="20.100000000000001" customHeight="1">
      <c r="B41" s="524"/>
      <c r="C41" s="955">
        <v>10</v>
      </c>
      <c r="D41" s="961" t="str">
        <f>IF(D19 &lt;&gt; "", D19,"")</f>
        <v/>
      </c>
      <c r="E41" s="962"/>
      <c r="F41" s="963" t="str">
        <f t="shared" ref="F41" si="25">IF(E41&lt;&gt;"",IF($E41&lt;$E$22,"No",IF($E41&lt;$E$22*1.2,"Yes",IF(ISNUMBER(E41),"NOT MET",""))),"")</f>
        <v/>
      </c>
      <c r="G41" s="666"/>
      <c r="H41" s="666"/>
      <c r="I41" s="544" t="s">
        <v>1061</v>
      </c>
      <c r="J41" s="791"/>
      <c r="K41" s="532"/>
      <c r="L41" s="532"/>
      <c r="M41" s="533"/>
      <c r="N41" s="229"/>
      <c r="O41" s="229" t="s">
        <v>804</v>
      </c>
      <c r="P41" s="223" t="str">
        <f t="shared" si="6"/>
        <v>Yes</v>
      </c>
      <c r="Y41" s="537" t="str">
        <f t="shared" si="7"/>
        <v/>
      </c>
      <c r="Z41" s="537" t="str">
        <f t="shared" si="8"/>
        <v/>
      </c>
      <c r="AA41" s="537" t="e">
        <f t="shared" si="9"/>
        <v>#VALUE!</v>
      </c>
      <c r="AB41" s="537" t="str">
        <f t="shared" si="10"/>
        <v/>
      </c>
      <c r="AC41" s="537" t="str">
        <f t="shared" si="11"/>
        <v/>
      </c>
      <c r="AD41" s="537" t="str">
        <f t="shared" si="12"/>
        <v/>
      </c>
      <c r="AE41" s="537" t="e">
        <f>IF(#REF!&lt;&gt;"",IF(AND(#REF!&gt;#REF!,#REF!&lt;=#REF!*1.05), "Yes",IF(#REF!&gt;#REF!*1.05,"Over","")),"")</f>
        <v>#REF!</v>
      </c>
      <c r="AF41" s="537" t="e">
        <f>IF(#REF!&lt;&gt;"",IF(AND(#REF!&gt;#REF!,#REF!&lt;=#REF!*1.05), "Yes",IF(#REF!&gt;#REF!*1.05,"Over","")),"")</f>
        <v>#REF!</v>
      </c>
      <c r="AG41" s="537" t="e">
        <f>IF(#REF!&lt;&gt;"",IF(AND(#REF!&gt;#REF!,#REF!&lt;=#REF!*1.05), "Yes",IF(#REF!&gt;#REF!*1.05,"Over","")),"")</f>
        <v>#REF!</v>
      </c>
      <c r="AH41" s="537" t="str">
        <f t="shared" si="13"/>
        <v/>
      </c>
      <c r="AI41" s="537">
        <f t="shared" si="15"/>
        <v>0</v>
      </c>
      <c r="AJ41" s="224">
        <f t="shared" si="16"/>
        <v>0</v>
      </c>
    </row>
    <row r="42" spans="2:36" ht="20.100000000000001" customHeight="1">
      <c r="B42" s="524"/>
      <c r="C42" s="956"/>
      <c r="D42" s="961"/>
      <c r="E42" s="962"/>
      <c r="F42" s="963" t="str">
        <f t="shared" si="14"/>
        <v/>
      </c>
      <c r="G42" s="666"/>
      <c r="H42" s="666"/>
      <c r="I42" s="544" t="s">
        <v>1061</v>
      </c>
      <c r="J42" s="791"/>
      <c r="K42" s="532"/>
      <c r="L42" s="532"/>
      <c r="M42" s="533"/>
      <c r="N42" s="229"/>
      <c r="O42" s="229" t="s">
        <v>806</v>
      </c>
      <c r="P42" s="223" t="str">
        <f t="shared" si="6"/>
        <v>Yes</v>
      </c>
      <c r="Y42" s="537" t="str">
        <f t="shared" si="7"/>
        <v/>
      </c>
      <c r="Z42" s="537" t="str">
        <f t="shared" si="8"/>
        <v/>
      </c>
      <c r="AA42" s="537" t="e">
        <f t="shared" si="9"/>
        <v>#VALUE!</v>
      </c>
      <c r="AB42" s="537" t="str">
        <f t="shared" si="10"/>
        <v/>
      </c>
      <c r="AC42" s="537" t="str">
        <f t="shared" si="11"/>
        <v/>
      </c>
      <c r="AD42" s="537" t="str">
        <f t="shared" si="12"/>
        <v/>
      </c>
      <c r="AE42" s="537" t="e">
        <f>IF(#REF!&lt;&gt;"",IF(AND(#REF!&gt;#REF!,#REF!&lt;=#REF!*1.05), "Yes",IF(#REF!&gt;#REF!*1.05,"Over","")),"")</f>
        <v>#REF!</v>
      </c>
      <c r="AF42" s="537" t="e">
        <f>IF(#REF!&lt;&gt;"",IF(AND(#REF!&gt;#REF!,#REF!&lt;=#REF!*1.05), "Yes",IF(#REF!&gt;#REF!*1.05,"Over","")),"")</f>
        <v>#REF!</v>
      </c>
      <c r="AG42" s="537" t="e">
        <f>IF(#REF!&lt;&gt;"",IF(AND(#REF!&gt;#REF!,#REF!&lt;=#REF!*1.05), "Yes",IF(#REF!&gt;#REF!*1.05,"Over","")),"")</f>
        <v>#REF!</v>
      </c>
      <c r="AH42" s="537" t="str">
        <f t="shared" si="13"/>
        <v/>
      </c>
      <c r="AI42" s="537">
        <f t="shared" si="15"/>
        <v>0</v>
      </c>
      <c r="AJ42" s="224">
        <f t="shared" si="16"/>
        <v>0</v>
      </c>
    </row>
    <row r="43" spans="2:36" ht="20.100000000000001" customHeight="1" thickBot="1">
      <c r="B43" s="524"/>
      <c r="C43" s="538" t="s">
        <v>813</v>
      </c>
      <c r="D43" s="679"/>
      <c r="E43" s="964"/>
      <c r="F43" s="965"/>
      <c r="G43" s="649"/>
      <c r="H43" s="649"/>
      <c r="I43" s="534"/>
      <c r="J43" s="534"/>
      <c r="K43" s="534"/>
      <c r="L43" s="534"/>
      <c r="M43" s="535"/>
      <c r="N43" s="540"/>
      <c r="O43" s="540" t="s">
        <v>814</v>
      </c>
      <c r="P43" s="223" t="s">
        <v>1061</v>
      </c>
      <c r="Q43" s="540"/>
      <c r="R43" s="540"/>
      <c r="Y43" s="537" t="str">
        <f t="shared" si="7"/>
        <v/>
      </c>
      <c r="Z43" s="537" t="str">
        <f t="shared" si="8"/>
        <v/>
      </c>
      <c r="AA43" s="537" t="str">
        <f t="shared" si="9"/>
        <v/>
      </c>
      <c r="AB43" s="537" t="str">
        <f t="shared" si="10"/>
        <v/>
      </c>
      <c r="AC43" s="537" t="str">
        <f t="shared" si="11"/>
        <v/>
      </c>
      <c r="AD43" s="537" t="str">
        <f t="shared" si="12"/>
        <v/>
      </c>
      <c r="AE43" s="537" t="e">
        <f>IF(#REF!&lt;&gt;"",IF(AND(#REF!&gt;#REF!,#REF!&lt;=#REF!*1.05), "Yes",IF(#REF!&gt;#REF!*1.05,"Over","")),"")</f>
        <v>#REF!</v>
      </c>
      <c r="AF43" s="537" t="e">
        <f>IF(#REF!&lt;&gt;"",IF(AND(#REF!&gt;#REF!,#REF!&lt;=#REF!*1.05), "Yes",IF(#REF!&gt;#REF!*1.05,"Over","")),"")</f>
        <v>#REF!</v>
      </c>
      <c r="AG43" s="537" t="e">
        <f>IF(#REF!&lt;&gt;"",IF(AND(#REF!&gt;#REF!,#REF!&lt;=#REF!*1.05), "Yes",IF(#REF!&gt;#REF!*1.05,"Over","")),"")</f>
        <v>#REF!</v>
      </c>
      <c r="AH43" s="537" t="str">
        <f t="shared" si="13"/>
        <v/>
      </c>
      <c r="AI43" s="537">
        <f t="shared" si="15"/>
        <v>0</v>
      </c>
      <c r="AJ43" s="224">
        <f t="shared" si="16"/>
        <v>0</v>
      </c>
    </row>
    <row r="44" spans="2:36" ht="24" customHeight="1" thickBot="1">
      <c r="B44" s="524"/>
      <c r="C44" s="939" t="s">
        <v>825</v>
      </c>
      <c r="D44" s="939"/>
      <c r="E44" s="939"/>
      <c r="F44" s="939"/>
      <c r="G44" s="939"/>
      <c r="H44" s="939"/>
      <c r="I44" s="939"/>
      <c r="J44" s="939"/>
      <c r="K44" s="939"/>
      <c r="L44" s="939"/>
      <c r="M44" s="940"/>
      <c r="P44" s="223" t="s">
        <v>1061</v>
      </c>
    </row>
    <row r="45" spans="2:36" ht="49.95" customHeight="1">
      <c r="B45" s="524"/>
      <c r="C45" s="525"/>
      <c r="D45" s="526" t="str">
        <f>D$8</f>
        <v>Location Name</v>
      </c>
      <c r="E45" s="941" t="s">
        <v>826</v>
      </c>
      <c r="F45" s="942"/>
      <c r="G45" s="232" t="s">
        <v>827</v>
      </c>
      <c r="H45" s="232" t="s">
        <v>785</v>
      </c>
      <c r="I45" s="232" t="s">
        <v>786</v>
      </c>
      <c r="J45" s="527"/>
      <c r="K45" s="527"/>
      <c r="L45" s="527"/>
      <c r="M45" s="528"/>
      <c r="P45" s="223" t="s">
        <v>1061</v>
      </c>
      <c r="Y45" s="223"/>
    </row>
    <row r="46" spans="2:36" ht="24" customHeight="1">
      <c r="B46" s="524"/>
      <c r="C46" s="678" t="str">
        <f>C$9</f>
        <v>Measurement</v>
      </c>
      <c r="D46" s="529" t="s">
        <v>788</v>
      </c>
      <c r="E46" s="943">
        <v>9</v>
      </c>
      <c r="F46" s="944"/>
      <c r="G46" s="530">
        <v>51</v>
      </c>
      <c r="H46" s="531" t="str">
        <f>_xlfn.CONCAT("Ozone: ",G46*1.05)</f>
        <v>Ozone: 53.55</v>
      </c>
      <c r="I46" s="531" t="s">
        <v>789</v>
      </c>
      <c r="J46" s="532"/>
      <c r="K46" s="532"/>
      <c r="L46" s="532"/>
      <c r="M46" s="533"/>
      <c r="P46" s="223" t="s">
        <v>1061</v>
      </c>
      <c r="Y46" s="550" t="s">
        <v>828</v>
      </c>
      <c r="Z46" s="223"/>
      <c r="AA46" s="223"/>
      <c r="AB46" s="223"/>
      <c r="AC46" s="223"/>
    </row>
    <row r="47" spans="2:36" ht="20.100000000000001" customHeight="1">
      <c r="B47" s="524"/>
      <c r="C47" s="574">
        <v>1</v>
      </c>
      <c r="D47" s="684" t="str">
        <f>IF(D10 &lt;&gt; "", D10,"")</f>
        <v/>
      </c>
      <c r="E47" s="937"/>
      <c r="F47" s="938"/>
      <c r="G47" s="666"/>
      <c r="H47" s="539" t="str">
        <f>IF(D47&lt;&gt;"",IF(ISNUMBER($G47),IF($G47&lt;$G$46,"No",IF($G47&lt;$G$46*1.05,"Yes","Over")),"No"),"")</f>
        <v/>
      </c>
      <c r="I47" s="578"/>
      <c r="J47" s="532"/>
      <c r="K47" s="532"/>
      <c r="L47" s="532"/>
      <c r="M47" s="533"/>
      <c r="P47" s="223" t="str">
        <f t="shared" ref="P47:P56" si="26">IF(D47&lt;&gt;"","No","Yes")</f>
        <v>Yes</v>
      </c>
      <c r="Y47" s="550" t="str">
        <f t="shared" ref="Y47:Y56" si="27">IF($G47&lt;&gt;"",IF(AND($G47&gt;=G$46,$G47&lt;$G$46*1.05), "Yes",""),"")</f>
        <v/>
      </c>
      <c r="Z47" s="223"/>
      <c r="AA47" s="223"/>
      <c r="AB47" s="223"/>
      <c r="AC47" s="223"/>
    </row>
    <row r="48" spans="2:36" ht="20.100000000000001" customHeight="1">
      <c r="B48" s="524"/>
      <c r="C48" s="574">
        <v>2</v>
      </c>
      <c r="D48" s="684" t="str">
        <f t="shared" ref="D48:D56" si="28">IF(D11 &lt;&gt; "", D11,"")</f>
        <v/>
      </c>
      <c r="E48" s="937"/>
      <c r="F48" s="938"/>
      <c r="G48" s="666"/>
      <c r="H48" s="539" t="str">
        <f t="shared" ref="H48:H56" si="29">IF(D48&lt;&gt;"",IF(ISNUMBER($G48),IF($G48&lt;$G$46,"No",IF($G48&lt;$G$46*1.05,"Yes","Over")),"No"),"")</f>
        <v/>
      </c>
      <c r="I48" s="578"/>
      <c r="J48" s="532"/>
      <c r="K48" s="532"/>
      <c r="L48" s="532"/>
      <c r="M48" s="533"/>
      <c r="P48" s="223" t="str">
        <f t="shared" si="26"/>
        <v>Yes</v>
      </c>
      <c r="Y48" s="550" t="str">
        <f t="shared" si="27"/>
        <v/>
      </c>
      <c r="Z48" s="223"/>
      <c r="AA48" s="223"/>
      <c r="AB48" s="223"/>
      <c r="AC48" s="223"/>
    </row>
    <row r="49" spans="1:29" ht="20.100000000000001" customHeight="1">
      <c r="B49" s="524"/>
      <c r="C49" s="574">
        <v>3</v>
      </c>
      <c r="D49" s="684" t="str">
        <f t="shared" si="28"/>
        <v/>
      </c>
      <c r="E49" s="937"/>
      <c r="F49" s="938"/>
      <c r="G49" s="666"/>
      <c r="H49" s="539" t="str">
        <f t="shared" si="29"/>
        <v/>
      </c>
      <c r="I49" s="578"/>
      <c r="J49" s="532"/>
      <c r="K49" s="532"/>
      <c r="L49" s="532"/>
      <c r="M49" s="533"/>
      <c r="P49" s="223" t="str">
        <f t="shared" si="26"/>
        <v>Yes</v>
      </c>
      <c r="Y49" s="550" t="str">
        <f t="shared" si="27"/>
        <v/>
      </c>
      <c r="Z49" s="223"/>
      <c r="AA49" s="223"/>
      <c r="AB49" s="223"/>
      <c r="AC49" s="223"/>
    </row>
    <row r="50" spans="1:29" ht="20.100000000000001" customHeight="1">
      <c r="B50" s="524"/>
      <c r="C50" s="574">
        <v>4</v>
      </c>
      <c r="D50" s="684" t="str">
        <f t="shared" si="28"/>
        <v/>
      </c>
      <c r="E50" s="937"/>
      <c r="F50" s="938"/>
      <c r="G50" s="666"/>
      <c r="H50" s="539" t="str">
        <f t="shared" si="29"/>
        <v/>
      </c>
      <c r="I50" s="578"/>
      <c r="J50" s="532"/>
      <c r="K50" s="532"/>
      <c r="L50" s="532"/>
      <c r="M50" s="533"/>
      <c r="P50" s="223" t="str">
        <f t="shared" si="26"/>
        <v>Yes</v>
      </c>
      <c r="Y50" s="550" t="str">
        <f t="shared" si="27"/>
        <v/>
      </c>
      <c r="Z50" s="223"/>
      <c r="AA50" s="223"/>
      <c r="AB50" s="223"/>
      <c r="AC50" s="223"/>
    </row>
    <row r="51" spans="1:29" ht="20.100000000000001" customHeight="1">
      <c r="B51" s="524"/>
      <c r="C51" s="574">
        <v>5</v>
      </c>
      <c r="D51" s="684" t="str">
        <f t="shared" si="28"/>
        <v/>
      </c>
      <c r="E51" s="937"/>
      <c r="F51" s="938"/>
      <c r="G51" s="666"/>
      <c r="H51" s="539" t="str">
        <f t="shared" si="29"/>
        <v/>
      </c>
      <c r="I51" s="578"/>
      <c r="J51" s="532"/>
      <c r="K51" s="532"/>
      <c r="L51" s="532"/>
      <c r="M51" s="533"/>
      <c r="P51" s="223" t="str">
        <f t="shared" si="26"/>
        <v>Yes</v>
      </c>
      <c r="Y51" s="550" t="str">
        <f t="shared" si="27"/>
        <v/>
      </c>
      <c r="Z51" s="223"/>
      <c r="AA51" s="223"/>
      <c r="AB51" s="223"/>
      <c r="AC51" s="223"/>
    </row>
    <row r="52" spans="1:29" ht="20.100000000000001" customHeight="1">
      <c r="B52" s="524"/>
      <c r="C52" s="574">
        <v>6</v>
      </c>
      <c r="D52" s="684" t="str">
        <f t="shared" si="28"/>
        <v/>
      </c>
      <c r="E52" s="937"/>
      <c r="F52" s="938"/>
      <c r="G52" s="666"/>
      <c r="H52" s="539" t="str">
        <f t="shared" si="29"/>
        <v/>
      </c>
      <c r="I52" s="578"/>
      <c r="J52" s="532"/>
      <c r="K52" s="532"/>
      <c r="L52" s="532"/>
      <c r="M52" s="533"/>
      <c r="P52" s="223" t="str">
        <f t="shared" si="26"/>
        <v>Yes</v>
      </c>
      <c r="Y52" s="550" t="str">
        <f t="shared" si="27"/>
        <v/>
      </c>
      <c r="Z52" s="223"/>
      <c r="AA52" s="223"/>
      <c r="AB52" s="223"/>
      <c r="AC52" s="223"/>
    </row>
    <row r="53" spans="1:29" ht="20.100000000000001" customHeight="1">
      <c r="B53" s="524"/>
      <c r="C53" s="574">
        <v>7</v>
      </c>
      <c r="D53" s="684" t="str">
        <f t="shared" si="28"/>
        <v/>
      </c>
      <c r="E53" s="937"/>
      <c r="F53" s="938"/>
      <c r="G53" s="666"/>
      <c r="H53" s="539" t="str">
        <f t="shared" si="29"/>
        <v/>
      </c>
      <c r="I53" s="578"/>
      <c r="J53" s="532"/>
      <c r="K53" s="532"/>
      <c r="L53" s="532"/>
      <c r="M53" s="533"/>
      <c r="P53" s="223" t="str">
        <f t="shared" si="26"/>
        <v>Yes</v>
      </c>
      <c r="Y53" s="550" t="str">
        <f t="shared" si="27"/>
        <v/>
      </c>
      <c r="Z53" s="223"/>
      <c r="AA53" s="223"/>
      <c r="AB53" s="223"/>
      <c r="AC53" s="223"/>
    </row>
    <row r="54" spans="1:29" ht="20.100000000000001" customHeight="1">
      <c r="B54" s="524"/>
      <c r="C54" s="574">
        <v>8</v>
      </c>
      <c r="D54" s="684" t="str">
        <f t="shared" si="28"/>
        <v/>
      </c>
      <c r="E54" s="937"/>
      <c r="F54" s="938"/>
      <c r="G54" s="666"/>
      <c r="H54" s="539" t="str">
        <f t="shared" si="29"/>
        <v/>
      </c>
      <c r="I54" s="578"/>
      <c r="J54" s="532"/>
      <c r="K54" s="532"/>
      <c r="L54" s="532"/>
      <c r="M54" s="533"/>
      <c r="P54" s="223" t="str">
        <f t="shared" si="26"/>
        <v>Yes</v>
      </c>
      <c r="Y54" s="550" t="str">
        <f t="shared" si="27"/>
        <v/>
      </c>
      <c r="Z54" s="223"/>
      <c r="AA54" s="223"/>
      <c r="AB54" s="223"/>
      <c r="AC54" s="223"/>
    </row>
    <row r="55" spans="1:29" ht="20.100000000000001" customHeight="1">
      <c r="B55" s="524"/>
      <c r="C55" s="574">
        <v>9</v>
      </c>
      <c r="D55" s="684" t="str">
        <f t="shared" si="28"/>
        <v/>
      </c>
      <c r="E55" s="937"/>
      <c r="F55" s="938"/>
      <c r="G55" s="666"/>
      <c r="H55" s="539" t="str">
        <f t="shared" si="29"/>
        <v/>
      </c>
      <c r="I55" s="578"/>
      <c r="J55" s="532"/>
      <c r="K55" s="532"/>
      <c r="L55" s="532"/>
      <c r="M55" s="533"/>
      <c r="P55" s="223" t="str">
        <f t="shared" si="26"/>
        <v>Yes</v>
      </c>
      <c r="Y55" s="550" t="str">
        <f t="shared" si="27"/>
        <v/>
      </c>
      <c r="Z55" s="223"/>
      <c r="AA55" s="223"/>
      <c r="AB55" s="223"/>
      <c r="AC55" s="223"/>
    </row>
    <row r="56" spans="1:29" ht="20.100000000000001" customHeight="1" thickBot="1">
      <c r="B56" s="524"/>
      <c r="C56" s="576">
        <v>10</v>
      </c>
      <c r="D56" s="685" t="str">
        <f t="shared" si="28"/>
        <v/>
      </c>
      <c r="E56" s="935"/>
      <c r="F56" s="936"/>
      <c r="G56" s="667"/>
      <c r="H56" s="547" t="str">
        <f t="shared" si="29"/>
        <v/>
      </c>
      <c r="I56" s="579"/>
      <c r="J56" s="534"/>
      <c r="K56" s="534"/>
      <c r="L56" s="534"/>
      <c r="M56" s="535"/>
      <c r="P56" s="223" t="str">
        <f t="shared" si="26"/>
        <v>Yes</v>
      </c>
      <c r="Y56" s="550" t="str">
        <f t="shared" si="27"/>
        <v/>
      </c>
      <c r="Z56" s="223"/>
      <c r="AA56" s="223"/>
      <c r="AB56" s="223"/>
      <c r="AC56" s="223"/>
    </row>
    <row r="57" spans="1:29" ht="24" customHeight="1" thickBot="1">
      <c r="A57" s="551"/>
      <c r="B57" s="524"/>
      <c r="C57" s="939" t="s">
        <v>829</v>
      </c>
      <c r="D57" s="939"/>
      <c r="E57" s="939"/>
      <c r="F57" s="939"/>
      <c r="G57" s="939"/>
      <c r="H57" s="939"/>
      <c r="I57" s="939"/>
      <c r="J57" s="939"/>
      <c r="K57" s="939"/>
      <c r="L57" s="939"/>
      <c r="M57" s="940"/>
      <c r="P57" s="223" t="str">
        <f>IF(D60="","Yes","No")</f>
        <v>Yes</v>
      </c>
      <c r="Y57" s="223"/>
      <c r="Z57" s="223"/>
      <c r="AA57" s="223"/>
      <c r="AB57" s="223"/>
      <c r="AC57" s="223"/>
    </row>
    <row r="58" spans="1:29" ht="49.95" customHeight="1">
      <c r="A58" s="551"/>
      <c r="B58" s="524"/>
      <c r="C58" s="525"/>
      <c r="D58" s="526" t="str">
        <f>D$8</f>
        <v>Location Name</v>
      </c>
      <c r="E58" s="941" t="s">
        <v>830</v>
      </c>
      <c r="F58" s="942"/>
      <c r="G58" s="232" t="s">
        <v>831</v>
      </c>
      <c r="H58" s="232" t="s">
        <v>785</v>
      </c>
      <c r="I58" s="232" t="s">
        <v>785</v>
      </c>
      <c r="J58" s="232" t="s">
        <v>786</v>
      </c>
      <c r="K58" s="232" t="s">
        <v>832</v>
      </c>
      <c r="L58" s="552"/>
      <c r="M58" s="554"/>
      <c r="P58" s="223" t="str">
        <f>IF(D60="","Yes","No")</f>
        <v>Yes</v>
      </c>
      <c r="Y58" s="555" t="s">
        <v>833</v>
      </c>
      <c r="Z58" s="555" t="s">
        <v>834</v>
      </c>
      <c r="AA58" s="555" t="s">
        <v>835</v>
      </c>
      <c r="AB58" s="555" t="s">
        <v>836</v>
      </c>
      <c r="AC58" s="223"/>
    </row>
    <row r="59" spans="1:29" ht="24" customHeight="1">
      <c r="A59" s="551"/>
      <c r="B59" s="524"/>
      <c r="C59" s="678" t="str">
        <f>C$9</f>
        <v>Measurement</v>
      </c>
      <c r="D59" s="529" t="s">
        <v>788</v>
      </c>
      <c r="E59" s="951" t="s">
        <v>837</v>
      </c>
      <c r="F59" s="952"/>
      <c r="G59" s="556" t="s">
        <v>838</v>
      </c>
      <c r="H59" s="531" t="s">
        <v>839</v>
      </c>
      <c r="I59" s="531" t="s">
        <v>840</v>
      </c>
      <c r="J59" s="531" t="s">
        <v>789</v>
      </c>
      <c r="K59" s="227" t="s">
        <v>841</v>
      </c>
      <c r="L59" s="557"/>
      <c r="M59" s="559"/>
      <c r="P59" s="223" t="str">
        <f>IF(D60="","Yes","No")</f>
        <v>Yes</v>
      </c>
      <c r="Y59" s="550">
        <v>12</v>
      </c>
      <c r="Z59" s="550">
        <v>10</v>
      </c>
      <c r="AA59" s="550">
        <v>30</v>
      </c>
      <c r="AB59" s="550">
        <v>20</v>
      </c>
      <c r="AC59" s="550" t="s">
        <v>842</v>
      </c>
    </row>
    <row r="60" spans="1:29" ht="20.100000000000001" customHeight="1">
      <c r="A60" s="551"/>
      <c r="B60" s="524"/>
      <c r="C60" s="574">
        <v>1</v>
      </c>
      <c r="D60" s="684"/>
      <c r="E60" s="945"/>
      <c r="F60" s="946"/>
      <c r="G60" s="642"/>
      <c r="H60" s="228" t="str">
        <f t="shared" ref="H60:H69" si="30">IF(D60&lt;&gt;"",IF(_xlfn.CONCAT(IF($K60=2,"No",IF($K60=1,IF(SUM($Y60)&gt;1,"Yes","No"),"No")),IF($K60=1,"/No",IF($K60=2,IF(SUM($Z60)&gt;1,"/Yes","/No"),"/No")))="No/No","No/No",_xlfn.CONCAT(IF($K60=2,"No",IF($K60=1,IF(SUM($Y60)&gt;1,"Yes","No"),"No")),IF($K60=1,"/No",IF($K60=2,IF(SUM($Z60)&gt;1,"/Yes","/No"),"/No")))),"")</f>
        <v/>
      </c>
      <c r="I60" s="228" t="str">
        <f t="shared" ref="I60:I69" si="31">IF(D60&lt;&gt;"",IF(_xlfn.CONCAT(IF($K60=2,"No",IF($K60=1,IF(SUM($AA60)&gt;1,"Yes","No"),"No")),IF($K60=1,"/No",IF($K60=2,IF(SUM($AB60)&gt;1,"/Yes","/No"),"/No")))="No/No","No/No",_xlfn.CONCAT(IF($K60=2,"No",IF($K60=1,IF(SUM($AA60)&gt;1,"Yes","No"),"No")),IF($K60=1,"/No",IF($K60=2,IF(SUM($AB60)&gt;1,"/Yes","/No"),"/No")))),"")</f>
        <v/>
      </c>
      <c r="J60" s="578" t="str">
        <f t="shared" ref="J60:J69" si="32">IF(AND(E60&lt;&gt;"",G60&lt;&gt;""), IF(K60=2,IF(AND(E60&lt;Z$59*1.2,G60&lt;AB$59*1.2),"MET","NOT MET"),IF(K60=1,IF(AND(E60&lt;Y$59*1.2,G60&lt;AA$59*1.2),"MET","NOT MET"),"")),"")</f>
        <v/>
      </c>
      <c r="K60" s="544">
        <f>MIN(AC$60:AC$69)</f>
        <v>0</v>
      </c>
      <c r="L60" s="557"/>
      <c r="M60" s="559"/>
      <c r="P60" s="223" t="str">
        <f t="shared" ref="P60:P69" si="33">IF(D60="","Yes","No")</f>
        <v>Yes</v>
      </c>
      <c r="Y60" s="550" t="str">
        <f t="shared" ref="Y60:Y69" si="34">IF(AND($E60&lt;&gt;"",$D60&lt;&gt;""),IF(AND($E60&gt;=$Y$59,$E60&lt;$Y$59*1.2), $Y$59*1.2,""),"")</f>
        <v/>
      </c>
      <c r="Z60" s="550" t="str">
        <f t="shared" ref="Z60:Z69" si="35">IF(AND($E60&lt;&gt;"",$D60&lt;&gt;""),IF(AND($E60&gt;=$Z$59,$E60&lt;$Z$59*1.2), $Z$59*1.2,""),"")</f>
        <v/>
      </c>
      <c r="AA60" s="550" t="str">
        <f t="shared" ref="AA60:AB69" si="36">IF($G60&lt;&gt;"",IF(AND($G60&gt;=AA$59,$G60&lt;AA$59*1.2), AA$59*1.2,""),"")</f>
        <v/>
      </c>
      <c r="AB60" s="550" t="str">
        <f t="shared" si="36"/>
        <v/>
      </c>
      <c r="AC60" s="550" t="str">
        <f t="shared" ref="AC60:AC69" si="37">IF(AND(E60&lt;&gt;"",G60&lt;&gt;""),IF(AND($E60&lt;$Z$59*1.2,$G60&lt;$AB$59*1.2),2,1),"")</f>
        <v/>
      </c>
    </row>
    <row r="61" spans="1:29" ht="20.100000000000001" customHeight="1">
      <c r="A61" s="551"/>
      <c r="B61" s="524"/>
      <c r="C61" s="574">
        <v>2</v>
      </c>
      <c r="D61" s="684"/>
      <c r="E61" s="945"/>
      <c r="F61" s="946"/>
      <c r="G61" s="642"/>
      <c r="H61" s="228" t="str">
        <f t="shared" si="30"/>
        <v/>
      </c>
      <c r="I61" s="228" t="str">
        <f t="shared" si="31"/>
        <v/>
      </c>
      <c r="J61" s="578" t="str">
        <f t="shared" si="32"/>
        <v/>
      </c>
      <c r="K61" s="544">
        <f t="shared" ref="K61:K69" si="38">MIN(AC$60:AC$69)</f>
        <v>0</v>
      </c>
      <c r="L61" s="557"/>
      <c r="M61" s="559"/>
      <c r="P61" s="223" t="str">
        <f t="shared" si="33"/>
        <v>Yes</v>
      </c>
      <c r="Y61" s="550" t="str">
        <f t="shared" si="34"/>
        <v/>
      </c>
      <c r="Z61" s="550" t="str">
        <f t="shared" si="35"/>
        <v/>
      </c>
      <c r="AA61" s="550" t="str">
        <f t="shared" si="36"/>
        <v/>
      </c>
      <c r="AB61" s="550" t="str">
        <f t="shared" si="36"/>
        <v/>
      </c>
      <c r="AC61" s="550" t="str">
        <f t="shared" si="37"/>
        <v/>
      </c>
    </row>
    <row r="62" spans="1:29" ht="20.100000000000001" customHeight="1">
      <c r="A62" s="551"/>
      <c r="B62" s="524"/>
      <c r="C62" s="574">
        <v>3</v>
      </c>
      <c r="D62" s="684"/>
      <c r="E62" s="945"/>
      <c r="F62" s="946"/>
      <c r="G62" s="642"/>
      <c r="H62" s="228" t="str">
        <f t="shared" si="30"/>
        <v/>
      </c>
      <c r="I62" s="228" t="str">
        <f t="shared" si="31"/>
        <v/>
      </c>
      <c r="J62" s="578" t="str">
        <f t="shared" si="32"/>
        <v/>
      </c>
      <c r="K62" s="544">
        <f t="shared" si="38"/>
        <v>0</v>
      </c>
      <c r="L62" s="557"/>
      <c r="M62" s="559"/>
      <c r="P62" s="223" t="str">
        <f t="shared" si="33"/>
        <v>Yes</v>
      </c>
      <c r="Y62" s="550" t="str">
        <f t="shared" si="34"/>
        <v/>
      </c>
      <c r="Z62" s="550" t="str">
        <f t="shared" si="35"/>
        <v/>
      </c>
      <c r="AA62" s="550" t="str">
        <f t="shared" si="36"/>
        <v/>
      </c>
      <c r="AB62" s="550" t="str">
        <f t="shared" si="36"/>
        <v/>
      </c>
      <c r="AC62" s="550" t="str">
        <f t="shared" si="37"/>
        <v/>
      </c>
    </row>
    <row r="63" spans="1:29" ht="20.100000000000001" customHeight="1">
      <c r="A63" s="551"/>
      <c r="B63" s="524"/>
      <c r="C63" s="574">
        <v>4</v>
      </c>
      <c r="D63" s="684"/>
      <c r="E63" s="945"/>
      <c r="F63" s="946"/>
      <c r="G63" s="642"/>
      <c r="H63" s="228" t="str">
        <f t="shared" si="30"/>
        <v/>
      </c>
      <c r="I63" s="228" t="str">
        <f t="shared" si="31"/>
        <v/>
      </c>
      <c r="J63" s="578" t="str">
        <f t="shared" si="32"/>
        <v/>
      </c>
      <c r="K63" s="544">
        <f t="shared" si="38"/>
        <v>0</v>
      </c>
      <c r="L63" s="557"/>
      <c r="M63" s="559"/>
      <c r="P63" s="223" t="str">
        <f t="shared" si="33"/>
        <v>Yes</v>
      </c>
      <c r="Y63" s="550" t="str">
        <f t="shared" si="34"/>
        <v/>
      </c>
      <c r="Z63" s="550" t="str">
        <f t="shared" si="35"/>
        <v/>
      </c>
      <c r="AA63" s="550" t="str">
        <f t="shared" si="36"/>
        <v/>
      </c>
      <c r="AB63" s="550" t="str">
        <f t="shared" si="36"/>
        <v/>
      </c>
      <c r="AC63" s="550" t="str">
        <f t="shared" si="37"/>
        <v/>
      </c>
    </row>
    <row r="64" spans="1:29" ht="20.100000000000001" customHeight="1">
      <c r="A64" s="551"/>
      <c r="B64" s="524"/>
      <c r="C64" s="574">
        <v>5</v>
      </c>
      <c r="D64" s="684"/>
      <c r="E64" s="945"/>
      <c r="F64" s="946"/>
      <c r="G64" s="642"/>
      <c r="H64" s="228" t="str">
        <f t="shared" si="30"/>
        <v/>
      </c>
      <c r="I64" s="233" t="str">
        <f t="shared" si="31"/>
        <v/>
      </c>
      <c r="J64" s="578" t="str">
        <f t="shared" si="32"/>
        <v/>
      </c>
      <c r="K64" s="544">
        <f t="shared" si="38"/>
        <v>0</v>
      </c>
      <c r="L64" s="557"/>
      <c r="M64" s="559"/>
      <c r="P64" s="223" t="str">
        <f t="shared" si="33"/>
        <v>Yes</v>
      </c>
      <c r="Y64" s="550" t="str">
        <f t="shared" si="34"/>
        <v/>
      </c>
      <c r="Z64" s="550" t="str">
        <f t="shared" si="35"/>
        <v/>
      </c>
      <c r="AA64" s="550" t="str">
        <f t="shared" si="36"/>
        <v/>
      </c>
      <c r="AB64" s="550" t="str">
        <f t="shared" si="36"/>
        <v/>
      </c>
      <c r="AC64" s="550" t="str">
        <f t="shared" si="37"/>
        <v/>
      </c>
    </row>
    <row r="65" spans="1:29" ht="20.100000000000001" customHeight="1">
      <c r="A65" s="551"/>
      <c r="B65" s="524"/>
      <c r="C65" s="574">
        <v>6</v>
      </c>
      <c r="D65" s="684"/>
      <c r="E65" s="945"/>
      <c r="F65" s="946"/>
      <c r="G65" s="642"/>
      <c r="H65" s="228" t="str">
        <f t="shared" si="30"/>
        <v/>
      </c>
      <c r="I65" s="228" t="str">
        <f t="shared" si="31"/>
        <v/>
      </c>
      <c r="J65" s="578" t="str">
        <f t="shared" si="32"/>
        <v/>
      </c>
      <c r="K65" s="544">
        <f t="shared" si="38"/>
        <v>0</v>
      </c>
      <c r="L65" s="557"/>
      <c r="M65" s="559"/>
      <c r="P65" s="223" t="str">
        <f t="shared" si="33"/>
        <v>Yes</v>
      </c>
      <c r="Y65" s="550" t="str">
        <f t="shared" si="34"/>
        <v/>
      </c>
      <c r="Z65" s="550" t="str">
        <f t="shared" si="35"/>
        <v/>
      </c>
      <c r="AA65" s="550" t="str">
        <f t="shared" si="36"/>
        <v/>
      </c>
      <c r="AB65" s="550" t="str">
        <f t="shared" si="36"/>
        <v/>
      </c>
      <c r="AC65" s="550" t="str">
        <f t="shared" si="37"/>
        <v/>
      </c>
    </row>
    <row r="66" spans="1:29" ht="20.100000000000001" customHeight="1">
      <c r="A66" s="551"/>
      <c r="B66" s="524"/>
      <c r="C66" s="574">
        <v>7</v>
      </c>
      <c r="D66" s="684"/>
      <c r="E66" s="945"/>
      <c r="F66" s="946"/>
      <c r="G66" s="642"/>
      <c r="H66" s="228" t="str">
        <f t="shared" si="30"/>
        <v/>
      </c>
      <c r="I66" s="228" t="str">
        <f t="shared" si="31"/>
        <v/>
      </c>
      <c r="J66" s="578" t="str">
        <f t="shared" si="32"/>
        <v/>
      </c>
      <c r="K66" s="544">
        <f t="shared" si="38"/>
        <v>0</v>
      </c>
      <c r="L66" s="557"/>
      <c r="M66" s="559"/>
      <c r="P66" s="223" t="str">
        <f t="shared" si="33"/>
        <v>Yes</v>
      </c>
      <c r="Y66" s="550" t="str">
        <f t="shared" si="34"/>
        <v/>
      </c>
      <c r="Z66" s="550" t="str">
        <f t="shared" si="35"/>
        <v/>
      </c>
      <c r="AA66" s="550" t="str">
        <f t="shared" si="36"/>
        <v/>
      </c>
      <c r="AB66" s="550" t="str">
        <f t="shared" si="36"/>
        <v/>
      </c>
      <c r="AC66" s="550" t="str">
        <f t="shared" si="37"/>
        <v/>
      </c>
    </row>
    <row r="67" spans="1:29" ht="20.100000000000001" customHeight="1">
      <c r="A67" s="551"/>
      <c r="B67" s="524"/>
      <c r="C67" s="574">
        <v>8</v>
      </c>
      <c r="D67" s="684"/>
      <c r="E67" s="945"/>
      <c r="F67" s="946"/>
      <c r="G67" s="642"/>
      <c r="H67" s="228" t="str">
        <f t="shared" si="30"/>
        <v/>
      </c>
      <c r="I67" s="228" t="str">
        <f t="shared" si="31"/>
        <v/>
      </c>
      <c r="J67" s="578" t="str">
        <f t="shared" si="32"/>
        <v/>
      </c>
      <c r="K67" s="544">
        <f t="shared" si="38"/>
        <v>0</v>
      </c>
      <c r="L67" s="557"/>
      <c r="M67" s="559"/>
      <c r="P67" s="223" t="str">
        <f t="shared" si="33"/>
        <v>Yes</v>
      </c>
      <c r="Y67" s="550" t="str">
        <f t="shared" si="34"/>
        <v/>
      </c>
      <c r="Z67" s="550" t="str">
        <f t="shared" si="35"/>
        <v/>
      </c>
      <c r="AA67" s="550" t="str">
        <f t="shared" si="36"/>
        <v/>
      </c>
      <c r="AB67" s="550" t="str">
        <f t="shared" si="36"/>
        <v/>
      </c>
      <c r="AC67" s="550" t="str">
        <f t="shared" si="37"/>
        <v/>
      </c>
    </row>
    <row r="68" spans="1:29" ht="20.100000000000001" customHeight="1">
      <c r="A68" s="551"/>
      <c r="B68" s="524"/>
      <c r="C68" s="574">
        <v>9</v>
      </c>
      <c r="D68" s="684"/>
      <c r="E68" s="945"/>
      <c r="F68" s="946"/>
      <c r="G68" s="642"/>
      <c r="H68" s="228" t="str">
        <f t="shared" si="30"/>
        <v/>
      </c>
      <c r="I68" s="228" t="str">
        <f t="shared" si="31"/>
        <v/>
      </c>
      <c r="J68" s="578" t="str">
        <f t="shared" si="32"/>
        <v/>
      </c>
      <c r="K68" s="544">
        <f t="shared" si="38"/>
        <v>0</v>
      </c>
      <c r="L68" s="557"/>
      <c r="M68" s="559"/>
      <c r="P68" s="223" t="str">
        <f t="shared" si="33"/>
        <v>Yes</v>
      </c>
      <c r="Y68" s="550" t="str">
        <f t="shared" si="34"/>
        <v/>
      </c>
      <c r="Z68" s="550" t="str">
        <f t="shared" si="35"/>
        <v/>
      </c>
      <c r="AA68" s="550" t="str">
        <f t="shared" si="36"/>
        <v/>
      </c>
      <c r="AB68" s="550" t="str">
        <f t="shared" si="36"/>
        <v/>
      </c>
      <c r="AC68" s="550" t="str">
        <f t="shared" si="37"/>
        <v/>
      </c>
    </row>
    <row r="69" spans="1:29" ht="20.100000000000001" customHeight="1" thickBot="1">
      <c r="A69" s="551"/>
      <c r="B69" s="524"/>
      <c r="C69" s="576">
        <v>10</v>
      </c>
      <c r="D69" s="685"/>
      <c r="E69" s="947"/>
      <c r="F69" s="948"/>
      <c r="G69" s="645"/>
      <c r="H69" s="234" t="str">
        <f t="shared" si="30"/>
        <v/>
      </c>
      <c r="I69" s="234" t="str">
        <f t="shared" si="31"/>
        <v/>
      </c>
      <c r="J69" s="579" t="str">
        <f t="shared" si="32"/>
        <v/>
      </c>
      <c r="K69" s="560">
        <f t="shared" si="38"/>
        <v>0</v>
      </c>
      <c r="L69" s="561"/>
      <c r="M69" s="563"/>
      <c r="P69" s="223" t="str">
        <f t="shared" si="33"/>
        <v>Yes</v>
      </c>
      <c r="Y69" s="550" t="str">
        <f t="shared" si="34"/>
        <v/>
      </c>
      <c r="Z69" s="550" t="str">
        <f t="shared" si="35"/>
        <v/>
      </c>
      <c r="AA69" s="550" t="str">
        <f t="shared" si="36"/>
        <v/>
      </c>
      <c r="AB69" s="550" t="str">
        <f t="shared" si="36"/>
        <v/>
      </c>
      <c r="AC69" s="550" t="str">
        <f t="shared" si="37"/>
        <v/>
      </c>
    </row>
    <row r="70" spans="1:29" ht="24" customHeight="1" thickBot="1">
      <c r="B70" s="524"/>
      <c r="C70" s="939" t="s">
        <v>843</v>
      </c>
      <c r="D70" s="939"/>
      <c r="E70" s="939"/>
      <c r="F70" s="939"/>
      <c r="G70" s="939"/>
      <c r="H70" s="939"/>
      <c r="I70" s="939"/>
      <c r="J70" s="939"/>
      <c r="K70" s="939"/>
      <c r="L70" s="939"/>
      <c r="M70" s="940"/>
      <c r="P70" s="223" t="str">
        <f>IF(D73="","Yes","No")</f>
        <v>Yes</v>
      </c>
    </row>
    <row r="71" spans="1:29" s="8" customFormat="1" ht="45.6" customHeight="1">
      <c r="B71" s="524"/>
      <c r="C71" s="525"/>
      <c r="D71" s="789" t="str">
        <f>D$8</f>
        <v>Location Name</v>
      </c>
      <c r="E71" s="986" t="s">
        <v>1126</v>
      </c>
      <c r="F71" s="986"/>
      <c r="G71" s="232" t="s">
        <v>1127</v>
      </c>
      <c r="H71" s="232" t="s">
        <v>792</v>
      </c>
      <c r="I71" s="232" t="s">
        <v>1128</v>
      </c>
      <c r="J71" s="232" t="s">
        <v>1101</v>
      </c>
      <c r="K71" s="232" t="s">
        <v>1129</v>
      </c>
      <c r="L71" s="232" t="s">
        <v>820</v>
      </c>
      <c r="M71" s="481" t="s">
        <v>786</v>
      </c>
      <c r="N71" s="783"/>
      <c r="O71" s="784"/>
      <c r="P71" s="223" t="str">
        <f>IF(D73="","Yes","No")</f>
        <v>Yes</v>
      </c>
    </row>
    <row r="72" spans="1:29" s="8" customFormat="1" ht="30.6" customHeight="1">
      <c r="B72" s="524"/>
      <c r="C72" s="678" t="str">
        <f>C$9</f>
        <v>Measurement</v>
      </c>
      <c r="D72" s="790" t="s">
        <v>788</v>
      </c>
      <c r="E72" s="987" t="s">
        <v>1130</v>
      </c>
      <c r="F72" s="987"/>
      <c r="G72" s="530" t="s">
        <v>1131</v>
      </c>
      <c r="H72" s="530" t="s">
        <v>1137</v>
      </c>
      <c r="I72" s="530" t="s">
        <v>1132</v>
      </c>
      <c r="J72" s="530" t="s">
        <v>1138</v>
      </c>
      <c r="K72" s="530" t="s">
        <v>1133</v>
      </c>
      <c r="L72" s="530" t="s">
        <v>1134</v>
      </c>
      <c r="M72" s="786" t="s">
        <v>849</v>
      </c>
      <c r="N72" s="988"/>
      <c r="O72" s="785"/>
      <c r="P72" s="223" t="str">
        <f>IF(D73="","Yes","No")</f>
        <v>Yes</v>
      </c>
    </row>
    <row r="73" spans="1:29" s="8" customFormat="1" ht="24.75" customHeight="1">
      <c r="B73" s="524"/>
      <c r="C73" s="574">
        <v>1</v>
      </c>
      <c r="D73" s="582"/>
      <c r="E73" s="984"/>
      <c r="F73" s="985"/>
      <c r="G73" s="582"/>
      <c r="H73" s="582"/>
      <c r="I73" s="582"/>
      <c r="J73" s="582"/>
      <c r="K73" s="582"/>
      <c r="L73" s="684"/>
      <c r="M73" s="787"/>
      <c r="N73" s="988"/>
      <c r="O73" s="785"/>
      <c r="P73" s="223" t="str">
        <f>IF(D73="","Yes","No")</f>
        <v>Yes</v>
      </c>
    </row>
    <row r="74" spans="1:29" s="8" customFormat="1" ht="24.75" customHeight="1">
      <c r="B74" s="524"/>
      <c r="C74" s="574">
        <v>2</v>
      </c>
      <c r="D74" s="582"/>
      <c r="E74" s="984"/>
      <c r="F74" s="985"/>
      <c r="G74" s="582"/>
      <c r="H74" s="582"/>
      <c r="I74" s="582"/>
      <c r="J74" s="582"/>
      <c r="K74" s="582"/>
      <c r="L74" s="684"/>
      <c r="M74" s="787"/>
      <c r="N74" s="783"/>
      <c r="O74" s="785"/>
      <c r="P74" s="223" t="str">
        <f t="shared" ref="P74:P83" si="39">IF(D74="","Yes","No")</f>
        <v>Yes</v>
      </c>
    </row>
    <row r="75" spans="1:29" s="8" customFormat="1" ht="24.75" customHeight="1">
      <c r="B75" s="524"/>
      <c r="C75" s="574">
        <v>3</v>
      </c>
      <c r="D75" s="582"/>
      <c r="E75" s="984"/>
      <c r="F75" s="985"/>
      <c r="G75" s="582"/>
      <c r="H75" s="582"/>
      <c r="I75" s="582"/>
      <c r="J75" s="582"/>
      <c r="K75" s="582"/>
      <c r="L75" s="684"/>
      <c r="M75" s="787"/>
      <c r="N75" s="783"/>
      <c r="O75" s="785"/>
      <c r="P75" s="223" t="str">
        <f t="shared" si="39"/>
        <v>Yes</v>
      </c>
    </row>
    <row r="76" spans="1:29" s="8" customFormat="1" ht="24.75" customHeight="1">
      <c r="B76" s="524"/>
      <c r="C76" s="574">
        <v>4</v>
      </c>
      <c r="D76" s="582"/>
      <c r="E76" s="984"/>
      <c r="F76" s="985"/>
      <c r="G76" s="582"/>
      <c r="H76" s="582"/>
      <c r="I76" s="582"/>
      <c r="J76" s="582"/>
      <c r="K76" s="582"/>
      <c r="L76" s="684"/>
      <c r="M76" s="787"/>
      <c r="N76" s="783"/>
      <c r="O76" s="785"/>
      <c r="P76" s="223" t="str">
        <f t="shared" si="39"/>
        <v>Yes</v>
      </c>
    </row>
    <row r="77" spans="1:29" s="8" customFormat="1" ht="24.75" customHeight="1">
      <c r="B77" s="524"/>
      <c r="C77" s="574">
        <v>5</v>
      </c>
      <c r="D77" s="582"/>
      <c r="E77" s="984"/>
      <c r="F77" s="985"/>
      <c r="G77" s="582"/>
      <c r="H77" s="582"/>
      <c r="I77" s="582"/>
      <c r="J77" s="582"/>
      <c r="K77" s="582"/>
      <c r="L77" s="684"/>
      <c r="M77" s="787"/>
      <c r="N77" s="783"/>
      <c r="O77" s="785"/>
      <c r="P77" s="223" t="str">
        <f t="shared" si="39"/>
        <v>Yes</v>
      </c>
    </row>
    <row r="78" spans="1:29" s="8" customFormat="1" ht="24.75" customHeight="1">
      <c r="B78" s="524"/>
      <c r="C78" s="574">
        <v>6</v>
      </c>
      <c r="D78" s="684"/>
      <c r="E78" s="984"/>
      <c r="F78" s="985"/>
      <c r="G78" s="684"/>
      <c r="H78" s="684"/>
      <c r="I78" s="684"/>
      <c r="J78" s="684"/>
      <c r="K78" s="684"/>
      <c r="L78" s="684"/>
      <c r="M78" s="787"/>
      <c r="N78" s="783"/>
      <c r="O78" s="785"/>
      <c r="P78" s="223" t="str">
        <f t="shared" si="39"/>
        <v>Yes</v>
      </c>
    </row>
    <row r="79" spans="1:29" s="8" customFormat="1" ht="24.75" customHeight="1">
      <c r="B79" s="524"/>
      <c r="C79" s="574">
        <v>7</v>
      </c>
      <c r="D79" s="684"/>
      <c r="E79" s="984"/>
      <c r="F79" s="985"/>
      <c r="G79" s="684"/>
      <c r="H79" s="684"/>
      <c r="I79" s="684"/>
      <c r="J79" s="684"/>
      <c r="K79" s="684"/>
      <c r="L79" s="684"/>
      <c r="M79" s="787"/>
      <c r="N79" s="783"/>
      <c r="O79" s="785"/>
      <c r="P79" s="223" t="str">
        <f t="shared" si="39"/>
        <v>Yes</v>
      </c>
    </row>
    <row r="80" spans="1:29" s="8" customFormat="1" ht="24.75" customHeight="1">
      <c r="B80" s="524"/>
      <c r="C80" s="574">
        <v>8</v>
      </c>
      <c r="D80" s="684"/>
      <c r="E80" s="984"/>
      <c r="F80" s="985"/>
      <c r="G80" s="684"/>
      <c r="H80" s="684"/>
      <c r="I80" s="684"/>
      <c r="J80" s="684"/>
      <c r="K80" s="684"/>
      <c r="L80" s="684"/>
      <c r="M80" s="787"/>
      <c r="N80" s="783"/>
      <c r="O80" s="785"/>
      <c r="P80" s="223" t="str">
        <f t="shared" si="39"/>
        <v>Yes</v>
      </c>
    </row>
    <row r="81" spans="1:17" s="8" customFormat="1" ht="24.75" customHeight="1">
      <c r="B81" s="524"/>
      <c r="C81" s="574">
        <v>9</v>
      </c>
      <c r="D81" s="684"/>
      <c r="E81" s="984"/>
      <c r="F81" s="985"/>
      <c r="G81" s="684"/>
      <c r="H81" s="684"/>
      <c r="I81" s="684"/>
      <c r="J81" s="684"/>
      <c r="K81" s="684"/>
      <c r="L81" s="684"/>
      <c r="M81" s="787"/>
      <c r="N81" s="783"/>
      <c r="O81" s="785"/>
      <c r="P81" s="223" t="str">
        <f t="shared" si="39"/>
        <v>Yes</v>
      </c>
    </row>
    <row r="82" spans="1:17" s="8" customFormat="1" ht="24.75" customHeight="1">
      <c r="B82" s="524"/>
      <c r="C82" s="574">
        <v>10</v>
      </c>
      <c r="D82" s="684"/>
      <c r="E82" s="984"/>
      <c r="F82" s="985"/>
      <c r="G82" s="684"/>
      <c r="H82" s="684"/>
      <c r="I82" s="684"/>
      <c r="J82" s="684"/>
      <c r="K82" s="684"/>
      <c r="L82" s="684"/>
      <c r="M82" s="787"/>
      <c r="N82" s="783"/>
      <c r="O82" s="785"/>
      <c r="P82" s="223" t="str">
        <f t="shared" si="39"/>
        <v>Yes</v>
      </c>
    </row>
    <row r="83" spans="1:17" s="8" customFormat="1" ht="24" customHeight="1" thickBot="1">
      <c r="B83" s="524"/>
      <c r="C83" s="538" t="s">
        <v>813</v>
      </c>
      <c r="D83" s="679"/>
      <c r="E83" s="964"/>
      <c r="F83" s="965"/>
      <c r="G83" s="649"/>
      <c r="H83" s="649"/>
      <c r="I83" s="649"/>
      <c r="J83" s="649"/>
      <c r="K83" s="649"/>
      <c r="L83" s="649"/>
      <c r="M83" s="788"/>
      <c r="N83" s="783"/>
      <c r="O83" s="785"/>
      <c r="P83" s="223" t="str">
        <f t="shared" si="39"/>
        <v>Yes</v>
      </c>
    </row>
    <row r="84" spans="1:17" ht="24" customHeight="1" thickBot="1">
      <c r="A84" s="551"/>
      <c r="B84" s="524"/>
      <c r="C84" s="939" t="s">
        <v>845</v>
      </c>
      <c r="D84" s="939"/>
      <c r="E84" s="939"/>
      <c r="F84" s="939"/>
      <c r="G84" s="939"/>
      <c r="H84" s="939"/>
      <c r="I84" s="939"/>
      <c r="J84" s="939"/>
      <c r="K84" s="939"/>
      <c r="L84" s="939"/>
      <c r="M84" s="940"/>
      <c r="P84" s="223" t="str">
        <f>IF(D87="","Yes","No")</f>
        <v>Yes</v>
      </c>
    </row>
    <row r="85" spans="1:17" ht="49.95" customHeight="1">
      <c r="A85" s="551"/>
      <c r="B85" s="524"/>
      <c r="C85" s="525"/>
      <c r="D85" s="526" t="str">
        <f>D$8</f>
        <v>Location Name</v>
      </c>
      <c r="E85" s="941" t="s">
        <v>1135</v>
      </c>
      <c r="F85" s="942"/>
      <c r="G85" s="232" t="s">
        <v>1136</v>
      </c>
      <c r="H85" s="232" t="s">
        <v>785</v>
      </c>
      <c r="I85" s="232" t="s">
        <v>786</v>
      </c>
      <c r="J85" s="552"/>
      <c r="K85" s="553"/>
      <c r="L85" s="553"/>
      <c r="M85" s="554"/>
      <c r="P85" s="223" t="str">
        <f>IF(D87="","Yes","No")</f>
        <v>Yes</v>
      </c>
    </row>
    <row r="86" spans="1:17" ht="24" customHeight="1">
      <c r="A86" s="551"/>
      <c r="B86" s="524"/>
      <c r="C86" s="678" t="str">
        <f>C$9</f>
        <v>Measurement</v>
      </c>
      <c r="D86" s="529" t="s">
        <v>788</v>
      </c>
      <c r="E86" s="943">
        <v>6</v>
      </c>
      <c r="F86" s="944"/>
      <c r="G86" s="531">
        <v>21</v>
      </c>
      <c r="H86" s="531" t="str">
        <f>_xlfn.CONCAT("N02: ",G86*1.2)</f>
        <v>N02: 25.2</v>
      </c>
      <c r="I86" s="531" t="s">
        <v>789</v>
      </c>
      <c r="J86" s="557"/>
      <c r="K86" s="558"/>
      <c r="L86" s="558"/>
      <c r="M86" s="559"/>
      <c r="P86" s="223" t="str">
        <f>IF(D87="","Yes","No")</f>
        <v>Yes</v>
      </c>
    </row>
    <row r="87" spans="1:17" ht="20.100000000000001" customHeight="1">
      <c r="A87" s="551"/>
      <c r="B87" s="524"/>
      <c r="C87" s="574">
        <v>1</v>
      </c>
      <c r="D87" s="684"/>
      <c r="E87" s="937"/>
      <c r="F87" s="938"/>
      <c r="G87" s="666"/>
      <c r="H87" s="228" t="str">
        <f>IF($G87&lt;&gt;"",IF($G87&lt;$G$86,"No",IF($G87&lt;$G$86*1.2,"Yes","")),"")</f>
        <v/>
      </c>
      <c r="I87" s="578"/>
      <c r="J87" s="557"/>
      <c r="K87" s="558"/>
      <c r="L87" s="558"/>
      <c r="M87" s="559"/>
      <c r="P87" s="223" t="str">
        <f t="shared" ref="P87:P96" si="40">IF(D87="","Yes","No")</f>
        <v>Yes</v>
      </c>
    </row>
    <row r="88" spans="1:17" ht="20.100000000000001" customHeight="1">
      <c r="A88" s="551"/>
      <c r="B88" s="524"/>
      <c r="C88" s="574">
        <v>2</v>
      </c>
      <c r="D88" s="684"/>
      <c r="E88" s="937"/>
      <c r="F88" s="938"/>
      <c r="G88" s="666"/>
      <c r="H88" s="228" t="str">
        <f>IF($G88&lt;&gt;"",IF($G88&lt;$G$86,"No",IF($G88&lt;$G$86*1.2,"Yes","")),"")</f>
        <v/>
      </c>
      <c r="I88" s="578"/>
      <c r="J88" s="557"/>
      <c r="K88" s="558"/>
      <c r="L88" s="558"/>
      <c r="M88" s="559"/>
      <c r="P88" s="223" t="str">
        <f t="shared" si="40"/>
        <v>Yes</v>
      </c>
    </row>
    <row r="89" spans="1:17" ht="20.100000000000001" customHeight="1">
      <c r="B89" s="524"/>
      <c r="C89" s="574">
        <v>3</v>
      </c>
      <c r="D89" s="684"/>
      <c r="E89" s="937"/>
      <c r="F89" s="938"/>
      <c r="G89" s="666"/>
      <c r="H89" s="228" t="str">
        <f t="shared" ref="H89:H96" si="41">IF($G89&lt;&gt;"",IF($G89&lt;$G$86,"No",IF($G89&lt;$G$86*1.2,"Yes","")),"")</f>
        <v/>
      </c>
      <c r="I89" s="578"/>
      <c r="J89" s="557"/>
      <c r="K89" s="558"/>
      <c r="L89" s="558"/>
      <c r="M89" s="559"/>
      <c r="P89" s="223" t="str">
        <f t="shared" si="40"/>
        <v>Yes</v>
      </c>
    </row>
    <row r="90" spans="1:17" ht="20.100000000000001" customHeight="1">
      <c r="B90" s="524"/>
      <c r="C90" s="574">
        <v>4</v>
      </c>
      <c r="D90" s="684"/>
      <c r="E90" s="937"/>
      <c r="F90" s="938"/>
      <c r="G90" s="666"/>
      <c r="H90" s="228" t="str">
        <f t="shared" si="41"/>
        <v/>
      </c>
      <c r="I90" s="578"/>
      <c r="J90" s="557"/>
      <c r="K90" s="558"/>
      <c r="L90" s="558"/>
      <c r="M90" s="559"/>
      <c r="P90" s="223" t="str">
        <f t="shared" si="40"/>
        <v>Yes</v>
      </c>
    </row>
    <row r="91" spans="1:17" ht="20.100000000000001" customHeight="1">
      <c r="B91" s="524"/>
      <c r="C91" s="574">
        <v>5</v>
      </c>
      <c r="D91" s="684"/>
      <c r="E91" s="937"/>
      <c r="F91" s="938"/>
      <c r="G91" s="666"/>
      <c r="H91" s="228" t="str">
        <f t="shared" si="41"/>
        <v/>
      </c>
      <c r="I91" s="578"/>
      <c r="J91" s="557"/>
      <c r="K91" s="558"/>
      <c r="L91" s="558"/>
      <c r="M91" s="559"/>
      <c r="P91" s="223" t="str">
        <f t="shared" si="40"/>
        <v>Yes</v>
      </c>
    </row>
    <row r="92" spans="1:17" ht="20.100000000000001" customHeight="1">
      <c r="B92" s="524"/>
      <c r="C92" s="574">
        <v>6</v>
      </c>
      <c r="D92" s="684"/>
      <c r="E92" s="937"/>
      <c r="F92" s="938"/>
      <c r="G92" s="666"/>
      <c r="H92" s="228" t="str">
        <f t="shared" si="41"/>
        <v/>
      </c>
      <c r="I92" s="578"/>
      <c r="J92" s="557"/>
      <c r="K92" s="558"/>
      <c r="L92" s="558"/>
      <c r="M92" s="559"/>
      <c r="P92" s="223" t="str">
        <f t="shared" si="40"/>
        <v>Yes</v>
      </c>
    </row>
    <row r="93" spans="1:17" ht="20.100000000000001" customHeight="1">
      <c r="B93" s="524"/>
      <c r="C93" s="574">
        <v>7</v>
      </c>
      <c r="D93" s="684"/>
      <c r="E93" s="937"/>
      <c r="F93" s="938"/>
      <c r="G93" s="666"/>
      <c r="H93" s="228" t="str">
        <f t="shared" si="41"/>
        <v/>
      </c>
      <c r="I93" s="578"/>
      <c r="J93" s="557"/>
      <c r="K93" s="558"/>
      <c r="L93" s="558"/>
      <c r="M93" s="559"/>
      <c r="P93" s="223" t="str">
        <f t="shared" si="40"/>
        <v>Yes</v>
      </c>
    </row>
    <row r="94" spans="1:17" ht="20.100000000000001" customHeight="1">
      <c r="B94" s="524"/>
      <c r="C94" s="574">
        <v>8</v>
      </c>
      <c r="D94" s="684"/>
      <c r="E94" s="937"/>
      <c r="F94" s="938"/>
      <c r="G94" s="666"/>
      <c r="H94" s="228" t="str">
        <f t="shared" si="41"/>
        <v/>
      </c>
      <c r="I94" s="578"/>
      <c r="J94" s="557"/>
      <c r="K94" s="558"/>
      <c r="L94" s="558"/>
      <c r="M94" s="559"/>
      <c r="P94" s="223" t="str">
        <f t="shared" si="40"/>
        <v>Yes</v>
      </c>
      <c r="Q94" s="231"/>
    </row>
    <row r="95" spans="1:17" ht="20.100000000000001" customHeight="1">
      <c r="B95" s="524"/>
      <c r="C95" s="574">
        <v>9</v>
      </c>
      <c r="D95" s="684"/>
      <c r="E95" s="937"/>
      <c r="F95" s="938"/>
      <c r="G95" s="666"/>
      <c r="H95" s="228" t="str">
        <f t="shared" si="41"/>
        <v/>
      </c>
      <c r="I95" s="578"/>
      <c r="J95" s="557"/>
      <c r="K95" s="558"/>
      <c r="L95" s="558"/>
      <c r="M95" s="559"/>
      <c r="P95" s="223" t="str">
        <f t="shared" si="40"/>
        <v>Yes</v>
      </c>
    </row>
    <row r="96" spans="1:17" ht="20.100000000000001" customHeight="1" thickBot="1">
      <c r="B96" s="571"/>
      <c r="C96" s="576">
        <v>10</v>
      </c>
      <c r="D96" s="685"/>
      <c r="E96" s="935"/>
      <c r="F96" s="936"/>
      <c r="G96" s="667"/>
      <c r="H96" s="234" t="str">
        <f t="shared" si="41"/>
        <v/>
      </c>
      <c r="I96" s="579"/>
      <c r="J96" s="561"/>
      <c r="K96" s="562"/>
      <c r="L96" s="562"/>
      <c r="M96" s="563"/>
      <c r="P96" s="223" t="str">
        <f t="shared" si="40"/>
        <v>Yes</v>
      </c>
    </row>
    <row r="97" spans="2:13" ht="10.199999999999999" customHeight="1">
      <c r="B97" s="235"/>
      <c r="C97" s="572"/>
      <c r="D97" s="573"/>
      <c r="E97" s="572"/>
      <c r="F97" s="572"/>
      <c r="G97" s="572"/>
      <c r="H97" s="572"/>
      <c r="I97" s="572"/>
      <c r="J97" s="235"/>
      <c r="K97" s="235"/>
      <c r="L97" s="235"/>
      <c r="M97" s="235"/>
    </row>
    <row r="99" spans="2:13">
      <c r="D99" s="231"/>
    </row>
  </sheetData>
  <sheetProtection autoFilter="0"/>
  <autoFilter ref="P1:Q96" xr:uid="{53AAEC96-4DB2-4B34-A6F2-22B7FBE951EA}"/>
  <mergeCells count="115">
    <mergeCell ref="E81:F81"/>
    <mergeCell ref="E82:F82"/>
    <mergeCell ref="E83:F83"/>
    <mergeCell ref="N72:N73"/>
    <mergeCell ref="E96:F96"/>
    <mergeCell ref="E90:F90"/>
    <mergeCell ref="E91:F91"/>
    <mergeCell ref="E92:F92"/>
    <mergeCell ref="E93:F93"/>
    <mergeCell ref="E94:F94"/>
    <mergeCell ref="E95:F95"/>
    <mergeCell ref="C84:M84"/>
    <mergeCell ref="E85:F85"/>
    <mergeCell ref="E86:F86"/>
    <mergeCell ref="E87:F87"/>
    <mergeCell ref="E88:F88"/>
    <mergeCell ref="E89:F89"/>
    <mergeCell ref="E73:F73"/>
    <mergeCell ref="E74:F74"/>
    <mergeCell ref="E75:F75"/>
    <mergeCell ref="E76:F76"/>
    <mergeCell ref="E77:F77"/>
    <mergeCell ref="E78:F78"/>
    <mergeCell ref="E79:F79"/>
    <mergeCell ref="E80:F80"/>
    <mergeCell ref="E71:F71"/>
    <mergeCell ref="E72:F72"/>
    <mergeCell ref="E55:F55"/>
    <mergeCell ref="E56:F56"/>
    <mergeCell ref="C57:M57"/>
    <mergeCell ref="E58:F58"/>
    <mergeCell ref="E59:F59"/>
    <mergeCell ref="E60:F60"/>
    <mergeCell ref="C70:M70"/>
    <mergeCell ref="E49:F49"/>
    <mergeCell ref="E50:F50"/>
    <mergeCell ref="E51:F51"/>
    <mergeCell ref="E52:F52"/>
    <mergeCell ref="E53:F53"/>
    <mergeCell ref="E54:F54"/>
    <mergeCell ref="E67:F67"/>
    <mergeCell ref="E68:F68"/>
    <mergeCell ref="E69:F69"/>
    <mergeCell ref="E61:F61"/>
    <mergeCell ref="E62:F62"/>
    <mergeCell ref="E63:F63"/>
    <mergeCell ref="E64:F64"/>
    <mergeCell ref="E65:F65"/>
    <mergeCell ref="E66:F66"/>
    <mergeCell ref="C44:M44"/>
    <mergeCell ref="E45:F45"/>
    <mergeCell ref="E46:F46"/>
    <mergeCell ref="E47:F47"/>
    <mergeCell ref="E48:F48"/>
    <mergeCell ref="C41:C42"/>
    <mergeCell ref="D41:D42"/>
    <mergeCell ref="E41:E42"/>
    <mergeCell ref="F41:F42"/>
    <mergeCell ref="E43:F43"/>
    <mergeCell ref="C37:C38"/>
    <mergeCell ref="D37:D38"/>
    <mergeCell ref="E37:E38"/>
    <mergeCell ref="F37:F38"/>
    <mergeCell ref="C39:C40"/>
    <mergeCell ref="D39:D40"/>
    <mergeCell ref="E39:E40"/>
    <mergeCell ref="F39:F40"/>
    <mergeCell ref="C33:C34"/>
    <mergeCell ref="D33:D34"/>
    <mergeCell ref="E33:E34"/>
    <mergeCell ref="F33:F34"/>
    <mergeCell ref="C35:C36"/>
    <mergeCell ref="D35:D36"/>
    <mergeCell ref="E35:E36"/>
    <mergeCell ref="F35:F36"/>
    <mergeCell ref="C29:C30"/>
    <mergeCell ref="D29:D30"/>
    <mergeCell ref="E29:E30"/>
    <mergeCell ref="F29:F30"/>
    <mergeCell ref="C31:C32"/>
    <mergeCell ref="D31:D32"/>
    <mergeCell ref="E31:E32"/>
    <mergeCell ref="F31:F32"/>
    <mergeCell ref="C25:C26"/>
    <mergeCell ref="D25:D26"/>
    <mergeCell ref="E25:E26"/>
    <mergeCell ref="F25:F26"/>
    <mergeCell ref="C27:C28"/>
    <mergeCell ref="D27:D28"/>
    <mergeCell ref="E27:E28"/>
    <mergeCell ref="F27:F28"/>
    <mergeCell ref="C20:M20"/>
    <mergeCell ref="E21:F21"/>
    <mergeCell ref="C23:C24"/>
    <mergeCell ref="D23:D24"/>
    <mergeCell ref="E23:E24"/>
    <mergeCell ref="F23:F24"/>
    <mergeCell ref="E14:F14"/>
    <mergeCell ref="E15:F15"/>
    <mergeCell ref="E16:F16"/>
    <mergeCell ref="E17:F17"/>
    <mergeCell ref="E18:F18"/>
    <mergeCell ref="E19:F19"/>
    <mergeCell ref="E8:F8"/>
    <mergeCell ref="E9:F9"/>
    <mergeCell ref="E10:F10"/>
    <mergeCell ref="E11:F11"/>
    <mergeCell ref="E12:F12"/>
    <mergeCell ref="E13:F13"/>
    <mergeCell ref="A1:G1"/>
    <mergeCell ref="A2:B2"/>
    <mergeCell ref="A3:J3"/>
    <mergeCell ref="B5:M5"/>
    <mergeCell ref="C6:M6"/>
    <mergeCell ref="C7:M7"/>
  </mergeCells>
  <conditionalFormatting sqref="A1">
    <cfRule type="containsText" dxfId="107" priority="9" operator="containsText" text="Project Number Project Name">
      <formula>NOT(ISERROR(SEARCH("Project Number Project Name",A1)))</formula>
    </cfRule>
  </conditionalFormatting>
  <conditionalFormatting sqref="C6:M6">
    <cfRule type="containsText" dxfId="106" priority="8" operator="containsText" text="(replace with actual on-site observations)">
      <formula>NOT(ISERROR(SEARCH("(replace with actual on-site observations)",C6)))</formula>
    </cfRule>
  </conditionalFormatting>
  <conditionalFormatting sqref="A3">
    <cfRule type="cellIs" dxfId="105" priority="4" operator="equal">
      <formula>"[date] On-site Performance Verification Summary of Results"</formula>
    </cfRule>
  </conditionalFormatting>
  <conditionalFormatting sqref="G24:I42 G23:H23">
    <cfRule type="expression" dxfId="104" priority="54">
      <formula>IF($N23="High Flow",IF(ISNUMBER(G23),IF(ISNUMBER(G24),IF(ABS((G24-G23)/G23) &gt; 0.25,TRUE,FALSE),FALSE),FALSE),FALSE)</formula>
    </cfRule>
    <cfRule type="expression" dxfId="103" priority="55">
      <formula>IF($N23="Low Flow",IF(ISNUMBER(G23),IF(ISNUMBER(G22),IF(ABS((G22-G23)/G23) &gt; 0.25,TRUE,FALSE),FALSE),FALSE),FALSE)</formula>
    </cfRule>
  </conditionalFormatting>
  <conditionalFormatting sqref="J23:J42">
    <cfRule type="expression" dxfId="102" priority="1">
      <formula>IF($N23="High Flow",IF(ISNUMBER(J23),IF(ISNUMBER(J24),IF(ABS((J24-J23)/J23) &gt; 0.25,TRUE,FALSE),FALSE),FALSE),FALSE)</formula>
    </cfRule>
    <cfRule type="expression" dxfId="101" priority="2">
      <formula>IF($N23="Low Flow",IF(ISNUMBER(J23),IF(ISNUMBER(J22),IF(ABS((J22-J23)/J23) &gt; 0.25,TRUE,FALSE),FALSE),FALSE),FALSE)</formula>
    </cfRule>
  </conditionalFormatting>
  <pageMargins left="0.7" right="0.7" top="0.75" bottom="0.75" header="0.3" footer="0.3"/>
  <pageSetup scale="44"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6BF05-DF89-4F57-A5EF-96E94D8ACAEC}">
  <sheetPr codeName="Sheet6">
    <pageSetUpPr fitToPage="1"/>
  </sheetPr>
  <dimension ref="A1:P65"/>
  <sheetViews>
    <sheetView view="pageBreakPreview" zoomScaleNormal="80" zoomScaleSheetLayoutView="100" workbookViewId="0">
      <selection activeCell="F29" sqref="C29:N30"/>
    </sheetView>
  </sheetViews>
  <sheetFormatPr defaultColWidth="8.88671875" defaultRowHeight="13.8"/>
  <cols>
    <col min="1" max="1" width="8.6640625" style="224" customWidth="1"/>
    <col min="2" max="2" width="10.6640625" style="224" customWidth="1"/>
    <col min="3" max="3" width="25.6640625" style="224" customWidth="1"/>
    <col min="4" max="4" width="45.6640625" style="224" customWidth="1"/>
    <col min="5" max="14" width="24.6640625" style="224" customWidth="1"/>
    <col min="15" max="15" width="1.109375" style="224" customWidth="1"/>
    <col min="16" max="16" width="24.109375" style="457" customWidth="1"/>
    <col min="17" max="18" width="24.109375" style="224" customWidth="1"/>
    <col min="19" max="16384" width="8.88671875" style="224"/>
  </cols>
  <sheetData>
    <row r="1" spans="1:16" ht="21.9" customHeight="1">
      <c r="A1" s="975" t="str">
        <f>Air!A1</f>
        <v xml:space="preserve"> 	2202025367 - Shenzhen Prince Bay Mixed-use Development DY04-02</v>
      </c>
      <c r="B1" s="975"/>
      <c r="C1" s="975"/>
      <c r="D1" s="975"/>
      <c r="E1" s="975"/>
      <c r="F1" s="975"/>
      <c r="G1" s="975"/>
      <c r="H1" s="975"/>
      <c r="P1" s="457" t="s">
        <v>1060</v>
      </c>
    </row>
    <row r="2" spans="1:16" ht="18" customHeight="1">
      <c r="A2" s="976" t="s">
        <v>778</v>
      </c>
      <c r="B2" s="976"/>
      <c r="C2" s="226"/>
      <c r="D2" s="226"/>
      <c r="E2" s="226"/>
      <c r="F2" s="226"/>
      <c r="G2" s="226"/>
      <c r="H2" s="226"/>
      <c r="P2" s="457" t="s">
        <v>1061</v>
      </c>
    </row>
    <row r="3" spans="1:16" ht="18" customHeight="1">
      <c r="A3" s="983" t="str">
        <f>Air!A3</f>
        <v>[date] On-site Performance Verification Summary of Results</v>
      </c>
      <c r="B3" s="983"/>
      <c r="C3" s="983"/>
      <c r="D3" s="983"/>
      <c r="E3" s="983"/>
      <c r="F3" s="983"/>
      <c r="G3" s="983"/>
      <c r="H3" s="983"/>
      <c r="I3" s="983"/>
      <c r="P3" s="457" t="s">
        <v>1061</v>
      </c>
    </row>
    <row r="4" spans="1:16" ht="15" customHeight="1" thickBot="1">
      <c r="A4" s="237"/>
      <c r="B4" s="236"/>
      <c r="C4" s="236"/>
      <c r="D4" s="236"/>
      <c r="E4" s="236"/>
      <c r="F4" s="236"/>
      <c r="G4" s="236"/>
      <c r="H4" s="236"/>
      <c r="P4" s="457" t="s">
        <v>1061</v>
      </c>
    </row>
    <row r="5" spans="1:16" ht="24" customHeight="1" thickBot="1">
      <c r="B5" s="993" t="s">
        <v>38</v>
      </c>
      <c r="C5" s="994"/>
      <c r="D5" s="994"/>
      <c r="E5" s="994"/>
      <c r="F5" s="994"/>
      <c r="G5" s="994"/>
      <c r="H5" s="994"/>
      <c r="I5" s="994"/>
      <c r="J5" s="994"/>
      <c r="K5" s="994"/>
      <c r="L5" s="994"/>
      <c r="M5" s="994"/>
      <c r="N5" s="995"/>
      <c r="P5" s="457" t="s">
        <v>1061</v>
      </c>
    </row>
    <row r="6" spans="1:16" ht="99.9" customHeight="1" thickBot="1">
      <c r="B6" s="498"/>
      <c r="C6" s="996" t="s">
        <v>1016</v>
      </c>
      <c r="D6" s="997"/>
      <c r="E6" s="997"/>
      <c r="F6" s="997"/>
      <c r="G6" s="997"/>
      <c r="H6" s="997"/>
      <c r="I6" s="997"/>
      <c r="J6" s="997"/>
      <c r="K6" s="997"/>
      <c r="L6" s="997"/>
      <c r="M6" s="997"/>
      <c r="N6" s="998"/>
      <c r="P6" s="457" t="s">
        <v>1061</v>
      </c>
    </row>
    <row r="7" spans="1:16" ht="24" customHeight="1" thickBot="1">
      <c r="B7" s="498"/>
      <c r="C7" s="991" t="s">
        <v>846</v>
      </c>
      <c r="D7" s="991"/>
      <c r="E7" s="991"/>
      <c r="F7" s="991"/>
      <c r="G7" s="991"/>
      <c r="H7" s="991"/>
      <c r="I7" s="991"/>
      <c r="J7" s="991"/>
      <c r="K7" s="991"/>
      <c r="L7" s="991"/>
      <c r="M7" s="991"/>
      <c r="N7" s="992"/>
      <c r="P7" s="457" t="s">
        <v>1061</v>
      </c>
    </row>
    <row r="8" spans="1:16" ht="30" customHeight="1">
      <c r="B8" s="498"/>
      <c r="C8" s="460"/>
      <c r="D8" s="461" t="s">
        <v>960</v>
      </c>
      <c r="E8" s="462" t="s">
        <v>847</v>
      </c>
      <c r="F8" s="462" t="s">
        <v>1039</v>
      </c>
      <c r="G8" s="462" t="s">
        <v>1038</v>
      </c>
      <c r="H8" s="463" t="s">
        <v>786</v>
      </c>
      <c r="I8" s="238"/>
      <c r="J8" s="239"/>
      <c r="K8" s="239"/>
      <c r="L8" s="239"/>
      <c r="M8" s="239"/>
      <c r="N8" s="240"/>
      <c r="P8" s="457" t="s">
        <v>1061</v>
      </c>
    </row>
    <row r="9" spans="1:16" ht="30" customHeight="1">
      <c r="B9" s="498"/>
      <c r="C9" s="464" t="s">
        <v>932</v>
      </c>
      <c r="D9" s="465" t="s">
        <v>788</v>
      </c>
      <c r="E9" s="466">
        <v>1</v>
      </c>
      <c r="F9" s="466" t="s">
        <v>848</v>
      </c>
      <c r="G9" s="466" t="s">
        <v>848</v>
      </c>
      <c r="H9" s="467" t="s">
        <v>849</v>
      </c>
      <c r="I9" s="241"/>
      <c r="J9" s="242"/>
      <c r="K9" s="242"/>
      <c r="L9" s="242"/>
      <c r="M9" s="242"/>
      <c r="N9" s="243"/>
      <c r="P9" s="457" t="s">
        <v>1061</v>
      </c>
    </row>
    <row r="10" spans="1:16" s="244" customFormat="1" ht="18" customHeight="1">
      <c r="B10" s="498"/>
      <c r="C10" s="584" t="s">
        <v>850</v>
      </c>
      <c r="D10" s="674"/>
      <c r="E10" s="575"/>
      <c r="F10" s="585"/>
      <c r="G10" s="585"/>
      <c r="H10" s="586"/>
      <c r="I10" s="245"/>
      <c r="J10" s="246"/>
      <c r="K10" s="246"/>
      <c r="L10" s="246"/>
      <c r="M10" s="246"/>
      <c r="N10" s="247"/>
      <c r="P10" s="457" t="s">
        <v>1061</v>
      </c>
    </row>
    <row r="11" spans="1:16" s="244" customFormat="1" ht="18" customHeight="1">
      <c r="B11" s="498"/>
      <c r="C11" s="584" t="s">
        <v>851</v>
      </c>
      <c r="D11" s="674"/>
      <c r="E11" s="575"/>
      <c r="F11" s="585"/>
      <c r="G11" s="585"/>
      <c r="H11" s="586"/>
      <c r="I11" s="245"/>
      <c r="J11" s="246"/>
      <c r="K11" s="246"/>
      <c r="L11" s="246"/>
      <c r="M11" s="246"/>
      <c r="N11" s="247"/>
      <c r="P11" s="223" t="str">
        <f>IF(D11 &lt;&gt; "","No","Yes")</f>
        <v>Yes</v>
      </c>
    </row>
    <row r="12" spans="1:16" s="244" customFormat="1" ht="18" customHeight="1">
      <c r="B12" s="498"/>
      <c r="C12" s="584" t="s">
        <v>852</v>
      </c>
      <c r="D12" s="575"/>
      <c r="E12" s="575"/>
      <c r="F12" s="585"/>
      <c r="G12" s="585"/>
      <c r="H12" s="586"/>
      <c r="I12" s="245"/>
      <c r="J12" s="246"/>
      <c r="K12" s="246"/>
      <c r="L12" s="246"/>
      <c r="M12" s="246"/>
      <c r="N12" s="247"/>
      <c r="P12" s="223" t="str">
        <f>IF(D12 &lt;&gt; "","No","Yes")</f>
        <v>Yes</v>
      </c>
    </row>
    <row r="13" spans="1:16" s="244" customFormat="1" ht="18" customHeight="1">
      <c r="B13" s="498"/>
      <c r="C13" s="584" t="s">
        <v>853</v>
      </c>
      <c r="D13" s="674"/>
      <c r="E13" s="575"/>
      <c r="F13" s="585"/>
      <c r="G13" s="585"/>
      <c r="H13" s="586"/>
      <c r="I13" s="245"/>
      <c r="J13" s="246"/>
      <c r="K13" s="246"/>
      <c r="L13" s="246"/>
      <c r="M13" s="246"/>
      <c r="N13" s="247"/>
      <c r="P13" s="223" t="str">
        <f>IF(D13 &lt;&gt; "","No","Yes")</f>
        <v>Yes</v>
      </c>
    </row>
    <row r="14" spans="1:16" s="244" customFormat="1" ht="18" customHeight="1">
      <c r="B14" s="498"/>
      <c r="C14" s="584" t="s">
        <v>854</v>
      </c>
      <c r="D14" s="674"/>
      <c r="E14" s="575"/>
      <c r="F14" s="585"/>
      <c r="G14" s="585"/>
      <c r="H14" s="586"/>
      <c r="I14" s="245"/>
      <c r="J14" s="246"/>
      <c r="K14" s="246"/>
      <c r="L14" s="246"/>
      <c r="M14" s="246"/>
      <c r="N14" s="247"/>
      <c r="P14" s="223" t="str">
        <f>IF(D14 &lt;&gt; "","No","Yes")</f>
        <v>Yes</v>
      </c>
    </row>
    <row r="15" spans="1:16" s="244" customFormat="1" ht="18" customHeight="1" thickBot="1">
      <c r="B15" s="498"/>
      <c r="C15" s="587" t="s">
        <v>855</v>
      </c>
      <c r="D15" s="675"/>
      <c r="E15" s="577"/>
      <c r="F15" s="588"/>
      <c r="G15" s="588"/>
      <c r="H15" s="589"/>
      <c r="I15" s="248"/>
      <c r="J15" s="249"/>
      <c r="K15" s="249"/>
      <c r="L15" s="249"/>
      <c r="M15" s="249"/>
      <c r="N15" s="250"/>
      <c r="P15" s="223" t="str">
        <f>IF(D15 &lt;&gt; "","No","Yes")</f>
        <v>Yes</v>
      </c>
    </row>
    <row r="16" spans="1:16" ht="24" customHeight="1" thickBot="1">
      <c r="A16" s="244"/>
      <c r="B16" s="498"/>
      <c r="C16" s="989" t="s">
        <v>856</v>
      </c>
      <c r="D16" s="989"/>
      <c r="E16" s="989"/>
      <c r="F16" s="989"/>
      <c r="G16" s="989"/>
      <c r="H16" s="989"/>
      <c r="I16" s="989"/>
      <c r="J16" s="989"/>
      <c r="K16" s="989"/>
      <c r="L16" s="989"/>
      <c r="M16" s="989"/>
      <c r="N16" s="990"/>
      <c r="P16" s="457" t="s">
        <v>1061</v>
      </c>
    </row>
    <row r="17" spans="1:16" ht="30" customHeight="1">
      <c r="A17" s="244"/>
      <c r="B17" s="498"/>
      <c r="C17" s="460"/>
      <c r="D17" s="461" t="str">
        <f>D$8</f>
        <v>Location Name</v>
      </c>
      <c r="E17" s="462" t="s">
        <v>857</v>
      </c>
      <c r="F17" s="462" t="s">
        <v>858</v>
      </c>
      <c r="G17" s="462" t="s">
        <v>859</v>
      </c>
      <c r="H17" s="462" t="s">
        <v>860</v>
      </c>
      <c r="I17" s="462" t="s">
        <v>861</v>
      </c>
      <c r="J17" s="462" t="s">
        <v>862</v>
      </c>
      <c r="K17" s="462" t="s">
        <v>863</v>
      </c>
      <c r="L17" s="462" t="s">
        <v>864</v>
      </c>
      <c r="M17" s="463" t="s">
        <v>786</v>
      </c>
      <c r="N17" s="251"/>
      <c r="P17" s="457" t="s">
        <v>1061</v>
      </c>
    </row>
    <row r="18" spans="1:16" ht="30" customHeight="1">
      <c r="A18" s="244"/>
      <c r="B18" s="498"/>
      <c r="C18" s="464" t="str">
        <f>C$9</f>
        <v>Measurement</v>
      </c>
      <c r="D18" s="465" t="s">
        <v>788</v>
      </c>
      <c r="E18" s="466">
        <v>0.01</v>
      </c>
      <c r="F18" s="466">
        <v>0.01</v>
      </c>
      <c r="G18" s="466">
        <v>6.0000000000000001E-3</v>
      </c>
      <c r="H18" s="466">
        <v>2E-3</v>
      </c>
      <c r="I18" s="466">
        <v>7.0000000000000007E-2</v>
      </c>
      <c r="J18" s="468">
        <v>1</v>
      </c>
      <c r="K18" s="469">
        <v>5.0000000000000001E-3</v>
      </c>
      <c r="L18" s="468">
        <v>0.1</v>
      </c>
      <c r="M18" s="467" t="s">
        <v>849</v>
      </c>
      <c r="N18" s="252"/>
      <c r="P18" s="457" t="s">
        <v>1061</v>
      </c>
    </row>
    <row r="19" spans="1:16" ht="18" customHeight="1">
      <c r="A19" s="244"/>
      <c r="B19" s="498"/>
      <c r="C19" s="584" t="s">
        <v>850</v>
      </c>
      <c r="D19" s="674"/>
      <c r="E19" s="590"/>
      <c r="F19" s="590"/>
      <c r="G19" s="590"/>
      <c r="H19" s="590"/>
      <c r="I19" s="590"/>
      <c r="J19" s="590"/>
      <c r="K19" s="590"/>
      <c r="L19" s="590"/>
      <c r="M19" s="591"/>
      <c r="N19" s="252"/>
      <c r="P19" s="457" t="s">
        <v>1061</v>
      </c>
    </row>
    <row r="20" spans="1:16" ht="18" customHeight="1">
      <c r="A20" s="244"/>
      <c r="B20" s="498"/>
      <c r="C20" s="584" t="s">
        <v>851</v>
      </c>
      <c r="D20" s="674"/>
      <c r="E20" s="590"/>
      <c r="F20" s="590"/>
      <c r="G20" s="590"/>
      <c r="H20" s="590"/>
      <c r="I20" s="590"/>
      <c r="J20" s="590"/>
      <c r="K20" s="590"/>
      <c r="L20" s="590"/>
      <c r="M20" s="591"/>
      <c r="N20" s="252"/>
      <c r="P20" s="223" t="str">
        <f>IF(D20 &lt;&gt; "","No","Yes")</f>
        <v>Yes</v>
      </c>
    </row>
    <row r="21" spans="1:16" ht="18" customHeight="1">
      <c r="A21" s="244"/>
      <c r="B21" s="498"/>
      <c r="C21" s="584" t="s">
        <v>853</v>
      </c>
      <c r="D21" s="674"/>
      <c r="E21" s="590"/>
      <c r="F21" s="590"/>
      <c r="G21" s="590"/>
      <c r="H21" s="590"/>
      <c r="I21" s="590"/>
      <c r="J21" s="590"/>
      <c r="K21" s="590"/>
      <c r="L21" s="590"/>
      <c r="M21" s="591"/>
      <c r="N21" s="252"/>
      <c r="P21" s="223" t="str">
        <f>IF(D21 &lt;&gt; "","No","Yes")</f>
        <v>Yes</v>
      </c>
    </row>
    <row r="22" spans="1:16" ht="18" customHeight="1" thickBot="1">
      <c r="A22" s="244"/>
      <c r="B22" s="498"/>
      <c r="C22" s="587" t="s">
        <v>854</v>
      </c>
      <c r="D22" s="675"/>
      <c r="E22" s="592"/>
      <c r="F22" s="592"/>
      <c r="G22" s="592"/>
      <c r="H22" s="592"/>
      <c r="I22" s="592"/>
      <c r="J22" s="592"/>
      <c r="K22" s="592"/>
      <c r="L22" s="592"/>
      <c r="M22" s="593"/>
      <c r="N22" s="508"/>
      <c r="P22" s="223" t="str">
        <f>IF(D22 &lt;&gt; "","No","Yes")</f>
        <v>Yes</v>
      </c>
    </row>
    <row r="23" spans="1:16" ht="24" customHeight="1" thickBot="1">
      <c r="A23" s="244"/>
      <c r="B23" s="498"/>
      <c r="C23" s="989" t="s">
        <v>865</v>
      </c>
      <c r="D23" s="989"/>
      <c r="E23" s="989"/>
      <c r="F23" s="989"/>
      <c r="G23" s="989"/>
      <c r="H23" s="989"/>
      <c r="I23" s="989"/>
      <c r="J23" s="989"/>
      <c r="K23" s="989"/>
      <c r="L23" s="989"/>
      <c r="M23" s="989"/>
      <c r="N23" s="990"/>
      <c r="P23" s="457" t="s">
        <v>1061</v>
      </c>
    </row>
    <row r="24" spans="1:16" ht="49.95" customHeight="1">
      <c r="A24" s="244"/>
      <c r="B24" s="498"/>
      <c r="C24" s="460"/>
      <c r="D24" s="461" t="str">
        <f>D$8</f>
        <v>Location Name</v>
      </c>
      <c r="E24" s="462" t="s">
        <v>866</v>
      </c>
      <c r="F24" s="462" t="s">
        <v>867</v>
      </c>
      <c r="G24" s="462" t="s">
        <v>868</v>
      </c>
      <c r="H24" s="462" t="s">
        <v>869</v>
      </c>
      <c r="I24" s="462" t="s">
        <v>870</v>
      </c>
      <c r="J24" s="462" t="s">
        <v>1054</v>
      </c>
      <c r="K24" s="462" t="s">
        <v>871</v>
      </c>
      <c r="L24" s="463" t="s">
        <v>786</v>
      </c>
      <c r="M24" s="253"/>
      <c r="N24" s="254"/>
      <c r="P24" s="457" t="s">
        <v>1061</v>
      </c>
    </row>
    <row r="25" spans="1:16" ht="30" customHeight="1">
      <c r="A25" s="244"/>
      <c r="B25" s="498"/>
      <c r="C25" s="464" t="str">
        <f>C$9</f>
        <v>Measurement</v>
      </c>
      <c r="D25" s="465" t="s">
        <v>788</v>
      </c>
      <c r="E25" s="466">
        <v>0.02</v>
      </c>
      <c r="F25" s="466">
        <v>5.0000000000000001E-3</v>
      </c>
      <c r="G25" s="466">
        <v>0.3</v>
      </c>
      <c r="H25" s="466">
        <v>2E-3</v>
      </c>
      <c r="I25" s="466">
        <v>0.7</v>
      </c>
      <c r="J25" s="466">
        <v>0.5</v>
      </c>
      <c r="K25" s="466">
        <v>5.0000000000000001E-3</v>
      </c>
      <c r="L25" s="467" t="s">
        <v>849</v>
      </c>
      <c r="M25" s="245"/>
      <c r="N25" s="247"/>
      <c r="P25" s="457" t="s">
        <v>1061</v>
      </c>
    </row>
    <row r="26" spans="1:16" ht="18" customHeight="1">
      <c r="A26" s="244"/>
      <c r="B26" s="498"/>
      <c r="C26" s="584" t="s">
        <v>850</v>
      </c>
      <c r="D26" s="674"/>
      <c r="E26" s="585"/>
      <c r="F26" s="585"/>
      <c r="G26" s="585"/>
      <c r="H26" s="585"/>
      <c r="I26" s="585"/>
      <c r="J26" s="585"/>
      <c r="K26" s="585"/>
      <c r="L26" s="586"/>
      <c r="M26" s="245"/>
      <c r="N26" s="247"/>
      <c r="P26" s="457" t="s">
        <v>1061</v>
      </c>
    </row>
    <row r="27" spans="1:16" ht="18" customHeight="1">
      <c r="A27" s="244"/>
      <c r="B27" s="498"/>
      <c r="C27" s="584" t="s">
        <v>851</v>
      </c>
      <c r="D27" s="674"/>
      <c r="E27" s="585"/>
      <c r="F27" s="466">
        <v>5.0000000000000001E-3</v>
      </c>
      <c r="G27" s="585"/>
      <c r="H27" s="585"/>
      <c r="I27" s="585"/>
      <c r="J27" s="585"/>
      <c r="K27" s="585"/>
      <c r="L27" s="586"/>
      <c r="M27" s="245"/>
      <c r="N27" s="247"/>
      <c r="P27" s="223" t="str">
        <f>IF(D27 &lt;&gt; "","No","Yes")</f>
        <v>Yes</v>
      </c>
    </row>
    <row r="28" spans="1:16" ht="18" customHeight="1">
      <c r="A28" s="244"/>
      <c r="B28" s="498"/>
      <c r="C28" s="584" t="s">
        <v>853</v>
      </c>
      <c r="D28" s="674"/>
      <c r="E28" s="585"/>
      <c r="F28" s="585"/>
      <c r="G28" s="585"/>
      <c r="H28" s="585"/>
      <c r="I28" s="585"/>
      <c r="J28" s="585"/>
      <c r="K28" s="585"/>
      <c r="L28" s="586"/>
      <c r="M28" s="245"/>
      <c r="N28" s="247"/>
      <c r="P28" s="223" t="str">
        <f>IF(D28 &lt;&gt; "","No","Yes")</f>
        <v>Yes</v>
      </c>
    </row>
    <row r="29" spans="1:16" ht="18" customHeight="1" thickBot="1">
      <c r="A29" s="244"/>
      <c r="B29" s="498"/>
      <c r="C29" s="587" t="s">
        <v>854</v>
      </c>
      <c r="D29" s="675"/>
      <c r="E29" s="588"/>
      <c r="F29" s="588"/>
      <c r="G29" s="588"/>
      <c r="H29" s="588"/>
      <c r="I29" s="588"/>
      <c r="J29" s="588"/>
      <c r="K29" s="588"/>
      <c r="L29" s="589"/>
      <c r="M29" s="248"/>
      <c r="N29" s="250"/>
      <c r="P29" s="223" t="str">
        <f>IF(D29 &lt;&gt; "","No","Yes")</f>
        <v>Yes</v>
      </c>
    </row>
    <row r="30" spans="1:16" ht="24" customHeight="1" thickBot="1">
      <c r="A30" s="244"/>
      <c r="B30" s="498"/>
      <c r="C30" s="989" t="s">
        <v>872</v>
      </c>
      <c r="D30" s="989"/>
      <c r="E30" s="989"/>
      <c r="F30" s="989"/>
      <c r="G30" s="989"/>
      <c r="H30" s="989"/>
      <c r="I30" s="989"/>
      <c r="J30" s="989"/>
      <c r="K30" s="989"/>
      <c r="L30" s="989"/>
      <c r="M30" s="989"/>
      <c r="N30" s="990"/>
      <c r="P30" s="457" t="s">
        <v>1061</v>
      </c>
    </row>
    <row r="31" spans="1:16" ht="30" customHeight="1">
      <c r="A31" s="244"/>
      <c r="B31" s="498"/>
      <c r="C31" s="460"/>
      <c r="D31" s="461" t="s">
        <v>782</v>
      </c>
      <c r="E31" s="470" t="s">
        <v>873</v>
      </c>
      <c r="F31" s="470" t="s">
        <v>874</v>
      </c>
      <c r="G31" s="443" t="s">
        <v>786</v>
      </c>
      <c r="H31" s="253"/>
      <c r="I31" s="255"/>
      <c r="J31" s="255"/>
      <c r="K31" s="255"/>
      <c r="L31" s="255"/>
      <c r="M31" s="255"/>
      <c r="N31" s="254"/>
      <c r="P31" s="457" t="s">
        <v>1061</v>
      </c>
    </row>
    <row r="32" spans="1:16" ht="30" customHeight="1">
      <c r="A32" s="244"/>
      <c r="B32" s="498"/>
      <c r="C32" s="464"/>
      <c r="D32" s="465" t="s">
        <v>788</v>
      </c>
      <c r="E32" s="471">
        <v>0.08</v>
      </c>
      <c r="F32" s="471">
        <v>0.06</v>
      </c>
      <c r="G32" s="467" t="s">
        <v>789</v>
      </c>
      <c r="H32" s="245"/>
      <c r="I32" s="246"/>
      <c r="J32" s="246"/>
      <c r="K32" s="246"/>
      <c r="L32" s="246"/>
      <c r="M32" s="246"/>
      <c r="N32" s="247"/>
      <c r="P32" s="457" t="s">
        <v>1061</v>
      </c>
    </row>
    <row r="33" spans="1:16" ht="18" customHeight="1">
      <c r="A33" s="244"/>
      <c r="B33" s="498"/>
      <c r="C33" s="584" t="s">
        <v>850</v>
      </c>
      <c r="D33" s="674"/>
      <c r="E33" s="585"/>
      <c r="F33" s="585"/>
      <c r="G33" s="586"/>
      <c r="H33" s="245"/>
      <c r="I33" s="246"/>
      <c r="J33" s="246"/>
      <c r="K33" s="246"/>
      <c r="L33" s="246"/>
      <c r="M33" s="246"/>
      <c r="N33" s="247"/>
      <c r="P33" s="457" t="s">
        <v>1061</v>
      </c>
    </row>
    <row r="34" spans="1:16" ht="18" customHeight="1">
      <c r="A34" s="244"/>
      <c r="B34" s="498"/>
      <c r="C34" s="584" t="s">
        <v>851</v>
      </c>
      <c r="D34" s="674"/>
      <c r="E34" s="585"/>
      <c r="F34" s="585"/>
      <c r="G34" s="586"/>
      <c r="H34" s="245"/>
      <c r="I34" s="246"/>
      <c r="J34" s="246"/>
      <c r="K34" s="246"/>
      <c r="L34" s="246"/>
      <c r="M34" s="246"/>
      <c r="N34" s="247"/>
      <c r="P34" s="223" t="str">
        <f>IF(D34 &lt;&gt; "","No","Yes")</f>
        <v>Yes</v>
      </c>
    </row>
    <row r="35" spans="1:16" ht="18" customHeight="1">
      <c r="A35" s="244"/>
      <c r="B35" s="498"/>
      <c r="C35" s="584" t="s">
        <v>853</v>
      </c>
      <c r="D35" s="674"/>
      <c r="E35" s="585"/>
      <c r="F35" s="585"/>
      <c r="G35" s="586"/>
      <c r="H35" s="245"/>
      <c r="I35" s="246"/>
      <c r="J35" s="246"/>
      <c r="K35" s="246"/>
      <c r="L35" s="246"/>
      <c r="M35" s="246"/>
      <c r="N35" s="247"/>
      <c r="P35" s="223" t="str">
        <f>IF(D35 &lt;&gt; "","No","Yes")</f>
        <v>Yes</v>
      </c>
    </row>
    <row r="36" spans="1:16" ht="18" customHeight="1" thickBot="1">
      <c r="A36" s="244"/>
      <c r="B36" s="498"/>
      <c r="C36" s="587" t="s">
        <v>854</v>
      </c>
      <c r="D36" s="675"/>
      <c r="E36" s="588"/>
      <c r="F36" s="588"/>
      <c r="G36" s="589"/>
      <c r="H36" s="248"/>
      <c r="I36" s="249"/>
      <c r="J36" s="249"/>
      <c r="K36" s="249"/>
      <c r="L36" s="249"/>
      <c r="M36" s="249"/>
      <c r="N36" s="250"/>
      <c r="P36" s="223" t="str">
        <f>IF(D36 &lt;&gt; "","No","Yes")</f>
        <v>Yes</v>
      </c>
    </row>
    <row r="37" spans="1:16" ht="24" customHeight="1" thickBot="1">
      <c r="A37" s="244"/>
      <c r="B37" s="498"/>
      <c r="C37" s="989" t="s">
        <v>875</v>
      </c>
      <c r="D37" s="989"/>
      <c r="E37" s="989"/>
      <c r="F37" s="989"/>
      <c r="G37" s="989"/>
      <c r="H37" s="989"/>
      <c r="I37" s="989"/>
      <c r="J37" s="989"/>
      <c r="K37" s="989"/>
      <c r="L37" s="989"/>
      <c r="M37" s="989"/>
      <c r="N37" s="990"/>
      <c r="P37" s="457" t="s">
        <v>1061</v>
      </c>
    </row>
    <row r="38" spans="1:16" ht="50.1" customHeight="1">
      <c r="A38" s="244"/>
      <c r="B38" s="498"/>
      <c r="C38" s="460"/>
      <c r="D38" s="461" t="str">
        <f>D$8</f>
        <v>Location Name</v>
      </c>
      <c r="E38" s="462" t="s">
        <v>876</v>
      </c>
      <c r="F38" s="462" t="s">
        <v>877</v>
      </c>
      <c r="G38" s="462" t="s">
        <v>878</v>
      </c>
      <c r="H38" s="443" t="s">
        <v>786</v>
      </c>
      <c r="I38" s="253"/>
      <c r="J38" s="255"/>
      <c r="K38" s="255"/>
      <c r="L38" s="255"/>
      <c r="M38" s="255"/>
      <c r="N38" s="254"/>
      <c r="P38" s="457" t="s">
        <v>1061</v>
      </c>
    </row>
    <row r="39" spans="1:16" ht="30" customHeight="1">
      <c r="A39" s="244"/>
      <c r="B39" s="498"/>
      <c r="C39" s="464" t="str">
        <f>C$9</f>
        <v>Measurement</v>
      </c>
      <c r="D39" s="465" t="s">
        <v>788</v>
      </c>
      <c r="E39" s="466">
        <v>3.0000000000000001E-3</v>
      </c>
      <c r="F39" s="466">
        <v>2E-3</v>
      </c>
      <c r="G39" s="466">
        <v>7.0000000000000007E-2</v>
      </c>
      <c r="H39" s="467" t="s">
        <v>789</v>
      </c>
      <c r="I39" s="245"/>
      <c r="J39" s="246"/>
      <c r="K39" s="246"/>
      <c r="L39" s="246"/>
      <c r="M39" s="246"/>
      <c r="N39" s="247"/>
      <c r="P39" s="457" t="s">
        <v>1061</v>
      </c>
    </row>
    <row r="40" spans="1:16" ht="18" customHeight="1">
      <c r="A40" s="244"/>
      <c r="B40" s="498"/>
      <c r="C40" s="584" t="s">
        <v>850</v>
      </c>
      <c r="D40" s="674"/>
      <c r="E40" s="594"/>
      <c r="F40" s="594"/>
      <c r="G40" s="594"/>
      <c r="H40" s="586"/>
      <c r="I40" s="245"/>
      <c r="J40" s="246"/>
      <c r="K40" s="246"/>
      <c r="L40" s="246"/>
      <c r="M40" s="246"/>
      <c r="N40" s="247"/>
      <c r="P40" s="457" t="s">
        <v>1061</v>
      </c>
    </row>
    <row r="41" spans="1:16" ht="18" customHeight="1">
      <c r="A41" s="244"/>
      <c r="B41" s="498"/>
      <c r="C41" s="584" t="s">
        <v>851</v>
      </c>
      <c r="D41" s="674"/>
      <c r="E41" s="594"/>
      <c r="F41" s="594"/>
      <c r="G41" s="594"/>
      <c r="H41" s="586"/>
      <c r="I41" s="245"/>
      <c r="J41" s="246"/>
      <c r="K41" s="246"/>
      <c r="L41" s="246"/>
      <c r="M41" s="246"/>
      <c r="N41" s="247"/>
      <c r="P41" s="223" t="str">
        <f>IF(D41 &lt;&gt; "","No","Yes")</f>
        <v>Yes</v>
      </c>
    </row>
    <row r="42" spans="1:16" ht="18" customHeight="1">
      <c r="A42" s="244"/>
      <c r="B42" s="498"/>
      <c r="C42" s="584" t="s">
        <v>853</v>
      </c>
      <c r="D42" s="674"/>
      <c r="E42" s="594"/>
      <c r="F42" s="594"/>
      <c r="G42" s="594"/>
      <c r="H42" s="586"/>
      <c r="I42" s="245"/>
      <c r="J42" s="246"/>
      <c r="K42" s="246"/>
      <c r="L42" s="246"/>
      <c r="M42" s="246"/>
      <c r="N42" s="247"/>
      <c r="P42" s="223" t="str">
        <f>IF(D42 &lt;&gt; "","No","Yes")</f>
        <v>Yes</v>
      </c>
    </row>
    <row r="43" spans="1:16" ht="18" customHeight="1" thickBot="1">
      <c r="A43" s="244"/>
      <c r="B43" s="498"/>
      <c r="C43" s="587" t="s">
        <v>854</v>
      </c>
      <c r="D43" s="675"/>
      <c r="E43" s="595"/>
      <c r="F43" s="595"/>
      <c r="G43" s="595"/>
      <c r="H43" s="589"/>
      <c r="I43" s="248"/>
      <c r="J43" s="249"/>
      <c r="K43" s="249"/>
      <c r="L43" s="249"/>
      <c r="M43" s="249"/>
      <c r="N43" s="250"/>
      <c r="P43" s="223" t="str">
        <f>IF(D43 &lt;&gt; "","No","Yes")</f>
        <v>Yes</v>
      </c>
    </row>
    <row r="44" spans="1:16" ht="24" customHeight="1" thickBot="1">
      <c r="A44" s="244"/>
      <c r="B44" s="498"/>
      <c r="C44" s="989" t="s">
        <v>879</v>
      </c>
      <c r="D44" s="989"/>
      <c r="E44" s="989"/>
      <c r="F44" s="989"/>
      <c r="G44" s="989"/>
      <c r="H44" s="989"/>
      <c r="I44" s="989"/>
      <c r="J44" s="989"/>
      <c r="K44" s="989"/>
      <c r="L44" s="989"/>
      <c r="M44" s="989"/>
      <c r="N44" s="990"/>
      <c r="P44" s="457" t="s">
        <v>1061</v>
      </c>
    </row>
    <row r="45" spans="1:16" ht="30" customHeight="1">
      <c r="A45" s="244"/>
      <c r="B45" s="498"/>
      <c r="C45" s="460"/>
      <c r="D45" s="461" t="str">
        <f>D$8</f>
        <v>Location Name</v>
      </c>
      <c r="E45" s="462" t="s">
        <v>880</v>
      </c>
      <c r="F45" s="443" t="s">
        <v>786</v>
      </c>
      <c r="G45" s="253"/>
      <c r="H45" s="255"/>
      <c r="I45" s="255"/>
      <c r="J45" s="255"/>
      <c r="K45" s="255"/>
      <c r="L45" s="255"/>
      <c r="M45" s="255"/>
      <c r="N45" s="254"/>
      <c r="P45" s="457" t="s">
        <v>1061</v>
      </c>
    </row>
    <row r="46" spans="1:16" ht="30" customHeight="1">
      <c r="A46" s="244"/>
      <c r="B46" s="498"/>
      <c r="C46" s="464" t="str">
        <f>C$9</f>
        <v>Measurement</v>
      </c>
      <c r="D46" s="465" t="s">
        <v>788</v>
      </c>
      <c r="E46" s="466">
        <v>11</v>
      </c>
      <c r="F46" s="467" t="s">
        <v>789</v>
      </c>
      <c r="G46" s="245"/>
      <c r="H46" s="246"/>
      <c r="I46" s="246"/>
      <c r="J46" s="246"/>
      <c r="K46" s="246"/>
      <c r="L46" s="246"/>
      <c r="M46" s="246"/>
      <c r="N46" s="247"/>
      <c r="P46" s="457" t="s">
        <v>1061</v>
      </c>
    </row>
    <row r="47" spans="1:16" ht="18" customHeight="1">
      <c r="A47" s="244"/>
      <c r="B47" s="498"/>
      <c r="C47" s="584" t="s">
        <v>850</v>
      </c>
      <c r="D47" s="674"/>
      <c r="E47" s="585"/>
      <c r="F47" s="586"/>
      <c r="G47" s="245"/>
      <c r="H47" s="246"/>
      <c r="I47" s="246"/>
      <c r="J47" s="246"/>
      <c r="K47" s="246"/>
      <c r="L47" s="246"/>
      <c r="M47" s="246"/>
      <c r="N47" s="247"/>
      <c r="P47" s="457" t="s">
        <v>1061</v>
      </c>
    </row>
    <row r="48" spans="1:16" ht="18" customHeight="1">
      <c r="A48" s="244"/>
      <c r="B48" s="498"/>
      <c r="C48" s="584" t="s">
        <v>851</v>
      </c>
      <c r="D48" s="674"/>
      <c r="E48" s="585"/>
      <c r="F48" s="586"/>
      <c r="G48" s="245"/>
      <c r="H48" s="246"/>
      <c r="I48" s="246"/>
      <c r="J48" s="246"/>
      <c r="K48" s="246"/>
      <c r="L48" s="246"/>
      <c r="M48" s="246"/>
      <c r="N48" s="247"/>
      <c r="P48" s="223" t="str">
        <f>IF(D48 &lt;&gt; "","No","Yes")</f>
        <v>Yes</v>
      </c>
    </row>
    <row r="49" spans="1:16" ht="18" customHeight="1">
      <c r="A49" s="244"/>
      <c r="B49" s="498"/>
      <c r="C49" s="584" t="s">
        <v>853</v>
      </c>
      <c r="D49" s="674"/>
      <c r="E49" s="585"/>
      <c r="F49" s="586"/>
      <c r="G49" s="245"/>
      <c r="H49" s="246"/>
      <c r="I49" s="246"/>
      <c r="J49" s="246"/>
      <c r="K49" s="246"/>
      <c r="L49" s="246"/>
      <c r="M49" s="246"/>
      <c r="N49" s="247"/>
      <c r="P49" s="223" t="str">
        <f>IF(D49 &lt;&gt; "","No","Yes")</f>
        <v>Yes</v>
      </c>
    </row>
    <row r="50" spans="1:16" ht="18" customHeight="1" thickBot="1">
      <c r="A50" s="244"/>
      <c r="B50" s="498"/>
      <c r="C50" s="587" t="s">
        <v>854</v>
      </c>
      <c r="D50" s="675"/>
      <c r="E50" s="588"/>
      <c r="F50" s="589"/>
      <c r="G50" s="248"/>
      <c r="H50" s="249"/>
      <c r="I50" s="249"/>
      <c r="J50" s="249"/>
      <c r="K50" s="249"/>
      <c r="L50" s="249"/>
      <c r="M50" s="249"/>
      <c r="N50" s="250"/>
      <c r="P50" s="223" t="str">
        <f>IF(D50 &lt;&gt; "","No","Yes")</f>
        <v>Yes</v>
      </c>
    </row>
    <row r="51" spans="1:16" ht="24" customHeight="1" thickBot="1">
      <c r="A51" s="244"/>
      <c r="B51" s="498"/>
      <c r="C51" s="989" t="s">
        <v>881</v>
      </c>
      <c r="D51" s="989"/>
      <c r="E51" s="989"/>
      <c r="F51" s="989"/>
      <c r="G51" s="989"/>
      <c r="H51" s="989"/>
      <c r="I51" s="989"/>
      <c r="J51" s="989"/>
      <c r="K51" s="989"/>
      <c r="L51" s="989"/>
      <c r="M51" s="989"/>
      <c r="N51" s="990"/>
      <c r="P51" s="457" t="s">
        <v>1061</v>
      </c>
    </row>
    <row r="52" spans="1:16" ht="30" customHeight="1">
      <c r="A52" s="244"/>
      <c r="B52" s="498"/>
      <c r="C52" s="460"/>
      <c r="D52" s="461" t="str">
        <f>D$8</f>
        <v>Location Name</v>
      </c>
      <c r="E52" s="462" t="s">
        <v>882</v>
      </c>
      <c r="F52" s="462" t="s">
        <v>883</v>
      </c>
      <c r="G52" s="462" t="s">
        <v>884</v>
      </c>
      <c r="H52" s="443" t="s">
        <v>786</v>
      </c>
      <c r="I52" s="253"/>
      <c r="J52" s="255"/>
      <c r="K52" s="255"/>
      <c r="L52" s="255"/>
      <c r="M52" s="255"/>
      <c r="N52" s="254"/>
      <c r="P52" s="457" t="s">
        <v>1061</v>
      </c>
    </row>
    <row r="53" spans="1:16" ht="30" customHeight="1">
      <c r="A53" s="244"/>
      <c r="B53" s="498"/>
      <c r="C53" s="464" t="str">
        <f>C$9</f>
        <v>Measurement</v>
      </c>
      <c r="D53" s="465" t="s">
        <v>788</v>
      </c>
      <c r="E53" s="466">
        <v>4</v>
      </c>
      <c r="F53" s="466">
        <v>4</v>
      </c>
      <c r="G53" s="466">
        <v>4</v>
      </c>
      <c r="H53" s="467" t="s">
        <v>789</v>
      </c>
      <c r="I53" s="245"/>
      <c r="J53" s="246"/>
      <c r="K53" s="246"/>
      <c r="L53" s="246"/>
      <c r="M53" s="246"/>
      <c r="N53" s="247"/>
      <c r="P53" s="457" t="s">
        <v>1061</v>
      </c>
    </row>
    <row r="54" spans="1:16" ht="18" customHeight="1">
      <c r="A54" s="244"/>
      <c r="B54" s="498"/>
      <c r="C54" s="584" t="s">
        <v>850</v>
      </c>
      <c r="D54" s="674"/>
      <c r="E54" s="585"/>
      <c r="F54" s="585"/>
      <c r="G54" s="585"/>
      <c r="H54" s="586"/>
      <c r="I54" s="245"/>
      <c r="J54" s="246"/>
      <c r="K54" s="246"/>
      <c r="L54" s="246"/>
      <c r="M54" s="246"/>
      <c r="N54" s="247"/>
      <c r="P54" s="457" t="s">
        <v>1061</v>
      </c>
    </row>
    <row r="55" spans="1:16" ht="18" customHeight="1">
      <c r="A55" s="244"/>
      <c r="B55" s="498"/>
      <c r="C55" s="584" t="s">
        <v>851</v>
      </c>
      <c r="D55" s="674"/>
      <c r="E55" s="585"/>
      <c r="F55" s="585"/>
      <c r="G55" s="585"/>
      <c r="H55" s="586"/>
      <c r="I55" s="245"/>
      <c r="J55" s="246"/>
      <c r="K55" s="246"/>
      <c r="L55" s="246"/>
      <c r="M55" s="246"/>
      <c r="N55" s="247"/>
      <c r="P55" s="223" t="str">
        <f>IF(D55 &lt;&gt; "","No","Yes")</f>
        <v>Yes</v>
      </c>
    </row>
    <row r="56" spans="1:16" ht="18" customHeight="1">
      <c r="A56" s="244"/>
      <c r="B56" s="498"/>
      <c r="C56" s="584" t="s">
        <v>853</v>
      </c>
      <c r="D56" s="674"/>
      <c r="E56" s="585"/>
      <c r="F56" s="585"/>
      <c r="G56" s="585"/>
      <c r="H56" s="586"/>
      <c r="I56" s="245"/>
      <c r="J56" s="246"/>
      <c r="K56" s="246"/>
      <c r="L56" s="246"/>
      <c r="M56" s="246"/>
      <c r="N56" s="247"/>
      <c r="P56" s="223" t="str">
        <f>IF(D56 &lt;&gt; "","No","Yes")</f>
        <v>Yes</v>
      </c>
    </row>
    <row r="57" spans="1:16" ht="18" customHeight="1" thickBot="1">
      <c r="A57" s="244"/>
      <c r="B57" s="498"/>
      <c r="C57" s="587" t="s">
        <v>854</v>
      </c>
      <c r="D57" s="675"/>
      <c r="E57" s="588"/>
      <c r="F57" s="588"/>
      <c r="G57" s="588"/>
      <c r="H57" s="589"/>
      <c r="I57" s="248"/>
      <c r="J57" s="249"/>
      <c r="K57" s="249"/>
      <c r="L57" s="249"/>
      <c r="M57" s="249"/>
      <c r="N57" s="250"/>
      <c r="P57" s="223" t="str">
        <f>IF(D57 &lt;&gt; "","No","Yes")</f>
        <v>Yes</v>
      </c>
    </row>
    <row r="58" spans="1:16" ht="24" customHeight="1" thickBot="1">
      <c r="A58" s="244"/>
      <c r="B58" s="498"/>
      <c r="C58" s="989" t="s">
        <v>885</v>
      </c>
      <c r="D58" s="989"/>
      <c r="E58" s="989"/>
      <c r="F58" s="989"/>
      <c r="G58" s="989"/>
      <c r="H58" s="989"/>
      <c r="I58" s="989"/>
      <c r="J58" s="989"/>
      <c r="K58" s="989"/>
      <c r="L58" s="989"/>
      <c r="M58" s="989"/>
      <c r="N58" s="990"/>
      <c r="P58" s="457" t="str">
        <f>IF(D$61&lt;&gt;"","No","Yes")</f>
        <v>Yes</v>
      </c>
    </row>
    <row r="59" spans="1:16" ht="30" customHeight="1">
      <c r="A59" s="244"/>
      <c r="B59" s="498"/>
      <c r="C59" s="460"/>
      <c r="D59" s="461" t="str">
        <f>D$8</f>
        <v>Location Name</v>
      </c>
      <c r="E59" s="462" t="s">
        <v>886</v>
      </c>
      <c r="F59" s="462" t="s">
        <v>887</v>
      </c>
      <c r="G59" s="462" t="s">
        <v>882</v>
      </c>
      <c r="H59" s="462" t="s">
        <v>888</v>
      </c>
      <c r="I59" s="462" t="s">
        <v>889</v>
      </c>
      <c r="J59" s="462" t="s">
        <v>890</v>
      </c>
      <c r="K59" s="462" t="s">
        <v>891</v>
      </c>
      <c r="L59" s="462" t="s">
        <v>892</v>
      </c>
      <c r="M59" s="462" t="s">
        <v>893</v>
      </c>
      <c r="N59" s="472" t="s">
        <v>786</v>
      </c>
      <c r="P59" s="457" t="str">
        <f>IF(D$61&lt;&gt;"","No","Yes")</f>
        <v>Yes</v>
      </c>
    </row>
    <row r="60" spans="1:16" ht="30" customHeight="1">
      <c r="A60" s="244"/>
      <c r="B60" s="498"/>
      <c r="C60" s="464" t="str">
        <f>C$9</f>
        <v>Measurement</v>
      </c>
      <c r="D60" s="465" t="s">
        <v>788</v>
      </c>
      <c r="E60" s="466">
        <v>0.2</v>
      </c>
      <c r="F60" s="466">
        <v>250</v>
      </c>
      <c r="G60" s="466">
        <v>2</v>
      </c>
      <c r="H60" s="466">
        <v>0.05</v>
      </c>
      <c r="I60" s="466">
        <v>270</v>
      </c>
      <c r="J60" s="466">
        <v>250</v>
      </c>
      <c r="K60" s="466">
        <v>0.3</v>
      </c>
      <c r="L60" s="466">
        <v>5</v>
      </c>
      <c r="M60" s="466">
        <v>500</v>
      </c>
      <c r="N60" s="473" t="s">
        <v>789</v>
      </c>
      <c r="P60" s="457" t="str">
        <f>IF(D$61&lt;&gt;"","No","Yes")</f>
        <v>Yes</v>
      </c>
    </row>
    <row r="61" spans="1:16" ht="18" customHeight="1">
      <c r="A61" s="244"/>
      <c r="B61" s="498"/>
      <c r="C61" s="584" t="s">
        <v>850</v>
      </c>
      <c r="D61" s="674"/>
      <c r="E61" s="594"/>
      <c r="F61" s="594"/>
      <c r="G61" s="594"/>
      <c r="H61" s="594"/>
      <c r="I61" s="594"/>
      <c r="J61" s="585"/>
      <c r="K61" s="594"/>
      <c r="L61" s="594"/>
      <c r="M61" s="590"/>
      <c r="N61" s="596"/>
      <c r="P61" s="223" t="str">
        <f>IF(D61 &lt;&gt; "","No","Yes")</f>
        <v>Yes</v>
      </c>
    </row>
    <row r="62" spans="1:16" ht="18" customHeight="1">
      <c r="A62" s="244"/>
      <c r="B62" s="498"/>
      <c r="C62" s="584" t="s">
        <v>851</v>
      </c>
      <c r="D62" s="674"/>
      <c r="E62" s="594"/>
      <c r="F62" s="594"/>
      <c r="G62" s="594"/>
      <c r="H62" s="594"/>
      <c r="I62" s="594"/>
      <c r="J62" s="585"/>
      <c r="K62" s="594"/>
      <c r="L62" s="594"/>
      <c r="M62" s="590"/>
      <c r="N62" s="596"/>
      <c r="P62" s="223" t="str">
        <f>IF(D62 &lt;&gt; "","No","Yes")</f>
        <v>Yes</v>
      </c>
    </row>
    <row r="63" spans="1:16" ht="18" customHeight="1">
      <c r="A63" s="244"/>
      <c r="B63" s="498"/>
      <c r="C63" s="584" t="s">
        <v>853</v>
      </c>
      <c r="D63" s="674"/>
      <c r="E63" s="594"/>
      <c r="F63" s="594"/>
      <c r="G63" s="594"/>
      <c r="H63" s="594"/>
      <c r="I63" s="594"/>
      <c r="J63" s="585"/>
      <c r="K63" s="594"/>
      <c r="L63" s="594"/>
      <c r="M63" s="590"/>
      <c r="N63" s="596"/>
      <c r="P63" s="223" t="str">
        <f>IF(D63 &lt;&gt; "","No","Yes")</f>
        <v>Yes</v>
      </c>
    </row>
    <row r="64" spans="1:16" ht="18" customHeight="1" thickBot="1">
      <c r="A64" s="244"/>
      <c r="B64" s="499"/>
      <c r="C64" s="587" t="s">
        <v>854</v>
      </c>
      <c r="D64" s="675"/>
      <c r="E64" s="595"/>
      <c r="F64" s="595"/>
      <c r="G64" s="595"/>
      <c r="H64" s="595"/>
      <c r="I64" s="595"/>
      <c r="J64" s="588"/>
      <c r="K64" s="595"/>
      <c r="L64" s="595"/>
      <c r="M64" s="592"/>
      <c r="N64" s="597"/>
      <c r="P64" s="223" t="str">
        <f>IF(D64 &lt;&gt; "","No","Yes")</f>
        <v>Yes</v>
      </c>
    </row>
    <row r="65" spans="2:14">
      <c r="B65" s="235"/>
      <c r="C65" s="235"/>
      <c r="D65" s="235"/>
      <c r="E65" s="235"/>
      <c r="F65" s="235"/>
      <c r="G65" s="235"/>
      <c r="H65" s="235"/>
      <c r="I65" s="235"/>
      <c r="J65" s="235"/>
      <c r="K65" s="235"/>
      <c r="L65" s="235"/>
      <c r="M65" s="235"/>
      <c r="N65" s="235"/>
    </row>
  </sheetData>
  <sheetProtection autoFilter="0"/>
  <autoFilter ref="P1:P64" xr:uid="{E1970C1F-86C3-40DC-8753-5C9B9552BDA1}"/>
  <mergeCells count="13">
    <mergeCell ref="C7:N7"/>
    <mergeCell ref="A1:H1"/>
    <mergeCell ref="A2:B2"/>
    <mergeCell ref="B5:N5"/>
    <mergeCell ref="C6:N6"/>
    <mergeCell ref="A3:I3"/>
    <mergeCell ref="C58:N58"/>
    <mergeCell ref="C16:N16"/>
    <mergeCell ref="C23:N23"/>
    <mergeCell ref="C30:N30"/>
    <mergeCell ref="C37:N37"/>
    <mergeCell ref="C44:N44"/>
    <mergeCell ref="C51:N51"/>
  </mergeCells>
  <conditionalFormatting sqref="D8:D9">
    <cfRule type="duplicateValues" dxfId="100" priority="1"/>
  </conditionalFormatting>
  <pageMargins left="0.7" right="0.7" top="0.75" bottom="0.75" header="0.3" footer="0.3"/>
  <pageSetup scale="36" fitToHeight="1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266F7-EFC5-42D5-B7ED-B65B9858ABE1}">
  <sheetPr>
    <pageSetUpPr fitToPage="1"/>
  </sheetPr>
  <dimension ref="A1:R51"/>
  <sheetViews>
    <sheetView view="pageBreakPreview" topLeftCell="A19" zoomScale="70" zoomScaleNormal="80" zoomScaleSheetLayoutView="70" workbookViewId="0">
      <selection activeCell="D13" sqref="C13:L16"/>
    </sheetView>
  </sheetViews>
  <sheetFormatPr defaultColWidth="8.88671875" defaultRowHeight="13.8"/>
  <cols>
    <col min="1" max="1" width="8.6640625" style="224" customWidth="1"/>
    <col min="2" max="2" width="10.6640625" style="224" customWidth="1"/>
    <col min="3" max="3" width="25.6640625" style="224" customWidth="1"/>
    <col min="4" max="4" width="45.6640625" style="224" customWidth="1"/>
    <col min="5" max="12" width="24.6640625" style="224" customWidth="1"/>
    <col min="13" max="13" width="1.109375" style="224" customWidth="1"/>
    <col min="14" max="14" width="24.109375" style="457" customWidth="1"/>
    <col min="15" max="16" width="24.109375" style="224" customWidth="1"/>
    <col min="17" max="16384" width="8.88671875" style="224"/>
  </cols>
  <sheetData>
    <row r="1" spans="1:18" ht="21.9" customHeight="1">
      <c r="A1" s="975" t="str">
        <f>Air!A1</f>
        <v xml:space="preserve"> 	2202025367 - Shenzhen Prince Bay Mixed-use Development DY04-02</v>
      </c>
      <c r="B1" s="975"/>
      <c r="C1" s="975"/>
      <c r="D1" s="975"/>
      <c r="E1" s="975"/>
      <c r="F1" s="975"/>
      <c r="G1" s="975"/>
      <c r="H1" s="975"/>
      <c r="N1" s="457" t="s">
        <v>1060</v>
      </c>
    </row>
    <row r="2" spans="1:18" ht="18" customHeight="1">
      <c r="A2" s="976" t="s">
        <v>778</v>
      </c>
      <c r="B2" s="976"/>
      <c r="C2" s="226"/>
      <c r="D2" s="226"/>
      <c r="E2" s="226"/>
      <c r="F2" s="226"/>
      <c r="G2" s="226"/>
      <c r="H2" s="226"/>
      <c r="N2" s="457" t="s">
        <v>1061</v>
      </c>
    </row>
    <row r="3" spans="1:18" ht="18" customHeight="1">
      <c r="A3" s="983" t="str">
        <f>Air!A3</f>
        <v>[date] On-site Performance Verification Summary of Results</v>
      </c>
      <c r="B3" s="983"/>
      <c r="C3" s="983"/>
      <c r="D3" s="983"/>
      <c r="E3" s="983"/>
      <c r="F3" s="983"/>
      <c r="G3" s="983"/>
      <c r="H3" s="983"/>
      <c r="I3" s="983"/>
      <c r="N3" s="457" t="s">
        <v>1061</v>
      </c>
    </row>
    <row r="4" spans="1:18" ht="15" customHeight="1" thickBot="1">
      <c r="A4" s="231"/>
      <c r="N4" s="457" t="s">
        <v>1061</v>
      </c>
    </row>
    <row r="5" spans="1:18" ht="24" customHeight="1" thickBot="1">
      <c r="B5" s="993" t="s">
        <v>38</v>
      </c>
      <c r="C5" s="994"/>
      <c r="D5" s="994"/>
      <c r="E5" s="994"/>
      <c r="F5" s="994"/>
      <c r="G5" s="994"/>
      <c r="H5" s="994"/>
      <c r="I5" s="994"/>
      <c r="J5" s="994"/>
      <c r="K5" s="994"/>
      <c r="L5" s="995"/>
      <c r="N5" s="457" t="s">
        <v>1061</v>
      </c>
    </row>
    <row r="6" spans="1:18" ht="99.9" customHeight="1" thickBot="1">
      <c r="B6" s="498"/>
      <c r="C6" s="996" t="s">
        <v>1114</v>
      </c>
      <c r="D6" s="997"/>
      <c r="E6" s="997"/>
      <c r="F6" s="997"/>
      <c r="G6" s="997"/>
      <c r="H6" s="997"/>
      <c r="I6" s="997"/>
      <c r="J6" s="997"/>
      <c r="K6" s="997"/>
      <c r="L6" s="998"/>
      <c r="N6" s="457" t="s">
        <v>1061</v>
      </c>
    </row>
    <row r="7" spans="1:18" ht="24" customHeight="1" thickBot="1">
      <c r="B7" s="498"/>
      <c r="C7" s="991" t="s">
        <v>1103</v>
      </c>
      <c r="D7" s="991"/>
      <c r="E7" s="991"/>
      <c r="F7" s="991"/>
      <c r="G7" s="991"/>
      <c r="H7" s="991"/>
      <c r="I7" s="991"/>
      <c r="J7" s="991"/>
      <c r="K7" s="991"/>
      <c r="L7" s="992"/>
      <c r="N7" s="457" t="s">
        <v>1061</v>
      </c>
    </row>
    <row r="8" spans="1:18" ht="30" customHeight="1">
      <c r="B8" s="498"/>
      <c r="C8" s="460"/>
      <c r="D8" s="461" t="s">
        <v>960</v>
      </c>
      <c r="E8" s="462" t="s">
        <v>847</v>
      </c>
      <c r="F8" s="462" t="s">
        <v>1039</v>
      </c>
      <c r="G8" s="764" t="s">
        <v>786</v>
      </c>
      <c r="H8" s="255"/>
      <c r="I8" s="255"/>
      <c r="J8" s="239"/>
      <c r="K8" s="239"/>
      <c r="L8" s="240"/>
      <c r="N8" s="457" t="s">
        <v>1061</v>
      </c>
    </row>
    <row r="9" spans="1:18" ht="30" customHeight="1">
      <c r="B9" s="498"/>
      <c r="C9" s="464" t="s">
        <v>932</v>
      </c>
      <c r="D9" s="465" t="s">
        <v>788</v>
      </c>
      <c r="E9" s="466">
        <v>1</v>
      </c>
      <c r="F9" s="466" t="s">
        <v>848</v>
      </c>
      <c r="G9" s="765" t="s">
        <v>849</v>
      </c>
      <c r="H9" s="246"/>
      <c r="I9" s="246"/>
      <c r="J9" s="242"/>
      <c r="K9" s="242"/>
      <c r="L9" s="243"/>
      <c r="N9" s="457" t="s">
        <v>1061</v>
      </c>
    </row>
    <row r="10" spans="1:18" s="244" customFormat="1" ht="18" customHeight="1">
      <c r="B10" s="498"/>
      <c r="C10" s="584" t="s">
        <v>850</v>
      </c>
      <c r="D10" s="674"/>
      <c r="E10" s="575"/>
      <c r="F10" s="585"/>
      <c r="G10" s="578"/>
      <c r="H10" s="246"/>
      <c r="I10" s="246"/>
      <c r="J10" s="246"/>
      <c r="K10" s="246"/>
      <c r="L10" s="247"/>
      <c r="N10" s="457" t="s">
        <v>1061</v>
      </c>
    </row>
    <row r="11" spans="1:18" s="244" customFormat="1" ht="18" customHeight="1">
      <c r="B11" s="498"/>
      <c r="C11" s="584" t="s">
        <v>853</v>
      </c>
      <c r="D11" s="674"/>
      <c r="E11" s="575"/>
      <c r="F11" s="585"/>
      <c r="G11" s="578"/>
      <c r="H11" s="246"/>
      <c r="I11" s="246"/>
      <c r="J11" s="246"/>
      <c r="K11" s="246"/>
      <c r="L11" s="247"/>
      <c r="N11" s="223" t="str">
        <f>IF(D11 &lt;&gt; "","No","Yes")</f>
        <v>Yes</v>
      </c>
    </row>
    <row r="12" spans="1:18" s="244" customFormat="1" ht="18" customHeight="1">
      <c r="B12" s="498"/>
      <c r="C12" s="584" t="s">
        <v>854</v>
      </c>
      <c r="D12" s="575"/>
      <c r="E12" s="575"/>
      <c r="F12" s="585"/>
      <c r="G12" s="585"/>
      <c r="H12" s="246"/>
      <c r="I12" s="246"/>
      <c r="J12" s="246"/>
      <c r="K12" s="246"/>
      <c r="L12" s="247"/>
      <c r="N12" s="223" t="str">
        <f>IF(D12 &lt;&gt; "","No","Yes")</f>
        <v>Yes</v>
      </c>
    </row>
    <row r="13" spans="1:18" s="244" customFormat="1" ht="18" customHeight="1">
      <c r="B13" s="498"/>
      <c r="C13" s="584" t="s">
        <v>855</v>
      </c>
      <c r="D13" s="674"/>
      <c r="E13" s="575"/>
      <c r="F13" s="585"/>
      <c r="G13" s="578"/>
      <c r="H13" s="246"/>
      <c r="I13" s="246"/>
      <c r="J13" s="246"/>
      <c r="K13" s="246"/>
      <c r="L13" s="247"/>
      <c r="N13" s="223" t="str">
        <f>IF(D13 &lt;&gt; "","No","Yes")</f>
        <v>Yes</v>
      </c>
    </row>
    <row r="14" spans="1:18" s="244" customFormat="1" ht="18" customHeight="1" thickBot="1">
      <c r="B14" s="498"/>
      <c r="C14" s="587" t="s">
        <v>1104</v>
      </c>
      <c r="D14" s="675"/>
      <c r="E14" s="577"/>
      <c r="F14" s="588"/>
      <c r="G14" s="579"/>
      <c r="H14" s="249"/>
      <c r="I14" s="249"/>
      <c r="J14" s="249"/>
      <c r="K14" s="249"/>
      <c r="L14" s="250"/>
      <c r="N14" s="223" t="str">
        <f>IF(D14 &lt;&gt; "","No","Yes")</f>
        <v>Yes</v>
      </c>
      <c r="Q14" s="224"/>
      <c r="R14" s="224"/>
    </row>
    <row r="15" spans="1:18" s="244" customFormat="1" ht="18" customHeight="1" thickBot="1">
      <c r="B15" s="498"/>
      <c r="C15" s="766"/>
      <c r="D15" s="767"/>
      <c r="E15" s="768"/>
      <c r="F15" s="769"/>
      <c r="G15" s="769"/>
      <c r="H15" s="770"/>
      <c r="I15" s="248"/>
      <c r="J15" s="249"/>
      <c r="K15" s="249"/>
      <c r="L15" s="250"/>
      <c r="N15" s="223" t="str">
        <f>IF(D15 &lt;&gt; "","No","Yes")</f>
        <v>Yes</v>
      </c>
      <c r="Q15" s="224"/>
      <c r="R15" s="224"/>
    </row>
    <row r="16" spans="1:18" ht="24" customHeight="1" thickBot="1">
      <c r="A16" s="244"/>
      <c r="B16" s="498"/>
      <c r="C16" s="989" t="s">
        <v>1105</v>
      </c>
      <c r="D16" s="989"/>
      <c r="E16" s="989"/>
      <c r="F16" s="989"/>
      <c r="G16" s="989"/>
      <c r="H16" s="989"/>
      <c r="I16" s="989"/>
      <c r="J16" s="989"/>
      <c r="K16" s="989"/>
      <c r="L16" s="990"/>
      <c r="N16" s="457" t="s">
        <v>1061</v>
      </c>
    </row>
    <row r="17" spans="1:14" ht="30" customHeight="1">
      <c r="A17" s="244"/>
      <c r="B17" s="498"/>
      <c r="C17" s="460"/>
      <c r="D17" s="461" t="str">
        <f>D$8</f>
        <v>Location Name</v>
      </c>
      <c r="E17" s="462" t="s">
        <v>858</v>
      </c>
      <c r="F17" s="462" t="s">
        <v>863</v>
      </c>
      <c r="G17" s="462" t="s">
        <v>864</v>
      </c>
      <c r="H17" s="462" t="s">
        <v>862</v>
      </c>
      <c r="I17" s="462" t="s">
        <v>882</v>
      </c>
      <c r="J17" s="462" t="s">
        <v>857</v>
      </c>
      <c r="K17" s="462" t="s">
        <v>860</v>
      </c>
      <c r="L17" s="771" t="s">
        <v>861</v>
      </c>
      <c r="N17" s="457" t="s">
        <v>1061</v>
      </c>
    </row>
    <row r="18" spans="1:14" ht="30" customHeight="1">
      <c r="A18" s="244"/>
      <c r="B18" s="498"/>
      <c r="C18" s="464" t="str">
        <f>C$9</f>
        <v>Measurement</v>
      </c>
      <c r="D18" s="465" t="s">
        <v>788</v>
      </c>
      <c r="E18" s="466">
        <v>0.01</v>
      </c>
      <c r="F18" s="469">
        <v>3.0000000000000001E-3</v>
      </c>
      <c r="G18" s="772">
        <v>0.05</v>
      </c>
      <c r="H18" s="468">
        <v>2</v>
      </c>
      <c r="I18" s="466">
        <v>1.5</v>
      </c>
      <c r="J18" s="466">
        <v>0.01</v>
      </c>
      <c r="K18" s="466">
        <v>2E-3</v>
      </c>
      <c r="L18" s="473">
        <v>7.0000000000000007E-2</v>
      </c>
      <c r="N18" s="457" t="s">
        <v>1061</v>
      </c>
    </row>
    <row r="19" spans="1:14" ht="18" customHeight="1">
      <c r="A19" s="244"/>
      <c r="B19" s="498"/>
      <c r="C19" s="584" t="s">
        <v>850</v>
      </c>
      <c r="D19" s="674"/>
      <c r="E19" s="590"/>
      <c r="F19" s="590"/>
      <c r="G19" s="590"/>
      <c r="H19" s="590"/>
      <c r="I19" s="590"/>
      <c r="J19" s="590"/>
      <c r="K19" s="590"/>
      <c r="L19" s="773"/>
      <c r="N19" s="457" t="s">
        <v>1061</v>
      </c>
    </row>
    <row r="20" spans="1:14" ht="18" customHeight="1">
      <c r="A20" s="244"/>
      <c r="B20" s="498"/>
      <c r="C20" s="584" t="s">
        <v>1104</v>
      </c>
      <c r="D20" s="674"/>
      <c r="E20" s="590"/>
      <c r="F20" s="590"/>
      <c r="G20" s="590"/>
      <c r="H20" s="590"/>
      <c r="I20" s="575"/>
      <c r="J20" s="590"/>
      <c r="K20" s="590"/>
      <c r="L20" s="774"/>
      <c r="N20" s="223" t="str">
        <f>IF(D20 &lt;&gt; "","No","Yes")</f>
        <v>Yes</v>
      </c>
    </row>
    <row r="21" spans="1:14" ht="18" customHeight="1">
      <c r="A21" s="244"/>
      <c r="B21" s="498"/>
      <c r="C21" s="584" t="s">
        <v>853</v>
      </c>
      <c r="D21" s="674"/>
      <c r="E21" s="590"/>
      <c r="F21" s="590"/>
      <c r="G21" s="590"/>
      <c r="H21" s="590"/>
      <c r="I21" s="590"/>
      <c r="J21" s="590"/>
      <c r="K21" s="590"/>
      <c r="L21" s="773"/>
      <c r="N21" s="223" t="str">
        <f>IF(D21 &lt;&gt; "","No","Yes")</f>
        <v>Yes</v>
      </c>
    </row>
    <row r="22" spans="1:14" ht="18" customHeight="1" thickBot="1">
      <c r="A22" s="244"/>
      <c r="B22" s="498"/>
      <c r="C22" s="587" t="s">
        <v>854</v>
      </c>
      <c r="D22" s="675"/>
      <c r="E22" s="592"/>
      <c r="F22" s="592"/>
      <c r="G22" s="592"/>
      <c r="H22" s="592"/>
      <c r="I22" s="592"/>
      <c r="J22" s="592"/>
      <c r="K22" s="592"/>
      <c r="L22" s="775"/>
      <c r="N22" s="223" t="str">
        <f>IF(D22 &lt;&gt; "","No","Yes")</f>
        <v>Yes</v>
      </c>
    </row>
    <row r="23" spans="1:14" ht="24" customHeight="1" thickBot="1">
      <c r="A23" s="244"/>
      <c r="B23" s="498"/>
      <c r="C23" s="989" t="s">
        <v>1106</v>
      </c>
      <c r="D23" s="989"/>
      <c r="E23" s="989"/>
      <c r="F23" s="989"/>
      <c r="G23" s="989"/>
      <c r="H23" s="989"/>
      <c r="I23" s="989"/>
      <c r="J23" s="989"/>
      <c r="K23" s="989"/>
      <c r="L23" s="990"/>
      <c r="N23" s="457" t="s">
        <v>1061</v>
      </c>
    </row>
    <row r="24" spans="1:14" ht="30" customHeight="1">
      <c r="A24" s="244"/>
      <c r="B24" s="498"/>
      <c r="C24" s="460"/>
      <c r="D24" s="461" t="str">
        <f>D$8</f>
        <v>Location Name</v>
      </c>
      <c r="E24" s="462" t="s">
        <v>880</v>
      </c>
      <c r="F24" s="462" t="s">
        <v>1107</v>
      </c>
      <c r="G24" s="462" t="s">
        <v>883</v>
      </c>
      <c r="H24" s="462" t="s">
        <v>1108</v>
      </c>
      <c r="I24" s="470" t="s">
        <v>873</v>
      </c>
      <c r="J24" s="470" t="s">
        <v>874</v>
      </c>
      <c r="K24" s="462" t="s">
        <v>786</v>
      </c>
      <c r="L24" s="254"/>
      <c r="N24" s="457" t="s">
        <v>1061</v>
      </c>
    </row>
    <row r="25" spans="1:14" ht="30" customHeight="1">
      <c r="A25" s="244"/>
      <c r="B25" s="498"/>
      <c r="C25" s="464" t="str">
        <f>C$9</f>
        <v>Measurement</v>
      </c>
      <c r="D25" s="465" t="s">
        <v>788</v>
      </c>
      <c r="E25" s="466">
        <v>11</v>
      </c>
      <c r="F25" s="466">
        <v>0.9</v>
      </c>
      <c r="G25" s="466">
        <v>5</v>
      </c>
      <c r="H25" s="466" t="s">
        <v>1109</v>
      </c>
      <c r="I25" s="471">
        <v>0.08</v>
      </c>
      <c r="J25" s="471">
        <v>0.06</v>
      </c>
      <c r="K25" s="765" t="s">
        <v>789</v>
      </c>
      <c r="L25" s="247"/>
      <c r="N25" s="457" t="s">
        <v>1061</v>
      </c>
    </row>
    <row r="26" spans="1:14" ht="18" customHeight="1">
      <c r="A26" s="244"/>
      <c r="B26" s="498"/>
      <c r="C26" s="584" t="s">
        <v>850</v>
      </c>
      <c r="D26" s="674"/>
      <c r="E26" s="575"/>
      <c r="F26" s="776"/>
      <c r="G26" s="609"/>
      <c r="H26" s="609"/>
      <c r="I26" s="585"/>
      <c r="J26" s="585"/>
      <c r="K26" s="777"/>
      <c r="L26" s="247"/>
      <c r="N26" s="457" t="s">
        <v>1061</v>
      </c>
    </row>
    <row r="27" spans="1:14" ht="18" customHeight="1">
      <c r="A27" s="244"/>
      <c r="B27" s="498"/>
      <c r="C27" s="584" t="s">
        <v>1104</v>
      </c>
      <c r="D27" s="674"/>
      <c r="E27" s="575"/>
      <c r="F27" s="575"/>
      <c r="G27" s="575"/>
      <c r="H27" s="575"/>
      <c r="I27" s="585"/>
      <c r="J27" s="585"/>
      <c r="K27" s="777"/>
      <c r="L27" s="247"/>
      <c r="N27" s="223" t="str">
        <f>IF(D27 &lt;&gt; "","No","Yes")</f>
        <v>Yes</v>
      </c>
    </row>
    <row r="28" spans="1:14" ht="18" customHeight="1">
      <c r="A28" s="244"/>
      <c r="B28" s="498"/>
      <c r="C28" s="584" t="s">
        <v>853</v>
      </c>
      <c r="D28" s="674"/>
      <c r="E28" s="590"/>
      <c r="F28" s="590"/>
      <c r="G28" s="590"/>
      <c r="H28" s="590"/>
      <c r="I28" s="590"/>
      <c r="J28" s="590"/>
      <c r="K28" s="590"/>
      <c r="L28" s="247"/>
      <c r="N28" s="223" t="str">
        <f>IF(D28 &lt;&gt; "","No","Yes")</f>
        <v>Yes</v>
      </c>
    </row>
    <row r="29" spans="1:14" ht="18" customHeight="1" thickBot="1">
      <c r="A29" s="244"/>
      <c r="B29" s="498"/>
      <c r="C29" s="587" t="s">
        <v>854</v>
      </c>
      <c r="D29" s="675"/>
      <c r="E29" s="592"/>
      <c r="F29" s="592"/>
      <c r="G29" s="592"/>
      <c r="H29" s="592"/>
      <c r="I29" s="592"/>
      <c r="J29" s="592"/>
      <c r="K29" s="592"/>
      <c r="L29" s="250"/>
      <c r="N29" s="223" t="str">
        <f>IF(D29 &lt;&gt; "","No","Yes")</f>
        <v>Yes</v>
      </c>
    </row>
    <row r="30" spans="1:14" ht="24" customHeight="1" thickBot="1">
      <c r="A30" s="244"/>
      <c r="B30" s="498"/>
      <c r="C30" s="989" t="s">
        <v>1110</v>
      </c>
      <c r="D30" s="989"/>
      <c r="E30" s="989"/>
      <c r="F30" s="989"/>
      <c r="G30" s="989"/>
      <c r="H30" s="989"/>
      <c r="I30" s="989"/>
      <c r="J30" s="989"/>
      <c r="K30" s="989"/>
      <c r="L30" s="990"/>
      <c r="N30" s="223" t="str">
        <f>IF(D33 &lt;&gt; "","No","Yes")</f>
        <v>Yes</v>
      </c>
    </row>
    <row r="31" spans="1:14" ht="50.1" customHeight="1">
      <c r="A31" s="244"/>
      <c r="B31" s="498"/>
      <c r="C31" s="460"/>
      <c r="D31" s="461" t="str">
        <f>D$8</f>
        <v>Location Name</v>
      </c>
      <c r="E31" s="462" t="s">
        <v>876</v>
      </c>
      <c r="F31" s="462" t="s">
        <v>878</v>
      </c>
      <c r="G31" s="462" t="s">
        <v>870</v>
      </c>
      <c r="H31" s="462" t="s">
        <v>1054</v>
      </c>
      <c r="I31" s="462" t="s">
        <v>871</v>
      </c>
      <c r="J31" s="462" t="s">
        <v>786</v>
      </c>
      <c r="K31" s="255"/>
      <c r="L31" s="254"/>
      <c r="N31" s="223" t="str">
        <f>IF(D33 &lt;&gt; "","No","Yes")</f>
        <v>Yes</v>
      </c>
    </row>
    <row r="32" spans="1:14" ht="30" customHeight="1">
      <c r="A32" s="244"/>
      <c r="B32" s="498"/>
      <c r="C32" s="464" t="str">
        <f>C$9</f>
        <v>Measurement</v>
      </c>
      <c r="D32" s="465" t="s">
        <v>788</v>
      </c>
      <c r="E32" s="466">
        <v>0.1</v>
      </c>
      <c r="F32" s="466">
        <v>0.03</v>
      </c>
      <c r="G32" s="466">
        <v>0.7</v>
      </c>
      <c r="H32" s="466">
        <v>0.5</v>
      </c>
      <c r="I32" s="466">
        <v>0.02</v>
      </c>
      <c r="J32" s="765" t="s">
        <v>789</v>
      </c>
      <c r="K32" s="246"/>
      <c r="L32" s="247"/>
      <c r="N32" s="223" t="str">
        <f>IF(D33 &lt;&gt; "","No","Yes")</f>
        <v>Yes</v>
      </c>
    </row>
    <row r="33" spans="1:14" ht="18" customHeight="1">
      <c r="A33" s="244"/>
      <c r="B33" s="498"/>
      <c r="C33" s="584" t="s">
        <v>850</v>
      </c>
      <c r="D33" s="674"/>
      <c r="E33" s="594"/>
      <c r="F33" s="594"/>
      <c r="G33" s="778"/>
      <c r="H33" s="594"/>
      <c r="I33" s="594"/>
      <c r="J33" s="578"/>
      <c r="K33" s="246"/>
      <c r="L33" s="247"/>
      <c r="N33" s="223" t="str">
        <f>IF(D33 &lt;&gt; "","No","Yes")</f>
        <v>Yes</v>
      </c>
    </row>
    <row r="34" spans="1:14" ht="18" customHeight="1">
      <c r="A34" s="244"/>
      <c r="B34" s="498"/>
      <c r="C34" s="584" t="s">
        <v>1104</v>
      </c>
      <c r="D34" s="674"/>
      <c r="E34" s="594"/>
      <c r="F34" s="594"/>
      <c r="G34" s="594"/>
      <c r="H34" s="594"/>
      <c r="I34" s="594"/>
      <c r="J34" s="578"/>
      <c r="K34" s="246"/>
      <c r="L34" s="247"/>
      <c r="N34" s="223" t="str">
        <f>IF(D34 &lt;&gt; "","No","Yes")</f>
        <v>Yes</v>
      </c>
    </row>
    <row r="35" spans="1:14" ht="18" customHeight="1">
      <c r="A35" s="244"/>
      <c r="B35" s="498"/>
      <c r="C35" s="584" t="s">
        <v>853</v>
      </c>
      <c r="D35" s="674"/>
      <c r="E35" s="594"/>
      <c r="F35" s="594"/>
      <c r="G35" s="594"/>
      <c r="H35" s="594"/>
      <c r="I35" s="594"/>
      <c r="J35" s="578"/>
      <c r="K35" s="246"/>
      <c r="L35" s="247"/>
      <c r="N35" s="223" t="str">
        <f>IF(D35 &lt;&gt; "","No","Yes")</f>
        <v>Yes</v>
      </c>
    </row>
    <row r="36" spans="1:14" ht="18" customHeight="1" thickBot="1">
      <c r="A36" s="244"/>
      <c r="B36" s="498"/>
      <c r="C36" s="587" t="s">
        <v>854</v>
      </c>
      <c r="D36" s="675"/>
      <c r="E36" s="595"/>
      <c r="F36" s="595"/>
      <c r="G36" s="595"/>
      <c r="H36" s="595"/>
      <c r="I36" s="595"/>
      <c r="J36" s="579"/>
      <c r="K36" s="249"/>
      <c r="L36" s="250"/>
      <c r="N36" s="223" t="str">
        <f>IF(D36 &lt;&gt; "","No","Yes")</f>
        <v>Yes</v>
      </c>
    </row>
    <row r="37" spans="1:14" ht="24" customHeight="1" thickBot="1">
      <c r="A37" s="244"/>
      <c r="B37" s="498"/>
      <c r="C37" s="989" t="s">
        <v>885</v>
      </c>
      <c r="D37" s="989"/>
      <c r="E37" s="989"/>
      <c r="F37" s="989"/>
      <c r="G37" s="989"/>
      <c r="H37" s="989"/>
      <c r="I37" s="989"/>
      <c r="J37" s="989"/>
      <c r="K37" s="989"/>
      <c r="L37" s="990"/>
      <c r="N37" s="457" t="s">
        <v>1061</v>
      </c>
    </row>
    <row r="38" spans="1:14" ht="50.1" customHeight="1">
      <c r="A38" s="244"/>
      <c r="B38" s="498"/>
      <c r="C38" s="460"/>
      <c r="D38" s="461" t="str">
        <f>D$8</f>
        <v>Location Name</v>
      </c>
      <c r="E38" s="462" t="s">
        <v>886</v>
      </c>
      <c r="F38" s="462" t="s">
        <v>887</v>
      </c>
      <c r="G38" s="462" t="s">
        <v>862</v>
      </c>
      <c r="H38" s="462" t="s">
        <v>888</v>
      </c>
      <c r="I38" s="462" t="s">
        <v>891</v>
      </c>
      <c r="J38" s="462" t="s">
        <v>1111</v>
      </c>
      <c r="K38" s="462" t="s">
        <v>889</v>
      </c>
      <c r="L38" s="771" t="s">
        <v>890</v>
      </c>
      <c r="N38" s="457" t="s">
        <v>1061</v>
      </c>
    </row>
    <row r="39" spans="1:14" ht="30" customHeight="1">
      <c r="A39" s="244"/>
      <c r="B39" s="498"/>
      <c r="C39" s="464" t="str">
        <f>C$9</f>
        <v>Measurement</v>
      </c>
      <c r="D39" s="465" t="s">
        <v>788</v>
      </c>
      <c r="E39" s="466">
        <v>0.2</v>
      </c>
      <c r="F39" s="466">
        <v>250</v>
      </c>
      <c r="G39" s="468">
        <v>1</v>
      </c>
      <c r="H39" s="466">
        <v>0.05</v>
      </c>
      <c r="I39" s="772">
        <v>0.3</v>
      </c>
      <c r="J39" s="466">
        <v>0.1</v>
      </c>
      <c r="K39" s="466">
        <v>270</v>
      </c>
      <c r="L39" s="473">
        <v>250</v>
      </c>
      <c r="N39" s="457" t="s">
        <v>1061</v>
      </c>
    </row>
    <row r="40" spans="1:14" ht="18" customHeight="1">
      <c r="A40" s="244"/>
      <c r="B40" s="498"/>
      <c r="C40" s="584" t="s">
        <v>850</v>
      </c>
      <c r="D40" s="674"/>
      <c r="E40" s="594"/>
      <c r="F40" s="575"/>
      <c r="G40" s="590"/>
      <c r="H40" s="590"/>
      <c r="I40" s="590"/>
      <c r="J40" s="590"/>
      <c r="K40" s="575"/>
      <c r="L40" s="643"/>
      <c r="N40" s="457" t="s">
        <v>1061</v>
      </c>
    </row>
    <row r="41" spans="1:14" ht="18" customHeight="1">
      <c r="A41" s="244"/>
      <c r="B41" s="498"/>
      <c r="C41" s="584" t="s">
        <v>1104</v>
      </c>
      <c r="D41" s="674"/>
      <c r="E41" s="776"/>
      <c r="F41" s="666"/>
      <c r="G41" s="590"/>
      <c r="H41" s="594"/>
      <c r="I41" s="575"/>
      <c r="J41" s="776"/>
      <c r="K41" s="666"/>
      <c r="L41" s="643"/>
      <c r="N41" s="223" t="str">
        <f>IF(D41 &lt;&gt; "","No","Yes")</f>
        <v>Yes</v>
      </c>
    </row>
    <row r="42" spans="1:14" ht="18" customHeight="1">
      <c r="A42" s="244"/>
      <c r="B42" s="498"/>
      <c r="C42" s="584" t="s">
        <v>853</v>
      </c>
      <c r="D42" s="674"/>
      <c r="E42" s="594"/>
      <c r="F42" s="594"/>
      <c r="G42" s="594"/>
      <c r="H42" s="594"/>
      <c r="I42" s="594"/>
      <c r="J42" s="594"/>
      <c r="K42" s="590"/>
      <c r="L42" s="773"/>
      <c r="N42" s="223" t="str">
        <f>IF(D42 &lt;&gt; "","No","Yes")</f>
        <v>Yes</v>
      </c>
    </row>
    <row r="43" spans="1:14" ht="18" customHeight="1" thickBot="1">
      <c r="A43" s="244"/>
      <c r="B43" s="498"/>
      <c r="C43" s="587" t="s">
        <v>854</v>
      </c>
      <c r="D43" s="675"/>
      <c r="E43" s="595"/>
      <c r="F43" s="595"/>
      <c r="G43" s="595"/>
      <c r="H43" s="595"/>
      <c r="I43" s="595"/>
      <c r="J43" s="595"/>
      <c r="K43" s="592"/>
      <c r="L43" s="775"/>
      <c r="N43" s="223" t="str">
        <f>IF(D43 &lt;&gt; "","No","Yes")</f>
        <v>Yes</v>
      </c>
    </row>
    <row r="44" spans="1:14" ht="24" customHeight="1" thickBot="1">
      <c r="A44" s="244"/>
      <c r="B44" s="498"/>
      <c r="C44" s="989" t="s">
        <v>1112</v>
      </c>
      <c r="D44" s="989"/>
      <c r="E44" s="989"/>
      <c r="F44" s="989"/>
      <c r="G44" s="989"/>
      <c r="H44" s="989"/>
      <c r="I44" s="989"/>
      <c r="J44" s="989"/>
      <c r="K44" s="989"/>
      <c r="L44" s="990"/>
      <c r="N44" s="457" t="str">
        <f>IF(D$47&lt;&gt;"","No","Yes")</f>
        <v>Yes</v>
      </c>
    </row>
    <row r="45" spans="1:14" ht="30" customHeight="1">
      <c r="A45" s="244"/>
      <c r="B45" s="498"/>
      <c r="C45" s="460"/>
      <c r="D45" s="461" t="str">
        <f>D$8</f>
        <v>Location Name</v>
      </c>
      <c r="E45" s="462" t="s">
        <v>1113</v>
      </c>
      <c r="F45" s="462" t="s">
        <v>892</v>
      </c>
      <c r="G45" s="462" t="s">
        <v>893</v>
      </c>
      <c r="H45" s="462" t="s">
        <v>1108</v>
      </c>
      <c r="I45" s="462" t="s">
        <v>786</v>
      </c>
      <c r="J45" s="255"/>
      <c r="K45" s="255"/>
      <c r="L45" s="254"/>
      <c r="N45" s="457" t="str">
        <f>IF(D$47&lt;&gt;"","No","Yes")</f>
        <v>Yes</v>
      </c>
    </row>
    <row r="46" spans="1:14" ht="30" customHeight="1">
      <c r="A46" s="244"/>
      <c r="B46" s="498"/>
      <c r="C46" s="464" t="str">
        <f>C$9</f>
        <v>Measurement</v>
      </c>
      <c r="D46" s="465" t="s">
        <v>788</v>
      </c>
      <c r="E46" s="466">
        <v>0.05</v>
      </c>
      <c r="F46" s="466">
        <v>5</v>
      </c>
      <c r="G46" s="779">
        <v>500</v>
      </c>
      <c r="H46" s="466">
        <v>1.25</v>
      </c>
      <c r="I46" s="765" t="s">
        <v>789</v>
      </c>
      <c r="J46" s="246"/>
      <c r="K46" s="246"/>
      <c r="L46" s="247"/>
      <c r="N46" s="457" t="str">
        <f>IF(D$47&lt;&gt;"","No","Yes")</f>
        <v>Yes</v>
      </c>
    </row>
    <row r="47" spans="1:14" ht="18" customHeight="1">
      <c r="A47" s="244"/>
      <c r="B47" s="498"/>
      <c r="C47" s="584" t="s">
        <v>850</v>
      </c>
      <c r="D47" s="674"/>
      <c r="E47" s="594"/>
      <c r="F47" s="780"/>
      <c r="G47" s="590"/>
      <c r="H47" s="575"/>
      <c r="I47" s="578"/>
      <c r="J47" s="246"/>
      <c r="K47" s="246"/>
      <c r="L47" s="247"/>
      <c r="N47" s="223" t="str">
        <f>IF(D47 &lt;&gt; "","No","Yes")</f>
        <v>Yes</v>
      </c>
    </row>
    <row r="48" spans="1:14" ht="18" customHeight="1">
      <c r="A48" s="244"/>
      <c r="B48" s="498"/>
      <c r="C48" s="584" t="s">
        <v>1104</v>
      </c>
      <c r="D48" s="674"/>
      <c r="E48" s="594"/>
      <c r="F48" s="776"/>
      <c r="G48" s="590"/>
      <c r="H48" s="575"/>
      <c r="I48" s="578"/>
      <c r="J48" s="246"/>
      <c r="K48" s="246"/>
      <c r="L48" s="247"/>
      <c r="N48" s="223" t="str">
        <f>IF(D48 &lt;&gt; "","No","Yes")</f>
        <v>Yes</v>
      </c>
    </row>
    <row r="49" spans="1:14" ht="18" customHeight="1">
      <c r="A49" s="244"/>
      <c r="B49" s="498"/>
      <c r="C49" s="584" t="s">
        <v>853</v>
      </c>
      <c r="D49" s="674"/>
      <c r="E49" s="594"/>
      <c r="F49" s="594"/>
      <c r="G49" s="594"/>
      <c r="H49" s="594"/>
      <c r="I49" s="578"/>
      <c r="J49" s="246"/>
      <c r="K49" s="246"/>
      <c r="L49" s="247"/>
      <c r="N49" s="223" t="str">
        <f>IF(D49 &lt;&gt; "","No","Yes")</f>
        <v>Yes</v>
      </c>
    </row>
    <row r="50" spans="1:14" ht="18" customHeight="1" thickBot="1">
      <c r="A50" s="244"/>
      <c r="B50" s="499"/>
      <c r="C50" s="587" t="s">
        <v>854</v>
      </c>
      <c r="D50" s="675"/>
      <c r="E50" s="595"/>
      <c r="F50" s="595"/>
      <c r="G50" s="595"/>
      <c r="H50" s="595"/>
      <c r="I50" s="579"/>
      <c r="J50" s="249"/>
      <c r="K50" s="249"/>
      <c r="L50" s="250"/>
      <c r="N50" s="223" t="str">
        <f>IF(D50 &lt;&gt; "","No","Yes")</f>
        <v>Yes</v>
      </c>
    </row>
    <row r="51" spans="1:14">
      <c r="B51" s="235"/>
      <c r="C51" s="235"/>
      <c r="D51" s="235"/>
      <c r="E51" s="235"/>
      <c r="F51" s="235"/>
      <c r="G51" s="235"/>
      <c r="H51" s="235"/>
      <c r="I51" s="235"/>
      <c r="J51" s="235"/>
      <c r="K51" s="235"/>
      <c r="L51" s="235"/>
    </row>
  </sheetData>
  <sheetProtection autoFilter="0"/>
  <autoFilter ref="N1:N50" xr:uid="{E1970C1F-86C3-40DC-8753-5C9B9552BDA1}"/>
  <mergeCells count="11">
    <mergeCell ref="C16:L16"/>
    <mergeCell ref="C23:L23"/>
    <mergeCell ref="C30:L30"/>
    <mergeCell ref="C37:L37"/>
    <mergeCell ref="C44:L44"/>
    <mergeCell ref="C7:L7"/>
    <mergeCell ref="A1:H1"/>
    <mergeCell ref="A2:B2"/>
    <mergeCell ref="A3:I3"/>
    <mergeCell ref="B5:L5"/>
    <mergeCell ref="C6:L6"/>
  </mergeCells>
  <conditionalFormatting sqref="D8:D9">
    <cfRule type="duplicateValues" dxfId="99" priority="1"/>
  </conditionalFormatting>
  <pageMargins left="0.7" right="0.7" top="0.75" bottom="0.75" header="0.3" footer="0.3"/>
  <pageSetup scale="43" fitToHeight="11"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164A-95DD-47A5-8DEF-1F484607D881}">
  <sheetPr codeName="Sheet7">
    <pageSetUpPr fitToPage="1"/>
  </sheetPr>
  <dimension ref="A1:X174"/>
  <sheetViews>
    <sheetView view="pageBreakPreview" topLeftCell="A70" zoomScaleNormal="75" zoomScaleSheetLayoutView="100" workbookViewId="0">
      <selection activeCell="D9" sqref="D9:D19"/>
    </sheetView>
  </sheetViews>
  <sheetFormatPr defaultColWidth="8.88671875" defaultRowHeight="20.399999999999999"/>
  <cols>
    <col min="1" max="1" width="8.6640625" style="224" customWidth="1"/>
    <col min="2" max="2" width="10.6640625" style="224" customWidth="1"/>
    <col min="3" max="3" width="15.6640625" style="224" customWidth="1"/>
    <col min="4" max="4" width="45.6640625" style="224" customWidth="1"/>
    <col min="5" max="8" width="24.6640625" style="224" customWidth="1"/>
    <col min="9" max="9" width="24.6640625" style="224" hidden="1" customWidth="1"/>
    <col min="10" max="10" width="24.6640625" style="224" customWidth="1"/>
    <col min="11" max="11" width="31" style="224" customWidth="1"/>
    <col min="12" max="12" width="1.6640625" style="224" customWidth="1"/>
    <col min="13" max="13" width="11.5546875" style="223" customWidth="1"/>
    <col min="14" max="14" width="85.109375" style="432" customWidth="1"/>
    <col min="15" max="15" width="17.33203125" style="224" bestFit="1" customWidth="1"/>
    <col min="16" max="16" width="10" style="224" bestFit="1" customWidth="1"/>
    <col min="17" max="17" width="4.33203125" style="224" bestFit="1" customWidth="1"/>
    <col min="18" max="18" width="10.5546875" style="224" bestFit="1" customWidth="1"/>
    <col min="19" max="19" width="5.33203125" style="224" bestFit="1" customWidth="1"/>
    <col min="20" max="20" width="14.33203125" style="224" bestFit="1" customWidth="1"/>
    <col min="21" max="21" width="14.33203125" style="224" customWidth="1"/>
    <col min="22" max="22" width="2.109375" style="224" bestFit="1" customWidth="1"/>
    <col min="23" max="23" width="10" style="224" bestFit="1" customWidth="1"/>
    <col min="24" max="24" width="94.33203125" style="224" bestFit="1" customWidth="1"/>
    <col min="25" max="25" width="8.88671875" style="224" customWidth="1"/>
    <col min="26" max="16384" width="8.88671875" style="224"/>
  </cols>
  <sheetData>
    <row r="1" spans="1:16" ht="21.9" customHeight="1">
      <c r="A1" s="975" t="str">
        <f>Water!A1</f>
        <v xml:space="preserve"> 	2202025367 - Shenzhen Prince Bay Mixed-use Development DY04-02</v>
      </c>
      <c r="B1" s="975"/>
      <c r="C1" s="975"/>
      <c r="D1" s="975"/>
      <c r="E1" s="975"/>
      <c r="F1" s="975"/>
      <c r="G1" s="975"/>
      <c r="H1" s="975"/>
      <c r="I1" s="975"/>
      <c r="J1" s="975"/>
      <c r="M1" s="223" t="s">
        <v>1060</v>
      </c>
      <c r="N1" s="224"/>
    </row>
    <row r="2" spans="1:16" ht="18" customHeight="1">
      <c r="A2" s="976" t="s">
        <v>778</v>
      </c>
      <c r="B2" s="976"/>
      <c r="C2" s="226"/>
      <c r="D2" s="226"/>
      <c r="E2" s="226"/>
      <c r="F2" s="226"/>
      <c r="G2" s="226"/>
      <c r="H2" s="226"/>
      <c r="I2" s="226"/>
      <c r="J2" s="226"/>
      <c r="M2" s="223" t="s">
        <v>1061</v>
      </c>
      <c r="N2" s="224"/>
    </row>
    <row r="3" spans="1:16" ht="18" customHeight="1">
      <c r="A3" s="983" t="str">
        <f>Water!A3</f>
        <v>[date] On-site Performance Verification Summary of Results</v>
      </c>
      <c r="B3" s="983"/>
      <c r="C3" s="983"/>
      <c r="D3" s="983"/>
      <c r="E3" s="983"/>
      <c r="F3" s="983"/>
      <c r="G3" s="983"/>
      <c r="H3" s="983"/>
      <c r="I3" s="983"/>
      <c r="J3" s="983"/>
      <c r="M3" s="223" t="s">
        <v>1061</v>
      </c>
      <c r="N3" s="224"/>
    </row>
    <row r="4" spans="1:16" ht="15" customHeight="1" thickBot="1">
      <c r="A4" s="237"/>
      <c r="B4" s="236"/>
      <c r="C4" s="236"/>
      <c r="D4" s="236"/>
      <c r="E4" s="236"/>
      <c r="F4" s="236"/>
      <c r="G4" s="236"/>
      <c r="H4" s="236"/>
      <c r="I4" s="236"/>
      <c r="J4" s="236"/>
      <c r="M4" s="223" t="s">
        <v>1061</v>
      </c>
    </row>
    <row r="5" spans="1:16" ht="24" customHeight="1" thickBot="1">
      <c r="B5" s="1027" t="s">
        <v>77</v>
      </c>
      <c r="C5" s="1028"/>
      <c r="D5" s="1028"/>
      <c r="E5" s="1028"/>
      <c r="F5" s="1028"/>
      <c r="G5" s="1028"/>
      <c r="H5" s="1028"/>
      <c r="I5" s="1028"/>
      <c r="J5" s="1028"/>
      <c r="K5" s="1029"/>
      <c r="M5" s="223" t="s">
        <v>1061</v>
      </c>
    </row>
    <row r="6" spans="1:16" ht="99.9" customHeight="1" thickBot="1">
      <c r="B6" s="500"/>
      <c r="C6" s="1030" t="s">
        <v>1040</v>
      </c>
      <c r="D6" s="1031"/>
      <c r="E6" s="1031"/>
      <c r="F6" s="1031"/>
      <c r="G6" s="1031"/>
      <c r="H6" s="1031"/>
      <c r="I6" s="1031"/>
      <c r="J6" s="1031"/>
      <c r="K6" s="1032"/>
      <c r="M6" s="223" t="s">
        <v>1061</v>
      </c>
      <c r="N6" s="480" t="s">
        <v>894</v>
      </c>
    </row>
    <row r="7" spans="1:16" ht="24" customHeight="1" thickBot="1">
      <c r="B7" s="501"/>
      <c r="C7" s="1021" t="s">
        <v>895</v>
      </c>
      <c r="D7" s="1022"/>
      <c r="E7" s="1022"/>
      <c r="F7" s="1022"/>
      <c r="G7" s="1022"/>
      <c r="H7" s="1022"/>
      <c r="I7" s="1022"/>
      <c r="J7" s="1023"/>
      <c r="K7" s="1024"/>
      <c r="M7" s="223" t="s">
        <v>1061</v>
      </c>
      <c r="N7" s="669" t="s">
        <v>896</v>
      </c>
      <c r="O7" s="669"/>
      <c r="P7" s="669"/>
    </row>
    <row r="8" spans="1:16" ht="69.900000000000006" customHeight="1">
      <c r="B8" s="501"/>
      <c r="C8" s="442"/>
      <c r="D8" s="232" t="s">
        <v>897</v>
      </c>
      <c r="E8" s="232" t="s">
        <v>898</v>
      </c>
      <c r="F8" s="232" t="s">
        <v>899</v>
      </c>
      <c r="G8" s="232" t="s">
        <v>900</v>
      </c>
      <c r="H8" s="232" t="s">
        <v>901</v>
      </c>
      <c r="I8" s="232" t="s">
        <v>902</v>
      </c>
      <c r="J8" s="232" t="s">
        <v>903</v>
      </c>
      <c r="K8" s="481" t="s">
        <v>904</v>
      </c>
      <c r="M8" s="223" t="s">
        <v>1061</v>
      </c>
      <c r="N8" s="670" t="s">
        <v>905</v>
      </c>
      <c r="O8" s="670"/>
      <c r="P8" s="670"/>
    </row>
    <row r="9" spans="1:16" ht="18.600000000000001" customHeight="1">
      <c r="B9" s="501"/>
      <c r="C9" s="1015" t="s">
        <v>906</v>
      </c>
      <c r="D9" s="1016" t="s">
        <v>907</v>
      </c>
      <c r="E9" s="646"/>
      <c r="F9" s="598"/>
      <c r="G9" s="233" t="str">
        <f t="shared" ref="G9:G19" si="0">IF(E9&lt;&gt;"",VLOOKUP(E9,E$22:I$121,5,FALSE),"")</f>
        <v/>
      </c>
      <c r="H9" s="655" t="str">
        <f t="shared" ref="H9:H19" si="1">IF(E9&lt;&gt;"",_xlfn.MINIFS(F$22:F$121,E$22:E$121,E9),"")</f>
        <v/>
      </c>
      <c r="I9" s="482" t="str">
        <f t="shared" ref="I9:I19" si="2">IF(E9&lt;&gt;"",_xlfn.CONCAT(IF(COUNTIF(E$20:I$121,E9) &gt;2,"Yes", "No"), " - ", COUNTIF(E$22:I$121,E9) ),"")</f>
        <v/>
      </c>
      <c r="J9" s="599" t="str">
        <f>IF('Review Comments'!H$100="Pending Documentation","TBD",IF(E9&lt;&gt;"",IF(COUNTIF(E$22:I$121,E9) &lt; 3, _xlfn.CONCAT(IF(COUNTIF(E$22:I$121,E9)=0,"","Only "), COUNTIF(E$22:I$121,E9), " sample",IF(COUNTIF(E$22:I$121,E9)=1,"","s")),IFERROR(IF(G9&gt;F9,IF(H9&gt;(F9/2),"MET","NOT MET"),"NOT MET"), "ERROR IN VALUES")),""))</f>
        <v/>
      </c>
      <c r="K9" s="600"/>
      <c r="M9" s="223" t="s">
        <v>1061</v>
      </c>
      <c r="N9" s="671" t="s">
        <v>909</v>
      </c>
      <c r="O9" s="671"/>
    </row>
    <row r="10" spans="1:16" ht="18.600000000000001" customHeight="1">
      <c r="B10" s="501"/>
      <c r="C10" s="1015"/>
      <c r="D10" s="1016"/>
      <c r="E10" s="646"/>
      <c r="F10" s="598"/>
      <c r="G10" s="233" t="str">
        <f t="shared" si="0"/>
        <v/>
      </c>
      <c r="H10" s="655" t="str">
        <f t="shared" si="1"/>
        <v/>
      </c>
      <c r="I10" s="482" t="str">
        <f t="shared" si="2"/>
        <v/>
      </c>
      <c r="J10" s="599" t="str">
        <f>IF('Review Comments'!H$100="Pending Documentation","TBD",IF(E10&lt;&gt;"",IF(COUNTIF(E$22:I$121,E10) &lt; 3, _xlfn.CONCAT(IF(COUNTIF(E$22:I$121,E10)=0,"","Only "), COUNTIF(E$22:I$121,E10), " sample",IF(COUNTIF(E$22:I$121,E10)=1,"","s")),IFERROR(IF(G10&gt;F10,IF(H10&gt;(F10/2),"MET","NOT MET"),"NOT MET"), "ERROR IN VALUES")),""))</f>
        <v/>
      </c>
      <c r="K10" s="600"/>
      <c r="M10" s="223" t="str">
        <f t="shared" ref="M10:M19" si="3">IF(E10="","Yes","No")</f>
        <v>Yes</v>
      </c>
      <c r="N10" s="671" t="s">
        <v>910</v>
      </c>
    </row>
    <row r="11" spans="1:16" ht="18.600000000000001" customHeight="1">
      <c r="B11" s="501"/>
      <c r="C11" s="1015"/>
      <c r="D11" s="1016"/>
      <c r="E11" s="646"/>
      <c r="F11" s="598"/>
      <c r="G11" s="233" t="str">
        <f t="shared" si="0"/>
        <v/>
      </c>
      <c r="H11" s="655" t="str">
        <f t="shared" si="1"/>
        <v/>
      </c>
      <c r="I11" s="482" t="str">
        <f t="shared" si="2"/>
        <v/>
      </c>
      <c r="J11" s="599" t="str">
        <f>IF('Review Comments'!H$100="Pending Documentation","TBD",IF(E11&lt;&gt;"",IF(COUNTIF(E$22:I$121,E11) &lt; 3, _xlfn.CONCAT(IF(COUNTIF(E$22:I$121,E11)=0,"","Only "), COUNTIF(E$22:I$121,E11), " sample",IF(COUNTIF(E$22:I$121,E11)=1,"","s")),IFERROR(IF(G11&gt;F11,IF(H11&gt;(F11/2),"MET","NOT MET"),"NOT MET"), "ERROR IN VALUES")),""))</f>
        <v/>
      </c>
      <c r="K11" s="600"/>
      <c r="M11" s="223" t="str">
        <f t="shared" si="3"/>
        <v>Yes</v>
      </c>
      <c r="N11" s="671" t="s">
        <v>910</v>
      </c>
    </row>
    <row r="12" spans="1:16" ht="18.600000000000001" customHeight="1">
      <c r="B12" s="501"/>
      <c r="C12" s="1015"/>
      <c r="D12" s="1016"/>
      <c r="E12" s="646"/>
      <c r="F12" s="598"/>
      <c r="G12" s="233" t="str">
        <f t="shared" si="0"/>
        <v/>
      </c>
      <c r="H12" s="655" t="str">
        <f t="shared" si="1"/>
        <v/>
      </c>
      <c r="I12" s="482" t="str">
        <f t="shared" si="2"/>
        <v/>
      </c>
      <c r="J12" s="599" t="str">
        <f>IF('Review Comments'!H$100="Pending Documentation","TBD",IF(E12&lt;&gt;"",IF(COUNTIF(E$22:I$121,E12) &lt; 3, _xlfn.CONCAT(IF(COUNTIF(E$22:I$121,E12)=0,"","Only "), COUNTIF(E$22:I$121,E12), " sample",IF(COUNTIF(E$22:I$121,E12)=1,"","s")),IFERROR(IF(G12&gt;F12,IF(H12&gt;(F12/2),"MET","NOT MET"),"NOT MET"), "ERROR IN VALUES")),""))</f>
        <v/>
      </c>
      <c r="K12" s="600"/>
      <c r="M12" s="223" t="str">
        <f t="shared" si="3"/>
        <v>Yes</v>
      </c>
      <c r="N12" s="671" t="s">
        <v>910</v>
      </c>
    </row>
    <row r="13" spans="1:16" ht="18.600000000000001" customHeight="1">
      <c r="B13" s="501"/>
      <c r="C13" s="1015"/>
      <c r="D13" s="1016"/>
      <c r="E13" s="646"/>
      <c r="F13" s="598"/>
      <c r="G13" s="233" t="str">
        <f t="shared" si="0"/>
        <v/>
      </c>
      <c r="H13" s="655" t="str">
        <f t="shared" si="1"/>
        <v/>
      </c>
      <c r="I13" s="482" t="str">
        <f t="shared" si="2"/>
        <v/>
      </c>
      <c r="J13" s="599" t="str">
        <f>IF('Review Comments'!H$100="Pending Documentation","TBD",IF(E13&lt;&gt;"",IF(COUNTIF(E$22:I$121,E13) &lt; 3, _xlfn.CONCAT(IF(COUNTIF(E$22:I$121,E13)=0,"","Only "), COUNTIF(E$22:I$121,E13), " sample",IF(COUNTIF(E$22:I$121,E13)=1,"","s")),IFERROR(IF(G13&gt;F13,IF(H13&gt;(F13/2),"MET","NOT MET"),"NOT MET"), "ERROR IN VALUES")),""))</f>
        <v/>
      </c>
      <c r="K13" s="600"/>
      <c r="M13" s="223" t="str">
        <f t="shared" si="3"/>
        <v>Yes</v>
      </c>
      <c r="N13" s="671" t="s">
        <v>910</v>
      </c>
    </row>
    <row r="14" spans="1:16" ht="18.600000000000001" customHeight="1">
      <c r="B14" s="501"/>
      <c r="C14" s="1015"/>
      <c r="D14" s="1016"/>
      <c r="E14" s="646"/>
      <c r="F14" s="598"/>
      <c r="G14" s="233" t="str">
        <f t="shared" si="0"/>
        <v/>
      </c>
      <c r="H14" s="655" t="str">
        <f t="shared" si="1"/>
        <v/>
      </c>
      <c r="I14" s="482" t="str">
        <f t="shared" si="2"/>
        <v/>
      </c>
      <c r="J14" s="599" t="str">
        <f>IF('Review Comments'!H$100="Pending Documentation","TBD",IF(E14&lt;&gt;"",IF(COUNTIF(E$22:I$121,E14) &lt; 3, _xlfn.CONCAT(IF(COUNTIF(E$22:I$121,E14)=0,"","Only "), COUNTIF(E$22:I$121,E14), " sample",IF(COUNTIF(E$22:I$121,E14)=1,"","s")),IFERROR(IF(G14&gt;F14,IF(H14&gt;(F14/2),"MET","NOT MET"),"NOT MET"), "ERROR IN VALUES")),""))</f>
        <v/>
      </c>
      <c r="K14" s="600"/>
      <c r="M14" s="223" t="str">
        <f t="shared" si="3"/>
        <v>Yes</v>
      </c>
      <c r="N14" s="671" t="s">
        <v>910</v>
      </c>
    </row>
    <row r="15" spans="1:16" ht="18.600000000000001" customHeight="1">
      <c r="B15" s="501"/>
      <c r="C15" s="1015"/>
      <c r="D15" s="1016"/>
      <c r="E15" s="646"/>
      <c r="F15" s="598"/>
      <c r="G15" s="233" t="str">
        <f t="shared" si="0"/>
        <v/>
      </c>
      <c r="H15" s="655" t="str">
        <f t="shared" si="1"/>
        <v/>
      </c>
      <c r="I15" s="482" t="str">
        <f t="shared" si="2"/>
        <v/>
      </c>
      <c r="J15" s="599" t="str">
        <f>IF('Review Comments'!H$100="Pending Documentation","TBD",IF(E15&lt;&gt;"",IF(COUNTIF(E$22:I$121,E15) &lt; 3, _xlfn.CONCAT(IF(COUNTIF(E$22:I$121,E15)=0,"","Only "), COUNTIF(E$22:I$121,E15), " sample",IF(COUNTIF(E$22:I$121,E15)=1,"","s")),IFERROR(IF(G15&gt;F15,IF(H15&gt;(F15/2),"MET","NOT MET"),"NOT MET"), "ERROR IN VALUES")),""))</f>
        <v/>
      </c>
      <c r="K15" s="600"/>
      <c r="M15" s="223" t="str">
        <f t="shared" si="3"/>
        <v>Yes</v>
      </c>
      <c r="N15" s="671" t="s">
        <v>910</v>
      </c>
    </row>
    <row r="16" spans="1:16" ht="18.600000000000001" customHeight="1">
      <c r="B16" s="501"/>
      <c r="C16" s="1015"/>
      <c r="D16" s="1016"/>
      <c r="E16" s="646"/>
      <c r="F16" s="598"/>
      <c r="G16" s="233" t="str">
        <f t="shared" si="0"/>
        <v/>
      </c>
      <c r="H16" s="655" t="str">
        <f t="shared" si="1"/>
        <v/>
      </c>
      <c r="I16" s="482" t="str">
        <f t="shared" si="2"/>
        <v/>
      </c>
      <c r="J16" s="599" t="str">
        <f>IF('Review Comments'!H$100="Pending Documentation","TBD",IF(E16&lt;&gt;"",IF(COUNTIF(E$22:I$121,E16) &lt; 3, _xlfn.CONCAT(IF(COUNTIF(E$22:I$121,E16)=0,"","Only "), COUNTIF(E$22:I$121,E16), " sample",IF(COUNTIF(E$22:I$121,E16)=1,"","s")),IFERROR(IF(G16&gt;F16,IF(H16&gt;(F16/2),"MET","NOT MET"),"NOT MET"), "ERROR IN VALUES")),""))</f>
        <v/>
      </c>
      <c r="K16" s="600"/>
      <c r="M16" s="223" t="str">
        <f t="shared" si="3"/>
        <v>Yes</v>
      </c>
      <c r="N16" s="671" t="s">
        <v>910</v>
      </c>
    </row>
    <row r="17" spans="2:15" ht="18.600000000000001" customHeight="1">
      <c r="B17" s="501"/>
      <c r="C17" s="1015"/>
      <c r="D17" s="1016"/>
      <c r="E17" s="646"/>
      <c r="F17" s="598"/>
      <c r="G17" s="233" t="str">
        <f t="shared" si="0"/>
        <v/>
      </c>
      <c r="H17" s="655" t="str">
        <f t="shared" si="1"/>
        <v/>
      </c>
      <c r="I17" s="482" t="str">
        <f t="shared" si="2"/>
        <v/>
      </c>
      <c r="J17" s="599" t="str">
        <f>IF('Review Comments'!H$100="Pending Documentation","TBD",IF(E17&lt;&gt;"",IF(COUNTIF(E$22:I$121,E17) &lt; 3, _xlfn.CONCAT(IF(COUNTIF(E$22:I$121,E17)=0,"","Only "), COUNTIF(E$22:I$121,E17), " sample",IF(COUNTIF(E$22:I$121,E17)=1,"","s")),IFERROR(IF(G17&gt;F17,IF(H17&gt;(F17/2),"MET","NOT MET"),"NOT MET"), "ERROR IN VALUES")),""))</f>
        <v/>
      </c>
      <c r="K17" s="600"/>
      <c r="M17" s="223" t="str">
        <f t="shared" si="3"/>
        <v>Yes</v>
      </c>
      <c r="N17" s="671" t="s">
        <v>910</v>
      </c>
    </row>
    <row r="18" spans="2:15" ht="18.600000000000001" customHeight="1">
      <c r="B18" s="501"/>
      <c r="C18" s="1015"/>
      <c r="D18" s="1016"/>
      <c r="E18" s="646"/>
      <c r="F18" s="598"/>
      <c r="G18" s="233" t="str">
        <f t="shared" si="0"/>
        <v/>
      </c>
      <c r="H18" s="655" t="str">
        <f t="shared" si="1"/>
        <v/>
      </c>
      <c r="I18" s="482" t="str">
        <f t="shared" si="2"/>
        <v/>
      </c>
      <c r="J18" s="599" t="str">
        <f>IF('Review Comments'!H$100="Pending Documentation","TBD",IF(E18&lt;&gt;"",IF(COUNTIF(E$22:I$121,E18) &lt; 3, _xlfn.CONCAT(IF(COUNTIF(E$22:I$121,E18)=0,"","Only "), COUNTIF(E$22:I$121,E18), " sample",IF(COUNTIF(E$22:I$121,E18)=1,"","s")),IFERROR(IF(G18&gt;F18,IF(H18&gt;(F18/2),"MET","NOT MET"),"NOT MET"), "ERROR IN VALUES")),""))</f>
        <v/>
      </c>
      <c r="K18" s="600"/>
      <c r="M18" s="223" t="str">
        <f t="shared" si="3"/>
        <v>Yes</v>
      </c>
      <c r="N18" s="671" t="s">
        <v>910</v>
      </c>
    </row>
    <row r="19" spans="2:15" ht="18.600000000000001" customHeight="1">
      <c r="B19" s="501"/>
      <c r="C19" s="1015"/>
      <c r="D19" s="1016"/>
      <c r="E19" s="646"/>
      <c r="F19" s="598"/>
      <c r="G19" s="233" t="str">
        <f t="shared" si="0"/>
        <v/>
      </c>
      <c r="H19" s="655" t="str">
        <f t="shared" si="1"/>
        <v/>
      </c>
      <c r="I19" s="482" t="str">
        <f t="shared" si="2"/>
        <v/>
      </c>
      <c r="J19" s="599" t="str">
        <f>IF('Review Comments'!H$100="Pending Documentation","TBD",IF(E19&lt;&gt;"",IF(COUNTIF(E$22:I$121,E19) &lt; 3, _xlfn.CONCAT(IF(COUNTIF(E$22:I$121,E19)=0,"","Only "), COUNTIF(E$22:I$121,E19), " sample",IF(COUNTIF(E$22:I$121,E19)=1,"","s")),IFERROR(IF(G19&gt;F19,IF(H19&gt;(F19/2),"MET","NOT MET"),"NOT MET"), "ERROR IN VALUES")),""))</f>
        <v/>
      </c>
      <c r="K19" s="600"/>
      <c r="M19" s="223" t="str">
        <f t="shared" si="3"/>
        <v>Yes</v>
      </c>
      <c r="N19" s="483" t="s">
        <v>1037</v>
      </c>
      <c r="O19" s="483"/>
    </row>
    <row r="20" spans="2:15" ht="24" customHeight="1">
      <c r="B20" s="501"/>
      <c r="C20" s="1015" t="s">
        <v>911</v>
      </c>
      <c r="D20" s="1016"/>
      <c r="E20" s="1016"/>
      <c r="F20" s="1016"/>
      <c r="G20" s="1016"/>
      <c r="H20" s="1016"/>
      <c r="I20" s="1016"/>
      <c r="J20" s="1016"/>
      <c r="K20" s="1017"/>
      <c r="M20" s="223" t="s">
        <v>1061</v>
      </c>
      <c r="N20" s="485"/>
    </row>
    <row r="21" spans="2:15" ht="69.900000000000006" customHeight="1">
      <c r="B21" s="501"/>
      <c r="C21" s="486" t="s">
        <v>912</v>
      </c>
      <c r="D21" s="227" t="s">
        <v>913</v>
      </c>
      <c r="E21" s="227" t="s">
        <v>914</v>
      </c>
      <c r="F21" s="227" t="s">
        <v>915</v>
      </c>
      <c r="G21" s="227" t="s">
        <v>916</v>
      </c>
      <c r="H21" s="227" t="s">
        <v>917</v>
      </c>
      <c r="I21" s="227" t="s">
        <v>918</v>
      </c>
      <c r="J21" s="227" t="s">
        <v>919</v>
      </c>
      <c r="K21" s="484" t="s">
        <v>904</v>
      </c>
      <c r="M21" s="223" t="s">
        <v>1061</v>
      </c>
      <c r="N21" s="487" t="s">
        <v>920</v>
      </c>
    </row>
    <row r="22" spans="2:15" ht="20.100000000000001" customHeight="1">
      <c r="B22" s="501"/>
      <c r="C22" s="574">
        <v>1</v>
      </c>
      <c r="D22" s="604"/>
      <c r="E22" s="604"/>
      <c r="F22" s="603"/>
      <c r="G22" s="509" t="e">
        <f t="shared" ref="G22:G53" si="4">VLOOKUP(E22,E$9:F$19,2,FALSE)/2</f>
        <v>#N/A</v>
      </c>
      <c r="H22" s="228" t="e">
        <f t="shared" ref="H22:H53" si="5">IF(F22&gt;G22,"MET","NOT MET")</f>
        <v>#N/A</v>
      </c>
      <c r="I22" s="474" t="e">
        <f t="shared" ref="I22:I53" si="6">AVERAGEIF(E$22:E$121,E22,F$22:F$121)</f>
        <v>#DIV/0!</v>
      </c>
      <c r="J22" s="488" t="e">
        <f t="shared" ref="J22:J53" si="7">IF(VLOOKUP(E22,E$9:F$19,2,FALSE)&lt;F22,"MET","NOT MET")</f>
        <v>#N/A</v>
      </c>
      <c r="K22" s="601"/>
      <c r="M22" s="223" t="s">
        <v>1061</v>
      </c>
      <c r="N22" s="672" t="s">
        <v>921</v>
      </c>
    </row>
    <row r="23" spans="2:15" ht="20.100000000000001" customHeight="1">
      <c r="B23" s="501"/>
      <c r="C23" s="574">
        <v>2</v>
      </c>
      <c r="D23" s="604"/>
      <c r="E23" s="604"/>
      <c r="F23" s="603"/>
      <c r="G23" s="509" t="e">
        <f t="shared" si="4"/>
        <v>#N/A</v>
      </c>
      <c r="H23" s="228" t="e">
        <f t="shared" si="5"/>
        <v>#N/A</v>
      </c>
      <c r="I23" s="474" t="e">
        <f t="shared" si="6"/>
        <v>#DIV/0!</v>
      </c>
      <c r="J23" s="488" t="e">
        <f t="shared" si="7"/>
        <v>#N/A</v>
      </c>
      <c r="K23" s="601"/>
      <c r="M23" s="223" t="str">
        <f t="shared" ref="M23:M54" si="8">IF(D23="","Yes","No")</f>
        <v>Yes</v>
      </c>
      <c r="N23" s="672"/>
    </row>
    <row r="24" spans="2:15" ht="20.100000000000001" customHeight="1">
      <c r="B24" s="501"/>
      <c r="C24" s="574">
        <v>3</v>
      </c>
      <c r="D24" s="604"/>
      <c r="E24" s="604"/>
      <c r="F24" s="603"/>
      <c r="G24" s="509" t="e">
        <f t="shared" si="4"/>
        <v>#N/A</v>
      </c>
      <c r="H24" s="228" t="e">
        <f t="shared" si="5"/>
        <v>#N/A</v>
      </c>
      <c r="I24" s="474" t="e">
        <f t="shared" si="6"/>
        <v>#DIV/0!</v>
      </c>
      <c r="J24" s="488" t="e">
        <f t="shared" si="7"/>
        <v>#N/A</v>
      </c>
      <c r="K24" s="601"/>
      <c r="M24" s="223" t="str">
        <f t="shared" si="8"/>
        <v>Yes</v>
      </c>
      <c r="N24" s="485"/>
    </row>
    <row r="25" spans="2:15" ht="20.100000000000001" customHeight="1">
      <c r="B25" s="501"/>
      <c r="C25" s="574">
        <v>4</v>
      </c>
      <c r="D25" s="604"/>
      <c r="E25" s="604"/>
      <c r="F25" s="603"/>
      <c r="G25" s="509" t="e">
        <f t="shared" si="4"/>
        <v>#N/A</v>
      </c>
      <c r="H25" s="228" t="e">
        <f t="shared" si="5"/>
        <v>#N/A</v>
      </c>
      <c r="I25" s="474" t="e">
        <f t="shared" si="6"/>
        <v>#DIV/0!</v>
      </c>
      <c r="J25" s="488" t="e">
        <f t="shared" si="7"/>
        <v>#N/A</v>
      </c>
      <c r="K25" s="601"/>
      <c r="M25" s="223" t="str">
        <f t="shared" si="8"/>
        <v>Yes</v>
      </c>
      <c r="N25" s="485"/>
    </row>
    <row r="26" spans="2:15" ht="20.100000000000001" customHeight="1">
      <c r="B26" s="501"/>
      <c r="C26" s="574">
        <v>5</v>
      </c>
      <c r="D26" s="604"/>
      <c r="E26" s="604"/>
      <c r="F26" s="603"/>
      <c r="G26" s="509" t="e">
        <f t="shared" si="4"/>
        <v>#N/A</v>
      </c>
      <c r="H26" s="228" t="e">
        <f t="shared" si="5"/>
        <v>#N/A</v>
      </c>
      <c r="I26" s="474" t="e">
        <f t="shared" si="6"/>
        <v>#DIV/0!</v>
      </c>
      <c r="J26" s="488" t="e">
        <f t="shared" si="7"/>
        <v>#N/A</v>
      </c>
      <c r="K26" s="601"/>
      <c r="M26" s="223" t="str">
        <f t="shared" si="8"/>
        <v>Yes</v>
      </c>
      <c r="N26" s="673" t="s">
        <v>922</v>
      </c>
    </row>
    <row r="27" spans="2:15" ht="20.100000000000001" customHeight="1">
      <c r="B27" s="501"/>
      <c r="C27" s="574">
        <v>6</v>
      </c>
      <c r="D27" s="604"/>
      <c r="E27" s="604"/>
      <c r="F27" s="603"/>
      <c r="G27" s="509" t="e">
        <f t="shared" si="4"/>
        <v>#N/A</v>
      </c>
      <c r="H27" s="228" t="e">
        <f t="shared" si="5"/>
        <v>#N/A</v>
      </c>
      <c r="I27" s="474" t="e">
        <f t="shared" si="6"/>
        <v>#DIV/0!</v>
      </c>
      <c r="J27" s="488" t="e">
        <f t="shared" si="7"/>
        <v>#N/A</v>
      </c>
      <c r="K27" s="601"/>
      <c r="M27" s="223" t="str">
        <f t="shared" si="8"/>
        <v>Yes</v>
      </c>
      <c r="N27" s="673"/>
    </row>
    <row r="28" spans="2:15" ht="20.100000000000001" customHeight="1">
      <c r="B28" s="501"/>
      <c r="C28" s="574">
        <v>7</v>
      </c>
      <c r="D28" s="604"/>
      <c r="E28" s="604"/>
      <c r="F28" s="603"/>
      <c r="G28" s="509" t="e">
        <f t="shared" si="4"/>
        <v>#N/A</v>
      </c>
      <c r="H28" s="228" t="e">
        <f t="shared" si="5"/>
        <v>#N/A</v>
      </c>
      <c r="I28" s="474" t="e">
        <f t="shared" si="6"/>
        <v>#DIV/0!</v>
      </c>
      <c r="J28" s="488" t="e">
        <f t="shared" si="7"/>
        <v>#N/A</v>
      </c>
      <c r="K28" s="601"/>
      <c r="M28" s="223" t="str">
        <f t="shared" si="8"/>
        <v>Yes</v>
      </c>
      <c r="N28" s="485"/>
    </row>
    <row r="29" spans="2:15" ht="20.100000000000001" customHeight="1">
      <c r="B29" s="501"/>
      <c r="C29" s="574">
        <v>8</v>
      </c>
      <c r="D29" s="604"/>
      <c r="E29" s="604"/>
      <c r="F29" s="603"/>
      <c r="G29" s="509" t="e">
        <f t="shared" si="4"/>
        <v>#N/A</v>
      </c>
      <c r="H29" s="228" t="e">
        <f t="shared" si="5"/>
        <v>#N/A</v>
      </c>
      <c r="I29" s="474" t="e">
        <f t="shared" si="6"/>
        <v>#DIV/0!</v>
      </c>
      <c r="J29" s="488" t="e">
        <f t="shared" si="7"/>
        <v>#N/A</v>
      </c>
      <c r="K29" s="601"/>
      <c r="M29" s="223" t="str">
        <f t="shared" si="8"/>
        <v>Yes</v>
      </c>
      <c r="N29" s="485"/>
    </row>
    <row r="30" spans="2:15" ht="20.100000000000001" customHeight="1">
      <c r="B30" s="501"/>
      <c r="C30" s="574">
        <v>9</v>
      </c>
      <c r="D30" s="604"/>
      <c r="E30" s="604"/>
      <c r="F30" s="603"/>
      <c r="G30" s="509" t="e">
        <f t="shared" si="4"/>
        <v>#N/A</v>
      </c>
      <c r="H30" s="228" t="e">
        <f t="shared" si="5"/>
        <v>#N/A</v>
      </c>
      <c r="I30" s="474" t="e">
        <f t="shared" si="6"/>
        <v>#DIV/0!</v>
      </c>
      <c r="J30" s="488" t="e">
        <f t="shared" si="7"/>
        <v>#N/A</v>
      </c>
      <c r="K30" s="601"/>
      <c r="M30" s="223" t="str">
        <f t="shared" si="8"/>
        <v>Yes</v>
      </c>
      <c r="N30" s="485"/>
    </row>
    <row r="31" spans="2:15" ht="20.100000000000001" customHeight="1">
      <c r="B31" s="501"/>
      <c r="C31" s="574">
        <v>10</v>
      </c>
      <c r="D31" s="604"/>
      <c r="E31" s="604"/>
      <c r="F31" s="603"/>
      <c r="G31" s="509" t="e">
        <f t="shared" si="4"/>
        <v>#N/A</v>
      </c>
      <c r="H31" s="228" t="e">
        <f t="shared" si="5"/>
        <v>#N/A</v>
      </c>
      <c r="I31" s="474" t="e">
        <f t="shared" si="6"/>
        <v>#DIV/0!</v>
      </c>
      <c r="J31" s="488" t="e">
        <f t="shared" si="7"/>
        <v>#N/A</v>
      </c>
      <c r="K31" s="601"/>
      <c r="M31" s="223" t="str">
        <f t="shared" si="8"/>
        <v>Yes</v>
      </c>
      <c r="N31" s="485"/>
    </row>
    <row r="32" spans="2:15" ht="20.100000000000001" customHeight="1">
      <c r="B32" s="501"/>
      <c r="C32" s="574">
        <v>11</v>
      </c>
      <c r="D32" s="604"/>
      <c r="E32" s="604"/>
      <c r="F32" s="603"/>
      <c r="G32" s="509" t="e">
        <f t="shared" si="4"/>
        <v>#N/A</v>
      </c>
      <c r="H32" s="228" t="e">
        <f t="shared" si="5"/>
        <v>#N/A</v>
      </c>
      <c r="I32" s="474" t="e">
        <f t="shared" si="6"/>
        <v>#DIV/0!</v>
      </c>
      <c r="J32" s="488" t="e">
        <f t="shared" si="7"/>
        <v>#N/A</v>
      </c>
      <c r="K32" s="601"/>
      <c r="M32" s="223" t="str">
        <f t="shared" si="8"/>
        <v>Yes</v>
      </c>
      <c r="N32" s="485"/>
    </row>
    <row r="33" spans="2:14" ht="20.100000000000001" customHeight="1">
      <c r="B33" s="501"/>
      <c r="C33" s="574">
        <v>12</v>
      </c>
      <c r="D33" s="604"/>
      <c r="E33" s="604"/>
      <c r="F33" s="603"/>
      <c r="G33" s="509" t="e">
        <f t="shared" si="4"/>
        <v>#N/A</v>
      </c>
      <c r="H33" s="228" t="e">
        <f t="shared" si="5"/>
        <v>#N/A</v>
      </c>
      <c r="I33" s="474" t="e">
        <f t="shared" si="6"/>
        <v>#DIV/0!</v>
      </c>
      <c r="J33" s="488" t="e">
        <f t="shared" si="7"/>
        <v>#N/A</v>
      </c>
      <c r="K33" s="601"/>
      <c r="M33" s="223" t="str">
        <f t="shared" si="8"/>
        <v>Yes</v>
      </c>
      <c r="N33" s="485"/>
    </row>
    <row r="34" spans="2:14" ht="20.100000000000001" customHeight="1">
      <c r="B34" s="501"/>
      <c r="C34" s="574">
        <v>13</v>
      </c>
      <c r="D34" s="604"/>
      <c r="E34" s="604"/>
      <c r="F34" s="603"/>
      <c r="G34" s="509" t="e">
        <f t="shared" si="4"/>
        <v>#N/A</v>
      </c>
      <c r="H34" s="228" t="e">
        <f t="shared" si="5"/>
        <v>#N/A</v>
      </c>
      <c r="I34" s="474" t="e">
        <f t="shared" si="6"/>
        <v>#DIV/0!</v>
      </c>
      <c r="J34" s="488" t="e">
        <f t="shared" si="7"/>
        <v>#N/A</v>
      </c>
      <c r="K34" s="601"/>
      <c r="M34" s="223" t="str">
        <f t="shared" si="8"/>
        <v>Yes</v>
      </c>
      <c r="N34" s="485"/>
    </row>
    <row r="35" spans="2:14" ht="20.100000000000001" customHeight="1">
      <c r="B35" s="501"/>
      <c r="C35" s="574">
        <v>14</v>
      </c>
      <c r="D35" s="604"/>
      <c r="E35" s="604"/>
      <c r="F35" s="603"/>
      <c r="G35" s="509" t="e">
        <f t="shared" si="4"/>
        <v>#N/A</v>
      </c>
      <c r="H35" s="228" t="e">
        <f t="shared" si="5"/>
        <v>#N/A</v>
      </c>
      <c r="I35" s="474" t="e">
        <f t="shared" si="6"/>
        <v>#DIV/0!</v>
      </c>
      <c r="J35" s="488" t="e">
        <f t="shared" si="7"/>
        <v>#N/A</v>
      </c>
      <c r="K35" s="601"/>
      <c r="M35" s="223" t="str">
        <f t="shared" si="8"/>
        <v>Yes</v>
      </c>
      <c r="N35" s="485"/>
    </row>
    <row r="36" spans="2:14" ht="20.100000000000001" customHeight="1">
      <c r="B36" s="501"/>
      <c r="C36" s="574">
        <v>15</v>
      </c>
      <c r="D36" s="604"/>
      <c r="E36" s="604"/>
      <c r="F36" s="603"/>
      <c r="G36" s="509" t="e">
        <f t="shared" si="4"/>
        <v>#N/A</v>
      </c>
      <c r="H36" s="228" t="e">
        <f t="shared" si="5"/>
        <v>#N/A</v>
      </c>
      <c r="I36" s="474" t="e">
        <f t="shared" si="6"/>
        <v>#DIV/0!</v>
      </c>
      <c r="J36" s="488" t="e">
        <f t="shared" si="7"/>
        <v>#N/A</v>
      </c>
      <c r="K36" s="601"/>
      <c r="M36" s="223" t="str">
        <f t="shared" si="8"/>
        <v>Yes</v>
      </c>
      <c r="N36" s="485"/>
    </row>
    <row r="37" spans="2:14" ht="20.100000000000001" customHeight="1">
      <c r="B37" s="501"/>
      <c r="C37" s="574">
        <v>16</v>
      </c>
      <c r="D37" s="604"/>
      <c r="E37" s="604"/>
      <c r="F37" s="603"/>
      <c r="G37" s="509" t="e">
        <f t="shared" si="4"/>
        <v>#N/A</v>
      </c>
      <c r="H37" s="228" t="e">
        <f t="shared" si="5"/>
        <v>#N/A</v>
      </c>
      <c r="I37" s="474" t="e">
        <f t="shared" si="6"/>
        <v>#DIV/0!</v>
      </c>
      <c r="J37" s="488" t="e">
        <f t="shared" si="7"/>
        <v>#N/A</v>
      </c>
      <c r="K37" s="601"/>
      <c r="M37" s="223" t="str">
        <f t="shared" si="8"/>
        <v>Yes</v>
      </c>
      <c r="N37" s="485"/>
    </row>
    <row r="38" spans="2:14" ht="20.100000000000001" customHeight="1">
      <c r="B38" s="501"/>
      <c r="C38" s="574">
        <v>17</v>
      </c>
      <c r="D38" s="604"/>
      <c r="E38" s="604"/>
      <c r="F38" s="603"/>
      <c r="G38" s="509" t="e">
        <f t="shared" si="4"/>
        <v>#N/A</v>
      </c>
      <c r="H38" s="228" t="e">
        <f t="shared" si="5"/>
        <v>#N/A</v>
      </c>
      <c r="I38" s="474" t="e">
        <f t="shared" si="6"/>
        <v>#DIV/0!</v>
      </c>
      <c r="J38" s="488" t="e">
        <f t="shared" si="7"/>
        <v>#N/A</v>
      </c>
      <c r="K38" s="601"/>
      <c r="M38" s="223" t="str">
        <f t="shared" si="8"/>
        <v>Yes</v>
      </c>
      <c r="N38" s="485"/>
    </row>
    <row r="39" spans="2:14" ht="20.100000000000001" customHeight="1">
      <c r="B39" s="501"/>
      <c r="C39" s="574">
        <v>18</v>
      </c>
      <c r="D39" s="604"/>
      <c r="E39" s="604"/>
      <c r="F39" s="603"/>
      <c r="G39" s="509" t="e">
        <f t="shared" si="4"/>
        <v>#N/A</v>
      </c>
      <c r="H39" s="228" t="e">
        <f t="shared" si="5"/>
        <v>#N/A</v>
      </c>
      <c r="I39" s="474" t="e">
        <f t="shared" si="6"/>
        <v>#DIV/0!</v>
      </c>
      <c r="J39" s="488" t="e">
        <f t="shared" si="7"/>
        <v>#N/A</v>
      </c>
      <c r="K39" s="601"/>
      <c r="M39" s="223" t="str">
        <f t="shared" si="8"/>
        <v>Yes</v>
      </c>
      <c r="N39" s="485"/>
    </row>
    <row r="40" spans="2:14" ht="20.100000000000001" customHeight="1">
      <c r="B40" s="501"/>
      <c r="C40" s="574">
        <v>19</v>
      </c>
      <c r="D40" s="604"/>
      <c r="E40" s="604"/>
      <c r="F40" s="603"/>
      <c r="G40" s="509" t="e">
        <f t="shared" si="4"/>
        <v>#N/A</v>
      </c>
      <c r="H40" s="228" t="e">
        <f t="shared" si="5"/>
        <v>#N/A</v>
      </c>
      <c r="I40" s="474" t="e">
        <f t="shared" si="6"/>
        <v>#DIV/0!</v>
      </c>
      <c r="J40" s="488" t="e">
        <f t="shared" si="7"/>
        <v>#N/A</v>
      </c>
      <c r="K40" s="601"/>
      <c r="M40" s="223" t="str">
        <f t="shared" si="8"/>
        <v>Yes</v>
      </c>
      <c r="N40" s="485"/>
    </row>
    <row r="41" spans="2:14" ht="20.100000000000001" customHeight="1">
      <c r="B41" s="501"/>
      <c r="C41" s="574">
        <v>20</v>
      </c>
      <c r="D41" s="604"/>
      <c r="E41" s="604"/>
      <c r="F41" s="603"/>
      <c r="G41" s="509" t="e">
        <f t="shared" si="4"/>
        <v>#N/A</v>
      </c>
      <c r="H41" s="228" t="e">
        <f t="shared" si="5"/>
        <v>#N/A</v>
      </c>
      <c r="I41" s="474" t="e">
        <f t="shared" si="6"/>
        <v>#DIV/0!</v>
      </c>
      <c r="J41" s="488" t="e">
        <f t="shared" si="7"/>
        <v>#N/A</v>
      </c>
      <c r="K41" s="601"/>
      <c r="M41" s="223" t="str">
        <f t="shared" si="8"/>
        <v>Yes</v>
      </c>
      <c r="N41" s="485"/>
    </row>
    <row r="42" spans="2:14" ht="20.100000000000001" customHeight="1">
      <c r="B42" s="501"/>
      <c r="C42" s="574">
        <v>21</v>
      </c>
      <c r="D42" s="604"/>
      <c r="E42" s="604"/>
      <c r="F42" s="603"/>
      <c r="G42" s="509" t="e">
        <f t="shared" si="4"/>
        <v>#N/A</v>
      </c>
      <c r="H42" s="228" t="e">
        <f t="shared" si="5"/>
        <v>#N/A</v>
      </c>
      <c r="I42" s="474" t="e">
        <f t="shared" si="6"/>
        <v>#DIV/0!</v>
      </c>
      <c r="J42" s="488" t="e">
        <f t="shared" si="7"/>
        <v>#N/A</v>
      </c>
      <c r="K42" s="601"/>
      <c r="M42" s="223" t="str">
        <f t="shared" si="8"/>
        <v>Yes</v>
      </c>
      <c r="N42" s="485"/>
    </row>
    <row r="43" spans="2:14" ht="20.100000000000001" customHeight="1">
      <c r="B43" s="501"/>
      <c r="C43" s="574">
        <v>22</v>
      </c>
      <c r="D43" s="604"/>
      <c r="E43" s="604"/>
      <c r="F43" s="603"/>
      <c r="G43" s="509" t="e">
        <f t="shared" si="4"/>
        <v>#N/A</v>
      </c>
      <c r="H43" s="228" t="e">
        <f t="shared" si="5"/>
        <v>#N/A</v>
      </c>
      <c r="I43" s="474" t="e">
        <f t="shared" si="6"/>
        <v>#DIV/0!</v>
      </c>
      <c r="J43" s="488" t="e">
        <f t="shared" si="7"/>
        <v>#N/A</v>
      </c>
      <c r="K43" s="601"/>
      <c r="M43" s="223" t="str">
        <f t="shared" si="8"/>
        <v>Yes</v>
      </c>
      <c r="N43" s="485"/>
    </row>
    <row r="44" spans="2:14" ht="20.100000000000001" customHeight="1">
      <c r="B44" s="501"/>
      <c r="C44" s="574">
        <v>23</v>
      </c>
      <c r="D44" s="604"/>
      <c r="E44" s="604"/>
      <c r="F44" s="603"/>
      <c r="G44" s="509" t="e">
        <f t="shared" si="4"/>
        <v>#N/A</v>
      </c>
      <c r="H44" s="228" t="e">
        <f t="shared" si="5"/>
        <v>#N/A</v>
      </c>
      <c r="I44" s="474" t="e">
        <f t="shared" si="6"/>
        <v>#DIV/0!</v>
      </c>
      <c r="J44" s="488" t="e">
        <f t="shared" si="7"/>
        <v>#N/A</v>
      </c>
      <c r="K44" s="601"/>
      <c r="M44" s="223" t="str">
        <f t="shared" si="8"/>
        <v>Yes</v>
      </c>
      <c r="N44" s="485"/>
    </row>
    <row r="45" spans="2:14" ht="20.100000000000001" customHeight="1">
      <c r="B45" s="501"/>
      <c r="C45" s="574">
        <v>24</v>
      </c>
      <c r="D45" s="604"/>
      <c r="E45" s="604"/>
      <c r="F45" s="603"/>
      <c r="G45" s="509" t="e">
        <f t="shared" si="4"/>
        <v>#N/A</v>
      </c>
      <c r="H45" s="228" t="e">
        <f t="shared" si="5"/>
        <v>#N/A</v>
      </c>
      <c r="I45" s="474" t="e">
        <f t="shared" si="6"/>
        <v>#DIV/0!</v>
      </c>
      <c r="J45" s="488" t="e">
        <f t="shared" si="7"/>
        <v>#N/A</v>
      </c>
      <c r="K45" s="601"/>
      <c r="M45" s="223" t="str">
        <f t="shared" si="8"/>
        <v>Yes</v>
      </c>
      <c r="N45" s="485"/>
    </row>
    <row r="46" spans="2:14" ht="20.100000000000001" customHeight="1">
      <c r="B46" s="501"/>
      <c r="C46" s="574">
        <v>25</v>
      </c>
      <c r="D46" s="604"/>
      <c r="E46" s="604"/>
      <c r="F46" s="603"/>
      <c r="G46" s="509" t="e">
        <f t="shared" si="4"/>
        <v>#N/A</v>
      </c>
      <c r="H46" s="228" t="e">
        <f t="shared" si="5"/>
        <v>#N/A</v>
      </c>
      <c r="I46" s="474" t="e">
        <f t="shared" si="6"/>
        <v>#DIV/0!</v>
      </c>
      <c r="J46" s="488" t="e">
        <f t="shared" si="7"/>
        <v>#N/A</v>
      </c>
      <c r="K46" s="601"/>
      <c r="M46" s="223" t="str">
        <f t="shared" si="8"/>
        <v>Yes</v>
      </c>
      <c r="N46" s="485"/>
    </row>
    <row r="47" spans="2:14" ht="20.100000000000001" customHeight="1">
      <c r="B47" s="501"/>
      <c r="C47" s="574">
        <v>26</v>
      </c>
      <c r="D47" s="604"/>
      <c r="E47" s="604"/>
      <c r="F47" s="603"/>
      <c r="G47" s="509" t="e">
        <f t="shared" si="4"/>
        <v>#N/A</v>
      </c>
      <c r="H47" s="228" t="e">
        <f t="shared" si="5"/>
        <v>#N/A</v>
      </c>
      <c r="I47" s="474" t="e">
        <f t="shared" si="6"/>
        <v>#DIV/0!</v>
      </c>
      <c r="J47" s="488" t="e">
        <f t="shared" si="7"/>
        <v>#N/A</v>
      </c>
      <c r="K47" s="601"/>
      <c r="M47" s="223" t="str">
        <f t="shared" si="8"/>
        <v>Yes</v>
      </c>
      <c r="N47" s="485"/>
    </row>
    <row r="48" spans="2:14" ht="20.100000000000001" customHeight="1">
      <c r="B48" s="501"/>
      <c r="C48" s="574">
        <v>27</v>
      </c>
      <c r="D48" s="604"/>
      <c r="E48" s="604"/>
      <c r="F48" s="603"/>
      <c r="G48" s="509" t="e">
        <f t="shared" si="4"/>
        <v>#N/A</v>
      </c>
      <c r="H48" s="228" t="e">
        <f t="shared" si="5"/>
        <v>#N/A</v>
      </c>
      <c r="I48" s="474" t="e">
        <f t="shared" si="6"/>
        <v>#DIV/0!</v>
      </c>
      <c r="J48" s="488" t="e">
        <f t="shared" si="7"/>
        <v>#N/A</v>
      </c>
      <c r="K48" s="601"/>
      <c r="M48" s="223" t="str">
        <f t="shared" si="8"/>
        <v>Yes</v>
      </c>
      <c r="N48" s="485"/>
    </row>
    <row r="49" spans="2:14" ht="20.100000000000001" customHeight="1">
      <c r="B49" s="501"/>
      <c r="C49" s="574">
        <v>28</v>
      </c>
      <c r="D49" s="604"/>
      <c r="E49" s="604"/>
      <c r="F49" s="603"/>
      <c r="G49" s="509" t="e">
        <f t="shared" si="4"/>
        <v>#N/A</v>
      </c>
      <c r="H49" s="228" t="e">
        <f t="shared" si="5"/>
        <v>#N/A</v>
      </c>
      <c r="I49" s="474" t="e">
        <f t="shared" si="6"/>
        <v>#DIV/0!</v>
      </c>
      <c r="J49" s="488" t="e">
        <f t="shared" si="7"/>
        <v>#N/A</v>
      </c>
      <c r="K49" s="601"/>
      <c r="M49" s="223" t="str">
        <f t="shared" si="8"/>
        <v>Yes</v>
      </c>
      <c r="N49" s="485"/>
    </row>
    <row r="50" spans="2:14" ht="20.100000000000001" customHeight="1">
      <c r="B50" s="501"/>
      <c r="C50" s="574">
        <v>29</v>
      </c>
      <c r="D50" s="604"/>
      <c r="E50" s="604"/>
      <c r="F50" s="603"/>
      <c r="G50" s="509" t="e">
        <f t="shared" si="4"/>
        <v>#N/A</v>
      </c>
      <c r="H50" s="228" t="e">
        <f t="shared" si="5"/>
        <v>#N/A</v>
      </c>
      <c r="I50" s="474" t="e">
        <f t="shared" si="6"/>
        <v>#DIV/0!</v>
      </c>
      <c r="J50" s="488" t="e">
        <f t="shared" si="7"/>
        <v>#N/A</v>
      </c>
      <c r="K50" s="601"/>
      <c r="M50" s="223" t="str">
        <f t="shared" si="8"/>
        <v>Yes</v>
      </c>
      <c r="N50" s="485"/>
    </row>
    <row r="51" spans="2:14" ht="20.100000000000001" customHeight="1">
      <c r="B51" s="501"/>
      <c r="C51" s="574">
        <v>30</v>
      </c>
      <c r="D51" s="604"/>
      <c r="E51" s="604"/>
      <c r="F51" s="603"/>
      <c r="G51" s="509" t="e">
        <f t="shared" si="4"/>
        <v>#N/A</v>
      </c>
      <c r="H51" s="228" t="e">
        <f t="shared" si="5"/>
        <v>#N/A</v>
      </c>
      <c r="I51" s="474" t="e">
        <f t="shared" si="6"/>
        <v>#DIV/0!</v>
      </c>
      <c r="J51" s="488" t="e">
        <f t="shared" si="7"/>
        <v>#N/A</v>
      </c>
      <c r="K51" s="601"/>
      <c r="M51" s="223" t="str">
        <f t="shared" si="8"/>
        <v>Yes</v>
      </c>
      <c r="N51" s="485"/>
    </row>
    <row r="52" spans="2:14" ht="20.100000000000001" customHeight="1">
      <c r="B52" s="501"/>
      <c r="C52" s="574">
        <v>31</v>
      </c>
      <c r="D52" s="604"/>
      <c r="E52" s="604"/>
      <c r="F52" s="603"/>
      <c r="G52" s="509" t="e">
        <f t="shared" si="4"/>
        <v>#N/A</v>
      </c>
      <c r="H52" s="228" t="e">
        <f t="shared" si="5"/>
        <v>#N/A</v>
      </c>
      <c r="I52" s="474" t="e">
        <f t="shared" si="6"/>
        <v>#DIV/0!</v>
      </c>
      <c r="J52" s="488" t="e">
        <f t="shared" si="7"/>
        <v>#N/A</v>
      </c>
      <c r="K52" s="601"/>
      <c r="M52" s="223" t="str">
        <f t="shared" si="8"/>
        <v>Yes</v>
      </c>
      <c r="N52" s="485"/>
    </row>
    <row r="53" spans="2:14" ht="20.100000000000001" customHeight="1">
      <c r="B53" s="501"/>
      <c r="C53" s="574">
        <v>32</v>
      </c>
      <c r="D53" s="604"/>
      <c r="E53" s="604"/>
      <c r="F53" s="603"/>
      <c r="G53" s="509" t="e">
        <f t="shared" si="4"/>
        <v>#N/A</v>
      </c>
      <c r="H53" s="228" t="e">
        <f t="shared" si="5"/>
        <v>#N/A</v>
      </c>
      <c r="I53" s="474" t="e">
        <f t="shared" si="6"/>
        <v>#DIV/0!</v>
      </c>
      <c r="J53" s="488" t="e">
        <f t="shared" si="7"/>
        <v>#N/A</v>
      </c>
      <c r="K53" s="601"/>
      <c r="M53" s="223" t="str">
        <f t="shared" si="8"/>
        <v>Yes</v>
      </c>
      <c r="N53" s="485"/>
    </row>
    <row r="54" spans="2:14" ht="20.100000000000001" customHeight="1">
      <c r="B54" s="501"/>
      <c r="C54" s="574">
        <v>33</v>
      </c>
      <c r="D54" s="604"/>
      <c r="E54" s="604"/>
      <c r="F54" s="603"/>
      <c r="G54" s="509" t="e">
        <f t="shared" ref="G54:G85" si="9">VLOOKUP(E54,E$9:F$19,2,FALSE)/2</f>
        <v>#N/A</v>
      </c>
      <c r="H54" s="228" t="e">
        <f t="shared" ref="H54:H85" si="10">IF(F54&gt;G54,"MET","NOT MET")</f>
        <v>#N/A</v>
      </c>
      <c r="I54" s="474" t="e">
        <f t="shared" ref="I54:I85" si="11">AVERAGEIF(E$22:E$121,E54,F$22:F$121)</f>
        <v>#DIV/0!</v>
      </c>
      <c r="J54" s="488" t="e">
        <f t="shared" ref="J54:J85" si="12">IF(VLOOKUP(E54,E$9:F$19,2,FALSE)&lt;F54,"MET","NOT MET")</f>
        <v>#N/A</v>
      </c>
      <c r="K54" s="601"/>
      <c r="M54" s="223" t="str">
        <f t="shared" si="8"/>
        <v>Yes</v>
      </c>
      <c r="N54" s="485"/>
    </row>
    <row r="55" spans="2:14" ht="20.100000000000001" customHeight="1">
      <c r="B55" s="501"/>
      <c r="C55" s="574">
        <v>34</v>
      </c>
      <c r="D55" s="604"/>
      <c r="E55" s="604"/>
      <c r="F55" s="603"/>
      <c r="G55" s="509" t="e">
        <f t="shared" si="9"/>
        <v>#N/A</v>
      </c>
      <c r="H55" s="228" t="e">
        <f t="shared" si="10"/>
        <v>#N/A</v>
      </c>
      <c r="I55" s="474" t="e">
        <f t="shared" si="11"/>
        <v>#DIV/0!</v>
      </c>
      <c r="J55" s="488" t="e">
        <f t="shared" si="12"/>
        <v>#N/A</v>
      </c>
      <c r="K55" s="601"/>
      <c r="M55" s="223" t="str">
        <f t="shared" ref="M55:M86" si="13">IF(D55="","Yes","No")</f>
        <v>Yes</v>
      </c>
      <c r="N55" s="485"/>
    </row>
    <row r="56" spans="2:14" ht="20.100000000000001" customHeight="1">
      <c r="B56" s="501"/>
      <c r="C56" s="574">
        <v>35</v>
      </c>
      <c r="D56" s="604"/>
      <c r="E56" s="604"/>
      <c r="F56" s="603"/>
      <c r="G56" s="509" t="e">
        <f t="shared" si="9"/>
        <v>#N/A</v>
      </c>
      <c r="H56" s="228" t="e">
        <f t="shared" si="10"/>
        <v>#N/A</v>
      </c>
      <c r="I56" s="474" t="e">
        <f t="shared" si="11"/>
        <v>#DIV/0!</v>
      </c>
      <c r="J56" s="488" t="e">
        <f t="shared" si="12"/>
        <v>#N/A</v>
      </c>
      <c r="K56" s="601"/>
      <c r="M56" s="223" t="str">
        <f t="shared" si="13"/>
        <v>Yes</v>
      </c>
      <c r="N56" s="485"/>
    </row>
    <row r="57" spans="2:14" ht="20.100000000000001" customHeight="1">
      <c r="B57" s="501"/>
      <c r="C57" s="574">
        <v>36</v>
      </c>
      <c r="D57" s="604"/>
      <c r="E57" s="604"/>
      <c r="F57" s="603"/>
      <c r="G57" s="509" t="e">
        <f t="shared" si="9"/>
        <v>#N/A</v>
      </c>
      <c r="H57" s="228" t="e">
        <f t="shared" si="10"/>
        <v>#N/A</v>
      </c>
      <c r="I57" s="474" t="e">
        <f t="shared" si="11"/>
        <v>#DIV/0!</v>
      </c>
      <c r="J57" s="488" t="e">
        <f t="shared" si="12"/>
        <v>#N/A</v>
      </c>
      <c r="K57" s="601"/>
      <c r="M57" s="223" t="str">
        <f t="shared" si="13"/>
        <v>Yes</v>
      </c>
      <c r="N57" s="485"/>
    </row>
    <row r="58" spans="2:14" ht="20.100000000000001" customHeight="1">
      <c r="B58" s="501"/>
      <c r="C58" s="574">
        <v>37</v>
      </c>
      <c r="D58" s="604"/>
      <c r="E58" s="604"/>
      <c r="F58" s="603"/>
      <c r="G58" s="509" t="e">
        <f t="shared" si="9"/>
        <v>#N/A</v>
      </c>
      <c r="H58" s="228" t="e">
        <f t="shared" si="10"/>
        <v>#N/A</v>
      </c>
      <c r="I58" s="474" t="e">
        <f t="shared" si="11"/>
        <v>#DIV/0!</v>
      </c>
      <c r="J58" s="488" t="e">
        <f t="shared" si="12"/>
        <v>#N/A</v>
      </c>
      <c r="K58" s="601"/>
      <c r="M58" s="223" t="str">
        <f t="shared" si="13"/>
        <v>Yes</v>
      </c>
      <c r="N58" s="485"/>
    </row>
    <row r="59" spans="2:14" ht="20.100000000000001" customHeight="1">
      <c r="B59" s="501"/>
      <c r="C59" s="574">
        <v>38</v>
      </c>
      <c r="D59" s="604"/>
      <c r="E59" s="604"/>
      <c r="F59" s="603"/>
      <c r="G59" s="509" t="e">
        <f t="shared" si="9"/>
        <v>#N/A</v>
      </c>
      <c r="H59" s="228" t="e">
        <f t="shared" si="10"/>
        <v>#N/A</v>
      </c>
      <c r="I59" s="474" t="e">
        <f t="shared" si="11"/>
        <v>#DIV/0!</v>
      </c>
      <c r="J59" s="488" t="e">
        <f t="shared" si="12"/>
        <v>#N/A</v>
      </c>
      <c r="K59" s="601"/>
      <c r="M59" s="223" t="str">
        <f t="shared" si="13"/>
        <v>Yes</v>
      </c>
      <c r="N59" s="485"/>
    </row>
    <row r="60" spans="2:14" ht="20.100000000000001" customHeight="1">
      <c r="B60" s="501"/>
      <c r="C60" s="574">
        <v>39</v>
      </c>
      <c r="D60" s="604"/>
      <c r="E60" s="604"/>
      <c r="F60" s="603"/>
      <c r="G60" s="509" t="e">
        <f t="shared" si="9"/>
        <v>#N/A</v>
      </c>
      <c r="H60" s="228" t="e">
        <f t="shared" si="10"/>
        <v>#N/A</v>
      </c>
      <c r="I60" s="474" t="e">
        <f t="shared" si="11"/>
        <v>#DIV/0!</v>
      </c>
      <c r="J60" s="488" t="e">
        <f t="shared" si="12"/>
        <v>#N/A</v>
      </c>
      <c r="K60" s="601"/>
      <c r="M60" s="223" t="str">
        <f t="shared" si="13"/>
        <v>Yes</v>
      </c>
      <c r="N60" s="485"/>
    </row>
    <row r="61" spans="2:14" ht="20.100000000000001" customHeight="1">
      <c r="B61" s="501"/>
      <c r="C61" s="574">
        <v>40</v>
      </c>
      <c r="D61" s="604"/>
      <c r="E61" s="604"/>
      <c r="F61" s="603"/>
      <c r="G61" s="509" t="e">
        <f t="shared" si="9"/>
        <v>#N/A</v>
      </c>
      <c r="H61" s="228" t="e">
        <f t="shared" si="10"/>
        <v>#N/A</v>
      </c>
      <c r="I61" s="474" t="e">
        <f t="shared" si="11"/>
        <v>#DIV/0!</v>
      </c>
      <c r="J61" s="488" t="e">
        <f t="shared" si="12"/>
        <v>#N/A</v>
      </c>
      <c r="K61" s="601"/>
      <c r="M61" s="223" t="str">
        <f t="shared" si="13"/>
        <v>Yes</v>
      </c>
      <c r="N61" s="485"/>
    </row>
    <row r="62" spans="2:14" ht="20.100000000000001" customHeight="1">
      <c r="B62" s="501"/>
      <c r="C62" s="574">
        <v>41</v>
      </c>
      <c r="D62" s="604"/>
      <c r="E62" s="604"/>
      <c r="F62" s="603"/>
      <c r="G62" s="509" t="e">
        <f t="shared" si="9"/>
        <v>#N/A</v>
      </c>
      <c r="H62" s="228" t="e">
        <f t="shared" si="10"/>
        <v>#N/A</v>
      </c>
      <c r="I62" s="474" t="e">
        <f t="shared" si="11"/>
        <v>#DIV/0!</v>
      </c>
      <c r="J62" s="488" t="e">
        <f t="shared" si="12"/>
        <v>#N/A</v>
      </c>
      <c r="K62" s="601"/>
      <c r="M62" s="223" t="str">
        <f t="shared" si="13"/>
        <v>Yes</v>
      </c>
      <c r="N62" s="485"/>
    </row>
    <row r="63" spans="2:14" ht="20.100000000000001" customHeight="1">
      <c r="B63" s="501"/>
      <c r="C63" s="574">
        <v>42</v>
      </c>
      <c r="D63" s="604"/>
      <c r="E63" s="604"/>
      <c r="F63" s="603"/>
      <c r="G63" s="509" t="e">
        <f t="shared" si="9"/>
        <v>#N/A</v>
      </c>
      <c r="H63" s="228" t="e">
        <f t="shared" si="10"/>
        <v>#N/A</v>
      </c>
      <c r="I63" s="474" t="e">
        <f t="shared" si="11"/>
        <v>#DIV/0!</v>
      </c>
      <c r="J63" s="488" t="e">
        <f t="shared" si="12"/>
        <v>#N/A</v>
      </c>
      <c r="K63" s="601"/>
      <c r="M63" s="223" t="str">
        <f t="shared" si="13"/>
        <v>Yes</v>
      </c>
      <c r="N63" s="485"/>
    </row>
    <row r="64" spans="2:14" ht="20.100000000000001" customHeight="1">
      <c r="B64" s="501"/>
      <c r="C64" s="574">
        <v>43</v>
      </c>
      <c r="D64" s="604"/>
      <c r="E64" s="604"/>
      <c r="F64" s="603"/>
      <c r="G64" s="509" t="e">
        <f t="shared" si="9"/>
        <v>#N/A</v>
      </c>
      <c r="H64" s="228" t="e">
        <f t="shared" si="10"/>
        <v>#N/A</v>
      </c>
      <c r="I64" s="474" t="e">
        <f t="shared" si="11"/>
        <v>#DIV/0!</v>
      </c>
      <c r="J64" s="488" t="e">
        <f t="shared" si="12"/>
        <v>#N/A</v>
      </c>
      <c r="K64" s="601"/>
      <c r="M64" s="223" t="str">
        <f t="shared" si="13"/>
        <v>Yes</v>
      </c>
      <c r="N64" s="485"/>
    </row>
    <row r="65" spans="2:14" ht="20.100000000000001" customHeight="1">
      <c r="B65" s="501"/>
      <c r="C65" s="574">
        <v>44</v>
      </c>
      <c r="D65" s="604"/>
      <c r="E65" s="604"/>
      <c r="F65" s="603"/>
      <c r="G65" s="509" t="e">
        <f t="shared" si="9"/>
        <v>#N/A</v>
      </c>
      <c r="H65" s="228" t="e">
        <f t="shared" si="10"/>
        <v>#N/A</v>
      </c>
      <c r="I65" s="474" t="e">
        <f t="shared" si="11"/>
        <v>#DIV/0!</v>
      </c>
      <c r="J65" s="488" t="e">
        <f t="shared" si="12"/>
        <v>#N/A</v>
      </c>
      <c r="K65" s="601"/>
      <c r="M65" s="223" t="str">
        <f t="shared" si="13"/>
        <v>Yes</v>
      </c>
      <c r="N65" s="485"/>
    </row>
    <row r="66" spans="2:14" ht="20.100000000000001" customHeight="1">
      <c r="B66" s="501"/>
      <c r="C66" s="574">
        <v>45</v>
      </c>
      <c r="D66" s="604"/>
      <c r="E66" s="604"/>
      <c r="F66" s="603"/>
      <c r="G66" s="509" t="e">
        <f t="shared" si="9"/>
        <v>#N/A</v>
      </c>
      <c r="H66" s="228" t="e">
        <f t="shared" si="10"/>
        <v>#N/A</v>
      </c>
      <c r="I66" s="474" t="e">
        <f t="shared" si="11"/>
        <v>#DIV/0!</v>
      </c>
      <c r="J66" s="488" t="e">
        <f t="shared" si="12"/>
        <v>#N/A</v>
      </c>
      <c r="K66" s="601"/>
      <c r="M66" s="223" t="str">
        <f t="shared" si="13"/>
        <v>Yes</v>
      </c>
      <c r="N66" s="485"/>
    </row>
    <row r="67" spans="2:14" ht="20.100000000000001" customHeight="1">
      <c r="B67" s="501"/>
      <c r="C67" s="574">
        <v>46</v>
      </c>
      <c r="D67" s="604"/>
      <c r="E67" s="604"/>
      <c r="F67" s="603"/>
      <c r="G67" s="509" t="e">
        <f t="shared" si="9"/>
        <v>#N/A</v>
      </c>
      <c r="H67" s="228" t="e">
        <f t="shared" si="10"/>
        <v>#N/A</v>
      </c>
      <c r="I67" s="474" t="e">
        <f t="shared" si="11"/>
        <v>#DIV/0!</v>
      </c>
      <c r="J67" s="488" t="e">
        <f t="shared" si="12"/>
        <v>#N/A</v>
      </c>
      <c r="K67" s="601"/>
      <c r="M67" s="223" t="str">
        <f t="shared" si="13"/>
        <v>Yes</v>
      </c>
      <c r="N67" s="485"/>
    </row>
    <row r="68" spans="2:14" ht="20.100000000000001" customHeight="1">
      <c r="B68" s="501"/>
      <c r="C68" s="574">
        <v>47</v>
      </c>
      <c r="D68" s="604"/>
      <c r="E68" s="604"/>
      <c r="F68" s="603"/>
      <c r="G68" s="509" t="e">
        <f t="shared" si="9"/>
        <v>#N/A</v>
      </c>
      <c r="H68" s="228" t="e">
        <f t="shared" si="10"/>
        <v>#N/A</v>
      </c>
      <c r="I68" s="474" t="e">
        <f t="shared" si="11"/>
        <v>#DIV/0!</v>
      </c>
      <c r="J68" s="488" t="e">
        <f t="shared" si="12"/>
        <v>#N/A</v>
      </c>
      <c r="K68" s="601"/>
      <c r="M68" s="223" t="str">
        <f t="shared" si="13"/>
        <v>Yes</v>
      </c>
      <c r="N68" s="485"/>
    </row>
    <row r="69" spans="2:14" ht="20.100000000000001" customHeight="1">
      <c r="B69" s="501"/>
      <c r="C69" s="574">
        <v>48</v>
      </c>
      <c r="D69" s="604"/>
      <c r="E69" s="604"/>
      <c r="F69" s="603"/>
      <c r="G69" s="509" t="e">
        <f t="shared" si="9"/>
        <v>#N/A</v>
      </c>
      <c r="H69" s="228" t="e">
        <f t="shared" si="10"/>
        <v>#N/A</v>
      </c>
      <c r="I69" s="474" t="e">
        <f t="shared" si="11"/>
        <v>#DIV/0!</v>
      </c>
      <c r="J69" s="488" t="e">
        <f t="shared" si="12"/>
        <v>#N/A</v>
      </c>
      <c r="K69" s="601"/>
      <c r="M69" s="223" t="str">
        <f t="shared" si="13"/>
        <v>Yes</v>
      </c>
      <c r="N69" s="485"/>
    </row>
    <row r="70" spans="2:14" ht="20.100000000000001" customHeight="1">
      <c r="B70" s="501"/>
      <c r="C70" s="574">
        <v>49</v>
      </c>
      <c r="D70" s="604"/>
      <c r="E70" s="604"/>
      <c r="F70" s="603"/>
      <c r="G70" s="509" t="e">
        <f t="shared" si="9"/>
        <v>#N/A</v>
      </c>
      <c r="H70" s="228" t="e">
        <f t="shared" si="10"/>
        <v>#N/A</v>
      </c>
      <c r="I70" s="474" t="e">
        <f t="shared" si="11"/>
        <v>#DIV/0!</v>
      </c>
      <c r="J70" s="488" t="e">
        <f t="shared" si="12"/>
        <v>#N/A</v>
      </c>
      <c r="K70" s="601"/>
      <c r="M70" s="223" t="str">
        <f t="shared" si="13"/>
        <v>Yes</v>
      </c>
      <c r="N70" s="485"/>
    </row>
    <row r="71" spans="2:14" ht="20.100000000000001" customHeight="1">
      <c r="B71" s="501"/>
      <c r="C71" s="574">
        <v>50</v>
      </c>
      <c r="D71" s="604"/>
      <c r="E71" s="604"/>
      <c r="F71" s="603"/>
      <c r="G71" s="509" t="e">
        <f t="shared" si="9"/>
        <v>#N/A</v>
      </c>
      <c r="H71" s="228" t="e">
        <f t="shared" si="10"/>
        <v>#N/A</v>
      </c>
      <c r="I71" s="474" t="e">
        <f t="shared" si="11"/>
        <v>#DIV/0!</v>
      </c>
      <c r="J71" s="488" t="e">
        <f t="shared" si="12"/>
        <v>#N/A</v>
      </c>
      <c r="K71" s="601"/>
      <c r="M71" s="223" t="str">
        <f t="shared" si="13"/>
        <v>Yes</v>
      </c>
      <c r="N71" s="489" t="s">
        <v>923</v>
      </c>
    </row>
    <row r="72" spans="2:14" ht="20.100000000000001" customHeight="1">
      <c r="B72" s="501"/>
      <c r="C72" s="574">
        <v>51</v>
      </c>
      <c r="D72" s="604"/>
      <c r="E72" s="604"/>
      <c r="F72" s="603"/>
      <c r="G72" s="509" t="e">
        <f t="shared" si="9"/>
        <v>#N/A</v>
      </c>
      <c r="H72" s="228" t="e">
        <f t="shared" si="10"/>
        <v>#N/A</v>
      </c>
      <c r="I72" s="474" t="e">
        <f t="shared" si="11"/>
        <v>#DIV/0!</v>
      </c>
      <c r="J72" s="488" t="e">
        <f t="shared" si="12"/>
        <v>#N/A</v>
      </c>
      <c r="K72" s="601"/>
      <c r="M72" s="223" t="str">
        <f t="shared" si="13"/>
        <v>Yes</v>
      </c>
      <c r="N72" s="485"/>
    </row>
    <row r="73" spans="2:14" ht="20.100000000000001" customHeight="1">
      <c r="B73" s="501"/>
      <c r="C73" s="574">
        <v>52</v>
      </c>
      <c r="D73" s="604"/>
      <c r="E73" s="604"/>
      <c r="F73" s="603"/>
      <c r="G73" s="509" t="e">
        <f t="shared" si="9"/>
        <v>#N/A</v>
      </c>
      <c r="H73" s="228" t="e">
        <f t="shared" si="10"/>
        <v>#N/A</v>
      </c>
      <c r="I73" s="474" t="e">
        <f t="shared" si="11"/>
        <v>#DIV/0!</v>
      </c>
      <c r="J73" s="488" t="e">
        <f t="shared" si="12"/>
        <v>#N/A</v>
      </c>
      <c r="K73" s="601"/>
      <c r="M73" s="223" t="str">
        <f t="shared" si="13"/>
        <v>Yes</v>
      </c>
      <c r="N73" s="485"/>
    </row>
    <row r="74" spans="2:14" ht="20.100000000000001" customHeight="1">
      <c r="B74" s="501"/>
      <c r="C74" s="574">
        <v>53</v>
      </c>
      <c r="D74" s="604"/>
      <c r="E74" s="604"/>
      <c r="F74" s="603"/>
      <c r="G74" s="509" t="e">
        <f t="shared" si="9"/>
        <v>#N/A</v>
      </c>
      <c r="H74" s="228" t="e">
        <f t="shared" si="10"/>
        <v>#N/A</v>
      </c>
      <c r="I74" s="474" t="e">
        <f t="shared" si="11"/>
        <v>#DIV/0!</v>
      </c>
      <c r="J74" s="488" t="e">
        <f t="shared" si="12"/>
        <v>#N/A</v>
      </c>
      <c r="K74" s="601"/>
      <c r="M74" s="223" t="str">
        <f t="shared" si="13"/>
        <v>Yes</v>
      </c>
      <c r="N74" s="485"/>
    </row>
    <row r="75" spans="2:14" ht="20.100000000000001" customHeight="1">
      <c r="B75" s="501"/>
      <c r="C75" s="574">
        <v>54</v>
      </c>
      <c r="D75" s="604"/>
      <c r="E75" s="604"/>
      <c r="F75" s="604"/>
      <c r="G75" s="509" t="e">
        <f t="shared" si="9"/>
        <v>#N/A</v>
      </c>
      <c r="H75" s="228" t="e">
        <f t="shared" si="10"/>
        <v>#N/A</v>
      </c>
      <c r="I75" s="474" t="e">
        <f t="shared" si="11"/>
        <v>#DIV/0!</v>
      </c>
      <c r="J75" s="488" t="e">
        <f t="shared" si="12"/>
        <v>#N/A</v>
      </c>
      <c r="K75" s="601"/>
      <c r="M75" s="223" t="str">
        <f t="shared" si="13"/>
        <v>Yes</v>
      </c>
      <c r="N75" s="485"/>
    </row>
    <row r="76" spans="2:14" ht="20.100000000000001" customHeight="1">
      <c r="B76" s="501"/>
      <c r="C76" s="574">
        <v>55</v>
      </c>
      <c r="D76" s="604"/>
      <c r="E76" s="604"/>
      <c r="F76" s="604"/>
      <c r="G76" s="509" t="e">
        <f t="shared" si="9"/>
        <v>#N/A</v>
      </c>
      <c r="H76" s="228" t="e">
        <f t="shared" si="10"/>
        <v>#N/A</v>
      </c>
      <c r="I76" s="474" t="e">
        <f t="shared" si="11"/>
        <v>#DIV/0!</v>
      </c>
      <c r="J76" s="488" t="e">
        <f t="shared" si="12"/>
        <v>#N/A</v>
      </c>
      <c r="K76" s="601"/>
      <c r="M76" s="223" t="str">
        <f t="shared" si="13"/>
        <v>Yes</v>
      </c>
      <c r="N76" s="485"/>
    </row>
    <row r="77" spans="2:14" ht="20.100000000000001" customHeight="1">
      <c r="B77" s="501"/>
      <c r="C77" s="574">
        <v>56</v>
      </c>
      <c r="D77" s="604"/>
      <c r="E77" s="604"/>
      <c r="F77" s="604"/>
      <c r="G77" s="509" t="e">
        <f t="shared" si="9"/>
        <v>#N/A</v>
      </c>
      <c r="H77" s="228" t="e">
        <f t="shared" si="10"/>
        <v>#N/A</v>
      </c>
      <c r="I77" s="474" t="e">
        <f t="shared" si="11"/>
        <v>#DIV/0!</v>
      </c>
      <c r="J77" s="488" t="e">
        <f t="shared" si="12"/>
        <v>#N/A</v>
      </c>
      <c r="K77" s="601"/>
      <c r="M77" s="223" t="str">
        <f t="shared" si="13"/>
        <v>Yes</v>
      </c>
      <c r="N77" s="485"/>
    </row>
    <row r="78" spans="2:14" ht="20.100000000000001" customHeight="1">
      <c r="B78" s="501"/>
      <c r="C78" s="574">
        <v>57</v>
      </c>
      <c r="D78" s="604"/>
      <c r="E78" s="604"/>
      <c r="F78" s="604"/>
      <c r="G78" s="509" t="e">
        <f t="shared" si="9"/>
        <v>#N/A</v>
      </c>
      <c r="H78" s="228" t="e">
        <f t="shared" si="10"/>
        <v>#N/A</v>
      </c>
      <c r="I78" s="474" t="e">
        <f t="shared" si="11"/>
        <v>#DIV/0!</v>
      </c>
      <c r="J78" s="488" t="e">
        <f t="shared" si="12"/>
        <v>#N/A</v>
      </c>
      <c r="K78" s="601"/>
      <c r="M78" s="223" t="str">
        <f t="shared" si="13"/>
        <v>Yes</v>
      </c>
      <c r="N78" s="485"/>
    </row>
    <row r="79" spans="2:14" ht="20.100000000000001" customHeight="1">
      <c r="B79" s="501"/>
      <c r="C79" s="574">
        <v>58</v>
      </c>
      <c r="D79" s="604"/>
      <c r="E79" s="604"/>
      <c r="F79" s="604"/>
      <c r="G79" s="509" t="e">
        <f t="shared" si="9"/>
        <v>#N/A</v>
      </c>
      <c r="H79" s="228" t="e">
        <f t="shared" si="10"/>
        <v>#N/A</v>
      </c>
      <c r="I79" s="474" t="e">
        <f t="shared" si="11"/>
        <v>#DIV/0!</v>
      </c>
      <c r="J79" s="488" t="e">
        <f t="shared" si="12"/>
        <v>#N/A</v>
      </c>
      <c r="K79" s="601"/>
      <c r="M79" s="223" t="str">
        <f t="shared" si="13"/>
        <v>Yes</v>
      </c>
      <c r="N79" s="485"/>
    </row>
    <row r="80" spans="2:14" ht="20.100000000000001" customHeight="1">
      <c r="B80" s="501"/>
      <c r="C80" s="574">
        <v>59</v>
      </c>
      <c r="D80" s="604"/>
      <c r="E80" s="604"/>
      <c r="F80" s="604"/>
      <c r="G80" s="509" t="e">
        <f t="shared" si="9"/>
        <v>#N/A</v>
      </c>
      <c r="H80" s="228" t="e">
        <f t="shared" si="10"/>
        <v>#N/A</v>
      </c>
      <c r="I80" s="474" t="e">
        <f t="shared" si="11"/>
        <v>#DIV/0!</v>
      </c>
      <c r="J80" s="488" t="e">
        <f t="shared" si="12"/>
        <v>#N/A</v>
      </c>
      <c r="K80" s="601"/>
      <c r="M80" s="223" t="str">
        <f t="shared" si="13"/>
        <v>Yes</v>
      </c>
      <c r="N80" s="485"/>
    </row>
    <row r="81" spans="2:14" ht="20.100000000000001" customHeight="1">
      <c r="B81" s="501"/>
      <c r="C81" s="574">
        <v>60</v>
      </c>
      <c r="D81" s="604"/>
      <c r="E81" s="604"/>
      <c r="F81" s="604"/>
      <c r="G81" s="509" t="e">
        <f t="shared" si="9"/>
        <v>#N/A</v>
      </c>
      <c r="H81" s="228" t="e">
        <f t="shared" si="10"/>
        <v>#N/A</v>
      </c>
      <c r="I81" s="474" t="e">
        <f t="shared" si="11"/>
        <v>#DIV/0!</v>
      </c>
      <c r="J81" s="488" t="e">
        <f t="shared" si="12"/>
        <v>#N/A</v>
      </c>
      <c r="K81" s="601"/>
      <c r="M81" s="223" t="str">
        <f t="shared" si="13"/>
        <v>Yes</v>
      </c>
      <c r="N81" s="485"/>
    </row>
    <row r="82" spans="2:14" ht="20.100000000000001" customHeight="1">
      <c r="B82" s="501"/>
      <c r="C82" s="574">
        <v>61</v>
      </c>
      <c r="D82" s="604"/>
      <c r="E82" s="604"/>
      <c r="F82" s="604"/>
      <c r="G82" s="509" t="e">
        <f t="shared" si="9"/>
        <v>#N/A</v>
      </c>
      <c r="H82" s="228" t="e">
        <f t="shared" si="10"/>
        <v>#N/A</v>
      </c>
      <c r="I82" s="474" t="e">
        <f t="shared" si="11"/>
        <v>#DIV/0!</v>
      </c>
      <c r="J82" s="488" t="e">
        <f t="shared" si="12"/>
        <v>#N/A</v>
      </c>
      <c r="K82" s="601"/>
      <c r="M82" s="223" t="str">
        <f t="shared" si="13"/>
        <v>Yes</v>
      </c>
      <c r="N82" s="485"/>
    </row>
    <row r="83" spans="2:14" ht="20.100000000000001" customHeight="1">
      <c r="B83" s="501"/>
      <c r="C83" s="574">
        <v>62</v>
      </c>
      <c r="D83" s="604"/>
      <c r="E83" s="604"/>
      <c r="F83" s="604"/>
      <c r="G83" s="509" t="e">
        <f t="shared" si="9"/>
        <v>#N/A</v>
      </c>
      <c r="H83" s="228" t="e">
        <f t="shared" si="10"/>
        <v>#N/A</v>
      </c>
      <c r="I83" s="474" t="e">
        <f t="shared" si="11"/>
        <v>#DIV/0!</v>
      </c>
      <c r="J83" s="488" t="e">
        <f t="shared" si="12"/>
        <v>#N/A</v>
      </c>
      <c r="K83" s="601"/>
      <c r="M83" s="223" t="str">
        <f t="shared" si="13"/>
        <v>Yes</v>
      </c>
      <c r="N83" s="485"/>
    </row>
    <row r="84" spans="2:14" ht="20.100000000000001" customHeight="1">
      <c r="B84" s="501"/>
      <c r="C84" s="574">
        <v>63</v>
      </c>
      <c r="D84" s="604"/>
      <c r="E84" s="604"/>
      <c r="F84" s="604"/>
      <c r="G84" s="509" t="e">
        <f t="shared" si="9"/>
        <v>#N/A</v>
      </c>
      <c r="H84" s="228" t="e">
        <f t="shared" si="10"/>
        <v>#N/A</v>
      </c>
      <c r="I84" s="474" t="e">
        <f t="shared" si="11"/>
        <v>#DIV/0!</v>
      </c>
      <c r="J84" s="488" t="e">
        <f t="shared" si="12"/>
        <v>#N/A</v>
      </c>
      <c r="K84" s="601"/>
      <c r="M84" s="223" t="str">
        <f t="shared" si="13"/>
        <v>Yes</v>
      </c>
      <c r="N84" s="485"/>
    </row>
    <row r="85" spans="2:14" ht="20.100000000000001" customHeight="1">
      <c r="B85" s="501"/>
      <c r="C85" s="574">
        <v>64</v>
      </c>
      <c r="D85" s="604"/>
      <c r="E85" s="604"/>
      <c r="F85" s="604"/>
      <c r="G85" s="509" t="e">
        <f t="shared" si="9"/>
        <v>#N/A</v>
      </c>
      <c r="H85" s="228" t="e">
        <f t="shared" si="10"/>
        <v>#N/A</v>
      </c>
      <c r="I85" s="474" t="e">
        <f t="shared" si="11"/>
        <v>#DIV/0!</v>
      </c>
      <c r="J85" s="488" t="e">
        <f t="shared" si="12"/>
        <v>#N/A</v>
      </c>
      <c r="K85" s="601"/>
      <c r="M85" s="223" t="str">
        <f t="shared" si="13"/>
        <v>Yes</v>
      </c>
      <c r="N85" s="485"/>
    </row>
    <row r="86" spans="2:14" ht="20.100000000000001" customHeight="1">
      <c r="B86" s="501"/>
      <c r="C86" s="574">
        <v>65</v>
      </c>
      <c r="D86" s="604"/>
      <c r="E86" s="604"/>
      <c r="F86" s="604"/>
      <c r="G86" s="509" t="e">
        <f t="shared" ref="G86:G117" si="14">VLOOKUP(E86,E$9:F$19,2,FALSE)/2</f>
        <v>#N/A</v>
      </c>
      <c r="H86" s="228" t="e">
        <f t="shared" ref="H86:H117" si="15">IF(F86&gt;G86,"MET","NOT MET")</f>
        <v>#N/A</v>
      </c>
      <c r="I86" s="474" t="e">
        <f t="shared" ref="I86:I121" si="16">AVERAGEIF(E$22:E$121,E86,F$22:F$121)</f>
        <v>#DIV/0!</v>
      </c>
      <c r="J86" s="488" t="e">
        <f t="shared" ref="J86:J121" si="17">IF(VLOOKUP(E86,E$9:F$19,2,FALSE)&lt;F86,"MET","NOT MET")</f>
        <v>#N/A</v>
      </c>
      <c r="K86" s="601"/>
      <c r="M86" s="223" t="str">
        <f t="shared" si="13"/>
        <v>Yes</v>
      </c>
      <c r="N86" s="485"/>
    </row>
    <row r="87" spans="2:14" ht="20.100000000000001" customHeight="1">
      <c r="B87" s="501"/>
      <c r="C87" s="574">
        <v>66</v>
      </c>
      <c r="D87" s="604"/>
      <c r="E87" s="604"/>
      <c r="F87" s="604"/>
      <c r="G87" s="509" t="e">
        <f t="shared" si="14"/>
        <v>#N/A</v>
      </c>
      <c r="H87" s="228" t="e">
        <f t="shared" si="15"/>
        <v>#N/A</v>
      </c>
      <c r="I87" s="474" t="e">
        <f t="shared" si="16"/>
        <v>#DIV/0!</v>
      </c>
      <c r="J87" s="488" t="e">
        <f t="shared" si="17"/>
        <v>#N/A</v>
      </c>
      <c r="K87" s="601"/>
      <c r="M87" s="223" t="str">
        <f t="shared" ref="M87:M121" si="18">IF(D87="","Yes","No")</f>
        <v>Yes</v>
      </c>
      <c r="N87" s="485"/>
    </row>
    <row r="88" spans="2:14" ht="20.100000000000001" customHeight="1">
      <c r="B88" s="501"/>
      <c r="C88" s="574">
        <v>67</v>
      </c>
      <c r="D88" s="604"/>
      <c r="E88" s="604"/>
      <c r="F88" s="604"/>
      <c r="G88" s="509" t="e">
        <f t="shared" si="14"/>
        <v>#N/A</v>
      </c>
      <c r="H88" s="228" t="e">
        <f t="shared" si="15"/>
        <v>#N/A</v>
      </c>
      <c r="I88" s="474" t="e">
        <f t="shared" si="16"/>
        <v>#DIV/0!</v>
      </c>
      <c r="J88" s="488" t="e">
        <f t="shared" si="17"/>
        <v>#N/A</v>
      </c>
      <c r="K88" s="601"/>
      <c r="M88" s="223" t="str">
        <f t="shared" si="18"/>
        <v>Yes</v>
      </c>
      <c r="N88" s="485"/>
    </row>
    <row r="89" spans="2:14" ht="20.100000000000001" customHeight="1">
      <c r="B89" s="501"/>
      <c r="C89" s="574">
        <v>68</v>
      </c>
      <c r="D89" s="604"/>
      <c r="E89" s="604"/>
      <c r="F89" s="604"/>
      <c r="G89" s="509" t="e">
        <f t="shared" si="14"/>
        <v>#N/A</v>
      </c>
      <c r="H89" s="228" t="e">
        <f t="shared" si="15"/>
        <v>#N/A</v>
      </c>
      <c r="I89" s="474" t="e">
        <f t="shared" si="16"/>
        <v>#DIV/0!</v>
      </c>
      <c r="J89" s="488" t="e">
        <f t="shared" si="17"/>
        <v>#N/A</v>
      </c>
      <c r="K89" s="601"/>
      <c r="M89" s="223" t="str">
        <f t="shared" si="18"/>
        <v>Yes</v>
      </c>
      <c r="N89" s="485"/>
    </row>
    <row r="90" spans="2:14" ht="20.100000000000001" customHeight="1">
      <c r="B90" s="501"/>
      <c r="C90" s="574">
        <v>69</v>
      </c>
      <c r="D90" s="604"/>
      <c r="E90" s="604"/>
      <c r="F90" s="604"/>
      <c r="G90" s="509" t="e">
        <f t="shared" si="14"/>
        <v>#N/A</v>
      </c>
      <c r="H90" s="228" t="e">
        <f t="shared" si="15"/>
        <v>#N/A</v>
      </c>
      <c r="I90" s="474" t="e">
        <f t="shared" si="16"/>
        <v>#DIV/0!</v>
      </c>
      <c r="J90" s="488" t="e">
        <f t="shared" si="17"/>
        <v>#N/A</v>
      </c>
      <c r="K90" s="601"/>
      <c r="M90" s="223" t="str">
        <f t="shared" si="18"/>
        <v>Yes</v>
      </c>
      <c r="N90" s="485"/>
    </row>
    <row r="91" spans="2:14" ht="20.100000000000001" customHeight="1">
      <c r="B91" s="501"/>
      <c r="C91" s="574">
        <v>70</v>
      </c>
      <c r="D91" s="604"/>
      <c r="E91" s="604"/>
      <c r="F91" s="604"/>
      <c r="G91" s="509" t="e">
        <f t="shared" si="14"/>
        <v>#N/A</v>
      </c>
      <c r="H91" s="228" t="e">
        <f t="shared" si="15"/>
        <v>#N/A</v>
      </c>
      <c r="I91" s="474" t="e">
        <f t="shared" si="16"/>
        <v>#DIV/0!</v>
      </c>
      <c r="J91" s="488" t="e">
        <f t="shared" si="17"/>
        <v>#N/A</v>
      </c>
      <c r="K91" s="601"/>
      <c r="M91" s="223" t="str">
        <f t="shared" si="18"/>
        <v>Yes</v>
      </c>
      <c r="N91" s="485"/>
    </row>
    <row r="92" spans="2:14" ht="20.100000000000001" customHeight="1">
      <c r="B92" s="501"/>
      <c r="C92" s="574">
        <v>71</v>
      </c>
      <c r="D92" s="604"/>
      <c r="E92" s="604"/>
      <c r="F92" s="604"/>
      <c r="G92" s="509" t="e">
        <f t="shared" si="14"/>
        <v>#N/A</v>
      </c>
      <c r="H92" s="228" t="e">
        <f t="shared" si="15"/>
        <v>#N/A</v>
      </c>
      <c r="I92" s="474" t="e">
        <f t="shared" si="16"/>
        <v>#DIV/0!</v>
      </c>
      <c r="J92" s="488" t="e">
        <f t="shared" si="17"/>
        <v>#N/A</v>
      </c>
      <c r="K92" s="601"/>
      <c r="M92" s="223" t="str">
        <f t="shared" si="18"/>
        <v>Yes</v>
      </c>
      <c r="N92" s="485"/>
    </row>
    <row r="93" spans="2:14" ht="20.100000000000001" customHeight="1">
      <c r="B93" s="501"/>
      <c r="C93" s="574">
        <v>72</v>
      </c>
      <c r="D93" s="604"/>
      <c r="E93" s="604"/>
      <c r="F93" s="604"/>
      <c r="G93" s="509" t="e">
        <f t="shared" si="14"/>
        <v>#N/A</v>
      </c>
      <c r="H93" s="228" t="e">
        <f t="shared" si="15"/>
        <v>#N/A</v>
      </c>
      <c r="I93" s="474" t="e">
        <f t="shared" si="16"/>
        <v>#DIV/0!</v>
      </c>
      <c r="J93" s="488" t="e">
        <f t="shared" si="17"/>
        <v>#N/A</v>
      </c>
      <c r="K93" s="601"/>
      <c r="M93" s="223" t="str">
        <f t="shared" si="18"/>
        <v>Yes</v>
      </c>
      <c r="N93" s="485"/>
    </row>
    <row r="94" spans="2:14" ht="20.100000000000001" customHeight="1">
      <c r="B94" s="501"/>
      <c r="C94" s="574">
        <v>73</v>
      </c>
      <c r="D94" s="604"/>
      <c r="E94" s="604"/>
      <c r="F94" s="604"/>
      <c r="G94" s="509" t="e">
        <f t="shared" si="14"/>
        <v>#N/A</v>
      </c>
      <c r="H94" s="228" t="e">
        <f t="shared" si="15"/>
        <v>#N/A</v>
      </c>
      <c r="I94" s="474" t="e">
        <f t="shared" si="16"/>
        <v>#DIV/0!</v>
      </c>
      <c r="J94" s="488" t="e">
        <f t="shared" si="17"/>
        <v>#N/A</v>
      </c>
      <c r="K94" s="601"/>
      <c r="M94" s="223" t="str">
        <f t="shared" si="18"/>
        <v>Yes</v>
      </c>
      <c r="N94" s="485"/>
    </row>
    <row r="95" spans="2:14" ht="20.100000000000001" customHeight="1">
      <c r="B95" s="501"/>
      <c r="C95" s="574">
        <v>74</v>
      </c>
      <c r="D95" s="604"/>
      <c r="E95" s="604"/>
      <c r="F95" s="604"/>
      <c r="G95" s="509" t="e">
        <f t="shared" si="14"/>
        <v>#N/A</v>
      </c>
      <c r="H95" s="228" t="e">
        <f t="shared" si="15"/>
        <v>#N/A</v>
      </c>
      <c r="I95" s="474" t="e">
        <f t="shared" si="16"/>
        <v>#DIV/0!</v>
      </c>
      <c r="J95" s="488" t="e">
        <f t="shared" si="17"/>
        <v>#N/A</v>
      </c>
      <c r="K95" s="601"/>
      <c r="M95" s="223" t="str">
        <f t="shared" si="18"/>
        <v>Yes</v>
      </c>
      <c r="N95" s="485"/>
    </row>
    <row r="96" spans="2:14" ht="20.100000000000001" customHeight="1">
      <c r="B96" s="501"/>
      <c r="C96" s="574">
        <v>75</v>
      </c>
      <c r="D96" s="604"/>
      <c r="E96" s="604"/>
      <c r="F96" s="604"/>
      <c r="G96" s="509" t="e">
        <f t="shared" si="14"/>
        <v>#N/A</v>
      </c>
      <c r="H96" s="228" t="e">
        <f t="shared" si="15"/>
        <v>#N/A</v>
      </c>
      <c r="I96" s="474" t="e">
        <f t="shared" si="16"/>
        <v>#DIV/0!</v>
      </c>
      <c r="J96" s="488" t="e">
        <f t="shared" si="17"/>
        <v>#N/A</v>
      </c>
      <c r="K96" s="601"/>
      <c r="M96" s="223" t="str">
        <f t="shared" si="18"/>
        <v>Yes</v>
      </c>
      <c r="N96" s="485"/>
    </row>
    <row r="97" spans="2:14" ht="20.100000000000001" customHeight="1">
      <c r="B97" s="501"/>
      <c r="C97" s="574">
        <v>76</v>
      </c>
      <c r="D97" s="604"/>
      <c r="E97" s="604"/>
      <c r="F97" s="604"/>
      <c r="G97" s="509" t="e">
        <f t="shared" si="14"/>
        <v>#N/A</v>
      </c>
      <c r="H97" s="228" t="e">
        <f t="shared" si="15"/>
        <v>#N/A</v>
      </c>
      <c r="I97" s="474" t="e">
        <f t="shared" si="16"/>
        <v>#DIV/0!</v>
      </c>
      <c r="J97" s="488" t="e">
        <f t="shared" si="17"/>
        <v>#N/A</v>
      </c>
      <c r="K97" s="601"/>
      <c r="M97" s="223" t="str">
        <f t="shared" si="18"/>
        <v>Yes</v>
      </c>
      <c r="N97" s="485"/>
    </row>
    <row r="98" spans="2:14" ht="20.100000000000001" customHeight="1">
      <c r="B98" s="501"/>
      <c r="C98" s="574">
        <v>77</v>
      </c>
      <c r="D98" s="604"/>
      <c r="E98" s="604"/>
      <c r="F98" s="604"/>
      <c r="G98" s="509" t="e">
        <f t="shared" si="14"/>
        <v>#N/A</v>
      </c>
      <c r="H98" s="228" t="e">
        <f t="shared" si="15"/>
        <v>#N/A</v>
      </c>
      <c r="I98" s="474" t="e">
        <f t="shared" si="16"/>
        <v>#DIV/0!</v>
      </c>
      <c r="J98" s="488" t="e">
        <f t="shared" si="17"/>
        <v>#N/A</v>
      </c>
      <c r="K98" s="601"/>
      <c r="M98" s="223" t="str">
        <f t="shared" si="18"/>
        <v>Yes</v>
      </c>
      <c r="N98" s="485"/>
    </row>
    <row r="99" spans="2:14" ht="20.100000000000001" customHeight="1">
      <c r="B99" s="501"/>
      <c r="C99" s="574">
        <v>78</v>
      </c>
      <c r="D99" s="604"/>
      <c r="E99" s="604"/>
      <c r="F99" s="604"/>
      <c r="G99" s="509" t="e">
        <f t="shared" si="14"/>
        <v>#N/A</v>
      </c>
      <c r="H99" s="228" t="e">
        <f t="shared" si="15"/>
        <v>#N/A</v>
      </c>
      <c r="I99" s="474" t="e">
        <f t="shared" si="16"/>
        <v>#DIV/0!</v>
      </c>
      <c r="J99" s="488" t="e">
        <f t="shared" si="17"/>
        <v>#N/A</v>
      </c>
      <c r="K99" s="601"/>
      <c r="M99" s="223" t="str">
        <f t="shared" si="18"/>
        <v>Yes</v>
      </c>
      <c r="N99" s="485"/>
    </row>
    <row r="100" spans="2:14" ht="20.100000000000001" customHeight="1">
      <c r="B100" s="501"/>
      <c r="C100" s="574">
        <v>79</v>
      </c>
      <c r="D100" s="604"/>
      <c r="E100" s="604"/>
      <c r="F100" s="604"/>
      <c r="G100" s="509" t="e">
        <f t="shared" si="14"/>
        <v>#N/A</v>
      </c>
      <c r="H100" s="228" t="e">
        <f t="shared" si="15"/>
        <v>#N/A</v>
      </c>
      <c r="I100" s="474" t="e">
        <f t="shared" si="16"/>
        <v>#DIV/0!</v>
      </c>
      <c r="J100" s="488" t="e">
        <f t="shared" si="17"/>
        <v>#N/A</v>
      </c>
      <c r="K100" s="601"/>
      <c r="M100" s="223" t="str">
        <f t="shared" si="18"/>
        <v>Yes</v>
      </c>
      <c r="N100" s="485"/>
    </row>
    <row r="101" spans="2:14" ht="20.100000000000001" customHeight="1">
      <c r="B101" s="501"/>
      <c r="C101" s="574">
        <v>80</v>
      </c>
      <c r="D101" s="604"/>
      <c r="E101" s="604"/>
      <c r="F101" s="604"/>
      <c r="G101" s="509" t="e">
        <f t="shared" si="14"/>
        <v>#N/A</v>
      </c>
      <c r="H101" s="228" t="e">
        <f t="shared" si="15"/>
        <v>#N/A</v>
      </c>
      <c r="I101" s="474" t="e">
        <f t="shared" si="16"/>
        <v>#DIV/0!</v>
      </c>
      <c r="J101" s="488" t="e">
        <f t="shared" si="17"/>
        <v>#N/A</v>
      </c>
      <c r="K101" s="601"/>
      <c r="M101" s="223" t="str">
        <f t="shared" si="18"/>
        <v>Yes</v>
      </c>
      <c r="N101" s="485"/>
    </row>
    <row r="102" spans="2:14" ht="20.100000000000001" customHeight="1">
      <c r="B102" s="501"/>
      <c r="C102" s="574">
        <v>81</v>
      </c>
      <c r="D102" s="604"/>
      <c r="E102" s="604"/>
      <c r="F102" s="604"/>
      <c r="G102" s="509" t="e">
        <f t="shared" si="14"/>
        <v>#N/A</v>
      </c>
      <c r="H102" s="228" t="e">
        <f t="shared" si="15"/>
        <v>#N/A</v>
      </c>
      <c r="I102" s="474" t="e">
        <f t="shared" si="16"/>
        <v>#DIV/0!</v>
      </c>
      <c r="J102" s="488" t="e">
        <f t="shared" si="17"/>
        <v>#N/A</v>
      </c>
      <c r="K102" s="601"/>
      <c r="M102" s="223" t="str">
        <f t="shared" si="18"/>
        <v>Yes</v>
      </c>
      <c r="N102" s="485"/>
    </row>
    <row r="103" spans="2:14" ht="20.100000000000001" customHeight="1">
      <c r="B103" s="501"/>
      <c r="C103" s="574">
        <v>82</v>
      </c>
      <c r="D103" s="604"/>
      <c r="E103" s="604"/>
      <c r="F103" s="604"/>
      <c r="G103" s="509" t="e">
        <f t="shared" si="14"/>
        <v>#N/A</v>
      </c>
      <c r="H103" s="228" t="e">
        <f t="shared" si="15"/>
        <v>#N/A</v>
      </c>
      <c r="I103" s="474" t="e">
        <f t="shared" si="16"/>
        <v>#DIV/0!</v>
      </c>
      <c r="J103" s="488" t="e">
        <f t="shared" si="17"/>
        <v>#N/A</v>
      </c>
      <c r="K103" s="601"/>
      <c r="M103" s="223" t="str">
        <f t="shared" si="18"/>
        <v>Yes</v>
      </c>
      <c r="N103" s="485"/>
    </row>
    <row r="104" spans="2:14" ht="20.100000000000001" customHeight="1">
      <c r="B104" s="501"/>
      <c r="C104" s="574">
        <v>83</v>
      </c>
      <c r="D104" s="604"/>
      <c r="E104" s="604"/>
      <c r="F104" s="604"/>
      <c r="G104" s="509" t="e">
        <f t="shared" si="14"/>
        <v>#N/A</v>
      </c>
      <c r="H104" s="228" t="e">
        <f t="shared" si="15"/>
        <v>#N/A</v>
      </c>
      <c r="I104" s="474" t="e">
        <f t="shared" si="16"/>
        <v>#DIV/0!</v>
      </c>
      <c r="J104" s="488" t="e">
        <f t="shared" si="17"/>
        <v>#N/A</v>
      </c>
      <c r="K104" s="601"/>
      <c r="M104" s="223" t="str">
        <f t="shared" si="18"/>
        <v>Yes</v>
      </c>
      <c r="N104" s="485"/>
    </row>
    <row r="105" spans="2:14" ht="20.100000000000001" customHeight="1">
      <c r="B105" s="501"/>
      <c r="C105" s="574">
        <v>84</v>
      </c>
      <c r="D105" s="604"/>
      <c r="E105" s="604"/>
      <c r="F105" s="604"/>
      <c r="G105" s="509" t="e">
        <f t="shared" si="14"/>
        <v>#N/A</v>
      </c>
      <c r="H105" s="228" t="e">
        <f t="shared" si="15"/>
        <v>#N/A</v>
      </c>
      <c r="I105" s="474" t="e">
        <f t="shared" si="16"/>
        <v>#DIV/0!</v>
      </c>
      <c r="J105" s="488" t="e">
        <f t="shared" si="17"/>
        <v>#N/A</v>
      </c>
      <c r="K105" s="601"/>
      <c r="M105" s="223" t="str">
        <f t="shared" si="18"/>
        <v>Yes</v>
      </c>
      <c r="N105" s="485"/>
    </row>
    <row r="106" spans="2:14" ht="20.100000000000001" customHeight="1">
      <c r="B106" s="501"/>
      <c r="C106" s="574">
        <v>85</v>
      </c>
      <c r="D106" s="604"/>
      <c r="E106" s="604"/>
      <c r="F106" s="604"/>
      <c r="G106" s="509" t="e">
        <f t="shared" si="14"/>
        <v>#N/A</v>
      </c>
      <c r="H106" s="228" t="e">
        <f t="shared" si="15"/>
        <v>#N/A</v>
      </c>
      <c r="I106" s="474" t="e">
        <f t="shared" si="16"/>
        <v>#DIV/0!</v>
      </c>
      <c r="J106" s="488" t="e">
        <f t="shared" si="17"/>
        <v>#N/A</v>
      </c>
      <c r="K106" s="601"/>
      <c r="M106" s="223" t="str">
        <f t="shared" si="18"/>
        <v>Yes</v>
      </c>
      <c r="N106" s="485"/>
    </row>
    <row r="107" spans="2:14" ht="20.100000000000001" customHeight="1">
      <c r="B107" s="501"/>
      <c r="C107" s="574">
        <v>86</v>
      </c>
      <c r="D107" s="604"/>
      <c r="E107" s="604"/>
      <c r="F107" s="604"/>
      <c r="G107" s="509" t="e">
        <f t="shared" si="14"/>
        <v>#N/A</v>
      </c>
      <c r="H107" s="228" t="e">
        <f t="shared" si="15"/>
        <v>#N/A</v>
      </c>
      <c r="I107" s="474" t="e">
        <f t="shared" si="16"/>
        <v>#DIV/0!</v>
      </c>
      <c r="J107" s="488" t="e">
        <f t="shared" si="17"/>
        <v>#N/A</v>
      </c>
      <c r="K107" s="601"/>
      <c r="M107" s="223" t="str">
        <f t="shared" si="18"/>
        <v>Yes</v>
      </c>
      <c r="N107" s="485"/>
    </row>
    <row r="108" spans="2:14" ht="20.100000000000001" customHeight="1">
      <c r="B108" s="501"/>
      <c r="C108" s="574">
        <v>87</v>
      </c>
      <c r="D108" s="604"/>
      <c r="E108" s="604"/>
      <c r="F108" s="604"/>
      <c r="G108" s="509" t="e">
        <f t="shared" si="14"/>
        <v>#N/A</v>
      </c>
      <c r="H108" s="228" t="e">
        <f t="shared" si="15"/>
        <v>#N/A</v>
      </c>
      <c r="I108" s="474" t="e">
        <f t="shared" si="16"/>
        <v>#DIV/0!</v>
      </c>
      <c r="J108" s="488" t="e">
        <f t="shared" si="17"/>
        <v>#N/A</v>
      </c>
      <c r="K108" s="601"/>
      <c r="M108" s="223" t="str">
        <f t="shared" si="18"/>
        <v>Yes</v>
      </c>
      <c r="N108" s="485"/>
    </row>
    <row r="109" spans="2:14" ht="20.100000000000001" customHeight="1">
      <c r="B109" s="501"/>
      <c r="C109" s="574">
        <v>88</v>
      </c>
      <c r="D109" s="604"/>
      <c r="E109" s="604"/>
      <c r="F109" s="604"/>
      <c r="G109" s="509" t="e">
        <f t="shared" si="14"/>
        <v>#N/A</v>
      </c>
      <c r="H109" s="228" t="e">
        <f t="shared" si="15"/>
        <v>#N/A</v>
      </c>
      <c r="I109" s="474" t="e">
        <f t="shared" si="16"/>
        <v>#DIV/0!</v>
      </c>
      <c r="J109" s="488" t="e">
        <f t="shared" si="17"/>
        <v>#N/A</v>
      </c>
      <c r="K109" s="601"/>
      <c r="M109" s="223" t="str">
        <f t="shared" si="18"/>
        <v>Yes</v>
      </c>
      <c r="N109" s="485"/>
    </row>
    <row r="110" spans="2:14" ht="20.100000000000001" customHeight="1">
      <c r="B110" s="501"/>
      <c r="C110" s="574">
        <v>89</v>
      </c>
      <c r="D110" s="604"/>
      <c r="E110" s="604"/>
      <c r="F110" s="604"/>
      <c r="G110" s="509" t="e">
        <f t="shared" si="14"/>
        <v>#N/A</v>
      </c>
      <c r="H110" s="228" t="e">
        <f t="shared" si="15"/>
        <v>#N/A</v>
      </c>
      <c r="I110" s="474" t="e">
        <f t="shared" si="16"/>
        <v>#DIV/0!</v>
      </c>
      <c r="J110" s="488" t="e">
        <f t="shared" si="17"/>
        <v>#N/A</v>
      </c>
      <c r="K110" s="601"/>
      <c r="M110" s="223" t="str">
        <f t="shared" si="18"/>
        <v>Yes</v>
      </c>
      <c r="N110" s="485"/>
    </row>
    <row r="111" spans="2:14" ht="20.100000000000001" customHeight="1">
      <c r="B111" s="501"/>
      <c r="C111" s="574">
        <v>90</v>
      </c>
      <c r="D111" s="604"/>
      <c r="E111" s="604"/>
      <c r="F111" s="604"/>
      <c r="G111" s="509" t="e">
        <f t="shared" si="14"/>
        <v>#N/A</v>
      </c>
      <c r="H111" s="228" t="e">
        <f t="shared" si="15"/>
        <v>#N/A</v>
      </c>
      <c r="I111" s="474" t="e">
        <f t="shared" si="16"/>
        <v>#DIV/0!</v>
      </c>
      <c r="J111" s="488" t="e">
        <f t="shared" si="17"/>
        <v>#N/A</v>
      </c>
      <c r="K111" s="601"/>
      <c r="M111" s="223" t="str">
        <f t="shared" si="18"/>
        <v>Yes</v>
      </c>
      <c r="N111" s="485"/>
    </row>
    <row r="112" spans="2:14" ht="20.100000000000001" customHeight="1">
      <c r="B112" s="501"/>
      <c r="C112" s="574">
        <v>91</v>
      </c>
      <c r="D112" s="604"/>
      <c r="E112" s="604"/>
      <c r="F112" s="604"/>
      <c r="G112" s="509" t="e">
        <f t="shared" si="14"/>
        <v>#N/A</v>
      </c>
      <c r="H112" s="228" t="e">
        <f t="shared" si="15"/>
        <v>#N/A</v>
      </c>
      <c r="I112" s="474" t="e">
        <f t="shared" si="16"/>
        <v>#DIV/0!</v>
      </c>
      <c r="J112" s="488" t="e">
        <f t="shared" si="17"/>
        <v>#N/A</v>
      </c>
      <c r="K112" s="601"/>
      <c r="M112" s="223" t="str">
        <f t="shared" si="18"/>
        <v>Yes</v>
      </c>
      <c r="N112" s="485"/>
    </row>
    <row r="113" spans="2:24" ht="20.100000000000001" customHeight="1">
      <c r="B113" s="501"/>
      <c r="C113" s="574">
        <v>92</v>
      </c>
      <c r="D113" s="604"/>
      <c r="E113" s="604"/>
      <c r="F113" s="604"/>
      <c r="G113" s="509" t="e">
        <f t="shared" si="14"/>
        <v>#N/A</v>
      </c>
      <c r="H113" s="228" t="e">
        <f t="shared" si="15"/>
        <v>#N/A</v>
      </c>
      <c r="I113" s="474" t="e">
        <f t="shared" si="16"/>
        <v>#DIV/0!</v>
      </c>
      <c r="J113" s="488" t="e">
        <f t="shared" si="17"/>
        <v>#N/A</v>
      </c>
      <c r="K113" s="601"/>
      <c r="M113" s="223" t="str">
        <f t="shared" si="18"/>
        <v>Yes</v>
      </c>
      <c r="N113" s="485"/>
    </row>
    <row r="114" spans="2:24" ht="20.100000000000001" customHeight="1">
      <c r="B114" s="501"/>
      <c r="C114" s="574">
        <v>93</v>
      </c>
      <c r="D114" s="604"/>
      <c r="E114" s="604"/>
      <c r="F114" s="604"/>
      <c r="G114" s="509" t="e">
        <f t="shared" si="14"/>
        <v>#N/A</v>
      </c>
      <c r="H114" s="228" t="e">
        <f t="shared" si="15"/>
        <v>#N/A</v>
      </c>
      <c r="I114" s="474" t="e">
        <f t="shared" si="16"/>
        <v>#DIV/0!</v>
      </c>
      <c r="J114" s="488" t="e">
        <f t="shared" si="17"/>
        <v>#N/A</v>
      </c>
      <c r="K114" s="601"/>
      <c r="M114" s="223" t="str">
        <f t="shared" si="18"/>
        <v>Yes</v>
      </c>
      <c r="N114" s="485"/>
    </row>
    <row r="115" spans="2:24" ht="20.100000000000001" customHeight="1">
      <c r="B115" s="501"/>
      <c r="C115" s="574">
        <v>94</v>
      </c>
      <c r="D115" s="604"/>
      <c r="E115" s="604"/>
      <c r="F115" s="604"/>
      <c r="G115" s="509" t="e">
        <f t="shared" si="14"/>
        <v>#N/A</v>
      </c>
      <c r="H115" s="228" t="e">
        <f t="shared" si="15"/>
        <v>#N/A</v>
      </c>
      <c r="I115" s="474" t="e">
        <f t="shared" si="16"/>
        <v>#DIV/0!</v>
      </c>
      <c r="J115" s="488" t="e">
        <f t="shared" si="17"/>
        <v>#N/A</v>
      </c>
      <c r="K115" s="601"/>
      <c r="M115" s="223" t="str">
        <f t="shared" si="18"/>
        <v>Yes</v>
      </c>
      <c r="N115" s="485"/>
    </row>
    <row r="116" spans="2:24" ht="20.100000000000001" customHeight="1">
      <c r="B116" s="501"/>
      <c r="C116" s="574">
        <v>95</v>
      </c>
      <c r="D116" s="604"/>
      <c r="E116" s="604"/>
      <c r="F116" s="604"/>
      <c r="G116" s="509" t="e">
        <f t="shared" si="14"/>
        <v>#N/A</v>
      </c>
      <c r="H116" s="228" t="e">
        <f t="shared" si="15"/>
        <v>#N/A</v>
      </c>
      <c r="I116" s="474" t="e">
        <f t="shared" si="16"/>
        <v>#DIV/0!</v>
      </c>
      <c r="J116" s="488" t="e">
        <f t="shared" si="17"/>
        <v>#N/A</v>
      </c>
      <c r="K116" s="601"/>
      <c r="M116" s="223" t="str">
        <f t="shared" si="18"/>
        <v>Yes</v>
      </c>
      <c r="N116" s="485"/>
    </row>
    <row r="117" spans="2:24" ht="20.100000000000001" customHeight="1">
      <c r="B117" s="501"/>
      <c r="C117" s="574">
        <v>96</v>
      </c>
      <c r="D117" s="604"/>
      <c r="E117" s="604"/>
      <c r="F117" s="604"/>
      <c r="G117" s="509" t="e">
        <f t="shared" si="14"/>
        <v>#N/A</v>
      </c>
      <c r="H117" s="228" t="e">
        <f t="shared" si="15"/>
        <v>#N/A</v>
      </c>
      <c r="I117" s="474" t="e">
        <f t="shared" si="16"/>
        <v>#DIV/0!</v>
      </c>
      <c r="J117" s="488" t="e">
        <f t="shared" si="17"/>
        <v>#N/A</v>
      </c>
      <c r="K117" s="601"/>
      <c r="M117" s="223" t="str">
        <f t="shared" si="18"/>
        <v>Yes</v>
      </c>
      <c r="N117" s="485"/>
    </row>
    <row r="118" spans="2:24" ht="20.100000000000001" customHeight="1">
      <c r="B118" s="501"/>
      <c r="C118" s="574">
        <v>97</v>
      </c>
      <c r="D118" s="604"/>
      <c r="E118" s="604"/>
      <c r="F118" s="604"/>
      <c r="G118" s="509" t="e">
        <f t="shared" ref="G118:G121" si="19">VLOOKUP(E118,E$9:F$19,2,FALSE)/2</f>
        <v>#N/A</v>
      </c>
      <c r="H118" s="228" t="e">
        <f t="shared" ref="H118:H121" si="20">IF(F118&gt;G118,"MET","NOT MET")</f>
        <v>#N/A</v>
      </c>
      <c r="I118" s="474" t="e">
        <f t="shared" si="16"/>
        <v>#DIV/0!</v>
      </c>
      <c r="J118" s="488" t="e">
        <f t="shared" si="17"/>
        <v>#N/A</v>
      </c>
      <c r="K118" s="601"/>
      <c r="M118" s="223" t="str">
        <f t="shared" si="18"/>
        <v>Yes</v>
      </c>
      <c r="N118" s="485"/>
    </row>
    <row r="119" spans="2:24" ht="20.100000000000001" customHeight="1">
      <c r="B119" s="501"/>
      <c r="C119" s="574">
        <v>98</v>
      </c>
      <c r="D119" s="604"/>
      <c r="E119" s="604"/>
      <c r="F119" s="604"/>
      <c r="G119" s="509" t="e">
        <f t="shared" si="19"/>
        <v>#N/A</v>
      </c>
      <c r="H119" s="228" t="e">
        <f t="shared" si="20"/>
        <v>#N/A</v>
      </c>
      <c r="I119" s="474" t="e">
        <f t="shared" si="16"/>
        <v>#DIV/0!</v>
      </c>
      <c r="J119" s="488" t="e">
        <f t="shared" si="17"/>
        <v>#N/A</v>
      </c>
      <c r="K119" s="601"/>
      <c r="M119" s="223" t="str">
        <f t="shared" si="18"/>
        <v>Yes</v>
      </c>
      <c r="N119" s="485"/>
    </row>
    <row r="120" spans="2:24" ht="20.100000000000001" customHeight="1">
      <c r="B120" s="501"/>
      <c r="C120" s="574">
        <v>99</v>
      </c>
      <c r="D120" s="604"/>
      <c r="E120" s="604"/>
      <c r="F120" s="604"/>
      <c r="G120" s="509" t="e">
        <f t="shared" si="19"/>
        <v>#N/A</v>
      </c>
      <c r="H120" s="228" t="e">
        <f t="shared" si="20"/>
        <v>#N/A</v>
      </c>
      <c r="I120" s="474" t="e">
        <f t="shared" si="16"/>
        <v>#DIV/0!</v>
      </c>
      <c r="J120" s="488" t="e">
        <f t="shared" si="17"/>
        <v>#N/A</v>
      </c>
      <c r="K120" s="601"/>
      <c r="M120" s="223" t="str">
        <f t="shared" si="18"/>
        <v>Yes</v>
      </c>
      <c r="N120" s="485"/>
    </row>
    <row r="121" spans="2:24" ht="20.100000000000001" customHeight="1" thickBot="1">
      <c r="B121" s="502"/>
      <c r="C121" s="576">
        <v>100</v>
      </c>
      <c r="D121" s="605"/>
      <c r="E121" s="605"/>
      <c r="F121" s="605"/>
      <c r="G121" s="510" t="e">
        <f t="shared" si="19"/>
        <v>#N/A</v>
      </c>
      <c r="H121" s="234" t="e">
        <f t="shared" si="20"/>
        <v>#N/A</v>
      </c>
      <c r="I121" s="475" t="e">
        <f t="shared" si="16"/>
        <v>#DIV/0!</v>
      </c>
      <c r="J121" s="490" t="e">
        <f t="shared" si="17"/>
        <v>#N/A</v>
      </c>
      <c r="K121" s="602"/>
      <c r="M121" s="223" t="str">
        <f t="shared" si="18"/>
        <v>Yes</v>
      </c>
      <c r="N121" s="485"/>
    </row>
    <row r="122" spans="2:24" ht="14.4" customHeight="1" thickBot="1">
      <c r="M122" s="223" t="s">
        <v>1071</v>
      </c>
      <c r="N122" s="485"/>
    </row>
    <row r="123" spans="2:24" ht="24" customHeight="1" thickBot="1">
      <c r="B123" s="503"/>
      <c r="C123" s="1025" t="s">
        <v>924</v>
      </c>
      <c r="D123" s="1025"/>
      <c r="E123" s="1025"/>
      <c r="F123" s="1025"/>
      <c r="G123" s="1025"/>
      <c r="H123" s="1025"/>
      <c r="I123" s="1025"/>
      <c r="J123" s="1025"/>
      <c r="K123" s="1026"/>
      <c r="M123" s="223" t="str">
        <f>IF(D$128="","Yes","No")</f>
        <v>Yes</v>
      </c>
      <c r="N123" s="485"/>
    </row>
    <row r="124" spans="2:24" ht="50.1" customHeight="1">
      <c r="B124" s="501"/>
      <c r="C124" s="1019"/>
      <c r="D124" s="942"/>
      <c r="E124" s="232" t="s">
        <v>1021</v>
      </c>
      <c r="F124" s="232" t="s">
        <v>1022</v>
      </c>
      <c r="G124" s="232" t="s">
        <v>925</v>
      </c>
      <c r="H124" s="232" t="s">
        <v>1023</v>
      </c>
      <c r="I124" s="232"/>
      <c r="J124" s="232" t="s">
        <v>926</v>
      </c>
      <c r="K124" s="481" t="s">
        <v>785</v>
      </c>
      <c r="M124" s="223" t="str">
        <f>IF(D$128="","Yes","No")</f>
        <v>Yes</v>
      </c>
      <c r="N124" s="485"/>
      <c r="U124" s="224" t="s">
        <v>1088</v>
      </c>
    </row>
    <row r="125" spans="2:24" ht="54.9" customHeight="1">
      <c r="B125" s="501"/>
      <c r="C125" s="1015" t="e">
        <f>IF(U125&gt;=P128,W128,IF(AND(U125&gt;=P130,R130&gt;=2),W130,IF(U125&gt;=P127,W127,IF(AND(U125&gt;=P129,R130&gt;=2),W129,W127))))</f>
        <v>#NUM!</v>
      </c>
      <c r="D125" s="1016"/>
      <c r="E125" s="690" t="e">
        <f>MEDIAN(E128:E168)</f>
        <v>#NUM!</v>
      </c>
      <c r="F125" s="491">
        <f>R130</f>
        <v>0</v>
      </c>
      <c r="G125" s="491" t="e">
        <f>IF(MIN(F128:F168)&gt;=T127,"MET","NOT MET")</f>
        <v>#NUM!</v>
      </c>
      <c r="H125" s="691" t="e">
        <f>IF(U125&gt;=P128,V128,IF(AND(U125&gt;=P130,R130&gt;=2),V130,IF(U125&gt;=P127,V127,IF(AND(U125&gt;=P129,R130&gt;=2),V129,0))))</f>
        <v>#NUM!</v>
      </c>
      <c r="I125" s="492"/>
      <c r="J125" s="492" t="e">
        <f>IF(H125=0,"NOT MET",IF(G125="NOT MET","NOT MET","MET"))</f>
        <v>#NUM!</v>
      </c>
      <c r="K125" s="692" t="e">
        <f>IF(H125&gt;0,IF(E125&lt;T127*2,"Yes","No"),"")</f>
        <v>#NUM!</v>
      </c>
      <c r="M125" s="223" t="str">
        <f>IF(D$128="","Yes","No")</f>
        <v>Yes</v>
      </c>
      <c r="N125" s="493"/>
      <c r="U125" s="224" t="e">
        <f>E125*1.05</f>
        <v>#NUM!</v>
      </c>
    </row>
    <row r="126" spans="2:24" ht="24" customHeight="1">
      <c r="B126" s="501"/>
      <c r="C126" s="1015" t="s">
        <v>911</v>
      </c>
      <c r="D126" s="1016"/>
      <c r="E126" s="1016"/>
      <c r="F126" s="1016"/>
      <c r="G126" s="1016"/>
      <c r="H126" s="1016"/>
      <c r="I126" s="1016"/>
      <c r="J126" s="1016"/>
      <c r="K126" s="494"/>
      <c r="M126" s="223" t="str">
        <f>IF(D$128="","Yes","No")</f>
        <v>Yes</v>
      </c>
      <c r="N126" s="1018" t="s">
        <v>931</v>
      </c>
      <c r="P126" s="224" t="s">
        <v>1041</v>
      </c>
      <c r="Q126" s="224" t="s">
        <v>1024</v>
      </c>
      <c r="R126" s="224" t="s">
        <v>1025</v>
      </c>
      <c r="T126" s="224" t="s">
        <v>1026</v>
      </c>
      <c r="U126" s="224" t="s">
        <v>1059</v>
      </c>
    </row>
    <row r="127" spans="2:24" ht="50.1" customHeight="1">
      <c r="B127" s="501"/>
      <c r="C127" s="486" t="s">
        <v>912</v>
      </c>
      <c r="D127" s="227" t="s">
        <v>933</v>
      </c>
      <c r="E127" s="227" t="s">
        <v>934</v>
      </c>
      <c r="F127" s="227" t="s">
        <v>1042</v>
      </c>
      <c r="G127" s="227" t="s">
        <v>1027</v>
      </c>
      <c r="H127" s="966" t="s">
        <v>904</v>
      </c>
      <c r="I127" s="1020"/>
      <c r="J127" s="967"/>
      <c r="K127" s="495"/>
      <c r="M127" s="223" t="str">
        <f>IF(D$128="","Yes","No")</f>
        <v>Yes</v>
      </c>
      <c r="N127" s="1018"/>
      <c r="O127" s="459" t="s">
        <v>1028</v>
      </c>
      <c r="P127" s="459">
        <v>150</v>
      </c>
      <c r="Q127" s="459"/>
      <c r="R127" s="459">
        <f>IF('Review Comments'!H104="Achieved",'Review Comments'!F104,0)</f>
        <v>0</v>
      </c>
      <c r="T127" s="224" t="e">
        <f>IF(U125&gt;=P128,P128,IF(AND(U125&gt;=P130,R130&gt;=2),P130,IF(U125&gt;=P127,P127,IF(AND(U125&gt;=P129,R130&gt;=2),P129,P129))))/2</f>
        <v>#NUM!</v>
      </c>
      <c r="V127" s="224">
        <v>1</v>
      </c>
      <c r="W127" s="486" t="s">
        <v>1029</v>
      </c>
      <c r="X127" s="227" t="s">
        <v>927</v>
      </c>
    </row>
    <row r="128" spans="2:24" ht="20.100000000000001" customHeight="1">
      <c r="B128" s="501"/>
      <c r="C128" s="574">
        <v>1</v>
      </c>
      <c r="D128" s="606"/>
      <c r="E128" s="606"/>
      <c r="F128" s="228" t="str">
        <f t="shared" ref="F128:F168" si="21">IF(E128="","",E128*1.05)</f>
        <v/>
      </c>
      <c r="G128" s="228" t="str">
        <f t="shared" ref="G128:G168" si="22">IF(F128&lt;&gt;"",IF(F128&gt;=T$127,"MET","NOT MET"),"")</f>
        <v/>
      </c>
      <c r="H128" s="999"/>
      <c r="I128" s="1000"/>
      <c r="J128" s="1001"/>
      <c r="K128" s="433"/>
      <c r="M128" s="223" t="str">
        <f t="shared" ref="M128:M168" si="23">IF(D128="","Yes","No")</f>
        <v>Yes</v>
      </c>
      <c r="N128" s="485"/>
      <c r="O128" s="459" t="s">
        <v>1030</v>
      </c>
      <c r="P128" s="459">
        <v>240</v>
      </c>
      <c r="Q128" s="459"/>
      <c r="R128" s="459">
        <f>IF('Review Comments'!H105="Achieved",'Review Comments'!F105,0)</f>
        <v>0</v>
      </c>
      <c r="V128" s="224">
        <v>3</v>
      </c>
      <c r="W128" s="486" t="s">
        <v>1031</v>
      </c>
      <c r="X128" s="227" t="s">
        <v>928</v>
      </c>
    </row>
    <row r="129" spans="2:24" ht="20.100000000000001" customHeight="1">
      <c r="B129" s="501"/>
      <c r="C129" s="574">
        <v>2</v>
      </c>
      <c r="D129" s="606"/>
      <c r="E129" s="606"/>
      <c r="F129" s="228" t="str">
        <f t="shared" si="21"/>
        <v/>
      </c>
      <c r="G129" s="228" t="str">
        <f t="shared" si="22"/>
        <v/>
      </c>
      <c r="H129" s="999"/>
      <c r="I129" s="1000"/>
      <c r="J129" s="1001"/>
      <c r="K129" s="433"/>
      <c r="M129" s="223" t="str">
        <f t="shared" si="23"/>
        <v>Yes</v>
      </c>
      <c r="N129" s="485"/>
      <c r="O129" s="459" t="s">
        <v>1032</v>
      </c>
      <c r="P129" s="459">
        <v>120</v>
      </c>
      <c r="Q129" s="459"/>
      <c r="R129" s="459">
        <f>IF('Review Comments'!H106="Achieved",'Review Comments'!F106,0)</f>
        <v>0</v>
      </c>
      <c r="V129" s="224">
        <v>1</v>
      </c>
      <c r="W129" s="486" t="s">
        <v>1033</v>
      </c>
      <c r="X129" s="227" t="s">
        <v>929</v>
      </c>
    </row>
    <row r="130" spans="2:24" ht="20.100000000000001" customHeight="1">
      <c r="B130" s="501"/>
      <c r="C130" s="574">
        <v>3</v>
      </c>
      <c r="D130" s="606"/>
      <c r="E130" s="606"/>
      <c r="F130" s="228" t="str">
        <f t="shared" si="21"/>
        <v/>
      </c>
      <c r="G130" s="228" t="str">
        <f t="shared" si="22"/>
        <v/>
      </c>
      <c r="H130" s="999"/>
      <c r="I130" s="1000"/>
      <c r="J130" s="1001"/>
      <c r="K130" s="433"/>
      <c r="M130" s="223" t="str">
        <f t="shared" si="23"/>
        <v>Yes</v>
      </c>
      <c r="N130" s="485"/>
      <c r="O130" s="459" t="s">
        <v>1034</v>
      </c>
      <c r="P130" s="459">
        <v>180</v>
      </c>
      <c r="Q130" s="459"/>
      <c r="R130" s="459">
        <f>SUM(R127:R129)</f>
        <v>0</v>
      </c>
      <c r="S130" s="224" t="s">
        <v>1035</v>
      </c>
      <c r="V130" s="224">
        <v>3</v>
      </c>
      <c r="W130" s="486" t="s">
        <v>1036</v>
      </c>
      <c r="X130" s="227" t="s">
        <v>930</v>
      </c>
    </row>
    <row r="131" spans="2:24" ht="20.100000000000001" customHeight="1">
      <c r="B131" s="501"/>
      <c r="C131" s="574">
        <v>4</v>
      </c>
      <c r="D131" s="606"/>
      <c r="E131" s="606"/>
      <c r="F131" s="228" t="str">
        <f t="shared" si="21"/>
        <v/>
      </c>
      <c r="G131" s="228" t="str">
        <f t="shared" si="22"/>
        <v/>
      </c>
      <c r="H131" s="999"/>
      <c r="I131" s="1000"/>
      <c r="J131" s="1001"/>
      <c r="K131" s="433"/>
      <c r="M131" s="223" t="str">
        <f t="shared" si="23"/>
        <v>Yes</v>
      </c>
      <c r="N131" s="485"/>
    </row>
    <row r="132" spans="2:24" ht="20.100000000000001" customHeight="1">
      <c r="B132" s="501"/>
      <c r="C132" s="574">
        <v>5</v>
      </c>
      <c r="D132" s="606"/>
      <c r="E132" s="606"/>
      <c r="F132" s="228" t="str">
        <f t="shared" si="21"/>
        <v/>
      </c>
      <c r="G132" s="228" t="str">
        <f t="shared" si="22"/>
        <v/>
      </c>
      <c r="H132" s="999"/>
      <c r="I132" s="1000"/>
      <c r="J132" s="1001"/>
      <c r="K132" s="433"/>
      <c r="M132" s="223" t="str">
        <f t="shared" si="23"/>
        <v>Yes</v>
      </c>
      <c r="N132" s="485"/>
    </row>
    <row r="133" spans="2:24" ht="20.100000000000001" customHeight="1">
      <c r="B133" s="501"/>
      <c r="C133" s="574">
        <v>6</v>
      </c>
      <c r="D133" s="606"/>
      <c r="E133" s="606"/>
      <c r="F133" s="228" t="str">
        <f t="shared" si="21"/>
        <v/>
      </c>
      <c r="G133" s="228" t="str">
        <f t="shared" si="22"/>
        <v/>
      </c>
      <c r="H133" s="999"/>
      <c r="I133" s="1000"/>
      <c r="J133" s="1001"/>
      <c r="K133" s="433"/>
      <c r="M133" s="223" t="str">
        <f t="shared" si="23"/>
        <v>Yes</v>
      </c>
      <c r="N133" s="485"/>
    </row>
    <row r="134" spans="2:24" ht="20.100000000000001" customHeight="1">
      <c r="B134" s="501"/>
      <c r="C134" s="574">
        <v>7</v>
      </c>
      <c r="D134" s="606"/>
      <c r="E134" s="606"/>
      <c r="F134" s="228" t="str">
        <f t="shared" si="21"/>
        <v/>
      </c>
      <c r="G134" s="228" t="str">
        <f t="shared" si="22"/>
        <v/>
      </c>
      <c r="H134" s="999"/>
      <c r="I134" s="1000"/>
      <c r="J134" s="1001"/>
      <c r="K134" s="433"/>
      <c r="M134" s="223" t="str">
        <f t="shared" si="23"/>
        <v>Yes</v>
      </c>
      <c r="N134" s="485"/>
    </row>
    <row r="135" spans="2:24" ht="20.100000000000001" customHeight="1">
      <c r="B135" s="501"/>
      <c r="C135" s="574">
        <v>8</v>
      </c>
      <c r="D135" s="606"/>
      <c r="E135" s="606"/>
      <c r="F135" s="228" t="str">
        <f t="shared" si="21"/>
        <v/>
      </c>
      <c r="G135" s="228" t="str">
        <f t="shared" si="22"/>
        <v/>
      </c>
      <c r="H135" s="999"/>
      <c r="I135" s="1000"/>
      <c r="J135" s="1001"/>
      <c r="K135" s="433"/>
      <c r="M135" s="223" t="str">
        <f t="shared" si="23"/>
        <v>Yes</v>
      </c>
      <c r="N135" s="485"/>
    </row>
    <row r="136" spans="2:24" ht="20.100000000000001" customHeight="1">
      <c r="B136" s="501"/>
      <c r="C136" s="574">
        <v>9</v>
      </c>
      <c r="D136" s="606"/>
      <c r="E136" s="606"/>
      <c r="F136" s="228" t="str">
        <f t="shared" si="21"/>
        <v/>
      </c>
      <c r="G136" s="228" t="str">
        <f t="shared" si="22"/>
        <v/>
      </c>
      <c r="H136" s="999"/>
      <c r="I136" s="1000"/>
      <c r="J136" s="1001"/>
      <c r="K136" s="433"/>
      <c r="M136" s="223" t="str">
        <f t="shared" si="23"/>
        <v>Yes</v>
      </c>
      <c r="N136" s="485"/>
    </row>
    <row r="137" spans="2:24" ht="20.100000000000001" customHeight="1">
      <c r="B137" s="501"/>
      <c r="C137" s="574">
        <v>10</v>
      </c>
      <c r="D137" s="606"/>
      <c r="E137" s="606"/>
      <c r="F137" s="228" t="str">
        <f t="shared" si="21"/>
        <v/>
      </c>
      <c r="G137" s="228" t="str">
        <f t="shared" si="22"/>
        <v/>
      </c>
      <c r="H137" s="999"/>
      <c r="I137" s="1000"/>
      <c r="J137" s="1001"/>
      <c r="K137" s="433"/>
      <c r="M137" s="223" t="str">
        <f t="shared" si="23"/>
        <v>Yes</v>
      </c>
      <c r="N137" s="485"/>
    </row>
    <row r="138" spans="2:24" ht="20.100000000000001" customHeight="1">
      <c r="B138" s="501"/>
      <c r="C138" s="574">
        <v>11</v>
      </c>
      <c r="D138" s="606"/>
      <c r="E138" s="606"/>
      <c r="F138" s="228" t="str">
        <f t="shared" si="21"/>
        <v/>
      </c>
      <c r="G138" s="228" t="str">
        <f t="shared" si="22"/>
        <v/>
      </c>
      <c r="H138" s="999"/>
      <c r="I138" s="1000"/>
      <c r="J138" s="1001"/>
      <c r="K138" s="433"/>
      <c r="M138" s="223" t="str">
        <f t="shared" si="23"/>
        <v>Yes</v>
      </c>
      <c r="N138" s="485"/>
    </row>
    <row r="139" spans="2:24" ht="20.100000000000001" customHeight="1">
      <c r="B139" s="501"/>
      <c r="C139" s="574">
        <v>12</v>
      </c>
      <c r="D139" s="606"/>
      <c r="E139" s="606"/>
      <c r="F139" s="228" t="str">
        <f t="shared" si="21"/>
        <v/>
      </c>
      <c r="G139" s="228" t="str">
        <f t="shared" si="22"/>
        <v/>
      </c>
      <c r="H139" s="999"/>
      <c r="I139" s="1000"/>
      <c r="J139" s="1001"/>
      <c r="K139" s="433"/>
      <c r="M139" s="223" t="str">
        <f t="shared" si="23"/>
        <v>Yes</v>
      </c>
      <c r="N139" s="485"/>
    </row>
    <row r="140" spans="2:24" ht="20.100000000000001" customHeight="1">
      <c r="B140" s="501"/>
      <c r="C140" s="574">
        <v>13</v>
      </c>
      <c r="D140" s="606"/>
      <c r="E140" s="606"/>
      <c r="F140" s="228" t="str">
        <f t="shared" si="21"/>
        <v/>
      </c>
      <c r="G140" s="228" t="str">
        <f t="shared" si="22"/>
        <v/>
      </c>
      <c r="H140" s="999"/>
      <c r="I140" s="1000"/>
      <c r="J140" s="1001"/>
      <c r="K140" s="433"/>
      <c r="M140" s="223" t="str">
        <f t="shared" si="23"/>
        <v>Yes</v>
      </c>
      <c r="N140" s="485"/>
    </row>
    <row r="141" spans="2:24" ht="20.100000000000001" customHeight="1">
      <c r="B141" s="501"/>
      <c r="C141" s="574">
        <v>14</v>
      </c>
      <c r="D141" s="606"/>
      <c r="E141" s="606"/>
      <c r="F141" s="228" t="str">
        <f t="shared" si="21"/>
        <v/>
      </c>
      <c r="G141" s="228" t="str">
        <f t="shared" si="22"/>
        <v/>
      </c>
      <c r="H141" s="999"/>
      <c r="I141" s="1000"/>
      <c r="J141" s="1001"/>
      <c r="K141" s="433"/>
      <c r="M141" s="223" t="str">
        <f t="shared" si="23"/>
        <v>Yes</v>
      </c>
      <c r="N141" s="485"/>
    </row>
    <row r="142" spans="2:24" ht="20.100000000000001" customHeight="1">
      <c r="B142" s="501"/>
      <c r="C142" s="574">
        <v>15</v>
      </c>
      <c r="D142" s="606"/>
      <c r="E142" s="606"/>
      <c r="F142" s="228" t="str">
        <f t="shared" si="21"/>
        <v/>
      </c>
      <c r="G142" s="228" t="str">
        <f t="shared" si="22"/>
        <v/>
      </c>
      <c r="H142" s="999"/>
      <c r="I142" s="1000"/>
      <c r="J142" s="1001"/>
      <c r="K142" s="433"/>
      <c r="M142" s="223" t="str">
        <f t="shared" si="23"/>
        <v>Yes</v>
      </c>
      <c r="N142" s="485"/>
    </row>
    <row r="143" spans="2:24" ht="20.100000000000001" customHeight="1">
      <c r="B143" s="501"/>
      <c r="C143" s="574">
        <v>16</v>
      </c>
      <c r="D143" s="606"/>
      <c r="E143" s="606"/>
      <c r="F143" s="228" t="str">
        <f t="shared" si="21"/>
        <v/>
      </c>
      <c r="G143" s="228" t="str">
        <f t="shared" si="22"/>
        <v/>
      </c>
      <c r="H143" s="999"/>
      <c r="I143" s="1000"/>
      <c r="J143" s="1001"/>
      <c r="K143" s="433"/>
      <c r="M143" s="223" t="str">
        <f t="shared" si="23"/>
        <v>Yes</v>
      </c>
      <c r="N143" s="485"/>
    </row>
    <row r="144" spans="2:24" ht="20.100000000000001" customHeight="1">
      <c r="B144" s="501"/>
      <c r="C144" s="574">
        <v>17</v>
      </c>
      <c r="D144" s="606"/>
      <c r="E144" s="606"/>
      <c r="F144" s="228" t="str">
        <f t="shared" si="21"/>
        <v/>
      </c>
      <c r="G144" s="228" t="str">
        <f t="shared" si="22"/>
        <v/>
      </c>
      <c r="H144" s="999"/>
      <c r="I144" s="1000"/>
      <c r="J144" s="1001"/>
      <c r="K144" s="433"/>
      <c r="M144" s="223" t="str">
        <f t="shared" si="23"/>
        <v>Yes</v>
      </c>
      <c r="N144" s="485"/>
    </row>
    <row r="145" spans="2:14" ht="20.100000000000001" customHeight="1">
      <c r="B145" s="501"/>
      <c r="C145" s="574">
        <v>18</v>
      </c>
      <c r="D145" s="606"/>
      <c r="E145" s="606"/>
      <c r="F145" s="228" t="str">
        <f t="shared" si="21"/>
        <v/>
      </c>
      <c r="G145" s="228" t="str">
        <f t="shared" si="22"/>
        <v/>
      </c>
      <c r="H145" s="999"/>
      <c r="I145" s="1000"/>
      <c r="J145" s="1001"/>
      <c r="K145" s="433"/>
      <c r="M145" s="223" t="str">
        <f t="shared" si="23"/>
        <v>Yes</v>
      </c>
      <c r="N145" s="485"/>
    </row>
    <row r="146" spans="2:14" ht="20.100000000000001" customHeight="1">
      <c r="B146" s="501"/>
      <c r="C146" s="574">
        <v>19</v>
      </c>
      <c r="D146" s="606"/>
      <c r="E146" s="606"/>
      <c r="F146" s="228" t="str">
        <f t="shared" si="21"/>
        <v/>
      </c>
      <c r="G146" s="228" t="str">
        <f t="shared" si="22"/>
        <v/>
      </c>
      <c r="H146" s="999"/>
      <c r="I146" s="1000"/>
      <c r="J146" s="1001"/>
      <c r="K146" s="433"/>
      <c r="M146" s="223" t="str">
        <f t="shared" si="23"/>
        <v>Yes</v>
      </c>
      <c r="N146" s="485"/>
    </row>
    <row r="147" spans="2:14" ht="20.100000000000001" customHeight="1">
      <c r="B147" s="501"/>
      <c r="C147" s="574">
        <v>20</v>
      </c>
      <c r="D147" s="606"/>
      <c r="E147" s="606"/>
      <c r="F147" s="228" t="str">
        <f t="shared" si="21"/>
        <v/>
      </c>
      <c r="G147" s="228" t="str">
        <f t="shared" si="22"/>
        <v/>
      </c>
      <c r="H147" s="999"/>
      <c r="I147" s="1000"/>
      <c r="J147" s="1001"/>
      <c r="K147" s="433"/>
      <c r="M147" s="223" t="str">
        <f t="shared" si="23"/>
        <v>Yes</v>
      </c>
      <c r="N147" s="485"/>
    </row>
    <row r="148" spans="2:14" ht="20.100000000000001" customHeight="1">
      <c r="B148" s="501"/>
      <c r="C148" s="574">
        <v>21</v>
      </c>
      <c r="D148" s="606"/>
      <c r="E148" s="606"/>
      <c r="F148" s="228" t="str">
        <f t="shared" si="21"/>
        <v/>
      </c>
      <c r="G148" s="228" t="str">
        <f t="shared" si="22"/>
        <v/>
      </c>
      <c r="H148" s="999"/>
      <c r="I148" s="1000"/>
      <c r="J148" s="1001"/>
      <c r="K148" s="433"/>
      <c r="M148" s="223" t="str">
        <f t="shared" si="23"/>
        <v>Yes</v>
      </c>
      <c r="N148" s="485"/>
    </row>
    <row r="149" spans="2:14" ht="20.100000000000001" customHeight="1">
      <c r="B149" s="501"/>
      <c r="C149" s="574">
        <v>22</v>
      </c>
      <c r="D149" s="606"/>
      <c r="E149" s="606"/>
      <c r="F149" s="228" t="str">
        <f t="shared" si="21"/>
        <v/>
      </c>
      <c r="G149" s="228" t="str">
        <f t="shared" si="22"/>
        <v/>
      </c>
      <c r="H149" s="999"/>
      <c r="I149" s="1000"/>
      <c r="J149" s="1001"/>
      <c r="K149" s="433"/>
      <c r="M149" s="223" t="str">
        <f t="shared" si="23"/>
        <v>Yes</v>
      </c>
      <c r="N149" s="485"/>
    </row>
    <row r="150" spans="2:14" ht="20.100000000000001" customHeight="1">
      <c r="B150" s="501"/>
      <c r="C150" s="574">
        <v>23</v>
      </c>
      <c r="D150" s="606"/>
      <c r="E150" s="606"/>
      <c r="F150" s="228" t="str">
        <f t="shared" si="21"/>
        <v/>
      </c>
      <c r="G150" s="228" t="str">
        <f t="shared" si="22"/>
        <v/>
      </c>
      <c r="H150" s="999"/>
      <c r="I150" s="1000"/>
      <c r="J150" s="1001"/>
      <c r="K150" s="433"/>
      <c r="M150" s="223" t="str">
        <f t="shared" si="23"/>
        <v>Yes</v>
      </c>
      <c r="N150" s="485"/>
    </row>
    <row r="151" spans="2:14" ht="20.100000000000001" customHeight="1">
      <c r="B151" s="501"/>
      <c r="C151" s="574">
        <v>24</v>
      </c>
      <c r="D151" s="606"/>
      <c r="E151" s="606"/>
      <c r="F151" s="228" t="str">
        <f t="shared" si="21"/>
        <v/>
      </c>
      <c r="G151" s="228" t="str">
        <f t="shared" si="22"/>
        <v/>
      </c>
      <c r="H151" s="999"/>
      <c r="I151" s="1000"/>
      <c r="J151" s="1001"/>
      <c r="K151" s="433"/>
      <c r="M151" s="223" t="str">
        <f t="shared" si="23"/>
        <v>Yes</v>
      </c>
      <c r="N151" s="485"/>
    </row>
    <row r="152" spans="2:14" ht="20.100000000000001" customHeight="1">
      <c r="B152" s="501"/>
      <c r="C152" s="574">
        <v>25</v>
      </c>
      <c r="D152" s="606"/>
      <c r="E152" s="606"/>
      <c r="F152" s="228" t="str">
        <f t="shared" si="21"/>
        <v/>
      </c>
      <c r="G152" s="228" t="str">
        <f t="shared" si="22"/>
        <v/>
      </c>
      <c r="H152" s="999"/>
      <c r="I152" s="1000"/>
      <c r="J152" s="1001"/>
      <c r="K152" s="433"/>
      <c r="M152" s="223" t="str">
        <f t="shared" si="23"/>
        <v>Yes</v>
      </c>
      <c r="N152" s="485"/>
    </row>
    <row r="153" spans="2:14" ht="20.100000000000001" customHeight="1">
      <c r="B153" s="501"/>
      <c r="C153" s="574">
        <v>26</v>
      </c>
      <c r="D153" s="606"/>
      <c r="E153" s="606"/>
      <c r="F153" s="228" t="str">
        <f t="shared" si="21"/>
        <v/>
      </c>
      <c r="G153" s="228" t="str">
        <f t="shared" si="22"/>
        <v/>
      </c>
      <c r="H153" s="999"/>
      <c r="I153" s="1000"/>
      <c r="J153" s="1001"/>
      <c r="K153" s="433"/>
      <c r="M153" s="223" t="str">
        <f t="shared" si="23"/>
        <v>Yes</v>
      </c>
      <c r="N153" s="485"/>
    </row>
    <row r="154" spans="2:14" ht="20.100000000000001" customHeight="1">
      <c r="B154" s="501"/>
      <c r="C154" s="574">
        <v>27</v>
      </c>
      <c r="D154" s="606"/>
      <c r="E154" s="606"/>
      <c r="F154" s="228" t="str">
        <f t="shared" si="21"/>
        <v/>
      </c>
      <c r="G154" s="228" t="str">
        <f t="shared" si="22"/>
        <v/>
      </c>
      <c r="H154" s="999"/>
      <c r="I154" s="1000"/>
      <c r="J154" s="1001"/>
      <c r="K154" s="433"/>
      <c r="M154" s="223" t="str">
        <f t="shared" si="23"/>
        <v>Yes</v>
      </c>
      <c r="N154" s="485"/>
    </row>
    <row r="155" spans="2:14" ht="20.100000000000001" customHeight="1">
      <c r="B155" s="501"/>
      <c r="C155" s="574">
        <v>28</v>
      </c>
      <c r="D155" s="606"/>
      <c r="E155" s="606"/>
      <c r="F155" s="228" t="str">
        <f t="shared" si="21"/>
        <v/>
      </c>
      <c r="G155" s="228" t="str">
        <f t="shared" si="22"/>
        <v/>
      </c>
      <c r="H155" s="999"/>
      <c r="I155" s="1000"/>
      <c r="J155" s="1001"/>
      <c r="K155" s="433"/>
      <c r="M155" s="223" t="str">
        <f t="shared" si="23"/>
        <v>Yes</v>
      </c>
      <c r="N155" s="485"/>
    </row>
    <row r="156" spans="2:14" ht="20.100000000000001" customHeight="1">
      <c r="B156" s="501"/>
      <c r="C156" s="574">
        <v>29</v>
      </c>
      <c r="D156" s="606"/>
      <c r="E156" s="606"/>
      <c r="F156" s="228" t="str">
        <f t="shared" si="21"/>
        <v/>
      </c>
      <c r="G156" s="228" t="str">
        <f t="shared" si="22"/>
        <v/>
      </c>
      <c r="H156" s="999"/>
      <c r="I156" s="1000"/>
      <c r="J156" s="1001"/>
      <c r="K156" s="433"/>
      <c r="M156" s="223" t="str">
        <f t="shared" si="23"/>
        <v>Yes</v>
      </c>
      <c r="N156" s="485"/>
    </row>
    <row r="157" spans="2:14" ht="20.100000000000001" customHeight="1">
      <c r="B157" s="501"/>
      <c r="C157" s="574">
        <v>30</v>
      </c>
      <c r="D157" s="606"/>
      <c r="E157" s="606"/>
      <c r="F157" s="228" t="str">
        <f t="shared" si="21"/>
        <v/>
      </c>
      <c r="G157" s="228" t="str">
        <f t="shared" si="22"/>
        <v/>
      </c>
      <c r="H157" s="999"/>
      <c r="I157" s="1000"/>
      <c r="J157" s="1001"/>
      <c r="K157" s="433"/>
      <c r="M157" s="223" t="str">
        <f t="shared" si="23"/>
        <v>Yes</v>
      </c>
      <c r="N157" s="485"/>
    </row>
    <row r="158" spans="2:14" ht="20.100000000000001" customHeight="1">
      <c r="B158" s="501"/>
      <c r="C158" s="574">
        <v>31</v>
      </c>
      <c r="D158" s="606"/>
      <c r="E158" s="606"/>
      <c r="F158" s="228" t="str">
        <f t="shared" si="21"/>
        <v/>
      </c>
      <c r="G158" s="228" t="str">
        <f t="shared" si="22"/>
        <v/>
      </c>
      <c r="H158" s="999"/>
      <c r="I158" s="1000"/>
      <c r="J158" s="1001"/>
      <c r="K158" s="433"/>
      <c r="M158" s="223" t="str">
        <f t="shared" si="23"/>
        <v>Yes</v>
      </c>
      <c r="N158" s="485"/>
    </row>
    <row r="159" spans="2:14" ht="20.100000000000001" customHeight="1">
      <c r="B159" s="501"/>
      <c r="C159" s="574">
        <v>32</v>
      </c>
      <c r="D159" s="606"/>
      <c r="E159" s="606"/>
      <c r="F159" s="228" t="str">
        <f t="shared" si="21"/>
        <v/>
      </c>
      <c r="G159" s="228" t="str">
        <f t="shared" si="22"/>
        <v/>
      </c>
      <c r="H159" s="999"/>
      <c r="I159" s="1000"/>
      <c r="J159" s="1001"/>
      <c r="K159" s="433"/>
      <c r="M159" s="223" t="str">
        <f t="shared" si="23"/>
        <v>Yes</v>
      </c>
      <c r="N159" s="485"/>
    </row>
    <row r="160" spans="2:14" ht="20.100000000000001" customHeight="1">
      <c r="B160" s="501"/>
      <c r="C160" s="574">
        <v>33</v>
      </c>
      <c r="D160" s="606"/>
      <c r="E160" s="606"/>
      <c r="F160" s="228" t="str">
        <f t="shared" si="21"/>
        <v/>
      </c>
      <c r="G160" s="228" t="str">
        <f t="shared" si="22"/>
        <v/>
      </c>
      <c r="H160" s="999"/>
      <c r="I160" s="1000"/>
      <c r="J160" s="1001"/>
      <c r="K160" s="433"/>
      <c r="M160" s="223" t="str">
        <f t="shared" si="23"/>
        <v>Yes</v>
      </c>
      <c r="N160" s="485"/>
    </row>
    <row r="161" spans="2:14" ht="20.100000000000001" customHeight="1">
      <c r="B161" s="501"/>
      <c r="C161" s="574">
        <v>34</v>
      </c>
      <c r="D161" s="606"/>
      <c r="E161" s="606"/>
      <c r="F161" s="228" t="str">
        <f t="shared" si="21"/>
        <v/>
      </c>
      <c r="G161" s="228" t="str">
        <f t="shared" si="22"/>
        <v/>
      </c>
      <c r="H161" s="999"/>
      <c r="I161" s="1000"/>
      <c r="J161" s="1001"/>
      <c r="K161" s="433"/>
      <c r="M161" s="223" t="str">
        <f t="shared" si="23"/>
        <v>Yes</v>
      </c>
      <c r="N161" s="485"/>
    </row>
    <row r="162" spans="2:14" ht="20.100000000000001" customHeight="1">
      <c r="B162" s="501"/>
      <c r="C162" s="574">
        <v>35</v>
      </c>
      <c r="D162" s="606"/>
      <c r="E162" s="606"/>
      <c r="F162" s="228" t="str">
        <f t="shared" si="21"/>
        <v/>
      </c>
      <c r="G162" s="228" t="str">
        <f t="shared" si="22"/>
        <v/>
      </c>
      <c r="H162" s="999"/>
      <c r="I162" s="1000"/>
      <c r="J162" s="1001"/>
      <c r="K162" s="433"/>
      <c r="M162" s="223" t="str">
        <f t="shared" si="23"/>
        <v>Yes</v>
      </c>
      <c r="N162" s="485"/>
    </row>
    <row r="163" spans="2:14" ht="20.100000000000001" customHeight="1">
      <c r="B163" s="501"/>
      <c r="C163" s="574">
        <v>36</v>
      </c>
      <c r="D163" s="606"/>
      <c r="E163" s="606"/>
      <c r="F163" s="228" t="str">
        <f t="shared" si="21"/>
        <v/>
      </c>
      <c r="G163" s="228" t="str">
        <f t="shared" si="22"/>
        <v/>
      </c>
      <c r="H163" s="999"/>
      <c r="I163" s="1000"/>
      <c r="J163" s="1001"/>
      <c r="K163" s="433"/>
      <c r="M163" s="223" t="str">
        <f t="shared" si="23"/>
        <v>Yes</v>
      </c>
      <c r="N163" s="485"/>
    </row>
    <row r="164" spans="2:14" ht="20.100000000000001" customHeight="1">
      <c r="B164" s="501"/>
      <c r="C164" s="574">
        <v>37</v>
      </c>
      <c r="D164" s="606"/>
      <c r="E164" s="606"/>
      <c r="F164" s="228" t="str">
        <f t="shared" si="21"/>
        <v/>
      </c>
      <c r="G164" s="228" t="str">
        <f t="shared" si="22"/>
        <v/>
      </c>
      <c r="H164" s="999"/>
      <c r="I164" s="1000"/>
      <c r="J164" s="1001"/>
      <c r="K164" s="433"/>
      <c r="M164" s="223" t="str">
        <f t="shared" si="23"/>
        <v>Yes</v>
      </c>
      <c r="N164" s="485"/>
    </row>
    <row r="165" spans="2:14" ht="20.100000000000001" customHeight="1">
      <c r="B165" s="501"/>
      <c r="C165" s="574">
        <v>38</v>
      </c>
      <c r="D165" s="606"/>
      <c r="E165" s="606"/>
      <c r="F165" s="228" t="str">
        <f t="shared" si="21"/>
        <v/>
      </c>
      <c r="G165" s="228" t="str">
        <f t="shared" si="22"/>
        <v/>
      </c>
      <c r="H165" s="999"/>
      <c r="I165" s="1000"/>
      <c r="J165" s="1001"/>
      <c r="K165" s="433"/>
      <c r="M165" s="223" t="str">
        <f t="shared" si="23"/>
        <v>Yes</v>
      </c>
      <c r="N165" s="485"/>
    </row>
    <row r="166" spans="2:14" ht="20.100000000000001" customHeight="1">
      <c r="B166" s="501"/>
      <c r="C166" s="574">
        <v>39</v>
      </c>
      <c r="D166" s="606"/>
      <c r="E166" s="606"/>
      <c r="F166" s="228" t="str">
        <f t="shared" si="21"/>
        <v/>
      </c>
      <c r="G166" s="228" t="str">
        <f t="shared" si="22"/>
        <v/>
      </c>
      <c r="H166" s="999"/>
      <c r="I166" s="1000"/>
      <c r="J166" s="1001"/>
      <c r="K166" s="433"/>
      <c r="M166" s="223" t="str">
        <f t="shared" si="23"/>
        <v>Yes</v>
      </c>
      <c r="N166" s="485"/>
    </row>
    <row r="167" spans="2:14" ht="20.100000000000001" customHeight="1">
      <c r="B167" s="501"/>
      <c r="C167" s="574">
        <v>40</v>
      </c>
      <c r="D167" s="606"/>
      <c r="E167" s="606"/>
      <c r="F167" s="228" t="str">
        <f t="shared" si="21"/>
        <v/>
      </c>
      <c r="G167" s="228" t="str">
        <f t="shared" si="22"/>
        <v/>
      </c>
      <c r="H167" s="999"/>
      <c r="I167" s="1000"/>
      <c r="J167" s="1001"/>
      <c r="K167" s="433"/>
      <c r="M167" s="223" t="str">
        <f t="shared" si="23"/>
        <v>Yes</v>
      </c>
      <c r="N167" s="485"/>
    </row>
    <row r="168" spans="2:14" ht="20.100000000000001" customHeight="1" thickBot="1">
      <c r="B168" s="502"/>
      <c r="C168" s="576">
        <v>41</v>
      </c>
      <c r="D168" s="607"/>
      <c r="E168" s="607"/>
      <c r="F168" s="234" t="str">
        <f t="shared" si="21"/>
        <v/>
      </c>
      <c r="G168" s="234" t="str">
        <f t="shared" si="22"/>
        <v/>
      </c>
      <c r="H168" s="1002"/>
      <c r="I168" s="1003"/>
      <c r="J168" s="1004"/>
      <c r="K168" s="434"/>
      <c r="M168" s="223" t="str">
        <f t="shared" si="23"/>
        <v>Yes</v>
      </c>
      <c r="N168" s="485"/>
    </row>
    <row r="169" spans="2:14" ht="14.4" customHeight="1">
      <c r="B169" s="235"/>
      <c r="C169" s="235"/>
      <c r="D169" s="235"/>
      <c r="E169" s="235"/>
      <c r="F169" s="235"/>
      <c r="G169" s="235"/>
      <c r="H169" s="235"/>
      <c r="I169" s="235"/>
      <c r="J169" s="235"/>
      <c r="K169" s="235"/>
      <c r="M169" s="223" t="str">
        <f>IF(D128="","Yes","No")</f>
        <v>Yes</v>
      </c>
    </row>
    <row r="170" spans="2:14" ht="28.5" customHeight="1">
      <c r="C170" s="435" t="s">
        <v>935</v>
      </c>
      <c r="D170" s="656" t="s">
        <v>936</v>
      </c>
      <c r="E170" s="656" t="s">
        <v>937</v>
      </c>
      <c r="F170" s="657"/>
      <c r="G170" s="1005"/>
      <c r="H170" s="1006"/>
      <c r="I170" s="1007"/>
      <c r="J170" s="242"/>
      <c r="K170" s="242"/>
      <c r="N170" s="1008" t="s">
        <v>938</v>
      </c>
    </row>
    <row r="171" spans="2:14" ht="28.5" customHeight="1">
      <c r="C171" s="435" t="s">
        <v>935</v>
      </c>
      <c r="D171" s="436" t="s">
        <v>939</v>
      </c>
      <c r="E171" s="436" t="s">
        <v>937</v>
      </c>
      <c r="F171" s="437"/>
      <c r="G171" s="1009"/>
      <c r="H171" s="1010"/>
      <c r="I171" s="1011"/>
      <c r="J171" s="242"/>
      <c r="K171" s="242"/>
      <c r="N171" s="1008"/>
    </row>
    <row r="172" spans="2:14" ht="28.5" customHeight="1">
      <c r="C172" s="435" t="s">
        <v>935</v>
      </c>
      <c r="D172" s="436" t="s">
        <v>940</v>
      </c>
      <c r="E172" s="436" t="s">
        <v>937</v>
      </c>
      <c r="F172" s="437"/>
      <c r="G172" s="1009"/>
      <c r="H172" s="1010"/>
      <c r="I172" s="1011"/>
      <c r="J172" s="242"/>
      <c r="K172" s="242"/>
      <c r="N172" s="1008"/>
    </row>
    <row r="173" spans="2:14" ht="28.5" customHeight="1">
      <c r="C173" s="435" t="s">
        <v>935</v>
      </c>
      <c r="D173" s="436" t="s">
        <v>941</v>
      </c>
      <c r="E173" s="436" t="s">
        <v>937</v>
      </c>
      <c r="F173" s="437"/>
      <c r="G173" s="1009"/>
      <c r="H173" s="1010"/>
      <c r="I173" s="1011"/>
      <c r="J173" s="242"/>
      <c r="K173" s="242"/>
      <c r="N173" s="1008"/>
    </row>
    <row r="174" spans="2:14" ht="28.5" customHeight="1" thickBot="1">
      <c r="C174" s="438"/>
      <c r="D174" s="439"/>
      <c r="E174" s="440" t="s">
        <v>942</v>
      </c>
      <c r="F174" s="441" t="e">
        <f>MEDIAN(F170:F173)</f>
        <v>#NUM!</v>
      </c>
      <c r="G174" s="1012"/>
      <c r="H174" s="1013"/>
      <c r="I174" s="1014"/>
      <c r="J174" s="242"/>
      <c r="K174" s="242"/>
      <c r="N174" s="1008"/>
    </row>
  </sheetData>
  <sheetProtection autoFilter="0"/>
  <autoFilter ref="M1:N174" xr:uid="{94DDCBBF-A604-4A68-A02F-C5321109730C}"/>
  <mergeCells count="62">
    <mergeCell ref="A1:J1"/>
    <mergeCell ref="A2:B2"/>
    <mergeCell ref="B5:K5"/>
    <mergeCell ref="C6:K6"/>
    <mergeCell ref="A3:J3"/>
    <mergeCell ref="C9:C19"/>
    <mergeCell ref="D9:D19"/>
    <mergeCell ref="C7:K7"/>
    <mergeCell ref="C123:K123"/>
    <mergeCell ref="C126:J126"/>
    <mergeCell ref="N126:N127"/>
    <mergeCell ref="C124:D124"/>
    <mergeCell ref="C125:D125"/>
    <mergeCell ref="H127:J127"/>
    <mergeCell ref="H133:J133"/>
    <mergeCell ref="H134:J134"/>
    <mergeCell ref="H135:J135"/>
    <mergeCell ref="H136:J136"/>
    <mergeCell ref="C20:K20"/>
    <mergeCell ref="H128:J128"/>
    <mergeCell ref="H129:J129"/>
    <mergeCell ref="H130:J130"/>
    <mergeCell ref="H131:J131"/>
    <mergeCell ref="H132:J132"/>
    <mergeCell ref="H156:J156"/>
    <mergeCell ref="H157:J157"/>
    <mergeCell ref="H158:J158"/>
    <mergeCell ref="H159:J159"/>
    <mergeCell ref="H147:J147"/>
    <mergeCell ref="H148:J148"/>
    <mergeCell ref="H149:J149"/>
    <mergeCell ref="H150:J150"/>
    <mergeCell ref="H151:J151"/>
    <mergeCell ref="H152:J152"/>
    <mergeCell ref="H153:J153"/>
    <mergeCell ref="H154:J154"/>
    <mergeCell ref="H155:J155"/>
    <mergeCell ref="G170:I170"/>
    <mergeCell ref="N170:N174"/>
    <mergeCell ref="G171:I171"/>
    <mergeCell ref="G172:I172"/>
    <mergeCell ref="G173:I173"/>
    <mergeCell ref="G174:I174"/>
    <mergeCell ref="H137:J137"/>
    <mergeCell ref="H138:J138"/>
    <mergeCell ref="H139:J139"/>
    <mergeCell ref="H140:J140"/>
    <mergeCell ref="H141:J141"/>
    <mergeCell ref="H142:J142"/>
    <mergeCell ref="H143:J143"/>
    <mergeCell ref="H144:J144"/>
    <mergeCell ref="H145:J145"/>
    <mergeCell ref="H146:J146"/>
    <mergeCell ref="H165:J165"/>
    <mergeCell ref="H166:J166"/>
    <mergeCell ref="H167:J167"/>
    <mergeCell ref="H168:J168"/>
    <mergeCell ref="H160:J160"/>
    <mergeCell ref="H161:J161"/>
    <mergeCell ref="H162:J162"/>
    <mergeCell ref="H163:J163"/>
    <mergeCell ref="H164:J164"/>
  </mergeCells>
  <conditionalFormatting sqref="G72:J122 G22:G71 I22:J71">
    <cfRule type="expression" dxfId="98" priority="12">
      <formula>IF(#REF!="FAIL",1,0)</formula>
    </cfRule>
  </conditionalFormatting>
  <conditionalFormatting sqref="G135:G149 G164:G167">
    <cfRule type="expression" dxfId="97" priority="11">
      <formula>IF(#REF!="FAIL",1,0)</formula>
    </cfRule>
  </conditionalFormatting>
  <conditionalFormatting sqref="H22:H122">
    <cfRule type="expression" dxfId="96" priority="10">
      <formula>IF(#REF!="FAIL",1,0)</formula>
    </cfRule>
  </conditionalFormatting>
  <conditionalFormatting sqref="G131:G134">
    <cfRule type="expression" dxfId="95" priority="9">
      <formula>IF(#REF!="FAIL",1,0)</formula>
    </cfRule>
  </conditionalFormatting>
  <conditionalFormatting sqref="G170:H173">
    <cfRule type="expression" dxfId="94" priority="8">
      <formula>IF(#REF!="FAIL",1,0)</formula>
    </cfRule>
  </conditionalFormatting>
  <conditionalFormatting sqref="G174:H174">
    <cfRule type="expression" dxfId="93" priority="7">
      <formula>IF(#REF!="FAIL",1,0)</formula>
    </cfRule>
  </conditionalFormatting>
  <conditionalFormatting sqref="G22:G122">
    <cfRule type="expression" dxfId="92" priority="6">
      <formula>IF(#REF!="FAIL",1,0)</formula>
    </cfRule>
  </conditionalFormatting>
  <conditionalFormatting sqref="G150:G163">
    <cfRule type="expression" dxfId="91" priority="5">
      <formula>IF(#REF!="FAIL",1,0)</formula>
    </cfRule>
  </conditionalFormatting>
  <conditionalFormatting sqref="F135:F149 F164:F167">
    <cfRule type="expression" dxfId="90" priority="4">
      <formula>IF(#REF!="FAIL",1,0)</formula>
    </cfRule>
  </conditionalFormatting>
  <conditionalFormatting sqref="F131:F134">
    <cfRule type="expression" dxfId="89" priority="3">
      <formula>IF(#REF!="FAIL",1,0)</formula>
    </cfRule>
  </conditionalFormatting>
  <conditionalFormatting sqref="F150:F163">
    <cfRule type="expression" dxfId="88" priority="2">
      <formula>IF(#REF!="FAIL",1,0)</formula>
    </cfRule>
  </conditionalFormatting>
  <conditionalFormatting sqref="G128:H168">
    <cfRule type="expression" dxfId="87" priority="1">
      <formula>IF(#REF!="FAIL",1,0)</formula>
    </cfRule>
  </conditionalFormatting>
  <dataValidations count="9">
    <dataValidation type="list" allowBlank="1" showInputMessage="1" showErrorMessage="1" sqref="E22" xr:uid="{47F9D6D5-4DC1-492A-84F5-D6486804C32F}">
      <formula1>$E$9:$E19</formula1>
    </dataValidation>
    <dataValidation type="list" allowBlank="1" showInputMessage="1" showErrorMessage="1" sqref="E23" xr:uid="{73C48405-5DD8-4E31-B2FD-88AADF76A7FD}">
      <formula1>$E$9:$E19</formula1>
    </dataValidation>
    <dataValidation type="list" allowBlank="1" showInputMessage="1" showErrorMessage="1" sqref="E24" xr:uid="{8C7D1834-0BD3-4F1C-A861-B29AA7E24DBB}">
      <formula1>$E$9:$E19</formula1>
    </dataValidation>
    <dataValidation type="list" allowBlank="1" showInputMessage="1" showErrorMessage="1" sqref="E25" xr:uid="{986DBFEF-554B-4E36-8B51-E47397EF9095}">
      <formula1>$E$9:$E19</formula1>
    </dataValidation>
    <dataValidation type="list" allowBlank="1" showInputMessage="1" showErrorMessage="1" sqref="E26" xr:uid="{C1D50D0D-DFD6-4016-8AFB-4AB8A03795C7}">
      <formula1>$E$9:$E19</formula1>
    </dataValidation>
    <dataValidation type="list" allowBlank="1" showInputMessage="1" showErrorMessage="1" sqref="E27" xr:uid="{15D1AB04-D15D-4885-9A1C-095598942BB3}">
      <formula1>$E$9:$E19</formula1>
    </dataValidation>
    <dataValidation type="list" allowBlank="1" showInputMessage="1" showErrorMessage="1" sqref="E28" xr:uid="{253FE1E4-ADFC-4FBF-8271-9BBD158C2316}">
      <formula1>$E$9:$E19</formula1>
    </dataValidation>
    <dataValidation type="list" allowBlank="1" showInputMessage="1" showErrorMessage="1" sqref="E29" xr:uid="{0DBD00B8-5AD5-41AC-98BE-C2CED43F13CB}">
      <formula1>$E$9:$E19</formula1>
    </dataValidation>
    <dataValidation type="list" allowBlank="1" showInputMessage="1" showErrorMessage="1" sqref="E30:E121" xr:uid="{950220F1-0C4B-41BC-BF98-6957ACF880D7}">
      <formula1>$E$9:$E19</formula1>
    </dataValidation>
  </dataValidations>
  <pageMargins left="0.7" right="0.7" top="0.75" bottom="0.75" header="0.3" footer="0.3"/>
  <pageSetup scale="39" fitToHeight="0" orientation="portrait" r:id="rId1"/>
  <rowBreaks count="1" manualBreakCount="1">
    <brk id="121" max="1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54547-9538-4E41-B54D-392C783185C5}">
  <sheetPr codeName="Sheet8">
    <pageSetUpPr fitToPage="1"/>
  </sheetPr>
  <dimension ref="A1:AF32"/>
  <sheetViews>
    <sheetView view="pageBreakPreview" zoomScale="85" zoomScaleNormal="80" zoomScaleSheetLayoutView="85" workbookViewId="0">
      <selection activeCell="D13" sqref="D13:D16"/>
    </sheetView>
  </sheetViews>
  <sheetFormatPr defaultColWidth="8.88671875" defaultRowHeight="13.8"/>
  <cols>
    <col min="1" max="1" width="8.6640625" style="224" customWidth="1"/>
    <col min="2" max="2" width="10.6640625" style="224" customWidth="1"/>
    <col min="3" max="3" width="15.6640625" style="224" customWidth="1"/>
    <col min="4" max="4" width="30.6640625" style="224" customWidth="1"/>
    <col min="5" max="7" width="10.6640625" style="224" customWidth="1"/>
    <col min="8" max="12" width="20.6640625" style="224" customWidth="1"/>
    <col min="13" max="16" width="10.6640625" style="224" customWidth="1"/>
    <col min="17" max="19" width="20.6640625" style="224" customWidth="1"/>
    <col min="20" max="20" width="2.109375" style="224" customWidth="1"/>
    <col min="21" max="21" width="8.88671875" style="223"/>
    <col min="22" max="16384" width="8.88671875" style="224"/>
  </cols>
  <sheetData>
    <row r="1" spans="1:32" ht="21.9" customHeight="1">
      <c r="A1" s="975" t="str">
        <f>Light!A1</f>
        <v xml:space="preserve"> 	2202025367 - Shenzhen Prince Bay Mixed-use Development DY04-02</v>
      </c>
      <c r="B1" s="975"/>
      <c r="C1" s="975"/>
      <c r="D1" s="975"/>
      <c r="E1" s="975"/>
      <c r="F1" s="975"/>
      <c r="G1" s="975"/>
      <c r="H1" s="975"/>
      <c r="I1" s="975"/>
      <c r="J1" s="975"/>
      <c r="K1" s="975"/>
      <c r="L1" s="975"/>
      <c r="M1" s="975"/>
      <c r="N1" s="975"/>
      <c r="O1" s="975"/>
      <c r="P1" s="975"/>
      <c r="Q1" s="975"/>
      <c r="R1" s="975"/>
      <c r="S1" s="975"/>
      <c r="U1" s="223" t="s">
        <v>1060</v>
      </c>
    </row>
    <row r="2" spans="1:32" ht="18" customHeight="1">
      <c r="A2" s="976" t="s">
        <v>778</v>
      </c>
      <c r="B2" s="976"/>
      <c r="C2" s="226"/>
      <c r="D2" s="226"/>
      <c r="E2" s="516"/>
      <c r="F2" s="516"/>
      <c r="G2" s="226"/>
      <c r="H2" s="226"/>
      <c r="I2" s="226"/>
      <c r="J2" s="226"/>
      <c r="K2" s="226"/>
      <c r="L2" s="226"/>
      <c r="U2" s="223" t="s">
        <v>1061</v>
      </c>
    </row>
    <row r="3" spans="1:32" ht="18" customHeight="1">
      <c r="A3" s="983" t="str">
        <f>Light!A3</f>
        <v>[date] On-site Performance Verification Summary of Results</v>
      </c>
      <c r="B3" s="983"/>
      <c r="C3" s="983"/>
      <c r="D3" s="983"/>
      <c r="E3" s="983"/>
      <c r="F3" s="983"/>
      <c r="G3" s="983"/>
      <c r="H3" s="983"/>
      <c r="I3" s="983"/>
      <c r="J3" s="983"/>
      <c r="K3" s="983"/>
      <c r="L3" s="983"/>
      <c r="U3" s="223" t="s">
        <v>1061</v>
      </c>
    </row>
    <row r="4" spans="1:32" ht="15" customHeight="1" thickBot="1">
      <c r="A4" s="236"/>
      <c r="B4" s="236"/>
      <c r="C4" s="236"/>
      <c r="D4" s="236"/>
      <c r="G4" s="236"/>
      <c r="H4" s="236"/>
      <c r="I4" s="236"/>
      <c r="J4" s="236"/>
      <c r="K4" s="236"/>
      <c r="L4" s="236"/>
      <c r="U4" s="223" t="s">
        <v>1061</v>
      </c>
    </row>
    <row r="5" spans="1:32" ht="24" customHeight="1" thickBot="1">
      <c r="B5" s="1035" t="s">
        <v>118</v>
      </c>
      <c r="C5" s="1036"/>
      <c r="D5" s="1036"/>
      <c r="E5" s="1036"/>
      <c r="F5" s="1036"/>
      <c r="G5" s="1036"/>
      <c r="H5" s="1036"/>
      <c r="I5" s="1036"/>
      <c r="J5" s="1036"/>
      <c r="K5" s="1036"/>
      <c r="L5" s="1036"/>
      <c r="M5" s="1036"/>
      <c r="N5" s="1036"/>
      <c r="O5" s="1036"/>
      <c r="P5" s="1036"/>
      <c r="Q5" s="1036"/>
      <c r="R5" s="1036"/>
      <c r="S5" s="1037"/>
      <c r="U5" s="223" t="s">
        <v>1061</v>
      </c>
    </row>
    <row r="6" spans="1:32" ht="99.9" customHeight="1" thickBot="1">
      <c r="B6" s="504"/>
      <c r="C6" s="996" t="s">
        <v>943</v>
      </c>
      <c r="D6" s="997"/>
      <c r="E6" s="997"/>
      <c r="F6" s="997"/>
      <c r="G6" s="997"/>
      <c r="H6" s="997"/>
      <c r="I6" s="997"/>
      <c r="J6" s="997"/>
      <c r="K6" s="997"/>
      <c r="L6" s="997"/>
      <c r="M6" s="997"/>
      <c r="N6" s="997"/>
      <c r="O6" s="997"/>
      <c r="P6" s="997"/>
      <c r="Q6" s="997"/>
      <c r="R6" s="997"/>
      <c r="S6" s="998"/>
      <c r="U6" s="223" t="s">
        <v>1061</v>
      </c>
    </row>
    <row r="7" spans="1:32" ht="24" customHeight="1" thickBot="1">
      <c r="B7" s="505"/>
      <c r="C7" s="1033" t="s">
        <v>1044</v>
      </c>
      <c r="D7" s="1033"/>
      <c r="E7" s="1033"/>
      <c r="F7" s="1033"/>
      <c r="G7" s="1033"/>
      <c r="H7" s="1033"/>
      <c r="I7" s="1033"/>
      <c r="J7" s="1033"/>
      <c r="K7" s="1033"/>
      <c r="L7" s="1033"/>
      <c r="M7" s="1033"/>
      <c r="N7" s="1033"/>
      <c r="O7" s="1033"/>
      <c r="P7" s="1033"/>
      <c r="Q7" s="1033"/>
      <c r="R7" s="1033"/>
      <c r="S7" s="1034"/>
      <c r="U7" s="223" t="s">
        <v>1061</v>
      </c>
      <c r="AE7" s="224" t="s">
        <v>1066</v>
      </c>
    </row>
    <row r="8" spans="1:32" ht="24.6" customHeight="1">
      <c r="B8" s="505"/>
      <c r="C8" s="1038" t="s">
        <v>932</v>
      </c>
      <c r="D8" s="1040" t="s">
        <v>933</v>
      </c>
      <c r="E8" s="1040" t="s">
        <v>1055</v>
      </c>
      <c r="F8" s="1040" t="s">
        <v>1056</v>
      </c>
      <c r="G8" s="1040" t="s">
        <v>1057</v>
      </c>
      <c r="H8" s="1040" t="s">
        <v>944</v>
      </c>
      <c r="I8" s="1040" t="s">
        <v>945</v>
      </c>
      <c r="J8" s="1040" t="s">
        <v>946</v>
      </c>
      <c r="K8" s="1040" t="s">
        <v>947</v>
      </c>
      <c r="L8" s="1040" t="s">
        <v>948</v>
      </c>
      <c r="M8" s="986" t="s">
        <v>1065</v>
      </c>
      <c r="N8" s="986"/>
      <c r="O8" s="1040" t="s">
        <v>949</v>
      </c>
      <c r="P8" s="1040" t="s">
        <v>950</v>
      </c>
      <c r="Q8" s="1042" t="s">
        <v>1014</v>
      </c>
      <c r="R8" s="1042" t="s">
        <v>1015</v>
      </c>
      <c r="S8" s="1044" t="s">
        <v>1043</v>
      </c>
      <c r="U8" s="223" t="s">
        <v>1061</v>
      </c>
      <c r="AC8" s="224" t="s">
        <v>1069</v>
      </c>
      <c r="AD8" s="224" t="s">
        <v>1070</v>
      </c>
      <c r="AE8" s="224" t="s">
        <v>1067</v>
      </c>
      <c r="AF8" s="224" t="s">
        <v>1068</v>
      </c>
    </row>
    <row r="9" spans="1:32" ht="30" customHeight="1">
      <c r="B9" s="505"/>
      <c r="C9" s="1039"/>
      <c r="D9" s="1041"/>
      <c r="E9" s="1041"/>
      <c r="F9" s="1041"/>
      <c r="G9" s="1041"/>
      <c r="H9" s="1041"/>
      <c r="I9" s="1041"/>
      <c r="J9" s="1041"/>
      <c r="K9" s="1041"/>
      <c r="L9" s="1041"/>
      <c r="M9" s="227" t="s">
        <v>1064</v>
      </c>
      <c r="N9" s="693" t="s">
        <v>785</v>
      </c>
      <c r="O9" s="1041"/>
      <c r="P9" s="1041"/>
      <c r="Q9" s="1043"/>
      <c r="R9" s="1043"/>
      <c r="S9" s="1045"/>
      <c r="U9" s="223" t="s">
        <v>1061</v>
      </c>
      <c r="AC9" s="224">
        <v>30</v>
      </c>
      <c r="AD9" s="224">
        <v>60</v>
      </c>
      <c r="AE9" s="231">
        <f>AC9-(AC9*0.03)</f>
        <v>29.1</v>
      </c>
      <c r="AF9" s="231">
        <f>AD9+(AD9*0.03)</f>
        <v>61.8</v>
      </c>
    </row>
    <row r="10" spans="1:32" s="229" customFormat="1" ht="20.100000000000001" customHeight="1">
      <c r="B10" s="506"/>
      <c r="C10" s="608"/>
      <c r="D10" s="660"/>
      <c r="E10" s="658"/>
      <c r="F10" s="610"/>
      <c r="G10" s="660"/>
      <c r="H10" s="661"/>
      <c r="I10" s="661"/>
      <c r="J10" s="658"/>
      <c r="K10" s="662" t="str">
        <f t="shared" ref="K10:K31" si="0">IF(C10&lt;&gt;"",MEDIAN(H10:J10),"")</f>
        <v/>
      </c>
      <c r="L10" s="661"/>
      <c r="M10" s="661"/>
      <c r="N10" s="694" t="str">
        <f>IF(D10&lt;&gt;"",IF(OR(AND(M10 &gt;= AE9,M10 &lt; AC9),AND(M10 &gt; AD9,M10 &lt;= AF9)),"Yes","No"),"")</f>
        <v/>
      </c>
      <c r="O10" s="609"/>
      <c r="P10" s="614"/>
      <c r="Q10" s="615" t="str">
        <f>IF(O10&lt;&gt;"",IF('Review Comments'!H$151="Achieved",IF(ABS(O10&lt;=0.7),IF(P10&lt;=15%,"MET","NOT MET"),"NOT MET"),"TBD"),"")</f>
        <v/>
      </c>
      <c r="R10" s="615" t="str">
        <f>IF(O10&lt;&gt;"",IF('Review Comments'!H$153="Achieved",IF(ABS(O10&lt;=0.5),IF(P10&lt;=10%,"MET","NOT MET"),"NOT MET"),IF('Review Comments'!H$153="NOT ATTEMPTED","N/A",IF('Review Comments'!H$153="NOT ACHIEVED","NOT MET",IF('Review Comments'!H$153="WITHDRAWN","N/A","TBD")))),"")</f>
        <v/>
      </c>
      <c r="S10" s="616" t="str">
        <f>IF(M10&lt;&gt;"",IF('Review Comments'!H$162="Achieved",IF(AND(M10*1.025 &gt;= 30,M10*0.975&lt;=60),"MET","NOT MET"),IF('Review Comments'!H$162="NOT ATTEMPTED","N/A",IF('Review Comments'!H$162="NOT ACHIEVED","NOT MET",IF('Review Comments'!H$162="WITHDRAWN","N/A","TBD")))),"")</f>
        <v/>
      </c>
      <c r="U10" s="223" t="s">
        <v>1061</v>
      </c>
      <c r="V10" s="444" t="s">
        <v>951</v>
      </c>
    </row>
    <row r="11" spans="1:32" ht="20.100000000000001" customHeight="1">
      <c r="B11" s="505"/>
      <c r="C11" s="608"/>
      <c r="D11" s="660"/>
      <c r="E11" s="658"/>
      <c r="F11" s="610"/>
      <c r="G11" s="660"/>
      <c r="H11" s="661"/>
      <c r="I11" s="661"/>
      <c r="J11" s="658"/>
      <c r="K11" s="662" t="str">
        <f t="shared" si="0"/>
        <v/>
      </c>
      <c r="L11" s="661"/>
      <c r="M11" s="661"/>
      <c r="N11" s="694" t="str">
        <f t="shared" ref="N11:N31" si="1">IF(D11&lt;&gt;"",IF(OR(AND(M11 &gt;= AE10,M11 &lt; AC10),AND(M11 &gt; AD10,M11 &lt;= AF10)),"Yes","No"),"")</f>
        <v/>
      </c>
      <c r="O11" s="609"/>
      <c r="P11" s="614"/>
      <c r="Q11" s="615" t="str">
        <f>IF(O11&lt;&gt;"",IF('Review Comments'!H$151="Achieved",IF(ABS(O11&lt;=0.7),IF(P11&lt;=15%,"MET","NOT MET"),"NOT MET"),"TBD"),"")</f>
        <v/>
      </c>
      <c r="R11" s="615" t="str">
        <f>IF(O11&lt;&gt;"",IF('Review Comments'!H$153="Achieved",IF(ABS(O11&lt;=0.5),IF(P11&lt;=10%,"MET","NOT MET"),"NOT MET"),IF('Review Comments'!H$153="NOT ATTEMPTED","N/A",IF('Review Comments'!H$153="NOT ACHIEVED","NOT MET",IF('Review Comments'!H$153="WITHDRAWN","N/A","TBD")))),"")</f>
        <v/>
      </c>
      <c r="S11" s="616" t="str">
        <f>IF(M11&lt;&gt;"",IF('Review Comments'!H$162="Achieved",IF(AND(M11*1.025 &gt;= 30,M11*0.975&lt;=60),"MET","NOT MET"),IF('Review Comments'!H$162="NOT ATTEMPTED","N/A",IF('Review Comments'!H$162="NOT ACHIEVED","NOT MET",IF('Review Comments'!H$162="WITHDRAWN","N/A","TBD")))),"")</f>
        <v/>
      </c>
      <c r="U11" s="223" t="str">
        <f t="shared" ref="U11:U31" si="2">IF(D11="","Yes","No")</f>
        <v>Yes</v>
      </c>
      <c r="V11" s="444" t="s">
        <v>952</v>
      </c>
    </row>
    <row r="12" spans="1:32" ht="20.100000000000001" customHeight="1">
      <c r="B12" s="505"/>
      <c r="C12" s="608"/>
      <c r="D12" s="660"/>
      <c r="E12" s="658"/>
      <c r="F12" s="610"/>
      <c r="G12" s="660"/>
      <c r="H12" s="661"/>
      <c r="I12" s="661"/>
      <c r="J12" s="658"/>
      <c r="K12" s="662" t="str">
        <f t="shared" si="0"/>
        <v/>
      </c>
      <c r="L12" s="661"/>
      <c r="M12" s="661"/>
      <c r="N12" s="694" t="str">
        <f t="shared" si="1"/>
        <v/>
      </c>
      <c r="O12" s="609"/>
      <c r="P12" s="614"/>
      <c r="Q12" s="615" t="str">
        <f>IF(O12&lt;&gt;"",IF('Review Comments'!H$151="Achieved",IF(ABS(O12&lt;=0.7),IF(P12&lt;=15%,"MET","NOT MET"),"NOT MET"),"TBD"),"")</f>
        <v/>
      </c>
      <c r="R12" s="615" t="str">
        <f>IF(O12&lt;&gt;"",IF('Review Comments'!H$153="Achieved",IF(ABS(O12&lt;=0.5),IF(P12&lt;=10%,"MET","NOT MET"),"NOT MET"),IF('Review Comments'!H$153="NOT ATTEMPTED","N/A",IF('Review Comments'!H$153="NOT ACHIEVED","NOT MET",IF('Review Comments'!H$153="WITHDRAWN","N/A","TBD")))),"")</f>
        <v/>
      </c>
      <c r="S12" s="616" t="str">
        <f>IF(M12&lt;&gt;"",IF('Review Comments'!H$162="Achieved",IF(AND(M12*1.025 &gt;= 30,M12*0.975&lt;=60),"MET","NOT MET"),IF('Review Comments'!H$162="NOT ATTEMPTED","N/A",IF('Review Comments'!H$162="NOT ACHIEVED","NOT MET",IF('Review Comments'!H$162="WITHDRAWN","N/A","TBD")))),"")</f>
        <v/>
      </c>
      <c r="U12" s="223" t="str">
        <f t="shared" si="2"/>
        <v>Yes</v>
      </c>
      <c r="V12" s="444" t="s">
        <v>953</v>
      </c>
    </row>
    <row r="13" spans="1:32" ht="20.100000000000001" customHeight="1">
      <c r="B13" s="505"/>
      <c r="C13" s="608"/>
      <c r="D13" s="660"/>
      <c r="E13" s="658"/>
      <c r="F13" s="610"/>
      <c r="G13" s="660"/>
      <c r="H13" s="661"/>
      <c r="I13" s="661"/>
      <c r="J13" s="658"/>
      <c r="K13" s="662" t="str">
        <f t="shared" si="0"/>
        <v/>
      </c>
      <c r="L13" s="661"/>
      <c r="M13" s="661"/>
      <c r="N13" s="694" t="str">
        <f t="shared" si="1"/>
        <v/>
      </c>
      <c r="O13" s="609"/>
      <c r="P13" s="614"/>
      <c r="Q13" s="615" t="str">
        <f>IF(O13&lt;&gt;"",IF('Review Comments'!H$151="Achieved",IF(ABS(O13&lt;=0.7),IF(P13&lt;=15%,"MET","NOT MET"),"NOT MET"),"TBD"),"")</f>
        <v/>
      </c>
      <c r="R13" s="615" t="str">
        <f>IF(O13&lt;&gt;"",IF('Review Comments'!H$153="Achieved",IF(ABS(O13&lt;=0.5),IF(P13&lt;=10%,"MET","NOT MET"),"NOT MET"),IF('Review Comments'!H$153="NOT ATTEMPTED","N/A",IF('Review Comments'!H$153="NOT ACHIEVED","NOT MET",IF('Review Comments'!H$153="WITHDRAWN","N/A","TBD")))),"")</f>
        <v/>
      </c>
      <c r="S13" s="616" t="str">
        <f>IF(M13&lt;&gt;"",IF('Review Comments'!H$162="Achieved",IF(AND(M13*1.025 &gt;= 30,M13*0.975&lt;=60),"MET","NOT MET"),IF('Review Comments'!H$162="NOT ATTEMPTED","N/A",IF('Review Comments'!H$162="NOT ACHIEVED","NOT MET",IF('Review Comments'!H$162="WITHDRAWN","N/A","TBD")))),"")</f>
        <v/>
      </c>
      <c r="U13" s="223" t="str">
        <f t="shared" si="2"/>
        <v>Yes</v>
      </c>
    </row>
    <row r="14" spans="1:32" ht="20.100000000000001" customHeight="1">
      <c r="B14" s="505"/>
      <c r="C14" s="608"/>
      <c r="D14" s="660"/>
      <c r="E14" s="658"/>
      <c r="F14" s="610"/>
      <c r="G14" s="660"/>
      <c r="H14" s="661"/>
      <c r="I14" s="661"/>
      <c r="J14" s="658"/>
      <c r="K14" s="662" t="str">
        <f t="shared" si="0"/>
        <v/>
      </c>
      <c r="L14" s="661"/>
      <c r="M14" s="661"/>
      <c r="N14" s="694" t="str">
        <f t="shared" si="1"/>
        <v/>
      </c>
      <c r="O14" s="609"/>
      <c r="P14" s="614"/>
      <c r="Q14" s="615" t="str">
        <f>IF(O14&lt;&gt;"",IF('Review Comments'!H$151="Achieved",IF(ABS(O14&lt;=0.7),IF(P14&lt;=15%,"MET","NOT MET"),"NOT MET"),"TBD"),"")</f>
        <v/>
      </c>
      <c r="R14" s="615" t="str">
        <f>IF(O14&lt;&gt;"",IF('Review Comments'!H$153="Achieved",IF(ABS(O14&lt;=0.5),IF(P14&lt;=10%,"MET","NOT MET"),"NOT MET"),IF('Review Comments'!H$153="NOT ATTEMPTED","N/A",IF('Review Comments'!H$153="NOT ACHIEVED","NOT MET",IF('Review Comments'!H$153="WITHDRAWN","N/A","TBD")))),"")</f>
        <v/>
      </c>
      <c r="S14" s="616" t="str">
        <f>IF(M14&lt;&gt;"",IF('Review Comments'!H$162="Achieved",IF(AND(M14*1.025 &gt;= 30,M14*0.975&lt;=60),"MET","NOT MET"),IF('Review Comments'!H$162="NOT ATTEMPTED","N/A",IF('Review Comments'!H$162="NOT ACHIEVED","NOT MET",IF('Review Comments'!H$162="WITHDRAWN","N/A","TBD")))),"")</f>
        <v/>
      </c>
      <c r="U14" s="223" t="str">
        <f t="shared" si="2"/>
        <v>Yes</v>
      </c>
    </row>
    <row r="15" spans="1:32" ht="20.100000000000001" customHeight="1">
      <c r="B15" s="505"/>
      <c r="C15" s="608"/>
      <c r="D15" s="660"/>
      <c r="E15" s="658"/>
      <c r="F15" s="610"/>
      <c r="G15" s="660"/>
      <c r="H15" s="661"/>
      <c r="I15" s="661"/>
      <c r="J15" s="658"/>
      <c r="K15" s="662" t="str">
        <f t="shared" si="0"/>
        <v/>
      </c>
      <c r="L15" s="661"/>
      <c r="M15" s="661"/>
      <c r="N15" s="694" t="str">
        <f t="shared" si="1"/>
        <v/>
      </c>
      <c r="O15" s="609"/>
      <c r="P15" s="614"/>
      <c r="Q15" s="615" t="str">
        <f>IF(O15&lt;&gt;"",IF('Review Comments'!H$151="Achieved",IF(ABS(O15&lt;=0.7),IF(P15&lt;=15%,"MET","NOT MET"),"NOT MET"),"TBD"),"")</f>
        <v/>
      </c>
      <c r="R15" s="615" t="str">
        <f>IF(O15&lt;&gt;"",IF('Review Comments'!H$153="Achieved",IF(ABS(O15&lt;=0.5),IF(P15&lt;=10%,"MET","NOT MET"),"NOT MET"),IF('Review Comments'!H$153="NOT ATTEMPTED","N/A",IF('Review Comments'!H$153="NOT ACHIEVED","NOT MET",IF('Review Comments'!H$153="WITHDRAWN","N/A","TBD")))),"")</f>
        <v/>
      </c>
      <c r="S15" s="616" t="str">
        <f>IF(M15&lt;&gt;"",IF('Review Comments'!H$162="Achieved",IF(AND(M15*1.025 &gt;= 30,M15*0.975&lt;=60),"MET","NOT MET"),IF('Review Comments'!H$162="NOT ATTEMPTED","N/A",IF('Review Comments'!H$162="NOT ACHIEVED","NOT MET",IF('Review Comments'!H$162="WITHDRAWN","N/A","TBD")))),"")</f>
        <v/>
      </c>
      <c r="U15" s="223" t="str">
        <f t="shared" si="2"/>
        <v>Yes</v>
      </c>
    </row>
    <row r="16" spans="1:32" ht="20.100000000000001" customHeight="1">
      <c r="B16" s="505"/>
      <c r="C16" s="608"/>
      <c r="D16" s="660"/>
      <c r="E16" s="658"/>
      <c r="F16" s="610"/>
      <c r="G16" s="660"/>
      <c r="H16" s="661"/>
      <c r="I16" s="661"/>
      <c r="J16" s="658"/>
      <c r="K16" s="662" t="str">
        <f t="shared" si="0"/>
        <v/>
      </c>
      <c r="L16" s="661"/>
      <c r="M16" s="661"/>
      <c r="N16" s="694" t="str">
        <f t="shared" si="1"/>
        <v/>
      </c>
      <c r="O16" s="609"/>
      <c r="P16" s="614"/>
      <c r="Q16" s="615" t="str">
        <f>IF(O16&lt;&gt;"",IF('Review Comments'!H$151="Achieved",IF(ABS(O16&lt;=0.7),IF(P16&lt;=15%,"MET","NOT MET"),"NOT MET"),"TBD"),"")</f>
        <v/>
      </c>
      <c r="R16" s="615" t="str">
        <f>IF(O16&lt;&gt;"",IF('Review Comments'!H$153="Achieved",IF(ABS(O16&lt;=0.5),IF(P16&lt;=10%,"MET","NOT MET"),"NOT MET"),IF('Review Comments'!H$153="NOT ATTEMPTED","N/A",IF('Review Comments'!H$153="NOT ACHIEVED","NOT MET",IF('Review Comments'!H$153="WITHDRAWN","N/A","TBD")))),"")</f>
        <v/>
      </c>
      <c r="S16" s="616" t="str">
        <f>IF(M16&lt;&gt;"",IF('Review Comments'!H$162="Achieved",IF(AND(M16*1.025 &gt;= 30,M16*0.975&lt;=60),"MET","NOT MET"),IF('Review Comments'!H$162="NOT ATTEMPTED","N/A",IF('Review Comments'!H$162="NOT ACHIEVED","NOT MET",IF('Review Comments'!H$162="WITHDRAWN","N/A","TBD")))),"")</f>
        <v/>
      </c>
      <c r="U16" s="223" t="str">
        <f t="shared" si="2"/>
        <v>Yes</v>
      </c>
    </row>
    <row r="17" spans="2:21" ht="20.100000000000001" customHeight="1">
      <c r="B17" s="505"/>
      <c r="C17" s="608"/>
      <c r="D17" s="660"/>
      <c r="E17" s="658"/>
      <c r="F17" s="610"/>
      <c r="G17" s="647"/>
      <c r="H17" s="661"/>
      <c r="I17" s="661"/>
      <c r="J17" s="658"/>
      <c r="K17" s="662" t="str">
        <f t="shared" si="0"/>
        <v/>
      </c>
      <c r="L17" s="661"/>
      <c r="M17" s="661"/>
      <c r="N17" s="694" t="str">
        <f t="shared" si="1"/>
        <v/>
      </c>
      <c r="O17" s="609"/>
      <c r="P17" s="614"/>
      <c r="Q17" s="615" t="str">
        <f>IF(O17&lt;&gt;"",IF('Review Comments'!H$151="Achieved",IF(ABS(O17&lt;=0.7),IF(P17&lt;=15%,"MET","NOT MET"),"NOT MET"),"TBD"),"")</f>
        <v/>
      </c>
      <c r="R17" s="615" t="str">
        <f>IF(O17&lt;&gt;"",IF('Review Comments'!H$153="Achieved",IF(ABS(O17&lt;=0.5),IF(P17&lt;=10%,"MET","NOT MET"),"NOT MET"),IF('Review Comments'!H$153="NOT ATTEMPTED","N/A",IF('Review Comments'!H$153="NOT ACHIEVED","NOT MET",IF('Review Comments'!H$153="WITHDRAWN","N/A","TBD")))),"")</f>
        <v/>
      </c>
      <c r="S17" s="616" t="str">
        <f>IF(M17&lt;&gt;"",IF('Review Comments'!H$162="Achieved",IF(AND(M17*1.025 &gt;= 30,M17*0.975&lt;=60),"MET","NOT MET"),IF('Review Comments'!H$162="NOT ATTEMPTED","N/A",IF('Review Comments'!H$162="NOT ACHIEVED","NOT MET",IF('Review Comments'!H$162="WITHDRAWN","N/A","TBD")))),"")</f>
        <v/>
      </c>
      <c r="U17" s="223" t="str">
        <f t="shared" si="2"/>
        <v>Yes</v>
      </c>
    </row>
    <row r="18" spans="2:21" ht="20.100000000000001" customHeight="1">
      <c r="B18" s="505"/>
      <c r="C18" s="608"/>
      <c r="D18" s="660"/>
      <c r="E18" s="658"/>
      <c r="F18" s="610"/>
      <c r="G18" s="647"/>
      <c r="H18" s="661"/>
      <c r="I18" s="661"/>
      <c r="J18" s="658"/>
      <c r="K18" s="662" t="str">
        <f t="shared" si="0"/>
        <v/>
      </c>
      <c r="L18" s="661"/>
      <c r="M18" s="661"/>
      <c r="N18" s="694" t="str">
        <f t="shared" si="1"/>
        <v/>
      </c>
      <c r="O18" s="609"/>
      <c r="P18" s="614"/>
      <c r="Q18" s="615" t="str">
        <f>IF(O18&lt;&gt;"",IF('Review Comments'!H$151="Achieved",IF(ABS(O18&lt;=0.7),IF(P18&lt;=15%,"MET","NOT MET"),"NOT MET"),"TBD"),"")</f>
        <v/>
      </c>
      <c r="R18" s="615" t="str">
        <f>IF(O18&lt;&gt;"",IF('Review Comments'!H$153="Achieved",IF(ABS(O18&lt;=0.5),IF(P18&lt;=10%,"MET","NOT MET"),"NOT MET"),IF('Review Comments'!H$153="NOT ATTEMPTED","N/A",IF('Review Comments'!H$153="NOT ACHIEVED","NOT MET",IF('Review Comments'!H$153="WITHDRAWN","N/A","TBD")))),"")</f>
        <v/>
      </c>
      <c r="S18" s="616" t="str">
        <f>IF(M18&lt;&gt;"",IF('Review Comments'!H$162="Achieved",IF(AND(M18*1.025 &gt;= 30,M18*0.975&lt;=60),"MET","NOT MET"),IF('Review Comments'!H$162="NOT ATTEMPTED","N/A",IF('Review Comments'!H$162="NOT ACHIEVED","NOT MET",IF('Review Comments'!H$162="WITHDRAWN","N/A","TBD")))),"")</f>
        <v/>
      </c>
      <c r="U18" s="223" t="str">
        <f t="shared" si="2"/>
        <v>Yes</v>
      </c>
    </row>
    <row r="19" spans="2:21" ht="20.100000000000001" customHeight="1">
      <c r="B19" s="505"/>
      <c r="C19" s="608"/>
      <c r="D19" s="660"/>
      <c r="E19" s="658"/>
      <c r="F19" s="610"/>
      <c r="G19" s="647"/>
      <c r="H19" s="661"/>
      <c r="I19" s="661"/>
      <c r="J19" s="658"/>
      <c r="K19" s="662" t="str">
        <f t="shared" si="0"/>
        <v/>
      </c>
      <c r="L19" s="661"/>
      <c r="M19" s="661"/>
      <c r="N19" s="694" t="str">
        <f t="shared" si="1"/>
        <v/>
      </c>
      <c r="O19" s="609"/>
      <c r="P19" s="614"/>
      <c r="Q19" s="615" t="str">
        <f>IF(O19&lt;&gt;"",IF('Review Comments'!H$151="Achieved",IF(ABS(O19&lt;=0.7),IF(P19&lt;=15%,"MET","NOT MET"),"NOT MET"),"TBD"),"")</f>
        <v/>
      </c>
      <c r="R19" s="615" t="str">
        <f>IF(O19&lt;&gt;"",IF('Review Comments'!H$153="Achieved",IF(ABS(O19&lt;=0.5),IF(P19&lt;=10%,"MET","NOT MET"),"NOT MET"),IF('Review Comments'!H$153="NOT ATTEMPTED","N/A",IF('Review Comments'!H$153="NOT ACHIEVED","NOT MET",IF('Review Comments'!H$153="WITHDRAWN","N/A","TBD")))),"")</f>
        <v/>
      </c>
      <c r="S19" s="616" t="str">
        <f>IF(M19&lt;&gt;"",IF('Review Comments'!H$162="Achieved",IF(AND(M19*1.025 &gt;= 30,M19*0.975&lt;=60),"MET","NOT MET"),IF('Review Comments'!H$162="NOT ATTEMPTED","N/A",IF('Review Comments'!H$162="NOT ACHIEVED","NOT MET",IF('Review Comments'!H$162="WITHDRAWN","N/A","TBD")))),"")</f>
        <v/>
      </c>
      <c r="U19" s="223" t="str">
        <f t="shared" si="2"/>
        <v>Yes</v>
      </c>
    </row>
    <row r="20" spans="2:21" ht="20.100000000000001" customHeight="1">
      <c r="B20" s="505"/>
      <c r="C20" s="608"/>
      <c r="D20" s="660"/>
      <c r="E20" s="658"/>
      <c r="F20" s="610"/>
      <c r="G20" s="647"/>
      <c r="H20" s="661"/>
      <c r="I20" s="661"/>
      <c r="J20" s="658"/>
      <c r="K20" s="662" t="str">
        <f t="shared" si="0"/>
        <v/>
      </c>
      <c r="L20" s="661"/>
      <c r="M20" s="661"/>
      <c r="N20" s="694" t="str">
        <f t="shared" si="1"/>
        <v/>
      </c>
      <c r="O20" s="609"/>
      <c r="P20" s="614"/>
      <c r="Q20" s="615" t="str">
        <f>IF(O20&lt;&gt;"",IF('Review Comments'!H$151="Achieved",IF(ABS(O20&lt;=0.7),IF(P20&lt;=15%,"MET","NOT MET"),"NOT MET"),"TBD"),"")</f>
        <v/>
      </c>
      <c r="R20" s="615" t="str">
        <f>IF(O20&lt;&gt;"",IF('Review Comments'!H$153="Achieved",IF(ABS(O20&lt;=0.5),IF(P20&lt;=10%,"MET","NOT MET"),"NOT MET"),IF('Review Comments'!H$153="NOT ATTEMPTED","N/A",IF('Review Comments'!H$153="NOT ACHIEVED","NOT MET",IF('Review Comments'!H$153="WITHDRAWN","N/A","TBD")))),"")</f>
        <v/>
      </c>
      <c r="S20" s="616" t="str">
        <f>IF(M20&lt;&gt;"",IF('Review Comments'!H$162="Achieved",IF(AND(M20*1.025 &gt;= 30,M20*0.975&lt;=60),"MET","NOT MET"),IF('Review Comments'!H$162="NOT ATTEMPTED","N/A",IF('Review Comments'!H$162="NOT ACHIEVED","NOT MET",IF('Review Comments'!H$162="WITHDRAWN","N/A","TBD")))),"")</f>
        <v/>
      </c>
      <c r="U20" s="223" t="str">
        <f t="shared" si="2"/>
        <v>Yes</v>
      </c>
    </row>
    <row r="21" spans="2:21" ht="20.100000000000001" customHeight="1">
      <c r="B21" s="505"/>
      <c r="C21" s="608"/>
      <c r="D21" s="660"/>
      <c r="E21" s="658"/>
      <c r="F21" s="610"/>
      <c r="G21" s="647"/>
      <c r="H21" s="661"/>
      <c r="I21" s="661"/>
      <c r="J21" s="658"/>
      <c r="K21" s="662" t="str">
        <f t="shared" si="0"/>
        <v/>
      </c>
      <c r="L21" s="661"/>
      <c r="M21" s="661"/>
      <c r="N21" s="694" t="str">
        <f t="shared" si="1"/>
        <v/>
      </c>
      <c r="O21" s="609"/>
      <c r="P21" s="614"/>
      <c r="Q21" s="615" t="str">
        <f>IF(O21&lt;&gt;"",IF('Review Comments'!H$151="Achieved",IF(ABS(O21&lt;=0.7),IF(P21&lt;=15%,"MET","NOT MET"),"NOT MET"),"TBD"),"")</f>
        <v/>
      </c>
      <c r="R21" s="615" t="str">
        <f>IF(O21&lt;&gt;"",IF('Review Comments'!H$153="Achieved",IF(ABS(O21&lt;=0.5),IF(P21&lt;=10%,"MET","NOT MET"),"NOT MET"),IF('Review Comments'!H$153="NOT ATTEMPTED","N/A",IF('Review Comments'!H$153="NOT ACHIEVED","NOT MET",IF('Review Comments'!H$153="WITHDRAWN","N/A","TBD")))),"")</f>
        <v/>
      </c>
      <c r="S21" s="616" t="str">
        <f>IF(M21&lt;&gt;"",IF('Review Comments'!H$162="Achieved",IF(AND(M21*1.025 &gt;= 30,M21*0.975&lt;=60),"MET","NOT MET"),IF('Review Comments'!H$162="NOT ATTEMPTED","N/A",IF('Review Comments'!H$162="NOT ACHIEVED","NOT MET",IF('Review Comments'!H$162="WITHDRAWN","N/A","TBD")))),"")</f>
        <v/>
      </c>
      <c r="U21" s="223" t="str">
        <f t="shared" si="2"/>
        <v>Yes</v>
      </c>
    </row>
    <row r="22" spans="2:21" ht="20.100000000000001" customHeight="1">
      <c r="B22" s="505"/>
      <c r="C22" s="608"/>
      <c r="D22" s="660"/>
      <c r="E22" s="658"/>
      <c r="F22" s="610"/>
      <c r="G22" s="647"/>
      <c r="H22" s="661"/>
      <c r="I22" s="661"/>
      <c r="J22" s="658"/>
      <c r="K22" s="662" t="str">
        <f t="shared" si="0"/>
        <v/>
      </c>
      <c r="L22" s="661"/>
      <c r="M22" s="661"/>
      <c r="N22" s="694" t="str">
        <f t="shared" si="1"/>
        <v/>
      </c>
      <c r="O22" s="609"/>
      <c r="P22" s="614"/>
      <c r="Q22" s="615" t="str">
        <f>IF(O22&lt;&gt;"",IF('Review Comments'!H$151="Achieved",IF(ABS(O22&lt;=0.7),IF(P22&lt;=15%,"MET","NOT MET"),"NOT MET"),"TBD"),"")</f>
        <v/>
      </c>
      <c r="R22" s="615" t="str">
        <f>IF(O22&lt;&gt;"",IF('Review Comments'!H$153="Achieved",IF(ABS(O22&lt;=0.5),IF(P22&lt;=10%,"MET","NOT MET"),"NOT MET"),IF('Review Comments'!H$153="NOT ATTEMPTED","N/A",IF('Review Comments'!H$153="NOT ACHIEVED","NOT MET",IF('Review Comments'!H$153="WITHDRAWN","N/A","TBD")))),"")</f>
        <v/>
      </c>
      <c r="S22" s="616" t="str">
        <f>IF(M22&lt;&gt;"",IF('Review Comments'!H$162="Achieved",IF(AND(M22*1.025 &gt;= 30,M22*0.975&lt;=60),"MET","NOT MET"),IF('Review Comments'!H$162="NOT ATTEMPTED","N/A",IF('Review Comments'!H$162="NOT ACHIEVED","NOT MET",IF('Review Comments'!H$162="WITHDRAWN","N/A","TBD")))),"")</f>
        <v/>
      </c>
      <c r="U22" s="223" t="str">
        <f t="shared" si="2"/>
        <v>Yes</v>
      </c>
    </row>
    <row r="23" spans="2:21" ht="20.100000000000001" customHeight="1">
      <c r="B23" s="505"/>
      <c r="C23" s="608"/>
      <c r="D23" s="660"/>
      <c r="E23" s="658"/>
      <c r="F23" s="610"/>
      <c r="G23" s="647"/>
      <c r="H23" s="661"/>
      <c r="I23" s="661"/>
      <c r="J23" s="658"/>
      <c r="K23" s="662" t="str">
        <f t="shared" si="0"/>
        <v/>
      </c>
      <c r="L23" s="661"/>
      <c r="M23" s="661"/>
      <c r="N23" s="694" t="str">
        <f t="shared" si="1"/>
        <v/>
      </c>
      <c r="O23" s="609"/>
      <c r="P23" s="614"/>
      <c r="Q23" s="615" t="str">
        <f>IF(O23&lt;&gt;"",IF('Review Comments'!H$151="Achieved",IF(ABS(O23&lt;=0.7),IF(P23&lt;=15%,"MET","NOT MET"),"NOT MET"),"TBD"),"")</f>
        <v/>
      </c>
      <c r="R23" s="615" t="str">
        <f>IF(O23&lt;&gt;"",IF('Review Comments'!H$153="Achieved",IF(ABS(O23&lt;=0.5),IF(P23&lt;=10%,"MET","NOT MET"),"NOT MET"),IF('Review Comments'!H$153="NOT ATTEMPTED","N/A",IF('Review Comments'!H$153="NOT ACHIEVED","NOT MET",IF('Review Comments'!H$153="WITHDRAWN","N/A","TBD")))),"")</f>
        <v/>
      </c>
      <c r="S23" s="616" t="str">
        <f>IF(M23&lt;&gt;"",IF('Review Comments'!H$162="Achieved",IF(AND(M23*1.025 &gt;= 30,M23*0.975&lt;=60),"MET","NOT MET"),IF('Review Comments'!H$162="NOT ATTEMPTED","N/A",IF('Review Comments'!H$162="NOT ACHIEVED","NOT MET",IF('Review Comments'!H$162="WITHDRAWN","N/A","TBD")))),"")</f>
        <v/>
      </c>
      <c r="U23" s="223" t="str">
        <f t="shared" si="2"/>
        <v>Yes</v>
      </c>
    </row>
    <row r="24" spans="2:21" ht="20.100000000000001" customHeight="1">
      <c r="B24" s="505"/>
      <c r="C24" s="608"/>
      <c r="D24" s="660"/>
      <c r="E24" s="658"/>
      <c r="F24" s="610"/>
      <c r="G24" s="647"/>
      <c r="H24" s="661"/>
      <c r="I24" s="661"/>
      <c r="J24" s="658"/>
      <c r="K24" s="662" t="str">
        <f t="shared" si="0"/>
        <v/>
      </c>
      <c r="L24" s="661"/>
      <c r="M24" s="661"/>
      <c r="N24" s="694" t="str">
        <f t="shared" si="1"/>
        <v/>
      </c>
      <c r="O24" s="609"/>
      <c r="P24" s="614"/>
      <c r="Q24" s="615" t="str">
        <f>IF(O24&lt;&gt;"",IF('Review Comments'!H$151="Achieved",IF(ABS(O24&lt;=0.7),IF(P24&lt;=15%,"MET","NOT MET"),"NOT MET"),"TBD"),"")</f>
        <v/>
      </c>
      <c r="R24" s="615" t="str">
        <f>IF(O24&lt;&gt;"",IF('Review Comments'!H$153="Achieved",IF(ABS(O24&lt;=0.5),IF(P24&lt;=10%,"MET","NOT MET"),"NOT MET"),IF('Review Comments'!H$153="NOT ATTEMPTED","N/A",IF('Review Comments'!H$153="NOT ACHIEVED","NOT MET",IF('Review Comments'!H$153="WITHDRAWN","N/A","TBD")))),"")</f>
        <v/>
      </c>
      <c r="S24" s="616" t="str">
        <f>IF(M24&lt;&gt;"",IF('Review Comments'!H$162="Achieved",IF(AND(M24*1.025 &gt;= 30,M24*0.975&lt;=60),"MET","NOT MET"),IF('Review Comments'!H$162="NOT ATTEMPTED","N/A",IF('Review Comments'!H$162="NOT ACHIEVED","NOT MET",IF('Review Comments'!H$162="WITHDRAWN","N/A","TBD")))),"")</f>
        <v/>
      </c>
      <c r="U24" s="223" t="str">
        <f t="shared" si="2"/>
        <v>Yes</v>
      </c>
    </row>
    <row r="25" spans="2:21" ht="20.100000000000001" customHeight="1">
      <c r="B25" s="505"/>
      <c r="C25" s="608"/>
      <c r="D25" s="660"/>
      <c r="E25" s="658"/>
      <c r="F25" s="610"/>
      <c r="G25" s="647"/>
      <c r="H25" s="661"/>
      <c r="I25" s="661"/>
      <c r="J25" s="658"/>
      <c r="K25" s="662" t="str">
        <f t="shared" si="0"/>
        <v/>
      </c>
      <c r="L25" s="661"/>
      <c r="M25" s="661"/>
      <c r="N25" s="694" t="str">
        <f t="shared" si="1"/>
        <v/>
      </c>
      <c r="O25" s="609"/>
      <c r="P25" s="614"/>
      <c r="Q25" s="615" t="str">
        <f>IF(O25&lt;&gt;"",IF('Review Comments'!H$151="Achieved",IF(ABS(O25&lt;=0.7),IF(P25&lt;=15%,"MET","NOT MET"),"NOT MET"),"TBD"),"")</f>
        <v/>
      </c>
      <c r="R25" s="615" t="str">
        <f>IF(O25&lt;&gt;"",IF('Review Comments'!H$153="Achieved",IF(ABS(O25&lt;=0.5),IF(P25&lt;=10%,"MET","NOT MET"),"NOT MET"),IF('Review Comments'!H$153="NOT ATTEMPTED","N/A",IF('Review Comments'!H$153="NOT ACHIEVED","NOT MET",IF('Review Comments'!H$153="WITHDRAWN","N/A","TBD")))),"")</f>
        <v/>
      </c>
      <c r="S25" s="616" t="str">
        <f>IF(M25&lt;&gt;"",IF('Review Comments'!H$162="Achieved",IF(AND(M25*1.025 &gt;= 30,M25*0.975&lt;=60),"MET","NOT MET"),IF('Review Comments'!H$162="NOT ATTEMPTED","N/A",IF('Review Comments'!H$162="NOT ACHIEVED","NOT MET",IF('Review Comments'!H$162="WITHDRAWN","N/A","TBD")))),"")</f>
        <v/>
      </c>
      <c r="U25" s="223" t="str">
        <f t="shared" si="2"/>
        <v>Yes</v>
      </c>
    </row>
    <row r="26" spans="2:21" ht="20.100000000000001" customHeight="1">
      <c r="B26" s="505"/>
      <c r="C26" s="608"/>
      <c r="D26" s="660"/>
      <c r="E26" s="658"/>
      <c r="F26" s="610"/>
      <c r="G26" s="647"/>
      <c r="H26" s="661"/>
      <c r="I26" s="661"/>
      <c r="J26" s="658"/>
      <c r="K26" s="662" t="str">
        <f t="shared" si="0"/>
        <v/>
      </c>
      <c r="L26" s="661"/>
      <c r="M26" s="661"/>
      <c r="N26" s="694" t="str">
        <f t="shared" si="1"/>
        <v/>
      </c>
      <c r="O26" s="609"/>
      <c r="P26" s="614"/>
      <c r="Q26" s="615" t="str">
        <f>IF(O26&lt;&gt;"",IF('Review Comments'!H$151="Achieved",IF(ABS(O26&lt;=0.7),IF(P26&lt;=15%,"MET","NOT MET"),"NOT MET"),"TBD"),"")</f>
        <v/>
      </c>
      <c r="R26" s="615" t="str">
        <f>IF(O26&lt;&gt;"",IF('Review Comments'!H$153="Achieved",IF(ABS(O26&lt;=0.5),IF(P26&lt;=10%,"MET","NOT MET"),"NOT MET"),IF('Review Comments'!H$153="NOT ATTEMPTED","N/A",IF('Review Comments'!H$153="NOT ACHIEVED","NOT MET",IF('Review Comments'!H$153="WITHDRAWN","N/A","TBD")))),"")</f>
        <v/>
      </c>
      <c r="S26" s="616" t="str">
        <f>IF(M26&lt;&gt;"",IF('Review Comments'!H$162="Achieved",IF(AND(M26*1.025 &gt;= 30,M26*0.975&lt;=60),"MET","NOT MET"),IF('Review Comments'!H$162="NOT ATTEMPTED","N/A",IF('Review Comments'!H$162="NOT ACHIEVED","NOT MET",IF('Review Comments'!H$162="WITHDRAWN","N/A","TBD")))),"")</f>
        <v/>
      </c>
      <c r="U26" s="223" t="str">
        <f t="shared" si="2"/>
        <v>Yes</v>
      </c>
    </row>
    <row r="27" spans="2:21" ht="20.100000000000001" customHeight="1">
      <c r="B27" s="505"/>
      <c r="C27" s="608"/>
      <c r="D27" s="660"/>
      <c r="E27" s="658"/>
      <c r="F27" s="610"/>
      <c r="G27" s="647"/>
      <c r="H27" s="661"/>
      <c r="I27" s="661"/>
      <c r="J27" s="658"/>
      <c r="K27" s="662" t="str">
        <f t="shared" si="0"/>
        <v/>
      </c>
      <c r="L27" s="661"/>
      <c r="M27" s="661"/>
      <c r="N27" s="694" t="str">
        <f t="shared" si="1"/>
        <v/>
      </c>
      <c r="O27" s="609"/>
      <c r="P27" s="614"/>
      <c r="Q27" s="615" t="str">
        <f>IF(O27&lt;&gt;"",IF('Review Comments'!H$151="Achieved",IF(ABS(O27&lt;=0.7),IF(P27&lt;=15%,"MET","NOT MET"),"NOT MET"),"TBD"),"")</f>
        <v/>
      </c>
      <c r="R27" s="615" t="str">
        <f>IF(O27&lt;&gt;"",IF('Review Comments'!H$153="Achieved",IF(ABS(O27&lt;=0.5),IF(P27&lt;=10%,"MET","NOT MET"),"NOT MET"),IF('Review Comments'!H$153="NOT ATTEMPTED","N/A",IF('Review Comments'!H$153="NOT ACHIEVED","NOT MET",IF('Review Comments'!H$153="WITHDRAWN","N/A","TBD")))),"")</f>
        <v/>
      </c>
      <c r="S27" s="616" t="str">
        <f>IF(M27&lt;&gt;"",IF('Review Comments'!H$162="Achieved",IF(AND(M27*1.025 &gt;= 30,M27*0.975&lt;=60),"MET","NOT MET"),IF('Review Comments'!H$162="NOT ATTEMPTED","N/A",IF('Review Comments'!H$162="NOT ACHIEVED","NOT MET",IF('Review Comments'!H$162="WITHDRAWN","N/A","TBD")))),"")</f>
        <v/>
      </c>
      <c r="U27" s="223" t="str">
        <f t="shared" si="2"/>
        <v>Yes</v>
      </c>
    </row>
    <row r="28" spans="2:21" ht="20.100000000000001" customHeight="1">
      <c r="B28" s="505"/>
      <c r="C28" s="608"/>
      <c r="D28" s="660"/>
      <c r="E28" s="658"/>
      <c r="F28" s="610"/>
      <c r="G28" s="647"/>
      <c r="H28" s="661"/>
      <c r="I28" s="661"/>
      <c r="J28" s="658"/>
      <c r="K28" s="662" t="str">
        <f t="shared" si="0"/>
        <v/>
      </c>
      <c r="L28" s="661"/>
      <c r="M28" s="661"/>
      <c r="N28" s="694" t="str">
        <f t="shared" si="1"/>
        <v/>
      </c>
      <c r="O28" s="609"/>
      <c r="P28" s="614"/>
      <c r="Q28" s="615" t="str">
        <f>IF(O28&lt;&gt;"",IF('Review Comments'!H$151="Achieved",IF(ABS(O28&lt;=0.7),IF(P28&lt;=15%,"MET","NOT MET"),"NOT MET"),"TBD"),"")</f>
        <v/>
      </c>
      <c r="R28" s="615" t="str">
        <f>IF(O28&lt;&gt;"",IF('Review Comments'!H$153="Achieved",IF(ABS(O28&lt;=0.5),IF(P28&lt;=10%,"MET","NOT MET"),"NOT MET"),IF('Review Comments'!H$153="NOT ATTEMPTED","N/A",IF('Review Comments'!H$153="NOT ACHIEVED","NOT MET",IF('Review Comments'!H$153="WITHDRAWN","N/A","TBD")))),"")</f>
        <v/>
      </c>
      <c r="S28" s="616" t="str">
        <f>IF(M28&lt;&gt;"",IF('Review Comments'!H$162="Achieved",IF(AND(M28*1.025 &gt;= 30,M28*0.975&lt;=60),"MET","NOT MET"),IF('Review Comments'!H$162="NOT ATTEMPTED","N/A",IF('Review Comments'!H$162="NOT ACHIEVED","NOT MET",IF('Review Comments'!H$162="WITHDRAWN","N/A","TBD")))),"")</f>
        <v/>
      </c>
      <c r="U28" s="223" t="str">
        <f t="shared" si="2"/>
        <v>Yes</v>
      </c>
    </row>
    <row r="29" spans="2:21" ht="20.100000000000001" customHeight="1">
      <c r="B29" s="505"/>
      <c r="C29" s="608"/>
      <c r="D29" s="660"/>
      <c r="E29" s="658"/>
      <c r="F29" s="610"/>
      <c r="G29" s="647"/>
      <c r="H29" s="661"/>
      <c r="I29" s="661"/>
      <c r="J29" s="658"/>
      <c r="K29" s="662" t="str">
        <f t="shared" si="0"/>
        <v/>
      </c>
      <c r="L29" s="661"/>
      <c r="M29" s="661"/>
      <c r="N29" s="694" t="str">
        <f t="shared" si="1"/>
        <v/>
      </c>
      <c r="O29" s="609"/>
      <c r="P29" s="614"/>
      <c r="Q29" s="615" t="str">
        <f>IF(O29&lt;&gt;"",IF('Review Comments'!H$151="Achieved",IF(ABS(O29&lt;=0.7),IF(P29&lt;=15%,"MET","NOT MET"),"NOT MET"),"TBD"),"")</f>
        <v/>
      </c>
      <c r="R29" s="615" t="str">
        <f>IF(O29&lt;&gt;"",IF('Review Comments'!H$153="Achieved",IF(ABS(O29&lt;=0.5),IF(P29&lt;=10%,"MET","NOT MET"),"NOT MET"),IF('Review Comments'!H$153="NOT ATTEMPTED","N/A",IF('Review Comments'!H$153="NOT ACHIEVED","NOT MET",IF('Review Comments'!H$153="WITHDRAWN","N/A","TBD")))),"")</f>
        <v/>
      </c>
      <c r="S29" s="616" t="str">
        <f>IF(M29&lt;&gt;"",IF('Review Comments'!H$162="Achieved",IF(AND(M29*1.025 &gt;= 30,M29*0.975&lt;=60),"MET","NOT MET"),IF('Review Comments'!H$162="NOT ATTEMPTED","N/A",IF('Review Comments'!H$162="NOT ACHIEVED","NOT MET",IF('Review Comments'!H$162="WITHDRAWN","N/A","TBD")))),"")</f>
        <v/>
      </c>
      <c r="U29" s="223" t="str">
        <f t="shared" si="2"/>
        <v>Yes</v>
      </c>
    </row>
    <row r="30" spans="2:21" ht="20.100000000000001" customHeight="1">
      <c r="B30" s="505"/>
      <c r="C30" s="608"/>
      <c r="D30" s="660"/>
      <c r="E30" s="658"/>
      <c r="F30" s="610"/>
      <c r="G30" s="647"/>
      <c r="H30" s="661"/>
      <c r="I30" s="661"/>
      <c r="J30" s="658"/>
      <c r="K30" s="662" t="str">
        <f t="shared" si="0"/>
        <v/>
      </c>
      <c r="L30" s="661"/>
      <c r="M30" s="661"/>
      <c r="N30" s="694" t="str">
        <f t="shared" si="1"/>
        <v/>
      </c>
      <c r="O30" s="609"/>
      <c r="P30" s="614"/>
      <c r="Q30" s="615" t="str">
        <f>IF(O30&lt;&gt;"",IF('Review Comments'!H$151="Achieved",IF(ABS(O30&lt;=0.7),IF(P30&lt;=15%,"MET","NOT MET"),"NOT MET"),"TBD"),"")</f>
        <v/>
      </c>
      <c r="R30" s="615" t="str">
        <f>IF(O30&lt;&gt;"",IF('Review Comments'!H$153="Achieved",IF(ABS(O30&lt;=0.5),IF(P30&lt;=10%,"MET","NOT MET"),"NOT MET"),IF('Review Comments'!H$153="NOT ATTEMPTED","N/A",IF('Review Comments'!H$153="NOT ACHIEVED","NOT MET",IF('Review Comments'!H$153="WITHDRAWN","N/A","TBD")))),"")</f>
        <v/>
      </c>
      <c r="S30" s="616" t="str">
        <f>IF(M30&lt;&gt;"",IF('Review Comments'!H$162="Achieved",IF(AND(M30*1.025 &gt;= 30,M30*0.975&lt;=60),"MET","NOT MET"),IF('Review Comments'!H$162="NOT ATTEMPTED","N/A",IF('Review Comments'!H$162="NOT ACHIEVED","NOT MET",IF('Review Comments'!H$162="WITHDRAWN","N/A","TBD")))),"")</f>
        <v/>
      </c>
      <c r="U30" s="223" t="str">
        <f t="shared" si="2"/>
        <v>Yes</v>
      </c>
    </row>
    <row r="31" spans="2:21" ht="20.100000000000001" customHeight="1" thickBot="1">
      <c r="B31" s="507"/>
      <c r="C31" s="611"/>
      <c r="D31" s="696"/>
      <c r="E31" s="659"/>
      <c r="F31" s="613"/>
      <c r="G31" s="648"/>
      <c r="H31" s="659"/>
      <c r="I31" s="663"/>
      <c r="J31" s="659"/>
      <c r="K31" s="664" t="str">
        <f t="shared" si="0"/>
        <v/>
      </c>
      <c r="L31" s="663"/>
      <c r="M31" s="663"/>
      <c r="N31" s="695" t="str">
        <f t="shared" si="1"/>
        <v/>
      </c>
      <c r="O31" s="612"/>
      <c r="P31" s="617"/>
      <c r="Q31" s="618" t="str">
        <f>IF(O31&lt;&gt;"",IF('Review Comments'!H$151="Achieved",IF(ABS(O31&lt;=0.7),IF(P31&lt;=15%,"MET","NOT MET"),"NOT MET"),"TBD"),"")</f>
        <v/>
      </c>
      <c r="R31" s="618" t="str">
        <f>IF(O31&lt;&gt;"",IF('Review Comments'!H$153="Achieved",IF(ABS(O31&lt;=0.5),IF(P31&lt;=10%,"MET","NOT MET"),"NOT MET"),IF('Review Comments'!H$153="NOT ATTEMPTED","N/A",IF('Review Comments'!H$153="NOT ACHIEVED","NOT MET",IF('Review Comments'!H$153="WITHDRAWN","N/A","TBD")))),"")</f>
        <v/>
      </c>
      <c r="S31" s="619" t="str">
        <f>IF(M31&lt;&gt;"",IF('Review Comments'!H$162="Achieved",IF(AND(M31*1.025 &gt;= 30,M31*0.975&lt;=60),"MET","NOT MET"),IF('Review Comments'!H$162="NOT ATTEMPTED","N/A",IF('Review Comments'!H$162="NOT ACHIEVED","NOT MET",IF('Review Comments'!H$162="WITHDRAWN","N/A","TBD")))),"")</f>
        <v/>
      </c>
      <c r="U31" s="223" t="str">
        <f t="shared" si="2"/>
        <v>Yes</v>
      </c>
    </row>
    <row r="32" spans="2:21">
      <c r="B32" s="235"/>
      <c r="C32" s="235"/>
      <c r="D32" s="235"/>
      <c r="E32" s="235"/>
      <c r="F32" s="235"/>
      <c r="G32" s="235"/>
      <c r="H32" s="235"/>
      <c r="I32" s="235"/>
      <c r="J32" s="235"/>
      <c r="K32" s="235"/>
      <c r="L32" s="235"/>
      <c r="M32" s="235"/>
      <c r="N32" s="235"/>
      <c r="O32" s="235"/>
      <c r="P32" s="235"/>
      <c r="Q32" s="235"/>
      <c r="R32" s="235"/>
      <c r="S32" s="235"/>
    </row>
  </sheetData>
  <sheetProtection autoFilter="0"/>
  <autoFilter ref="U1:V1" xr:uid="{DB3D44A8-4348-4A4B-913D-18403CD2AFD0}"/>
  <mergeCells count="22">
    <mergeCell ref="O8:O9"/>
    <mergeCell ref="P8:P9"/>
    <mergeCell ref="Q8:Q9"/>
    <mergeCell ref="R8:R9"/>
    <mergeCell ref="S8:S9"/>
    <mergeCell ref="M8:N8"/>
    <mergeCell ref="C8:C9"/>
    <mergeCell ref="D8:D9"/>
    <mergeCell ref="E8:E9"/>
    <mergeCell ref="F8:F9"/>
    <mergeCell ref="G8:G9"/>
    <mergeCell ref="H8:H9"/>
    <mergeCell ref="I8:I9"/>
    <mergeCell ref="J8:J9"/>
    <mergeCell ref="K8:K9"/>
    <mergeCell ref="L8:L9"/>
    <mergeCell ref="A1:S1"/>
    <mergeCell ref="C7:S7"/>
    <mergeCell ref="A2:B2"/>
    <mergeCell ref="B5:S5"/>
    <mergeCell ref="C6:S6"/>
    <mergeCell ref="A3:L3"/>
  </mergeCells>
  <conditionalFormatting sqref="J13:J18">
    <cfRule type="expression" dxfId="86" priority="11">
      <formula>IF($O13="FAIL",1,0)</formula>
    </cfRule>
  </conditionalFormatting>
  <conditionalFormatting sqref="J21:J26">
    <cfRule type="expression" dxfId="85" priority="10">
      <formula>IF($O21="FAIL",1,0)</formula>
    </cfRule>
  </conditionalFormatting>
  <conditionalFormatting sqref="J29:J31">
    <cfRule type="expression" dxfId="84" priority="9">
      <formula>IF($O29="FAIL",1,0)</formula>
    </cfRule>
  </conditionalFormatting>
  <conditionalFormatting sqref="J19:J20">
    <cfRule type="expression" dxfId="83" priority="8">
      <formula>IF($O19="FAIL",1,0)</formula>
    </cfRule>
  </conditionalFormatting>
  <conditionalFormatting sqref="J27:J28">
    <cfRule type="expression" dxfId="82" priority="7">
      <formula>IF($O27="FAIL",1,0)</formula>
    </cfRule>
  </conditionalFormatting>
  <conditionalFormatting sqref="P12:Q12">
    <cfRule type="expression" dxfId="81" priority="6">
      <formula>IF($O12="FAIL",1,0)</formula>
    </cfRule>
  </conditionalFormatting>
  <conditionalFormatting sqref="J12">
    <cfRule type="expression" dxfId="80" priority="5">
      <formula>IF($O12="FAIL",1,0)</formula>
    </cfRule>
  </conditionalFormatting>
  <conditionalFormatting sqref="P10:Q31">
    <cfRule type="expression" dxfId="79" priority="4">
      <formula>IF($O10="FAIL",1,0)</formula>
    </cfRule>
  </conditionalFormatting>
  <conditionalFormatting sqref="J10:J31">
    <cfRule type="expression" dxfId="78" priority="3">
      <formula>IF($O10="FAIL",1,0)</formula>
    </cfRule>
  </conditionalFormatting>
  <conditionalFormatting sqref="R12">
    <cfRule type="expression" dxfId="77" priority="2">
      <formula>IF($O12="FAIL",1,0)</formula>
    </cfRule>
  </conditionalFormatting>
  <conditionalFormatting sqref="R10:R31">
    <cfRule type="expression" dxfId="76" priority="1">
      <formula>IF($O10="FAIL",1,0)</formula>
    </cfRule>
  </conditionalFormatting>
  <dataValidations count="1">
    <dataValidation type="list" allowBlank="1" showInputMessage="1" showErrorMessage="1" sqref="G10:G31" xr:uid="{C51A7940-8ECF-4823-B61E-FD640CD3C7D1}">
      <formula1>"Seated,Standing"</formula1>
    </dataValidation>
  </dataValidations>
  <pageMargins left="0.7" right="0.7" top="0.75" bottom="0.75" header="0.3" footer="0.3"/>
  <pageSetup scale="40" fitToHeight="11"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183C1-F1C6-48F1-9E5A-E4A30D9F347D}">
  <sheetPr codeName="Sheet9">
    <pageSetUpPr fitToPage="1"/>
  </sheetPr>
  <dimension ref="A1:AH194"/>
  <sheetViews>
    <sheetView view="pageBreakPreview" zoomScale="85" zoomScaleNormal="80" zoomScaleSheetLayoutView="85" workbookViewId="0">
      <selection activeCell="F29" sqref="F29:F30"/>
    </sheetView>
  </sheetViews>
  <sheetFormatPr defaultColWidth="8.88671875" defaultRowHeight="13.8"/>
  <cols>
    <col min="1" max="1" width="8.6640625" style="224" customWidth="1"/>
    <col min="2" max="2" width="10.6640625" style="224" customWidth="1"/>
    <col min="3" max="3" width="20.6640625" style="224" customWidth="1"/>
    <col min="4" max="4" width="45.6640625" style="224" customWidth="1"/>
    <col min="5" max="7" width="24.6640625" style="224" customWidth="1"/>
    <col min="8" max="10" width="20.6640625" style="224" customWidth="1"/>
    <col min="11" max="11" width="8.88671875" style="224"/>
    <col min="12" max="12" width="19.33203125" style="224" customWidth="1"/>
    <col min="13" max="13" width="1.6640625" style="224" customWidth="1"/>
    <col min="14" max="14" width="9.6640625" style="223" customWidth="1"/>
    <col min="15" max="15" width="9.6640625" style="224" customWidth="1"/>
    <col min="16" max="22" width="8.88671875" style="224"/>
    <col min="23" max="23" width="0" style="224" hidden="1" customWidth="1"/>
    <col min="24" max="26" width="8.88671875" style="224" hidden="1" customWidth="1"/>
    <col min="27" max="27" width="12.33203125" style="224" bestFit="1" customWidth="1"/>
    <col min="28" max="28" width="9.44140625" style="224" hidden="1" customWidth="1"/>
    <col min="29" max="29" width="8.6640625" style="224" hidden="1" customWidth="1"/>
    <col min="30" max="30" width="21.6640625" style="224" hidden="1" customWidth="1"/>
    <col min="31" max="31" width="41.33203125" style="224" hidden="1" customWidth="1"/>
    <col min="32" max="32" width="15.6640625" style="224" hidden="1" customWidth="1"/>
    <col min="33" max="33" width="13" style="224" hidden="1" customWidth="1"/>
    <col min="34" max="34" width="6.33203125" style="224" hidden="1" customWidth="1"/>
    <col min="35" max="16384" width="8.88671875" style="224"/>
  </cols>
  <sheetData>
    <row r="1" spans="1:34" ht="21.9" customHeight="1">
      <c r="A1" s="975" t="str">
        <f>'Thermal Comfort'!A1</f>
        <v xml:space="preserve"> 	2202025367 - Shenzhen Prince Bay Mixed-use Development DY04-02</v>
      </c>
      <c r="B1" s="975"/>
      <c r="C1" s="975"/>
      <c r="D1" s="975"/>
      <c r="E1" s="975"/>
      <c r="F1" s="975"/>
      <c r="G1" s="975"/>
      <c r="H1" s="975"/>
      <c r="I1" s="975"/>
      <c r="N1" s="223" t="s">
        <v>1060</v>
      </c>
    </row>
    <row r="2" spans="1:34" ht="18" customHeight="1">
      <c r="A2" s="976" t="s">
        <v>778</v>
      </c>
      <c r="B2" s="976"/>
      <c r="C2" s="226"/>
      <c r="D2" s="226"/>
      <c r="E2" s="226"/>
      <c r="F2" s="226"/>
      <c r="G2" s="226"/>
      <c r="H2" s="226"/>
      <c r="I2" s="226"/>
      <c r="N2" s="223" t="s">
        <v>1061</v>
      </c>
    </row>
    <row r="3" spans="1:34" ht="18" customHeight="1">
      <c r="A3" s="983" t="str">
        <f>'Thermal Comfort'!A3</f>
        <v>[date] On-site Performance Verification Summary of Results</v>
      </c>
      <c r="B3" s="983"/>
      <c r="C3" s="983"/>
      <c r="D3" s="983"/>
      <c r="E3" s="983"/>
      <c r="F3" s="983"/>
      <c r="G3" s="983"/>
      <c r="H3" s="983"/>
      <c r="I3" s="226"/>
      <c r="N3" s="223" t="s">
        <v>1061</v>
      </c>
    </row>
    <row r="4" spans="1:34" ht="15" customHeight="1" thickBot="1">
      <c r="A4" s="236"/>
      <c r="B4" s="236"/>
      <c r="C4" s="236"/>
      <c r="D4" s="236"/>
      <c r="E4" s="236"/>
      <c r="F4" s="236"/>
      <c r="G4" s="236"/>
      <c r="H4" s="236"/>
      <c r="I4" s="236"/>
      <c r="N4" s="223" t="s">
        <v>1061</v>
      </c>
    </row>
    <row r="5" spans="1:34" ht="24" customHeight="1" thickBot="1">
      <c r="B5" s="1091" t="s">
        <v>131</v>
      </c>
      <c r="C5" s="1092"/>
      <c r="D5" s="1092"/>
      <c r="E5" s="1092"/>
      <c r="F5" s="1092"/>
      <c r="G5" s="1092"/>
      <c r="H5" s="1092"/>
      <c r="I5" s="1092"/>
      <c r="J5" s="1092"/>
      <c r="K5" s="1092"/>
      <c r="L5" s="1093"/>
      <c r="N5" s="223" t="s">
        <v>1061</v>
      </c>
    </row>
    <row r="6" spans="1:34" ht="99.9" customHeight="1" thickBot="1">
      <c r="B6" s="681"/>
      <c r="C6" s="1094" t="s">
        <v>954</v>
      </c>
      <c r="D6" s="1095"/>
      <c r="E6" s="1095"/>
      <c r="F6" s="1095"/>
      <c r="G6" s="1095"/>
      <c r="H6" s="1095"/>
      <c r="I6" s="1095"/>
      <c r="J6" s="1095"/>
      <c r="K6" s="1095"/>
      <c r="L6" s="1096"/>
      <c r="N6" s="223" t="s">
        <v>1061</v>
      </c>
    </row>
    <row r="7" spans="1:34" ht="24" customHeight="1" thickBot="1">
      <c r="B7" s="682"/>
      <c r="C7" s="1097" t="s">
        <v>955</v>
      </c>
      <c r="D7" s="1097"/>
      <c r="E7" s="1097"/>
      <c r="F7" s="1097"/>
      <c r="G7" s="1097"/>
      <c r="H7" s="1097"/>
      <c r="I7" s="1097"/>
      <c r="J7" s="1097"/>
      <c r="K7" s="1097"/>
      <c r="L7" s="1098"/>
      <c r="M7" s="230"/>
      <c r="N7" s="223" t="s">
        <v>1061</v>
      </c>
      <c r="O7" s="230" t="s">
        <v>956</v>
      </c>
      <c r="AE7" s="223" t="s">
        <v>957</v>
      </c>
      <c r="AF7" s="223"/>
      <c r="AG7" s="223" t="s">
        <v>958</v>
      </c>
      <c r="AH7" s="224">
        <f>MIN(AG9:AG40)</f>
        <v>0</v>
      </c>
    </row>
    <row r="8" spans="1:34" ht="60" customHeight="1">
      <c r="B8" s="681"/>
      <c r="C8" s="476" t="s">
        <v>959</v>
      </c>
      <c r="D8" s="668" t="s">
        <v>960</v>
      </c>
      <c r="E8" s="668" t="s">
        <v>961</v>
      </c>
      <c r="F8" s="668" t="s">
        <v>962</v>
      </c>
      <c r="G8" s="668" t="s">
        <v>963</v>
      </c>
      <c r="H8" s="668" t="s">
        <v>964</v>
      </c>
      <c r="I8" s="668" t="s">
        <v>802</v>
      </c>
      <c r="J8" s="668" t="s">
        <v>984</v>
      </c>
      <c r="K8" s="1099" t="s">
        <v>904</v>
      </c>
      <c r="L8" s="1100"/>
      <c r="N8" s="223" t="s">
        <v>1061</v>
      </c>
      <c r="O8" s="230" t="s">
        <v>965</v>
      </c>
      <c r="AB8" s="223" t="s">
        <v>966</v>
      </c>
      <c r="AC8" s="223" t="s">
        <v>967</v>
      </c>
      <c r="AD8" s="445" t="s">
        <v>968</v>
      </c>
      <c r="AE8" s="445" t="s">
        <v>969</v>
      </c>
      <c r="AF8" s="445" t="s">
        <v>970</v>
      </c>
      <c r="AG8" s="445" t="s">
        <v>971</v>
      </c>
      <c r="AH8" s="225"/>
    </row>
    <row r="9" spans="1:34" ht="20.100000000000001" customHeight="1">
      <c r="B9" s="681"/>
      <c r="C9" s="1083"/>
      <c r="D9" s="1085"/>
      <c r="E9" s="1085"/>
      <c r="F9" s="477" t="s">
        <v>973</v>
      </c>
      <c r="G9" s="477" t="e">
        <f>_xlfn.CONCAT("(", $AH$7, " Point", IF($AH$7&gt; 1,"s) ",") "),VLOOKUP($E9,$C$158:$F$165,1+$AH$7,FALSE), RIGHT(F9,4))</f>
        <v>#N/A</v>
      </c>
      <c r="H9" s="620"/>
      <c r="I9" s="477" t="str">
        <f t="shared" ref="I9:I10" si="0">IF($AH$7&gt;IF(AD9="NOT MET",0,AD9),_xlfn.CONCAT(AC13*-1, " dB"),"")</f>
        <v/>
      </c>
      <c r="J9" s="1087" t="str">
        <f>IF(E9 &lt;&gt; "",IF('Review Comments'!H$175="Achieved", IF(COUNTIF(AG9:AG12,"NOT MET")&gt;0,"NOT MET", "MET"),"TBD"),"")</f>
        <v/>
      </c>
      <c r="K9" s="1073"/>
      <c r="L9" s="1074"/>
      <c r="N9" s="223" t="s">
        <v>1061</v>
      </c>
      <c r="O9" s="230"/>
      <c r="AB9" s="223">
        <v>0</v>
      </c>
      <c r="AC9" s="223">
        <v>-4</v>
      </c>
      <c r="AD9" s="223" t="str">
        <f>IFERROR(IF(VLOOKUP($E9,$A$102:$E$109,3,FALSE)&gt;=$H9+AB9,3,IF(VLOOKUP($E9,$A$102:$E$109,4,FALSE)&gt;=$H9+AB9,2,IF(VLOOKUP($E9,$A$102:$E$109,5,FALSE)&gt;=$H9+AB9,1,"NOT MET"))),"")</f>
        <v/>
      </c>
      <c r="AE9" s="223" t="str">
        <f>IFERROR(IF(VLOOKUP($E9,$A$102:$E$109,3,FALSE)&gt;=$H9+AC9,3,IF(VLOOKUP($E9,$A$102:$E$109,4,FALSE)&gt;=$H9+AC9,2,IF(VLOOKUP($E9,$A$102:$E$109,5,FALSE)&gt;=$H9+AC9,1,"NOT MET"))),"")</f>
        <v/>
      </c>
      <c r="AF9" s="223" t="str">
        <f>IF(IF(LEFT(F9,4) = "Lmax", "Yes","No") = "Yes", IF(AE9="NOT MET","NOT MET", "Yes"),"No")</f>
        <v>No</v>
      </c>
      <c r="AG9" s="223" t="str">
        <f>IF(AF9="NOT MET",1,AE9)</f>
        <v/>
      </c>
      <c r="AH9" s="223"/>
    </row>
    <row r="10" spans="1:34" ht="20.100000000000001" customHeight="1">
      <c r="B10" s="681"/>
      <c r="C10" s="1083"/>
      <c r="D10" s="1085"/>
      <c r="E10" s="1085"/>
      <c r="F10" s="477" t="s">
        <v>974</v>
      </c>
      <c r="G10" s="477" t="e">
        <f>_xlfn.CONCAT("(", $AH$7, " Point", IF($AH$7&gt; 1,"s) ",") "),VLOOKUP($E9,$C$168:$F$174,1+$AH$7,FALSE), RIGHT(F10,4))</f>
        <v>#N/A</v>
      </c>
      <c r="H10" s="620"/>
      <c r="I10" s="477" t="str">
        <f t="shared" si="0"/>
        <v/>
      </c>
      <c r="J10" s="1088"/>
      <c r="K10" s="1073"/>
      <c r="L10" s="1074"/>
      <c r="N10" s="223" t="s">
        <v>1061</v>
      </c>
      <c r="AB10" s="223">
        <v>0</v>
      </c>
      <c r="AC10" s="223">
        <v>-4</v>
      </c>
      <c r="AD10" s="223" t="str">
        <f>IFERROR(IF(VLOOKUP($E9,$A$112:$E$119,3,FALSE)&gt;=$H10+AB10,3,IF(VLOOKUP($E9,$A$112:$E$119,4,FALSE)&gt;=$H10+AB10,2,IF(VLOOKUP($E9,$A$112:$E$119,5,FALSE)&gt;=$H10+AB10,1,"NOT MET"))),"")</f>
        <v/>
      </c>
      <c r="AE10" s="223" t="str">
        <f>IFERROR(IF(VLOOKUP($E9,$A$112:$E$119,3,FALSE)&gt;=$H10+AC10,3,IF(VLOOKUP($E9,$A$112:$E$119,4,FALSE)&gt;=$H10+AC10,2,IF(VLOOKUP($E9,$A$112:$E$119,5,FALSE)&gt;=$H10+AC10,1,"NOT MET"))),"")</f>
        <v/>
      </c>
      <c r="AF10" s="223" t="str">
        <f t="shared" ref="AF10:AF40" si="1">IF(IF(LEFT(F10,4) = "Lmax", "Yes","No") = "Yes", IF(AE10="NOT MET","NOT MET", "Yes"),"No")</f>
        <v>No</v>
      </c>
      <c r="AG10" s="223" t="str">
        <f t="shared" ref="AG10:AG40" si="2">IF(AF10="NOT MET",1,AE10)</f>
        <v/>
      </c>
      <c r="AH10" s="223"/>
    </row>
    <row r="11" spans="1:34" ht="20.100000000000001" customHeight="1">
      <c r="B11" s="681"/>
      <c r="C11" s="1083"/>
      <c r="D11" s="1085"/>
      <c r="E11" s="1085"/>
      <c r="F11" s="477" t="s">
        <v>975</v>
      </c>
      <c r="G11" s="477" t="e">
        <f>IF($AH$7=1, "NA",_xlfn.CONCAT("(", $AH$7, " Point", IF($AH$7&gt; 1,"s) ",") "),VLOOKUP($E9,$C$178:$F$184,1+$AH$7,FALSE), RIGHT(F11,4)))</f>
        <v>#N/A</v>
      </c>
      <c r="H11" s="620"/>
      <c r="I11" s="477" t="str">
        <f t="shared" ref="I11:I40" si="3">IF($AH$7 = 1,"",IF($AH$7&gt;IF(AD11="NOT MET",0,AD11),_xlfn.CONCAT(AC15*-1, " dB"),""))</f>
        <v/>
      </c>
      <c r="J11" s="1088"/>
      <c r="K11" s="1073"/>
      <c r="L11" s="1074"/>
      <c r="N11" s="223" t="s">
        <v>1061</v>
      </c>
      <c r="AB11" s="223">
        <v>0</v>
      </c>
      <c r="AC11" s="223">
        <v>-9</v>
      </c>
      <c r="AD11" s="223" t="str">
        <f>IFERROR(IF(VLOOKUP($E9,$A$122:$E$129,3,FALSE)&gt;=$H11+AB11,3,IF(VLOOKUP($E9,$A$122:$E$129,4,FALSE)&gt;=$H11+AB11,2,IF(VLOOKUP($E9,$A$122:$E$129,5,FALSE)&gt;=$H11+AB11,1,"NOT MET"))),"")</f>
        <v/>
      </c>
      <c r="AE11" s="223" t="str">
        <f>IFERROR(IF(VLOOKUP($E9,$A$122:$E$129,3,FALSE)&gt;=$H11+AC11,3,IF(VLOOKUP($E9,$A$122:$E$129,4,FALSE)&gt;=$H11+AC11,2,IF(VLOOKUP($E9,$A$122:$E$129,5,FALSE)&gt;=$H11+AC11,1,"NOT MET"))),"")</f>
        <v/>
      </c>
      <c r="AF11" s="223" t="str">
        <f t="shared" si="1"/>
        <v>Yes</v>
      </c>
      <c r="AG11" s="223" t="str">
        <f t="shared" si="2"/>
        <v/>
      </c>
      <c r="AH11" s="223"/>
    </row>
    <row r="12" spans="1:34" ht="20.100000000000001" customHeight="1">
      <c r="B12" s="681"/>
      <c r="C12" s="1083"/>
      <c r="D12" s="1085"/>
      <c r="E12" s="1085"/>
      <c r="F12" s="477" t="s">
        <v>976</v>
      </c>
      <c r="G12" s="477" t="e">
        <f>IF($AH$7=1,"NA",_xlfn.CONCAT("(",$AH$7," Point",IF($AH$7&gt;1,"s) ",") "),VLOOKUP($E9,$C$188:$F$194,1+$AH$7,FALSE),RIGHT(F12,4)))</f>
        <v>#N/A</v>
      </c>
      <c r="H12" s="620"/>
      <c r="I12" s="477" t="str">
        <f t="shared" si="3"/>
        <v/>
      </c>
      <c r="J12" s="1090"/>
      <c r="K12" s="1073"/>
      <c r="L12" s="1074"/>
      <c r="N12" s="223" t="s">
        <v>1061</v>
      </c>
      <c r="AB12" s="223">
        <v>0</v>
      </c>
      <c r="AC12" s="223">
        <v>-9</v>
      </c>
      <c r="AD12" s="223" t="str">
        <f>IFERROR(IF(VLOOKUP($E9,$A$132:$E$139,3,FALSE)&gt;=$H12+AB12,3,IF(VLOOKUP($E9,$A$132:$E$139,4,FALSE)&gt;=$H12+AB12,2,IF(VLOOKUP($E9,$A$132:$E$139,5,FALSE)&gt;=$H12+AB12,1,"NOT MET"))),"")</f>
        <v/>
      </c>
      <c r="AE12" s="223" t="str">
        <f>IFERROR(IF(VLOOKUP($E9,$A$132:$E$139,3,FALSE)&gt;=$H12+AC12,3,IF(VLOOKUP($E9,$A$132:$E$139,4,FALSE)&gt;=$H12+AC12,2,IF(VLOOKUP($E9,$A$132:$E$139,5,FALSE)&gt;=$H12+AC12,1,"NOT MET"))),"")</f>
        <v/>
      </c>
      <c r="AF12" s="223" t="str">
        <f t="shared" si="1"/>
        <v>Yes</v>
      </c>
      <c r="AG12" s="223" t="str">
        <f t="shared" si="2"/>
        <v/>
      </c>
      <c r="AH12" s="223"/>
    </row>
    <row r="13" spans="1:34" ht="20.100000000000001" customHeight="1">
      <c r="B13" s="681"/>
      <c r="C13" s="1083"/>
      <c r="D13" s="1085"/>
      <c r="E13" s="1085"/>
      <c r="F13" s="477" t="s">
        <v>973</v>
      </c>
      <c r="G13" s="477" t="e">
        <f>_xlfn.CONCAT("(", $AH$7, " Point", IF($AH$7&gt; 1,"s) ",") "),VLOOKUP($E13,$C$158:$F$165,1+$AH$7,FALSE), RIGHT(F13,4))</f>
        <v>#N/A</v>
      </c>
      <c r="H13" s="620"/>
      <c r="I13" s="477" t="str">
        <f t="shared" ref="I13:I14" si="4">IF($AH$7&gt;IF(AD13="NOT MET",0,AD13),_xlfn.CONCAT(AC17*-1, " dB"),"")</f>
        <v/>
      </c>
      <c r="J13" s="1087" t="str">
        <f>IF(E13 &lt;&gt; "",IF('Review Comments'!H$175="Achieved", IF(COUNTIF(AG13:AG16,"NOT MET")&gt;0,"NOT MET", "MET"),"TBD"),"")</f>
        <v/>
      </c>
      <c r="K13" s="1073"/>
      <c r="L13" s="1074"/>
      <c r="N13" s="223" t="str">
        <f>IF(H13&lt;&gt;"","No","Yes")</f>
        <v>Yes</v>
      </c>
      <c r="AB13" s="223">
        <v>0</v>
      </c>
      <c r="AC13" s="223">
        <v>-4</v>
      </c>
      <c r="AD13" s="223" t="str">
        <f>IFERROR(IF(VLOOKUP($E13,$A$102:$E$109,3,FALSE)&gt;=$H13+AB13,3,IF(VLOOKUP($E13,$A$102:$E$109,4,FALSE)&gt;=$H13+AB13,2,IF(VLOOKUP($E13,$A$102:$E$109,5,FALSE)&gt;=$H13+AB13,1,"NOT MET"))),"")</f>
        <v/>
      </c>
      <c r="AE13" s="223" t="str">
        <f>IFERROR(IF(VLOOKUP($E13,$A$102:$E$109,3,FALSE)&gt;=$H13+AC13,3,IF(VLOOKUP($E13,$A$102:$E$109,4,FALSE)&gt;=$H13+AC13,2,IF(VLOOKUP($E13,$A$102:$E$109,5,FALSE)&gt;=$H13+AC13,1,"NOT MET"))),"")</f>
        <v/>
      </c>
      <c r="AF13" s="223" t="str">
        <f t="shared" si="1"/>
        <v>No</v>
      </c>
      <c r="AG13" s="223" t="str">
        <f t="shared" si="2"/>
        <v/>
      </c>
      <c r="AH13" s="223"/>
    </row>
    <row r="14" spans="1:34" ht="20.100000000000001" customHeight="1">
      <c r="B14" s="681"/>
      <c r="C14" s="1083"/>
      <c r="D14" s="1085"/>
      <c r="E14" s="1085"/>
      <c r="F14" s="477" t="s">
        <v>974</v>
      </c>
      <c r="G14" s="477" t="e">
        <f>_xlfn.CONCAT("(", $AH$7, " Point", IF($AH$7&gt; 1,"s) ",") "),VLOOKUP($E13,$C$168:$F$174,1+$AH$7,FALSE), RIGHT(F14,4))</f>
        <v>#N/A</v>
      </c>
      <c r="H14" s="620"/>
      <c r="I14" s="477" t="str">
        <f t="shared" si="4"/>
        <v/>
      </c>
      <c r="J14" s="1088"/>
      <c r="K14" s="1073"/>
      <c r="L14" s="1074"/>
      <c r="N14" s="223" t="str">
        <f t="shared" ref="N14:N40" si="5">IF(H14&lt;&gt;"","No","Yes")</f>
        <v>Yes</v>
      </c>
      <c r="AB14" s="223">
        <v>0</v>
      </c>
      <c r="AC14" s="223">
        <v>-4</v>
      </c>
      <c r="AD14" s="223" t="str">
        <f>IFERROR(IF(VLOOKUP($E13,$A$112:$E$119,3,FALSE)&gt;=$H14+AB14,3,IF(VLOOKUP($E13,$A$112:$E$119,4,FALSE)&gt;=$H14+AB14,2,IF(VLOOKUP($E13,$A$112:$E$119,5,FALSE)&gt;=$H14+AB14,1,"NOT MET"))),"")</f>
        <v/>
      </c>
      <c r="AE14" s="223" t="str">
        <f>IFERROR(IF(VLOOKUP($E13,$A$112:$E$119,3,FALSE)&gt;=$H14+AC14,3,IF(VLOOKUP($E13,$A$112:$E$119,4,FALSE)&gt;=$H14+AC14,2,IF(VLOOKUP($E13,$A$112:$E$119,5,FALSE)&gt;=$H14+AC14,1,"NOT MET"))),"")</f>
        <v/>
      </c>
      <c r="AF14" s="223" t="str">
        <f t="shared" si="1"/>
        <v>No</v>
      </c>
      <c r="AG14" s="223" t="str">
        <f t="shared" si="2"/>
        <v/>
      </c>
      <c r="AH14" s="223"/>
    </row>
    <row r="15" spans="1:34" ht="20.100000000000001" customHeight="1">
      <c r="B15" s="681"/>
      <c r="C15" s="1083"/>
      <c r="D15" s="1085"/>
      <c r="E15" s="1085"/>
      <c r="F15" s="477" t="s">
        <v>975</v>
      </c>
      <c r="G15" s="477" t="e">
        <f>IF($AH$7=1, "NA",_xlfn.CONCAT("(", $AH$7, " Point", IF($AH$7&gt; 1,"s) ",") "),VLOOKUP($E13,$C$178:$F$184,1+$AH$7,FALSE), RIGHT(F15,4)))</f>
        <v>#N/A</v>
      </c>
      <c r="H15" s="620"/>
      <c r="I15" s="477" t="str">
        <f t="shared" si="3"/>
        <v/>
      </c>
      <c r="J15" s="1088"/>
      <c r="K15" s="1073"/>
      <c r="L15" s="1074"/>
      <c r="N15" s="223" t="str">
        <f t="shared" si="5"/>
        <v>Yes</v>
      </c>
      <c r="AB15" s="223">
        <v>0</v>
      </c>
      <c r="AC15" s="223">
        <v>-9</v>
      </c>
      <c r="AD15" s="223" t="str">
        <f>IFERROR(IF(VLOOKUP($E13,$A$122:$E$129,3,FALSE)&gt;=$H15+AB15,3,IF(VLOOKUP($E13,$A$122:$E$129,4,FALSE)&gt;=$H15+AB15,2,IF(VLOOKUP($E13,$A$122:$E$129,5,FALSE)&gt;=$H15+AB15,1,"NOT MET"))),"ERROR")</f>
        <v>ERROR</v>
      </c>
      <c r="AE15" s="223" t="str">
        <f>IFERROR(IF(VLOOKUP($E13,$A$122:$E$129,3,FALSE)&gt;=$H15+AC15,3,IF(VLOOKUP($E13,$A$122:$E$129,4,FALSE)&gt;=$H15+AC15,2,IF(VLOOKUP($E13,$A$122:$E$129,5,FALSE)&gt;=$H15+AC15,1,"NOT MET"))),"")</f>
        <v/>
      </c>
      <c r="AF15" s="223" t="str">
        <f t="shared" si="1"/>
        <v>Yes</v>
      </c>
      <c r="AG15" s="223" t="str">
        <f t="shared" si="2"/>
        <v/>
      </c>
      <c r="AH15" s="223"/>
    </row>
    <row r="16" spans="1:34" ht="20.100000000000001" customHeight="1">
      <c r="B16" s="681"/>
      <c r="C16" s="1083"/>
      <c r="D16" s="1085"/>
      <c r="E16" s="1085"/>
      <c r="F16" s="477" t="s">
        <v>976</v>
      </c>
      <c r="G16" s="477" t="e">
        <f>IF($AH$7=1,"NA",_xlfn.CONCAT("(",$AH$7," Point",IF($AH$7&gt;1,"s) ",") "),VLOOKUP($E13,$C$188:$F$194,1+$AH$7,FALSE),RIGHT(F16,4)))</f>
        <v>#N/A</v>
      </c>
      <c r="H16" s="620"/>
      <c r="I16" s="477" t="str">
        <f t="shared" si="3"/>
        <v/>
      </c>
      <c r="J16" s="1090"/>
      <c r="K16" s="1073"/>
      <c r="L16" s="1074"/>
      <c r="N16" s="223" t="str">
        <f t="shared" si="5"/>
        <v>Yes</v>
      </c>
      <c r="AB16" s="223">
        <v>0</v>
      </c>
      <c r="AC16" s="223">
        <v>-9</v>
      </c>
      <c r="AD16" s="223" t="str">
        <f>IFERROR(IF(VLOOKUP($E13,$A$132:$E$139,3,FALSE)&gt;=$H16+AB16,3,IF(VLOOKUP($E13,$A$132:$E$139,4,FALSE)&gt;=$H16+AB16,2,IF(VLOOKUP($E13,$A$132:$E$139,5,FALSE)&gt;=$H16+AB16,1,"NOT MET"))),"")</f>
        <v/>
      </c>
      <c r="AE16" s="223" t="str">
        <f>IFERROR(IF(VLOOKUP($E13,$A$132:$E$139,3,FALSE)&gt;=$H16+AC16,3,IF(VLOOKUP($E13,$A$132:$E$139,4,FALSE)&gt;=$H16+AC16,2,IF(VLOOKUP($E13,$A$132:$E$139,5,FALSE)&gt;=$H16+AC16,1,"NOT MET"))),"")</f>
        <v/>
      </c>
      <c r="AF16" s="223" t="str">
        <f t="shared" si="1"/>
        <v>Yes</v>
      </c>
      <c r="AG16" s="223" t="str">
        <f t="shared" si="2"/>
        <v/>
      </c>
      <c r="AH16" s="223"/>
    </row>
    <row r="17" spans="2:34" ht="20.100000000000001" customHeight="1">
      <c r="B17" s="681"/>
      <c r="C17" s="1083"/>
      <c r="D17" s="1085"/>
      <c r="E17" s="1085"/>
      <c r="F17" s="477" t="s">
        <v>973</v>
      </c>
      <c r="G17" s="477" t="e">
        <f>_xlfn.CONCAT("(", $AH$7, " Point", IF($AH$7&gt; 1,"s) ",") "),VLOOKUP($E17,$C$158:$F$165,1+$AH$7,FALSE), RIGHT(F17,4))</f>
        <v>#N/A</v>
      </c>
      <c r="H17" s="620"/>
      <c r="I17" s="477" t="str">
        <f t="shared" ref="I17:I18" si="6">IF($AH$7&gt;IF(AD17="NOT MET",0,AD17),_xlfn.CONCAT(AC21*-1, " dB"),"")</f>
        <v/>
      </c>
      <c r="J17" s="1087" t="str">
        <f>IF(E17 &lt;&gt; "",IF('Review Comments'!H$175="Achieved", IF(COUNTIF(AG17:AG20,"NOT MET")&gt;0,"NOT MET", "MET"),"TBD"),"")</f>
        <v/>
      </c>
      <c r="K17" s="1073"/>
      <c r="L17" s="1074"/>
      <c r="N17" s="223" t="str">
        <f t="shared" si="5"/>
        <v>Yes</v>
      </c>
      <c r="AB17" s="223">
        <v>0</v>
      </c>
      <c r="AC17" s="223">
        <v>-4</v>
      </c>
      <c r="AD17" s="223" t="str">
        <f>IFERROR(IF(VLOOKUP($E17,$A$102:$E$109,3,FALSE)&gt;=$H17+AB17,3,IF(VLOOKUP($E17,$A$102:$E$109,4,FALSE)&gt;=$H17+AB17,2,IF(VLOOKUP($E17,$A$102:$E$109,5,FALSE)&gt;=$H17+AB17,1,"NOT MET"))),"")</f>
        <v/>
      </c>
      <c r="AE17" s="223" t="str">
        <f>IFERROR(IF(VLOOKUP($E17,$A$102:$E$109,3,FALSE)&gt;=$H17+AC17,3,IF(VLOOKUP($E17,$A$102:$E$109,4,FALSE)&gt;=$H17+AC17,2,IF(VLOOKUP($E17,$A$102:$E$109,5,FALSE)&gt;=$H17+AC17,1,"NOT MET"))),"")</f>
        <v/>
      </c>
      <c r="AF17" s="223" t="str">
        <f t="shared" si="1"/>
        <v>No</v>
      </c>
      <c r="AG17" s="223" t="str">
        <f t="shared" si="2"/>
        <v/>
      </c>
      <c r="AH17" s="223"/>
    </row>
    <row r="18" spans="2:34" ht="20.100000000000001" customHeight="1">
      <c r="B18" s="681"/>
      <c r="C18" s="1083"/>
      <c r="D18" s="1085"/>
      <c r="E18" s="1085"/>
      <c r="F18" s="477" t="s">
        <v>974</v>
      </c>
      <c r="G18" s="477" t="e">
        <f>_xlfn.CONCAT("(", $AH$7, " Point", IF($AH$7&gt; 1,"s) ",") "),VLOOKUP($E17,$C$168:$F$174,1+$AH$7,FALSE), RIGHT(F18,4))</f>
        <v>#N/A</v>
      </c>
      <c r="H18" s="620"/>
      <c r="I18" s="477" t="str">
        <f t="shared" si="6"/>
        <v/>
      </c>
      <c r="J18" s="1088"/>
      <c r="K18" s="1073"/>
      <c r="L18" s="1074"/>
      <c r="N18" s="223" t="str">
        <f t="shared" si="5"/>
        <v>Yes</v>
      </c>
      <c r="AB18" s="223">
        <v>0</v>
      </c>
      <c r="AC18" s="223">
        <v>-4</v>
      </c>
      <c r="AD18" s="223" t="str">
        <f>IFERROR(IF(VLOOKUP($E17,$A$112:$E$119,3,FALSE)&gt;=$H18+AB18,3,IF(VLOOKUP($E17,$A$112:$E$119,4,FALSE)&gt;=$H18+AB18,2,IF(VLOOKUP($E17,$A$112:$E$119,5,FALSE)&gt;=$H18+AB18,1,"NOT MET"))),"")</f>
        <v/>
      </c>
      <c r="AE18" s="223" t="str">
        <f>IFERROR(IF(VLOOKUP($E17,$A$112:$E$119,3,FALSE)&gt;=$H18+AC18,3,IF(VLOOKUP($E17,$A$112:$E$119,4,FALSE)&gt;=$H18+AC18,2,IF(VLOOKUP($E17,$A$112:$E$119,5,FALSE)&gt;=$H18+AC18,1,"NOT MET"))),"")</f>
        <v/>
      </c>
      <c r="AF18" s="223" t="str">
        <f t="shared" si="1"/>
        <v>No</v>
      </c>
      <c r="AG18" s="223" t="str">
        <f t="shared" si="2"/>
        <v/>
      </c>
      <c r="AH18" s="223"/>
    </row>
    <row r="19" spans="2:34" ht="20.100000000000001" customHeight="1">
      <c r="B19" s="681"/>
      <c r="C19" s="1083"/>
      <c r="D19" s="1085"/>
      <c r="E19" s="1085"/>
      <c r="F19" s="477" t="s">
        <v>975</v>
      </c>
      <c r="G19" s="477" t="e">
        <f>IF($AH$7=1, "NA",_xlfn.CONCAT("(", $AH$7, " Point", IF($AH$7&gt; 1,"s) ",") "),VLOOKUP($E17,$C$178:$F$184,1+$AH$7,FALSE), RIGHT(F19,4)))</f>
        <v>#N/A</v>
      </c>
      <c r="H19" s="620"/>
      <c r="I19" s="477" t="str">
        <f t="shared" si="3"/>
        <v/>
      </c>
      <c r="J19" s="1088"/>
      <c r="K19" s="1073"/>
      <c r="L19" s="1074"/>
      <c r="N19" s="223" t="str">
        <f t="shared" si="5"/>
        <v>Yes</v>
      </c>
      <c r="P19" s="231"/>
      <c r="AB19" s="223">
        <v>0</v>
      </c>
      <c r="AC19" s="223">
        <v>-9</v>
      </c>
      <c r="AD19" s="223" t="str">
        <f>IFERROR(IF(VLOOKUP($E17,$A$122:$E$129,3,FALSE)&gt;=$H19+AB19,3,IF(VLOOKUP($E17,$A$122:$E$129,4,FALSE)&gt;=$H19+AB19,2,IF(VLOOKUP($E17,$A$122:$E$129,5,FALSE)&gt;=$H19+AB19,1,"NOT MET"))),"")</f>
        <v/>
      </c>
      <c r="AE19" s="223" t="str">
        <f>IFERROR(IF(VLOOKUP($E17,$A$122:$E$129,3,FALSE)&gt;=$H19+AC19,3,IF(VLOOKUP($E17,$A$122:$E$129,4,FALSE)&gt;=$H19+AC19,2,IF(VLOOKUP($E17,$A$122:$E$129,5,FALSE)&gt;=$H19+AC19,1,"NOT MET"))),"")</f>
        <v/>
      </c>
      <c r="AF19" s="223" t="str">
        <f t="shared" si="1"/>
        <v>Yes</v>
      </c>
      <c r="AG19" s="223" t="str">
        <f t="shared" si="2"/>
        <v/>
      </c>
      <c r="AH19" s="223"/>
    </row>
    <row r="20" spans="2:34" ht="20.100000000000001" customHeight="1">
      <c r="B20" s="681"/>
      <c r="C20" s="1083"/>
      <c r="D20" s="1085"/>
      <c r="E20" s="1085"/>
      <c r="F20" s="477" t="s">
        <v>976</v>
      </c>
      <c r="G20" s="477" t="e">
        <f>IF($AH$7=1,"NA",_xlfn.CONCAT("(",$AH$7," Point",IF($AH$7&gt;1,"s) ",") "),VLOOKUP($E17,$C$188:$F$194,1+$AH$7,FALSE),RIGHT(F20,4)))</f>
        <v>#N/A</v>
      </c>
      <c r="H20" s="620"/>
      <c r="I20" s="477" t="str">
        <f t="shared" si="3"/>
        <v/>
      </c>
      <c r="J20" s="1090"/>
      <c r="K20" s="1073"/>
      <c r="L20" s="1074"/>
      <c r="N20" s="223" t="str">
        <f t="shared" si="5"/>
        <v>Yes</v>
      </c>
      <c r="O20" s="458" t="s">
        <v>1011</v>
      </c>
      <c r="AB20" s="223">
        <v>0</v>
      </c>
      <c r="AC20" s="223">
        <v>-9</v>
      </c>
      <c r="AD20" s="223" t="str">
        <f>IFERROR(IF(VLOOKUP($E17,$A$132:$E$139,3,FALSE)&gt;=$H20+AB20,3,IF(VLOOKUP($E17,$A$132:$E$139,4,FALSE)&gt;=$H20+AB20,2,IF(VLOOKUP($E17,$A$132:$E$139,5,FALSE)&gt;=$H20+AB20,1,"NOT MET"))),"")</f>
        <v/>
      </c>
      <c r="AE20" s="223" t="str">
        <f>IFERROR(IF(VLOOKUP($E17,$A$132:$E$139,3,FALSE)&gt;=$H20+AC20,3,IF(VLOOKUP($E17,$A$132:$E$139,4,FALSE)&gt;=$H20+AC20,2,IF(VLOOKUP($E17,$A$132:$E$139,5,FALSE)&gt;=$H20+AC20,1,"NOT MET"))),"")</f>
        <v/>
      </c>
      <c r="AF20" s="223" t="str">
        <f t="shared" si="1"/>
        <v>Yes</v>
      </c>
      <c r="AG20" s="223" t="str">
        <f t="shared" si="2"/>
        <v/>
      </c>
      <c r="AH20" s="223"/>
    </row>
    <row r="21" spans="2:34" ht="20.100000000000001" customHeight="1">
      <c r="B21" s="681"/>
      <c r="C21" s="1083"/>
      <c r="D21" s="1085"/>
      <c r="E21" s="1085"/>
      <c r="F21" s="477" t="s">
        <v>973</v>
      </c>
      <c r="G21" s="477" t="e">
        <f>_xlfn.CONCAT("(", $AH$7, " Point", IF($AH$7&gt; 1,"s) ",") "),VLOOKUP($E21,$C$158:$F$165,1+$AH$7,FALSE), RIGHT(F21,4))</f>
        <v>#N/A</v>
      </c>
      <c r="H21" s="621"/>
      <c r="I21" s="477" t="str">
        <f t="shared" ref="I21:I22" si="7">IF($AH$7&gt;IF(AD21="NOT MET",0,AD21),_xlfn.CONCAT(AC25*-1, " dB"),"")</f>
        <v/>
      </c>
      <c r="J21" s="1087" t="str">
        <f>IF(E21 &lt;&gt; "",IF('Review Comments'!H$175="Achieved", IF(COUNTIF(AG21:AG24,"NOT MET")&gt;0,"NOT MET", "MET"),"TBD"),"")</f>
        <v/>
      </c>
      <c r="K21" s="1073"/>
      <c r="L21" s="1074"/>
      <c r="N21" s="223" t="str">
        <f t="shared" si="5"/>
        <v>Yes</v>
      </c>
      <c r="AB21" s="223">
        <v>0</v>
      </c>
      <c r="AC21" s="223">
        <v>-4</v>
      </c>
      <c r="AD21" s="223" t="str">
        <f>IFERROR(IF(VLOOKUP($E21,$A$102:$E$109,3,FALSE)&gt;=$H21+AB21,3,IF(VLOOKUP($E21,$A$102:$E$109,4,FALSE)&gt;=$H21+AB21,2,IF(VLOOKUP($E21,$A$102:$E$109,5,FALSE)&gt;=$H21+AB21,1,"NOT MET"))),"")</f>
        <v/>
      </c>
      <c r="AE21" s="223" t="str">
        <f>IFERROR(IF(VLOOKUP($E21,$A$102:$E$109,3,FALSE)&gt;=$H21+AC21,3,IF(VLOOKUP($E21,$A$102:$E$109,4,FALSE)&gt;=$H21+AC21,2,IF(VLOOKUP($E21,$A$102:$E$109,5,FALSE)&gt;=$H21+AC21,1,"NOT MET"))),"")</f>
        <v/>
      </c>
      <c r="AF21" s="223" t="str">
        <f t="shared" si="1"/>
        <v>No</v>
      </c>
      <c r="AG21" s="223" t="str">
        <f t="shared" si="2"/>
        <v/>
      </c>
      <c r="AH21" s="223"/>
    </row>
    <row r="22" spans="2:34" ht="20.100000000000001" customHeight="1">
      <c r="B22" s="681"/>
      <c r="C22" s="1083"/>
      <c r="D22" s="1085"/>
      <c r="E22" s="1085"/>
      <c r="F22" s="477" t="s">
        <v>974</v>
      </c>
      <c r="G22" s="477" t="e">
        <f>_xlfn.CONCAT("(", $AH$7, " Point", IF($AH$7&gt; 1,"s) ",") "),VLOOKUP($E21,$C$168:$F$174,1+$AH$7,FALSE), RIGHT(F22,4))</f>
        <v>#N/A</v>
      </c>
      <c r="H22" s="621"/>
      <c r="I22" s="477" t="str">
        <f t="shared" si="7"/>
        <v/>
      </c>
      <c r="J22" s="1088"/>
      <c r="K22" s="1073"/>
      <c r="L22" s="1074"/>
      <c r="N22" s="223" t="str">
        <f t="shared" si="5"/>
        <v>Yes</v>
      </c>
      <c r="AB22" s="223">
        <v>0</v>
      </c>
      <c r="AC22" s="223">
        <v>-4</v>
      </c>
      <c r="AD22" s="223" t="str">
        <f>IFERROR(IF(VLOOKUP($E21,$A$112:$E$119,3,FALSE)&gt;=$H22+AB22,3,IF(VLOOKUP($E21,$A$112:$E$119,4,FALSE)&gt;=$H22+AB22,2,IF(VLOOKUP($E21,$A$112:$E$119,5,FALSE)&gt;=$H22+AB22,1,"NOT MET"))),"")</f>
        <v/>
      </c>
      <c r="AE22" s="223" t="str">
        <f>IFERROR(IF(VLOOKUP($E21,$A$112:$E$119,3,FALSE)&gt;=$H22+AC22,3,IF(VLOOKUP($E21,$A$112:$E$119,4,FALSE)&gt;=$H22+AC22,2,IF(VLOOKUP($E21,$A$112:$E$119,5,FALSE)&gt;=$H22+AC22,1,"NOT MET"))),"")</f>
        <v/>
      </c>
      <c r="AF22" s="223" t="str">
        <f t="shared" si="1"/>
        <v>No</v>
      </c>
      <c r="AG22" s="223" t="str">
        <f t="shared" si="2"/>
        <v/>
      </c>
      <c r="AH22" s="223"/>
    </row>
    <row r="23" spans="2:34" ht="20.100000000000001" customHeight="1">
      <c r="B23" s="681"/>
      <c r="C23" s="1083"/>
      <c r="D23" s="1085"/>
      <c r="E23" s="1085"/>
      <c r="F23" s="477" t="s">
        <v>975</v>
      </c>
      <c r="G23" s="477" t="e">
        <f>IF($AH$7=1, "NA",_xlfn.CONCAT("(", $AH$7, " Point", IF($AH$7&gt; 1,"s) ",") "),VLOOKUP($E21,$C$178:$F$184,1+$AH$7,FALSE), RIGHT(F23,4)))</f>
        <v>#N/A</v>
      </c>
      <c r="H23" s="621"/>
      <c r="I23" s="477" t="str">
        <f t="shared" si="3"/>
        <v/>
      </c>
      <c r="J23" s="1088"/>
      <c r="K23" s="1073"/>
      <c r="L23" s="1074"/>
      <c r="N23" s="223" t="str">
        <f t="shared" si="5"/>
        <v>Yes</v>
      </c>
      <c r="AB23" s="223">
        <v>0</v>
      </c>
      <c r="AC23" s="223">
        <v>-9</v>
      </c>
      <c r="AD23" s="223" t="str">
        <f>IFERROR(IF(VLOOKUP($E21,$A$122:$E$129,3,FALSE)&gt;=$H23+AB23,3,IF(VLOOKUP($E21,$A$122:$E$129,4,FALSE)&gt;=$H23+AB23,2,IF(VLOOKUP($E21,$A$122:$E$129,5,FALSE)&gt;=$H23+AB23,1,"NOT MET"))),"")</f>
        <v/>
      </c>
      <c r="AE23" s="223" t="str">
        <f>IFERROR(IF(VLOOKUP($E21,$A$122:$E$129,3,FALSE)&gt;=$H23+AC23,3,IF(VLOOKUP($E21,$A$122:$E$129,4,FALSE)&gt;=$H23+AC23,2,IF(VLOOKUP($E21,$A$122:$E$129,5,FALSE)&gt;=$H23+AC23,1,"NOT MET"))),"")</f>
        <v/>
      </c>
      <c r="AF23" s="223" t="str">
        <f t="shared" si="1"/>
        <v>Yes</v>
      </c>
      <c r="AG23" s="223" t="str">
        <f t="shared" si="2"/>
        <v/>
      </c>
      <c r="AH23" s="223"/>
    </row>
    <row r="24" spans="2:34" ht="20.100000000000001" customHeight="1">
      <c r="B24" s="681"/>
      <c r="C24" s="1083"/>
      <c r="D24" s="1085"/>
      <c r="E24" s="1085"/>
      <c r="F24" s="477" t="s">
        <v>976</v>
      </c>
      <c r="G24" s="477" t="e">
        <f>IF($AH$7=1,"NA",_xlfn.CONCAT("(",$AH$7," Point",IF($AH$7&gt;1,"s) ",") "),VLOOKUP($E21,$C$188:$F$194,1+$AH$7,FALSE),RIGHT(F24,4)))</f>
        <v>#N/A</v>
      </c>
      <c r="H24" s="621"/>
      <c r="I24" s="477" t="str">
        <f t="shared" si="3"/>
        <v/>
      </c>
      <c r="J24" s="1090"/>
      <c r="K24" s="1073"/>
      <c r="L24" s="1074"/>
      <c r="N24" s="223" t="str">
        <f t="shared" si="5"/>
        <v>Yes</v>
      </c>
      <c r="AB24" s="223">
        <v>0</v>
      </c>
      <c r="AC24" s="223">
        <v>-9</v>
      </c>
      <c r="AD24" s="223" t="str">
        <f>IFERROR(IF(VLOOKUP($E21,$A$132:$E$139,3,FALSE)&gt;=$H24+AB24,3,IF(VLOOKUP($E21,$A$132:$E$139,4,FALSE)&gt;=$H24+AB24,2,IF(VLOOKUP($E21,$A$132:$E$139,5,FALSE)&gt;=$H24+AB24,1,"NOT MET"))),"")</f>
        <v/>
      </c>
      <c r="AE24" s="223" t="str">
        <f>IFERROR(IF(VLOOKUP($E21,$A$132:$E$139,3,FALSE)&gt;=$H24+AC24,3,IF(VLOOKUP($E21,$A$132:$E$139,4,FALSE)&gt;=$H24+AC24,2,IF(VLOOKUP($E21,$A$132:$E$139,5,FALSE)&gt;=$H24+AC24,1,"NOT MET"))),"")</f>
        <v/>
      </c>
      <c r="AF24" s="223" t="str">
        <f t="shared" si="1"/>
        <v>Yes</v>
      </c>
      <c r="AG24" s="223" t="str">
        <f t="shared" si="2"/>
        <v/>
      </c>
      <c r="AH24" s="223"/>
    </row>
    <row r="25" spans="2:34" ht="20.100000000000001" customHeight="1">
      <c r="B25" s="681"/>
      <c r="C25" s="1083"/>
      <c r="D25" s="1085"/>
      <c r="E25" s="1085"/>
      <c r="F25" s="477" t="s">
        <v>973</v>
      </c>
      <c r="G25" s="477" t="e">
        <f>_xlfn.CONCAT("(", $AH$7, " Point", IF($AH$7&gt; 1,"s) ",") "),VLOOKUP($E25,$C$158:$F$165,1+$AH$7,FALSE), RIGHT(F25,4))</f>
        <v>#N/A</v>
      </c>
      <c r="H25" s="621"/>
      <c r="I25" s="477" t="str">
        <f t="shared" ref="I25:I26" si="8">IF($AH$7&gt;IF(AD25="NOT MET",0,AD25),_xlfn.CONCAT(AC29*-1, " dB"),"")</f>
        <v/>
      </c>
      <c r="J25" s="1087" t="str">
        <f>IF(E25 &lt;&gt; "",IF('Review Comments'!H$175="Achieved", IF(COUNTIF(AG25:AG28,"NOT MET")&gt;0,"NOT MET", "MET"),"TBD"),"")</f>
        <v/>
      </c>
      <c r="K25" s="1073"/>
      <c r="L25" s="1074"/>
      <c r="N25" s="223" t="str">
        <f t="shared" si="5"/>
        <v>Yes</v>
      </c>
      <c r="O25" s="458" t="s">
        <v>1012</v>
      </c>
      <c r="AB25" s="223">
        <v>0</v>
      </c>
      <c r="AC25" s="223">
        <v>-4</v>
      </c>
      <c r="AD25" s="223" t="str">
        <f>IFERROR(IF(VLOOKUP($E25,$A$102:$E$109,3,FALSE)&gt;=$H25+AB25,3,IF(VLOOKUP($E25,$A$102:$E$109,4,FALSE)&gt;=$H25+AB25,2,IF(VLOOKUP($E25,$A$102:$E$109,5,FALSE)&gt;=$H25+AB25,1,"NOT MET"))),"")</f>
        <v/>
      </c>
      <c r="AE25" s="223" t="str">
        <f>IFERROR(IF(VLOOKUP($E25,$A$102:$E$109,3,FALSE)&gt;=$H25+AC25,3,IF(VLOOKUP($E25,$A$102:$E$109,4,FALSE)&gt;=$H25+AC25,2,IF(VLOOKUP($E25,$A$102:$E$109,5,FALSE)&gt;=$H25+AC25,1,"NOT MET"))),"")</f>
        <v/>
      </c>
      <c r="AF25" s="223" t="str">
        <f t="shared" si="1"/>
        <v>No</v>
      </c>
      <c r="AG25" s="223" t="str">
        <f t="shared" si="2"/>
        <v/>
      </c>
      <c r="AH25" s="223"/>
    </row>
    <row r="26" spans="2:34" ht="20.100000000000001" customHeight="1">
      <c r="B26" s="681"/>
      <c r="C26" s="1083"/>
      <c r="D26" s="1085"/>
      <c r="E26" s="1085"/>
      <c r="F26" s="477" t="s">
        <v>974</v>
      </c>
      <c r="G26" s="477" t="e">
        <f>_xlfn.CONCAT("(", $AH$7, " Point", IF($AH$7&gt; 1,"s) ",") "),VLOOKUP($E25,$C$168:$F$174,1+$AH$7,FALSE), RIGHT(F26,4))</f>
        <v>#N/A</v>
      </c>
      <c r="H26" s="621"/>
      <c r="I26" s="477" t="str">
        <f t="shared" si="8"/>
        <v/>
      </c>
      <c r="J26" s="1088"/>
      <c r="K26" s="1065"/>
      <c r="L26" s="1067"/>
      <c r="N26" s="223" t="str">
        <f t="shared" si="5"/>
        <v>Yes</v>
      </c>
      <c r="AB26" s="223">
        <v>0</v>
      </c>
      <c r="AC26" s="223">
        <v>-4</v>
      </c>
      <c r="AD26" s="223" t="str">
        <f>IFERROR(IF(VLOOKUP($E25,$A$112:$E$119,3,FALSE)&gt;=$H26+AB26,3,IF(VLOOKUP($E25,$A$112:$E$119,4,FALSE)&gt;=$H26+AB26,2,IF(VLOOKUP($E25,$A$112:$E$119,5,FALSE)&gt;=$H26+AB26,1,"NOT MET"))),"")</f>
        <v/>
      </c>
      <c r="AE26" s="223" t="str">
        <f>IFERROR(IF(VLOOKUP($E25,$A$112:$E$119,3,FALSE)&gt;=$H26+AC26,3,IF(VLOOKUP($E25,$A$112:$E$119,4,FALSE)&gt;=$H26+AC26,2,IF(VLOOKUP($E25,$A$112:$E$119,5,FALSE)&gt;=$H26+AC26,1,"NOT MET"))),"")</f>
        <v/>
      </c>
      <c r="AF26" s="223" t="str">
        <f t="shared" si="1"/>
        <v>No</v>
      </c>
      <c r="AG26" s="223" t="str">
        <f t="shared" si="2"/>
        <v/>
      </c>
      <c r="AH26" s="223"/>
    </row>
    <row r="27" spans="2:34" ht="20.100000000000001" customHeight="1">
      <c r="B27" s="681"/>
      <c r="C27" s="1083"/>
      <c r="D27" s="1085"/>
      <c r="E27" s="1085"/>
      <c r="F27" s="477" t="s">
        <v>973</v>
      </c>
      <c r="G27" s="477" t="e">
        <f>IF($AH$7=1, "NA",_xlfn.CONCAT("(", $AH$7, " Point", IF($AH$7&gt; 1,"s) ",") "),VLOOKUP($E25,$C$178:$F$184,1+$AH$7,FALSE), RIGHT(F27,4)))</f>
        <v>#N/A</v>
      </c>
      <c r="H27" s="621"/>
      <c r="I27" s="477" t="str">
        <f t="shared" si="3"/>
        <v/>
      </c>
      <c r="J27" s="1088"/>
      <c r="K27" s="1073"/>
      <c r="L27" s="1074"/>
      <c r="N27" s="223" t="str">
        <f t="shared" si="5"/>
        <v>Yes</v>
      </c>
      <c r="AB27" s="223">
        <v>0</v>
      </c>
      <c r="AC27" s="223">
        <v>-9</v>
      </c>
      <c r="AD27" s="223" t="str">
        <f>IFERROR(IF(VLOOKUP($E25,$A$122:$E$129,3,FALSE)&gt;=$H27+AB27,3,IF(VLOOKUP($E25,$A$122:$E$129,4,FALSE)&gt;=$H27+AB27,2,IF(VLOOKUP($E25,$A$122:$E$129,5,FALSE)&gt;=$H27+AB27,1,"NOT MET"))),"")</f>
        <v/>
      </c>
      <c r="AE27" s="223" t="str">
        <f>IFERROR(IF(VLOOKUP($E25,$A$122:$E$129,3,FALSE)&gt;=$H27+AC27,3,IF(VLOOKUP($E25,$A$122:$E$129,4,FALSE)&gt;=$H27+AC27,2,IF(VLOOKUP($E25,$A$122:$E$129,5,FALSE)&gt;=$H27+AC27,1,"NOT MET"))),"")</f>
        <v/>
      </c>
      <c r="AF27" s="223" t="str">
        <f t="shared" si="1"/>
        <v>No</v>
      </c>
      <c r="AG27" s="223" t="str">
        <f t="shared" si="2"/>
        <v/>
      </c>
      <c r="AH27" s="223"/>
    </row>
    <row r="28" spans="2:34" ht="20.100000000000001" customHeight="1">
      <c r="B28" s="681"/>
      <c r="C28" s="1083"/>
      <c r="D28" s="1085"/>
      <c r="E28" s="1085"/>
      <c r="F28" s="477" t="s">
        <v>974</v>
      </c>
      <c r="G28" s="477" t="e">
        <f>IF($AH$7=1,"NA",_xlfn.CONCAT("(",$AH$7," Point",IF($AH$7&gt;1,"s) ",") "),VLOOKUP($E25,$C$188:$F$194,1+$AH$7,FALSE),RIGHT(F28,4)))</f>
        <v>#N/A</v>
      </c>
      <c r="H28" s="621"/>
      <c r="I28" s="477" t="str">
        <f t="shared" si="3"/>
        <v/>
      </c>
      <c r="J28" s="1090"/>
      <c r="K28" s="1073"/>
      <c r="L28" s="1074"/>
      <c r="N28" s="223" t="str">
        <f t="shared" si="5"/>
        <v>Yes</v>
      </c>
      <c r="AB28" s="223">
        <v>0</v>
      </c>
      <c r="AC28" s="223">
        <v>-9</v>
      </c>
      <c r="AD28" s="223" t="str">
        <f>IFERROR(IF(VLOOKUP($E25,$A$132:$E$139,3,FALSE)&gt;=$H28+AB28,3,IF(VLOOKUP($E25,$A$132:$E$139,4,FALSE)&gt;=$H28+AB28,2,IF(VLOOKUP($E25,$A$132:$E$139,5,FALSE)&gt;=$H28+AB28,1,"NOT MET"))),"")</f>
        <v/>
      </c>
      <c r="AE28" s="223" t="str">
        <f>IFERROR(IF(VLOOKUP($E25,$A$132:$E$139,3,FALSE)&gt;=$H28+AC28,3,IF(VLOOKUP($E25,$A$132:$E$139,4,FALSE)&gt;=$H28+AC28,2,IF(VLOOKUP($E25,$A$132:$E$139,5,FALSE)&gt;=$H28+AC28,1,"NOT MET"))),"")</f>
        <v/>
      </c>
      <c r="AF28" s="223" t="str">
        <f t="shared" si="1"/>
        <v>No</v>
      </c>
      <c r="AG28" s="223" t="str">
        <f t="shared" si="2"/>
        <v/>
      </c>
      <c r="AH28" s="223"/>
    </row>
    <row r="29" spans="2:34" ht="20.100000000000001" customHeight="1">
      <c r="B29" s="681"/>
      <c r="C29" s="1083"/>
      <c r="D29" s="1085"/>
      <c r="E29" s="1085"/>
      <c r="F29" s="477" t="s">
        <v>973</v>
      </c>
      <c r="G29" s="477" t="e">
        <f>_xlfn.CONCAT("(", $AH$7, " Point", IF($AH$7&gt; 1,"s) ",") "),VLOOKUP($E29,$C$158:$F$165,1+$AH$7,FALSE), RIGHT(F29,4))</f>
        <v>#N/A</v>
      </c>
      <c r="H29" s="621"/>
      <c r="I29" s="477" t="str">
        <f t="shared" ref="I29:I30" si="9">IF($AH$7&gt;IF(AD29="NOT MET",0,AD29),_xlfn.CONCAT(AC33*-1, " dB"),"")</f>
        <v/>
      </c>
      <c r="J29" s="1087" t="str">
        <f>IF(E29 &lt;&gt; "",IF('Review Comments'!H$175="Achieved", IF(COUNTIF(AG29:AG32,"NOT MET")&gt;0,"NOT MET", "MET"),"TBD"),"")</f>
        <v/>
      </c>
      <c r="K29" s="1073"/>
      <c r="L29" s="1074"/>
      <c r="N29" s="223" t="str">
        <f t="shared" si="5"/>
        <v>Yes</v>
      </c>
      <c r="AB29" s="223">
        <v>0</v>
      </c>
      <c r="AC29" s="223">
        <v>-4</v>
      </c>
      <c r="AD29" s="223" t="str">
        <f>IFERROR(IF(VLOOKUP($E29,$A$102:$E$109,3,FALSE)&gt;=$H29+AB29,3,IF(VLOOKUP($E29,$A$102:$E$109,4,FALSE)&gt;=$H29+AB29,2,IF(VLOOKUP($E29,$A$102:$E$109,5,FALSE)&gt;=$H29+AB29,1,"NOT MET"))),"")</f>
        <v/>
      </c>
      <c r="AE29" s="223" t="str">
        <f>IFERROR(IF(VLOOKUP($E29,$A$102:$E$109,3,FALSE)&gt;=$H29+AC29,3,IF(VLOOKUP($E29,$A$102:$E$109,4,FALSE)&gt;=$H29+AC29,2,IF(VLOOKUP($E29,$A$102:$E$109,5,FALSE)&gt;=$H29+AC29,1,"NOT MET"))),"")</f>
        <v/>
      </c>
      <c r="AF29" s="223" t="str">
        <f t="shared" si="1"/>
        <v>No</v>
      </c>
      <c r="AG29" s="223" t="str">
        <f t="shared" si="2"/>
        <v/>
      </c>
      <c r="AH29" s="223"/>
    </row>
    <row r="30" spans="2:34" ht="20.100000000000001" customHeight="1">
      <c r="B30" s="681"/>
      <c r="C30" s="1083"/>
      <c r="D30" s="1085"/>
      <c r="E30" s="1085"/>
      <c r="F30" s="477" t="s">
        <v>974</v>
      </c>
      <c r="G30" s="477" t="e">
        <f>_xlfn.CONCAT("(", $AH$7, " Point", IF($AH$7&gt; 1,"s) ",") "),VLOOKUP($E29,$C$168:$F$174,1+$AH$7,FALSE), RIGHT(F30,4))</f>
        <v>#N/A</v>
      </c>
      <c r="H30" s="621"/>
      <c r="I30" s="477" t="str">
        <f t="shared" si="9"/>
        <v/>
      </c>
      <c r="J30" s="1088"/>
      <c r="K30" s="1073"/>
      <c r="L30" s="1074"/>
      <c r="N30" s="223" t="str">
        <f t="shared" si="5"/>
        <v>Yes</v>
      </c>
      <c r="O30" s="458"/>
      <c r="AB30" s="223">
        <v>0</v>
      </c>
      <c r="AC30" s="223">
        <v>-4</v>
      </c>
      <c r="AD30" s="223" t="str">
        <f>IFERROR(IF(VLOOKUP($E29,$A$112:$E$119,3,FALSE)&gt;=$H30+AB30,3,IF(VLOOKUP($E29,$A$112:$E$119,4,FALSE)&gt;=$H30+AB30,2,IF(VLOOKUP($E29,$A$112:$E$119,5,FALSE)&gt;=$H30+AB30,1,"NOT MET"))),"")</f>
        <v/>
      </c>
      <c r="AE30" s="223" t="str">
        <f>IFERROR(IF(VLOOKUP($E29,$A$112:$E$119,3,FALSE)&gt;=$H30+AC30,3,IF(VLOOKUP($E29,$A$112:$E$119,4,FALSE)&gt;=$H30+AC30,2,IF(VLOOKUP($E29,$A$112:$E$119,5,FALSE)&gt;=$H30+AC30,1,"NOT MET"))),"")</f>
        <v/>
      </c>
      <c r="AF30" s="223" t="str">
        <f t="shared" si="1"/>
        <v>No</v>
      </c>
      <c r="AG30" s="223" t="str">
        <f t="shared" si="2"/>
        <v/>
      </c>
      <c r="AH30" s="223"/>
    </row>
    <row r="31" spans="2:34" ht="20.100000000000001" customHeight="1">
      <c r="B31" s="681"/>
      <c r="C31" s="1083"/>
      <c r="D31" s="1085"/>
      <c r="E31" s="1085"/>
      <c r="F31" s="477" t="s">
        <v>975</v>
      </c>
      <c r="G31" s="477" t="e">
        <f>IF($AH$7=1, "NA",_xlfn.CONCAT("(", $AH$7, " Point", IF($AH$7&gt; 1,"s) ",") "),VLOOKUP($E29,$C$178:$F$184,1+$AH$7,FALSE), RIGHT(F31,4)))</f>
        <v>#N/A</v>
      </c>
      <c r="H31" s="621"/>
      <c r="I31" s="477" t="str">
        <f t="shared" si="3"/>
        <v/>
      </c>
      <c r="J31" s="1088"/>
      <c r="K31" s="1073"/>
      <c r="L31" s="1074"/>
      <c r="N31" s="223" t="str">
        <f t="shared" si="5"/>
        <v>Yes</v>
      </c>
      <c r="AB31" s="223">
        <v>0</v>
      </c>
      <c r="AC31" s="223">
        <v>-9</v>
      </c>
      <c r="AD31" s="223" t="str">
        <f>IFERROR(IF(VLOOKUP($E29,$A$122:$E$129,3,FALSE)&gt;=$H31+AB31,3,IF(VLOOKUP($E29,$A$122:$E$129,4,FALSE)&gt;=$H31+AB31,2,IF(VLOOKUP($E29,$A$122:$E$129,5,FALSE)&gt;=$H31+AB31,1,"NOT MET"))),"")</f>
        <v/>
      </c>
      <c r="AE31" s="223" t="str">
        <f>IFERROR(IF(VLOOKUP($E29,$A$122:$E$129,3,FALSE)&gt;=$H31+AC31,3,IF(VLOOKUP($E29,$A$122:$E$129,4,FALSE)&gt;=$H31+AC31,2,IF(VLOOKUP($E29,$A$122:$E$129,5,FALSE)&gt;=$H31+AC31,1,"NOT MET"))),"")</f>
        <v/>
      </c>
      <c r="AF31" s="223" t="str">
        <f t="shared" si="1"/>
        <v>Yes</v>
      </c>
      <c r="AG31" s="223" t="str">
        <f t="shared" si="2"/>
        <v/>
      </c>
      <c r="AH31" s="223"/>
    </row>
    <row r="32" spans="2:34" ht="20.100000000000001" customHeight="1">
      <c r="B32" s="681"/>
      <c r="C32" s="1083"/>
      <c r="D32" s="1085"/>
      <c r="E32" s="1085"/>
      <c r="F32" s="477" t="s">
        <v>976</v>
      </c>
      <c r="G32" s="477" t="e">
        <f>IF($AH$7=1,"NA",_xlfn.CONCAT("(",$AH$7," Point",IF($AH$7&gt;1,"s) ",") "),VLOOKUP($E29,$C$188:$F$194,1+$AH$7,FALSE),RIGHT(F32,4)))</f>
        <v>#N/A</v>
      </c>
      <c r="H32" s="621"/>
      <c r="I32" s="477" t="str">
        <f t="shared" si="3"/>
        <v/>
      </c>
      <c r="J32" s="1090"/>
      <c r="K32" s="1073"/>
      <c r="L32" s="1074"/>
      <c r="N32" s="223" t="str">
        <f t="shared" si="5"/>
        <v>Yes</v>
      </c>
      <c r="AB32" s="223">
        <v>0</v>
      </c>
      <c r="AC32" s="223">
        <v>-9</v>
      </c>
      <c r="AD32" s="223" t="str">
        <f>IFERROR(IF(VLOOKUP($E29,$A$132:$E$139,3,FALSE)&gt;=$H32+AB32,3,IF(VLOOKUP($E29,$A$132:$E$139,4,FALSE)&gt;=$H32+AB32,2,IF(VLOOKUP($E29,$A$132:$E$139,5,FALSE)&gt;=$H32+AB32,1,"NOT MET"))),"")</f>
        <v/>
      </c>
      <c r="AE32" s="223" t="str">
        <f>IFERROR(IF(VLOOKUP($E29,$A$132:$E$139,3,FALSE)&gt;=$H32+AC32,3,IF(VLOOKUP($E29,$A$132:$E$139,4,FALSE)&gt;=$H32+AC32,2,IF(VLOOKUP($E29,$A$132:$E$139,5,FALSE)&gt;=$H32+AC32,1,"NOT MET"))),"")</f>
        <v/>
      </c>
      <c r="AF32" s="223" t="str">
        <f t="shared" si="1"/>
        <v>Yes</v>
      </c>
      <c r="AG32" s="223" t="str">
        <f t="shared" si="2"/>
        <v/>
      </c>
      <c r="AH32" s="223"/>
    </row>
    <row r="33" spans="2:34" ht="20.100000000000001" customHeight="1">
      <c r="B33" s="681"/>
      <c r="C33" s="1083"/>
      <c r="D33" s="1085"/>
      <c r="E33" s="1085"/>
      <c r="F33" s="477" t="s">
        <v>973</v>
      </c>
      <c r="G33" s="477" t="e">
        <f>_xlfn.CONCAT("(", $AH$7, " Point", IF($AH$7&gt; 1,"s) ",") "),VLOOKUP($E33,$C$158:$F$165,1+$AH$7,FALSE), RIGHT(F33,4))</f>
        <v>#N/A</v>
      </c>
      <c r="H33" s="621"/>
      <c r="I33" s="477" t="str">
        <f t="shared" ref="I33:I34" si="10">IF($AH$7&gt;IF(AD33="NOT MET",0,AD33),_xlfn.CONCAT(AC37*-1, " dB"),"")</f>
        <v/>
      </c>
      <c r="J33" s="1087" t="str">
        <f>IF(E33 &lt;&gt; "",IF('Review Comments'!H$175="Achieved", IF(COUNTIF(AG33:AG36,"NOT MET")&gt;0,"NOT MET", "MET"),"TBD"),"")</f>
        <v/>
      </c>
      <c r="K33" s="1073"/>
      <c r="L33" s="1074"/>
      <c r="N33" s="223" t="str">
        <f t="shared" si="5"/>
        <v>Yes</v>
      </c>
      <c r="AB33" s="223">
        <v>0</v>
      </c>
      <c r="AC33" s="223">
        <v>-4</v>
      </c>
      <c r="AD33" s="223" t="str">
        <f>IFERROR(IF(VLOOKUP($E33,$A$102:$E$109,3,FALSE)&gt;=$H33+AB33,3,IF(VLOOKUP($E33,$A$102:$E$109,4,FALSE)&gt;=$H33+AB33,2,IF(VLOOKUP($E33,$A$102:$E$109,5,FALSE)&gt;=$H33+AB33,1,"NOT MET"))),"")</f>
        <v/>
      </c>
      <c r="AE33" s="223" t="str">
        <f>IFERROR(IF(VLOOKUP($E33,$A$102:$E$109,3,FALSE)&gt;=$H33+AC33,3,IF(VLOOKUP($E33,$A$102:$E$109,4,FALSE)&gt;=$H33+AC33,2,IF(VLOOKUP($E33,$A$102:$E$109,5,FALSE)&gt;=$H33+AC33,1,"NOT MET"))),"")</f>
        <v/>
      </c>
      <c r="AF33" s="223" t="str">
        <f t="shared" ref="AF33:AF36" si="11">IF(IF(LEFT(F33,4) = "Lmax", "Yes","No") = "Yes", IF(AE33="NOT MET","NOT MET", "Yes"),"No")</f>
        <v>No</v>
      </c>
      <c r="AG33" s="223" t="str">
        <f t="shared" ref="AG33:AG36" si="12">IF(AF33="NOT MET",1,AE33)</f>
        <v/>
      </c>
      <c r="AH33" s="223"/>
    </row>
    <row r="34" spans="2:34" ht="20.100000000000001" customHeight="1">
      <c r="B34" s="681"/>
      <c r="C34" s="1083"/>
      <c r="D34" s="1085"/>
      <c r="E34" s="1085"/>
      <c r="F34" s="477" t="s">
        <v>974</v>
      </c>
      <c r="G34" s="477" t="e">
        <f>_xlfn.CONCAT("(", $AH$7, " Point", IF($AH$7&gt; 1,"s) ",") "),VLOOKUP($E33,$C$168:$F$174,1+$AH$7,FALSE), RIGHT(F34,4))</f>
        <v>#N/A</v>
      </c>
      <c r="H34" s="621"/>
      <c r="I34" s="477" t="str">
        <f t="shared" si="10"/>
        <v/>
      </c>
      <c r="J34" s="1088"/>
      <c r="K34" s="1073"/>
      <c r="L34" s="1074"/>
      <c r="N34" s="223" t="str">
        <f t="shared" si="5"/>
        <v>Yes</v>
      </c>
      <c r="O34" s="458"/>
      <c r="AB34" s="223">
        <v>0</v>
      </c>
      <c r="AC34" s="223">
        <v>-4</v>
      </c>
      <c r="AD34" s="223" t="str">
        <f>IFERROR(IF(VLOOKUP($E33,$A$112:$E$119,3,FALSE)&gt;=$H34+AB34,3,IF(VLOOKUP($E33,$A$112:$E$119,4,FALSE)&gt;=$H34+AB34,2,IF(VLOOKUP($E33,$A$112:$E$119,5,FALSE)&gt;=$H34+AB34,1,"NOT MET"))),"")</f>
        <v/>
      </c>
      <c r="AE34" s="223" t="str">
        <f>IFERROR(IF(VLOOKUP($E33,$A$112:$E$119,3,FALSE)&gt;=$H34+AC34,3,IF(VLOOKUP($E33,$A$112:$E$119,4,FALSE)&gt;=$H34+AC34,2,IF(VLOOKUP($E33,$A$112:$E$119,5,FALSE)&gt;=$H34+AC34,1,"NOT MET"))),"")</f>
        <v/>
      </c>
      <c r="AF34" s="223" t="str">
        <f t="shared" si="11"/>
        <v>No</v>
      </c>
      <c r="AG34" s="223" t="str">
        <f t="shared" si="12"/>
        <v/>
      </c>
      <c r="AH34" s="223"/>
    </row>
    <row r="35" spans="2:34" ht="20.100000000000001" customHeight="1">
      <c r="B35" s="681"/>
      <c r="C35" s="1083"/>
      <c r="D35" s="1085"/>
      <c r="E35" s="1085"/>
      <c r="F35" s="477" t="s">
        <v>975</v>
      </c>
      <c r="G35" s="477" t="e">
        <f>IF($AH$7=1, "NA",_xlfn.CONCAT("(", $AH$7, " Point", IF($AH$7&gt; 1,"s) ",") "),VLOOKUP($E33,$C$178:$F$184,1+$AH$7,FALSE), RIGHT(F35,4)))</f>
        <v>#N/A</v>
      </c>
      <c r="H35" s="621"/>
      <c r="I35" s="477" t="str">
        <f t="shared" si="3"/>
        <v/>
      </c>
      <c r="J35" s="1088"/>
      <c r="K35" s="1073"/>
      <c r="L35" s="1074"/>
      <c r="N35" s="223" t="str">
        <f t="shared" si="5"/>
        <v>Yes</v>
      </c>
      <c r="AB35" s="223">
        <v>0</v>
      </c>
      <c r="AC35" s="223">
        <v>-9</v>
      </c>
      <c r="AD35" s="223" t="str">
        <f>IFERROR(IF(VLOOKUP($E33,$A$122:$E$129,3,FALSE)&gt;=$H35+AB35,3,IF(VLOOKUP($E33,$A$122:$E$129,4,FALSE)&gt;=$H35+AB35,2,IF(VLOOKUP($E33,$A$122:$E$129,5,FALSE)&gt;=$H35+AB35,1,"NOT MET"))),"")</f>
        <v/>
      </c>
      <c r="AE35" s="223" t="str">
        <f>IFERROR(IF(VLOOKUP($E33,$A$122:$E$129,3,FALSE)&gt;=$H35+AC35,3,IF(VLOOKUP($E33,$A$122:$E$129,4,FALSE)&gt;=$H35+AC35,2,IF(VLOOKUP($E33,$A$122:$E$129,5,FALSE)&gt;=$H35+AC35,1,"NOT MET"))),"")</f>
        <v/>
      </c>
      <c r="AF35" s="223" t="str">
        <f t="shared" si="11"/>
        <v>Yes</v>
      </c>
      <c r="AG35" s="223" t="str">
        <f t="shared" si="12"/>
        <v/>
      </c>
      <c r="AH35" s="223"/>
    </row>
    <row r="36" spans="2:34" ht="20.100000000000001" customHeight="1">
      <c r="B36" s="681"/>
      <c r="C36" s="1083"/>
      <c r="D36" s="1085"/>
      <c r="E36" s="1085"/>
      <c r="F36" s="477" t="s">
        <v>976</v>
      </c>
      <c r="G36" s="477" t="e">
        <f>IF($AH$7=1,"NA",_xlfn.CONCAT("(",$AH$7," Point",IF($AH$7&gt;1,"s) ",") "),VLOOKUP($E33,$C$188:$F$194,1+$AH$7,FALSE),RIGHT(F36,4)))</f>
        <v>#N/A</v>
      </c>
      <c r="H36" s="621"/>
      <c r="I36" s="477" t="str">
        <f t="shared" si="3"/>
        <v/>
      </c>
      <c r="J36" s="1090"/>
      <c r="K36" s="1073"/>
      <c r="L36" s="1074"/>
      <c r="N36" s="223" t="str">
        <f t="shared" si="5"/>
        <v>Yes</v>
      </c>
      <c r="AB36" s="223">
        <v>0</v>
      </c>
      <c r="AC36" s="223">
        <v>-9</v>
      </c>
      <c r="AD36" s="223" t="str">
        <f>IFERROR(IF(VLOOKUP($E33,$A$132:$E$139,3,FALSE)&gt;=$H36+AB36,3,IF(VLOOKUP($E33,$A$132:$E$139,4,FALSE)&gt;=$H36+AB36,2,IF(VLOOKUP($E33,$A$132:$E$139,5,FALSE)&gt;=$H36+AB36,1,"NOT MET"))),"")</f>
        <v/>
      </c>
      <c r="AE36" s="223" t="str">
        <f>IFERROR(IF(VLOOKUP($E33,$A$132:$E$139,3,FALSE)&gt;=$H36+AC36,3,IF(VLOOKUP($E33,$A$132:$E$139,4,FALSE)&gt;=$H36+AC36,2,IF(VLOOKUP($E33,$A$132:$E$139,5,FALSE)&gt;=$H36+AC36,1,"NOT MET"))),"")</f>
        <v/>
      </c>
      <c r="AF36" s="223" t="str">
        <f t="shared" si="11"/>
        <v>Yes</v>
      </c>
      <c r="AG36" s="223" t="str">
        <f t="shared" si="12"/>
        <v/>
      </c>
      <c r="AH36" s="223"/>
    </row>
    <row r="37" spans="2:34" ht="20.100000000000001" customHeight="1">
      <c r="B37" s="681"/>
      <c r="C37" s="1083"/>
      <c r="D37" s="1085"/>
      <c r="E37" s="1085"/>
      <c r="F37" s="477" t="s">
        <v>973</v>
      </c>
      <c r="G37" s="477" t="e">
        <f>_xlfn.CONCAT("(", $AH$7, " Point", IF($AH$7&gt; 1,"s) ",") "),VLOOKUP($E37,$C$158:$F$165,1+$AH$7,FALSE), RIGHT(F37,4))</f>
        <v>#N/A</v>
      </c>
      <c r="H37" s="621"/>
      <c r="I37" s="477" t="str">
        <f t="shared" ref="I37:I38" si="13">IF($AH$7&gt;IF(AD37="NOT MET",0,AD37),_xlfn.CONCAT(AC41*-1, " dB"),"")</f>
        <v/>
      </c>
      <c r="J37" s="1087" t="str">
        <f>IF(E37 &lt;&gt; "",IF('Review Comments'!H$175="Achieved", IF(COUNTIF(AG37:AG40,"NOT MET")&gt;0,"NOT MET", "MET"),"TBD"),"")</f>
        <v/>
      </c>
      <c r="K37" s="1073"/>
      <c r="L37" s="1074"/>
      <c r="N37" s="223" t="str">
        <f t="shared" si="5"/>
        <v>Yes</v>
      </c>
      <c r="AB37" s="223">
        <v>0</v>
      </c>
      <c r="AC37" s="223">
        <v>-4</v>
      </c>
      <c r="AD37" s="223" t="str">
        <f>IFERROR(IF(VLOOKUP($E37,$A$102:$E$109,3,FALSE)&gt;=$H37+AB37,3,IF(VLOOKUP($E37,$A$102:$E$109,4,FALSE)&gt;=$H37+AB37,2,IF(VLOOKUP($E37,$A$102:$E$109,5,FALSE)&gt;=$H37+AB37,1,"NOT MET"))),"")</f>
        <v/>
      </c>
      <c r="AE37" s="223" t="str">
        <f>IFERROR(IF(VLOOKUP($E37,$A$102:$E$109,3,FALSE)&gt;=$H37+AC37,3,IF(VLOOKUP($E37,$A$102:$E$109,4,FALSE)&gt;=$H37+AC37,2,IF(VLOOKUP($E37,$A$102:$E$109,5,FALSE)&gt;=$H37+AC37,1,"NOT MET"))),"")</f>
        <v/>
      </c>
      <c r="AF37" s="223" t="str">
        <f t="shared" si="1"/>
        <v>No</v>
      </c>
      <c r="AG37" s="223" t="str">
        <f t="shared" si="2"/>
        <v/>
      </c>
      <c r="AH37" s="223"/>
    </row>
    <row r="38" spans="2:34" ht="20.100000000000001" customHeight="1">
      <c r="B38" s="681"/>
      <c r="C38" s="1083"/>
      <c r="D38" s="1085"/>
      <c r="E38" s="1085"/>
      <c r="F38" s="477" t="s">
        <v>974</v>
      </c>
      <c r="G38" s="477" t="e">
        <f>_xlfn.CONCAT("(", $AH$7, " Point", IF($AH$7&gt; 1,"s) ",") "),VLOOKUP($E37,$C$168:$F$174,1+$AH$7,FALSE), RIGHT(F38,4))</f>
        <v>#N/A</v>
      </c>
      <c r="H38" s="621"/>
      <c r="I38" s="477" t="str">
        <f t="shared" si="13"/>
        <v/>
      </c>
      <c r="J38" s="1088"/>
      <c r="K38" s="1073"/>
      <c r="L38" s="1074"/>
      <c r="N38" s="223" t="str">
        <f t="shared" si="5"/>
        <v>Yes</v>
      </c>
      <c r="O38" s="458" t="s">
        <v>1011</v>
      </c>
      <c r="AB38" s="223">
        <v>0</v>
      </c>
      <c r="AC38" s="223">
        <v>-4</v>
      </c>
      <c r="AD38" s="223" t="str">
        <f>IFERROR(IF(VLOOKUP($E37,$A$112:$E$119,3,FALSE)&gt;=$H38+AB38,3,IF(VLOOKUP($E37,$A$112:$E$119,4,FALSE)&gt;=$H38+AB38,2,IF(VLOOKUP($E37,$A$112:$E$119,5,FALSE)&gt;=$H38+AB38,1,"NOT MET"))),"")</f>
        <v/>
      </c>
      <c r="AE38" s="223" t="str">
        <f>IFERROR(IF(VLOOKUP($E37,$A$112:$E$119,3,FALSE)&gt;=$H38+AC38,3,IF(VLOOKUP($E37,$A$112:$E$119,4,FALSE)&gt;=$H38+AC38,2,IF(VLOOKUP($E37,$A$112:$E$119,5,FALSE)&gt;=$H38+AC38,1,"NOT MET"))),"")</f>
        <v/>
      </c>
      <c r="AF38" s="223" t="str">
        <f t="shared" si="1"/>
        <v>No</v>
      </c>
      <c r="AG38" s="223" t="str">
        <f t="shared" si="2"/>
        <v/>
      </c>
      <c r="AH38" s="223"/>
    </row>
    <row r="39" spans="2:34" ht="20.100000000000001" customHeight="1">
      <c r="B39" s="681"/>
      <c r="C39" s="1083"/>
      <c r="D39" s="1085"/>
      <c r="E39" s="1085"/>
      <c r="F39" s="477" t="s">
        <v>975</v>
      </c>
      <c r="G39" s="477" t="e">
        <f>IF($AH$7=1, "NA",_xlfn.CONCAT("(", $AH$7, " Point", IF($AH$7&gt; 1,"s) ",") "),VLOOKUP($E37,$C$178:$F$184,1+$AH$7,FALSE), RIGHT(F39,4)))</f>
        <v>#N/A</v>
      </c>
      <c r="H39" s="621"/>
      <c r="I39" s="477" t="str">
        <f t="shared" si="3"/>
        <v/>
      </c>
      <c r="J39" s="1088"/>
      <c r="K39" s="1073"/>
      <c r="L39" s="1074"/>
      <c r="N39" s="223" t="str">
        <f t="shared" si="5"/>
        <v>Yes</v>
      </c>
      <c r="AB39" s="223">
        <v>0</v>
      </c>
      <c r="AC39" s="223">
        <v>-9</v>
      </c>
      <c r="AD39" s="223" t="str">
        <f>IFERROR(IF(VLOOKUP($E37,$A$122:$E$129,3,FALSE)&gt;=$H39+AB39,3,IF(VLOOKUP($E37,$A$122:$E$129,4,FALSE)&gt;=$H39+AB39,2,IF(VLOOKUP($E37,$A$122:$E$129,5,FALSE)&gt;=$H39+AB39,1,"NOT MET"))),"")</f>
        <v/>
      </c>
      <c r="AE39" s="223" t="str">
        <f>IFERROR(IF(VLOOKUP($E37,$A$122:$E$129,3,FALSE)&gt;=$H39+AC39,3,IF(VLOOKUP($E37,$A$122:$E$129,4,FALSE)&gt;=$H39+AC39,2,IF(VLOOKUP($E37,$A$122:$E$129,5,FALSE)&gt;=$H39+AC39,1,"NOT MET"))),"")</f>
        <v/>
      </c>
      <c r="AF39" s="223" t="str">
        <f t="shared" si="1"/>
        <v>Yes</v>
      </c>
      <c r="AG39" s="223" t="str">
        <f t="shared" si="2"/>
        <v/>
      </c>
      <c r="AH39" s="223"/>
    </row>
    <row r="40" spans="2:34" ht="20.100000000000001" customHeight="1" thickBot="1">
      <c r="B40" s="681"/>
      <c r="C40" s="1084"/>
      <c r="D40" s="1086"/>
      <c r="E40" s="1086"/>
      <c r="F40" s="478" t="s">
        <v>976</v>
      </c>
      <c r="G40" s="478" t="e">
        <f>IF($AH$7=1,"NA",_xlfn.CONCAT("(",$AH$7," Point",IF($AH$7&gt;1,"s) ",") "),VLOOKUP($E37,$C$188:$F$194,1+$AH$7,FALSE),RIGHT(F40,4)))</f>
        <v>#N/A</v>
      </c>
      <c r="H40" s="622"/>
      <c r="I40" s="478" t="str">
        <f t="shared" si="3"/>
        <v/>
      </c>
      <c r="J40" s="1089"/>
      <c r="K40" s="1077"/>
      <c r="L40" s="1078"/>
      <c r="N40" s="223" t="str">
        <f t="shared" si="5"/>
        <v>Yes</v>
      </c>
      <c r="AB40" s="223">
        <v>0</v>
      </c>
      <c r="AC40" s="223">
        <v>-9</v>
      </c>
      <c r="AD40" s="223" t="str">
        <f>IFERROR(IF(VLOOKUP($E37,$A$132:$E$139,3,FALSE)&gt;=$H40+AB40,3,IF(VLOOKUP($E37,$A$132:$E$139,4,FALSE)&gt;=$H40+AB40,2,IF(VLOOKUP($E37,$A$132:$E$139,5,FALSE)&gt;=$H40+AB40,1,"NOT MET"))),"")</f>
        <v/>
      </c>
      <c r="AE40" s="223" t="str">
        <f>IFERROR(IF(VLOOKUP($E37,$A$132:$E$139,3,FALSE)&gt;=$H40+AC40,3,IF(VLOOKUP($E37,$A$132:$E$139,4,FALSE)&gt;=$H40+AC40,2,IF(VLOOKUP($E37,$A$132:$E$139,5,FALSE)&gt;=$H40+AC40,1,"NOT MET"))),"")</f>
        <v/>
      </c>
      <c r="AF40" s="223" t="str">
        <f t="shared" si="1"/>
        <v>Yes</v>
      </c>
      <c r="AG40" s="223" t="str">
        <f t="shared" si="2"/>
        <v/>
      </c>
      <c r="AH40" s="223"/>
    </row>
    <row r="41" spans="2:34" ht="24" customHeight="1" thickBot="1">
      <c r="B41" s="682"/>
      <c r="C41" s="1048" t="s">
        <v>979</v>
      </c>
      <c r="D41" s="1048"/>
      <c r="E41" s="1048"/>
      <c r="F41" s="1048"/>
      <c r="G41" s="1048"/>
      <c r="H41" s="1048"/>
      <c r="I41" s="1048"/>
      <c r="J41" s="1048"/>
      <c r="K41" s="1048"/>
      <c r="L41" s="1049"/>
      <c r="N41" s="223" t="str">
        <f>IF(D$43&lt;&gt;"","No","Yes")</f>
        <v>Yes</v>
      </c>
      <c r="AE41" s="223"/>
      <c r="AF41" s="223"/>
      <c r="AG41" s="223"/>
    </row>
    <row r="42" spans="2:34" ht="60" customHeight="1">
      <c r="B42" s="681"/>
      <c r="C42" s="476" t="s">
        <v>932</v>
      </c>
      <c r="D42" s="668" t="s">
        <v>980</v>
      </c>
      <c r="E42" s="668" t="s">
        <v>981</v>
      </c>
      <c r="F42" s="668" t="s">
        <v>962</v>
      </c>
      <c r="G42" s="668" t="s">
        <v>982</v>
      </c>
      <c r="H42" s="479" t="s">
        <v>983</v>
      </c>
      <c r="I42" s="1050" t="s">
        <v>984</v>
      </c>
      <c r="J42" s="1079"/>
      <c r="K42" s="1080" t="s">
        <v>904</v>
      </c>
      <c r="L42" s="1081"/>
      <c r="N42" s="223" t="str">
        <f>IF(D$43&lt;&gt;"","No","Yes")</f>
        <v>Yes</v>
      </c>
    </row>
    <row r="43" spans="2:34" ht="20.100000000000001" customHeight="1">
      <c r="B43" s="681"/>
      <c r="C43" s="623">
        <v>1</v>
      </c>
      <c r="D43" s="688"/>
      <c r="E43" s="688"/>
      <c r="F43" s="477" t="s">
        <v>985</v>
      </c>
      <c r="G43" s="625"/>
      <c r="H43" s="626"/>
      <c r="I43" s="1071"/>
      <c r="J43" s="1072"/>
      <c r="K43" s="1073" t="str">
        <f t="shared" ref="K43:K46" si="14">IF(AE43&lt;&gt;AD43,_xlfn.CONCAT(AC43*-1, " dB tolerance applied to ", F43),"")</f>
        <v/>
      </c>
      <c r="L43" s="1074"/>
      <c r="N43" s="223" t="str">
        <f>IF(D43&lt;&gt;"","No","Yes")</f>
        <v>Yes</v>
      </c>
    </row>
    <row r="44" spans="2:34" ht="20.100000000000001" customHeight="1">
      <c r="B44" s="681"/>
      <c r="C44" s="623">
        <v>2</v>
      </c>
      <c r="D44" s="688"/>
      <c r="E44" s="688"/>
      <c r="F44" s="477" t="s">
        <v>985</v>
      </c>
      <c r="G44" s="625"/>
      <c r="H44" s="626"/>
      <c r="I44" s="1071"/>
      <c r="J44" s="1072"/>
      <c r="K44" s="1073" t="str">
        <f t="shared" si="14"/>
        <v/>
      </c>
      <c r="L44" s="1074"/>
      <c r="N44" s="223" t="str">
        <f>IF(D44&lt;&gt;"","No","Yes")</f>
        <v>Yes</v>
      </c>
    </row>
    <row r="45" spans="2:34" ht="20.100000000000001" customHeight="1">
      <c r="B45" s="681"/>
      <c r="C45" s="623">
        <v>3</v>
      </c>
      <c r="D45" s="688"/>
      <c r="E45" s="688"/>
      <c r="F45" s="477" t="s">
        <v>985</v>
      </c>
      <c r="G45" s="625"/>
      <c r="H45" s="626"/>
      <c r="I45" s="1071"/>
      <c r="J45" s="1072"/>
      <c r="K45" s="1073" t="str">
        <f t="shared" si="14"/>
        <v/>
      </c>
      <c r="L45" s="1074"/>
      <c r="N45" s="223" t="str">
        <f>IF(D45&lt;&gt;"","No","Yes")</f>
        <v>Yes</v>
      </c>
    </row>
    <row r="46" spans="2:34" ht="20.100000000000001" customHeight="1" thickBot="1">
      <c r="B46" s="681"/>
      <c r="C46" s="624">
        <v>4</v>
      </c>
      <c r="D46" s="689"/>
      <c r="E46" s="689"/>
      <c r="F46" s="478" t="s">
        <v>985</v>
      </c>
      <c r="G46" s="627"/>
      <c r="H46" s="628"/>
      <c r="I46" s="1075"/>
      <c r="J46" s="1076"/>
      <c r="K46" s="1077" t="str">
        <f t="shared" si="14"/>
        <v/>
      </c>
      <c r="L46" s="1078"/>
      <c r="N46" s="223" t="str">
        <f>IF(D46&lt;&gt;"","No","Yes")</f>
        <v>Yes</v>
      </c>
    </row>
    <row r="47" spans="2:34" ht="24" customHeight="1" thickBot="1">
      <c r="B47" s="682"/>
      <c r="C47" s="1048" t="s">
        <v>986</v>
      </c>
      <c r="D47" s="1048"/>
      <c r="E47" s="1048"/>
      <c r="F47" s="1048"/>
      <c r="G47" s="1048"/>
      <c r="H47" s="1048"/>
      <c r="I47" s="1048"/>
      <c r="J47" s="1048"/>
      <c r="K47" s="1048"/>
      <c r="L47" s="1049"/>
      <c r="N47" s="223" t="str">
        <f>IF(D$49&lt;&gt;"","No","Yes")</f>
        <v>Yes</v>
      </c>
    </row>
    <row r="48" spans="2:34" ht="60" customHeight="1">
      <c r="B48" s="681"/>
      <c r="C48" s="476" t="s">
        <v>932</v>
      </c>
      <c r="D48" s="668" t="s">
        <v>933</v>
      </c>
      <c r="E48" s="668" t="s">
        <v>962</v>
      </c>
      <c r="F48" s="668" t="s">
        <v>987</v>
      </c>
      <c r="G48" s="479" t="s">
        <v>988</v>
      </c>
      <c r="H48" s="668" t="s">
        <v>984</v>
      </c>
      <c r="I48" s="1080" t="s">
        <v>904</v>
      </c>
      <c r="J48" s="1082"/>
      <c r="K48" s="1082"/>
      <c r="L48" s="1081"/>
      <c r="N48" s="223" t="str">
        <f>IF(D$49&lt;&gt;"","No","Yes")</f>
        <v>Yes</v>
      </c>
    </row>
    <row r="49" spans="2:14" ht="20.100000000000001" customHeight="1">
      <c r="B49" s="681"/>
      <c r="C49" s="629">
        <v>1</v>
      </c>
      <c r="D49" s="636"/>
      <c r="E49" s="477" t="s">
        <v>989</v>
      </c>
      <c r="F49" s="625"/>
      <c r="G49" s="631"/>
      <c r="H49" s="632"/>
      <c r="I49" s="1065"/>
      <c r="J49" s="1066"/>
      <c r="K49" s="1066"/>
      <c r="L49" s="1067"/>
      <c r="N49" s="223" t="str">
        <f>IF(D49&lt;&gt;"","No","Yes")</f>
        <v>Yes</v>
      </c>
    </row>
    <row r="50" spans="2:14" ht="20.100000000000001" customHeight="1">
      <c r="B50" s="681"/>
      <c r="C50" s="629">
        <v>2</v>
      </c>
      <c r="D50" s="636"/>
      <c r="E50" s="477" t="s">
        <v>989</v>
      </c>
      <c r="F50" s="625"/>
      <c r="G50" s="631"/>
      <c r="H50" s="632"/>
      <c r="I50" s="1065"/>
      <c r="J50" s="1066"/>
      <c r="K50" s="1066"/>
      <c r="L50" s="1067"/>
      <c r="N50" s="223" t="str">
        <f>IF(D50&lt;&gt;"","No","Yes")</f>
        <v>Yes</v>
      </c>
    </row>
    <row r="51" spans="2:14" ht="20.100000000000001" customHeight="1">
      <c r="B51" s="681"/>
      <c r="C51" s="629">
        <v>3</v>
      </c>
      <c r="D51" s="636"/>
      <c r="E51" s="477" t="s">
        <v>989</v>
      </c>
      <c r="F51" s="625"/>
      <c r="G51" s="631"/>
      <c r="H51" s="632"/>
      <c r="I51" s="1065"/>
      <c r="J51" s="1066"/>
      <c r="K51" s="1066"/>
      <c r="L51" s="1067"/>
      <c r="N51" s="223" t="str">
        <f>IF(D51&lt;&gt;"","No","Yes")</f>
        <v>Yes</v>
      </c>
    </row>
    <row r="52" spans="2:14" ht="20.100000000000001" customHeight="1" thickBot="1">
      <c r="B52" s="681"/>
      <c r="C52" s="630">
        <v>4</v>
      </c>
      <c r="D52" s="638"/>
      <c r="E52" s="478" t="s">
        <v>989</v>
      </c>
      <c r="F52" s="627"/>
      <c r="G52" s="633"/>
      <c r="H52" s="634"/>
      <c r="I52" s="1068"/>
      <c r="J52" s="1069"/>
      <c r="K52" s="1069"/>
      <c r="L52" s="1070"/>
      <c r="N52" s="223" t="str">
        <f>IF(D52&lt;&gt;"","No","Yes")</f>
        <v>Yes</v>
      </c>
    </row>
    <row r="53" spans="2:14" ht="24" customHeight="1" thickBot="1">
      <c r="B53" s="682"/>
      <c r="C53" s="1048" t="s">
        <v>990</v>
      </c>
      <c r="D53" s="1048"/>
      <c r="E53" s="1048"/>
      <c r="F53" s="1048"/>
      <c r="G53" s="1048"/>
      <c r="H53" s="1048"/>
      <c r="I53" s="1048"/>
      <c r="J53" s="1048"/>
      <c r="K53" s="1048"/>
      <c r="L53" s="1049"/>
      <c r="N53" s="223" t="str">
        <f>IF(D$55&lt;&gt;"","No","Yes")</f>
        <v>Yes</v>
      </c>
    </row>
    <row r="54" spans="2:14" ht="60" customHeight="1">
      <c r="B54" s="681"/>
      <c r="C54" s="476" t="s">
        <v>932</v>
      </c>
      <c r="D54" s="668" t="s">
        <v>933</v>
      </c>
      <c r="E54" s="668" t="s">
        <v>962</v>
      </c>
      <c r="F54" s="668" t="s">
        <v>991</v>
      </c>
      <c r="G54" s="479" t="s">
        <v>992</v>
      </c>
      <c r="H54" s="668" t="s">
        <v>993</v>
      </c>
      <c r="I54" s="668" t="s">
        <v>984</v>
      </c>
      <c r="J54" s="1050" t="s">
        <v>904</v>
      </c>
      <c r="K54" s="1051"/>
      <c r="L54" s="1052"/>
      <c r="N54" s="223" t="str">
        <f>IF(D$55&lt;&gt;"","No","Yes")</f>
        <v>Yes</v>
      </c>
    </row>
    <row r="55" spans="2:14" ht="20.100000000000001" customHeight="1">
      <c r="B55" s="681"/>
      <c r="C55" s="629">
        <v>1</v>
      </c>
      <c r="D55" s="636"/>
      <c r="E55" s="477" t="s">
        <v>994</v>
      </c>
      <c r="F55" s="635"/>
      <c r="G55" s="635"/>
      <c r="H55" s="636"/>
      <c r="I55" s="676"/>
      <c r="J55" s="1053"/>
      <c r="K55" s="1054"/>
      <c r="L55" s="1055"/>
      <c r="N55" s="223" t="str">
        <f>IF(D55&lt;&gt;"","No","Yes")</f>
        <v>Yes</v>
      </c>
    </row>
    <row r="56" spans="2:14" ht="20.100000000000001" customHeight="1">
      <c r="B56" s="681"/>
      <c r="C56" s="629">
        <v>2</v>
      </c>
      <c r="D56" s="688"/>
      <c r="E56" s="477" t="s">
        <v>994</v>
      </c>
      <c r="F56" s="635"/>
      <c r="G56" s="635"/>
      <c r="H56" s="636"/>
      <c r="I56" s="676"/>
      <c r="J56" s="1053"/>
      <c r="K56" s="1054"/>
      <c r="L56" s="1055"/>
      <c r="N56" s="223" t="str">
        <f>IF(D56&lt;&gt;"","No","Yes")</f>
        <v>Yes</v>
      </c>
    </row>
    <row r="57" spans="2:14" ht="20.100000000000001" customHeight="1">
      <c r="B57" s="681"/>
      <c r="C57" s="629">
        <v>3</v>
      </c>
      <c r="D57" s="688"/>
      <c r="E57" s="477" t="s">
        <v>994</v>
      </c>
      <c r="F57" s="635"/>
      <c r="G57" s="635"/>
      <c r="H57" s="636"/>
      <c r="I57" s="676"/>
      <c r="J57" s="1053"/>
      <c r="K57" s="1054"/>
      <c r="L57" s="1055"/>
      <c r="N57" s="223" t="str">
        <f>IF(D57&lt;&gt;"","No","Yes")</f>
        <v>Yes</v>
      </c>
    </row>
    <row r="58" spans="2:14" ht="20.100000000000001" customHeight="1">
      <c r="B58" s="681"/>
      <c r="C58" s="629">
        <v>4</v>
      </c>
      <c r="D58" s="688"/>
      <c r="E58" s="477" t="s">
        <v>994</v>
      </c>
      <c r="F58" s="635"/>
      <c r="G58" s="635"/>
      <c r="H58" s="636"/>
      <c r="I58" s="676"/>
      <c r="J58" s="1053"/>
      <c r="K58" s="1054"/>
      <c r="L58" s="1055"/>
      <c r="N58" s="223" t="str">
        <f>IF(D58&lt;&gt;"","No","Yes")</f>
        <v>Yes</v>
      </c>
    </row>
    <row r="59" spans="2:14" ht="20.100000000000001" customHeight="1" thickBot="1">
      <c r="B59" s="683"/>
      <c r="C59" s="630">
        <v>5</v>
      </c>
      <c r="D59" s="689"/>
      <c r="E59" s="478" t="s">
        <v>994</v>
      </c>
      <c r="F59" s="637"/>
      <c r="G59" s="637"/>
      <c r="H59" s="638"/>
      <c r="I59" s="677"/>
      <c r="J59" s="1062"/>
      <c r="K59" s="1063"/>
      <c r="L59" s="1064"/>
      <c r="N59" s="223" t="str">
        <f>IF(D59&lt;&gt;"","No","Yes")</f>
        <v>Yes</v>
      </c>
    </row>
    <row r="60" spans="2:14">
      <c r="B60" s="235"/>
      <c r="C60" s="572"/>
      <c r="D60" s="572"/>
      <c r="E60" s="572"/>
      <c r="F60" s="572"/>
      <c r="G60" s="572"/>
      <c r="H60" s="572"/>
      <c r="I60" s="572"/>
      <c r="J60" s="572"/>
      <c r="K60" s="235"/>
      <c r="L60" s="235"/>
    </row>
    <row r="67" spans="1:14" ht="45">
      <c r="A67" s="1060" t="s">
        <v>995</v>
      </c>
      <c r="B67" s="1060"/>
      <c r="C67" s="1060"/>
      <c r="D67" s="1060"/>
      <c r="E67" s="1060"/>
      <c r="F67" s="1060"/>
      <c r="G67" s="1060"/>
      <c r="H67" s="1060"/>
      <c r="I67" s="1060"/>
      <c r="J67" s="1060"/>
      <c r="K67" s="1060"/>
      <c r="L67" s="1060"/>
      <c r="M67" s="1060"/>
      <c r="N67" s="687"/>
    </row>
    <row r="68" spans="1:14" ht="45">
      <c r="A68" s="1060"/>
      <c r="B68" s="1060"/>
      <c r="C68" s="1060"/>
      <c r="D68" s="1060"/>
      <c r="E68" s="1060"/>
      <c r="F68" s="1060"/>
      <c r="G68" s="1060"/>
      <c r="H68" s="1060"/>
      <c r="I68" s="1060"/>
      <c r="J68" s="1060"/>
      <c r="K68" s="1060"/>
      <c r="L68" s="1060"/>
      <c r="M68" s="1060"/>
      <c r="N68" s="687"/>
    </row>
    <row r="69" spans="1:14" ht="45">
      <c r="A69" s="1060"/>
      <c r="B69" s="1060"/>
      <c r="C69" s="1060"/>
      <c r="D69" s="1060"/>
      <c r="E69" s="1060"/>
      <c r="F69" s="1060"/>
      <c r="G69" s="1060"/>
      <c r="H69" s="1060"/>
      <c r="I69" s="1060"/>
      <c r="J69" s="1060"/>
      <c r="K69" s="1060"/>
      <c r="L69" s="1060"/>
      <c r="M69" s="1060"/>
      <c r="N69" s="687"/>
    </row>
    <row r="70" spans="1:14" ht="45">
      <c r="A70" s="1060"/>
      <c r="B70" s="1060"/>
      <c r="C70" s="1060"/>
      <c r="D70" s="1060"/>
      <c r="E70" s="1060"/>
      <c r="F70" s="1060"/>
      <c r="G70" s="1060"/>
      <c r="H70" s="1060"/>
      <c r="I70" s="1060"/>
      <c r="J70" s="1060"/>
      <c r="K70" s="1060"/>
      <c r="L70" s="1060"/>
      <c r="M70" s="1060"/>
      <c r="N70" s="687"/>
    </row>
    <row r="71" spans="1:14" ht="45">
      <c r="A71" s="1060"/>
      <c r="B71" s="1060"/>
      <c r="C71" s="1060"/>
      <c r="D71" s="1060"/>
      <c r="E71" s="1060"/>
      <c r="F71" s="1060"/>
      <c r="G71" s="1060"/>
      <c r="H71" s="1060"/>
      <c r="I71" s="1060"/>
      <c r="J71" s="1060"/>
      <c r="K71" s="1060"/>
      <c r="L71" s="1060"/>
      <c r="M71" s="1060"/>
      <c r="N71" s="687"/>
    </row>
    <row r="72" spans="1:14" ht="45">
      <c r="A72" s="1060"/>
      <c r="B72" s="1060"/>
      <c r="C72" s="1060"/>
      <c r="D72" s="1060"/>
      <c r="E72" s="1060"/>
      <c r="F72" s="1060"/>
      <c r="G72" s="1060"/>
      <c r="H72" s="1060"/>
      <c r="I72" s="1060"/>
      <c r="J72" s="1060"/>
      <c r="K72" s="1060"/>
      <c r="L72" s="1060"/>
      <c r="M72" s="1060"/>
      <c r="N72" s="687"/>
    </row>
    <row r="75" spans="1:14">
      <c r="E75" s="446" t="s">
        <v>996</v>
      </c>
      <c r="F75" s="447"/>
      <c r="G75" s="448" t="s">
        <v>997</v>
      </c>
      <c r="H75" s="448" t="s">
        <v>977</v>
      </c>
      <c r="I75" s="448" t="s">
        <v>998</v>
      </c>
      <c r="J75" s="449" t="s">
        <v>842</v>
      </c>
    </row>
    <row r="76" spans="1:14">
      <c r="E76" s="450"/>
      <c r="F76" s="451"/>
      <c r="G76" s="452" t="s">
        <v>999</v>
      </c>
      <c r="H76" s="452" t="s">
        <v>1063</v>
      </c>
      <c r="I76" s="452" t="s">
        <v>1000</v>
      </c>
      <c r="J76" s="452"/>
    </row>
    <row r="77" spans="1:14">
      <c r="E77" s="450"/>
      <c r="F77" s="451"/>
      <c r="G77" s="452"/>
      <c r="H77" s="452"/>
      <c r="I77" s="453" t="s">
        <v>1001</v>
      </c>
      <c r="J77" s="452"/>
    </row>
    <row r="78" spans="1:14">
      <c r="E78" s="1056" t="s">
        <v>1017</v>
      </c>
      <c r="F78" s="454" t="s">
        <v>1002</v>
      </c>
      <c r="G78" s="454">
        <v>45</v>
      </c>
      <c r="H78" s="454">
        <v>40</v>
      </c>
      <c r="I78" s="454">
        <v>35</v>
      </c>
      <c r="J78" s="1056">
        <v>3</v>
      </c>
    </row>
    <row r="79" spans="1:14">
      <c r="E79" s="1057"/>
      <c r="F79" s="454" t="s">
        <v>1003</v>
      </c>
      <c r="G79" s="454">
        <v>70</v>
      </c>
      <c r="H79" s="454">
        <v>65</v>
      </c>
      <c r="I79" s="454">
        <v>60</v>
      </c>
      <c r="J79" s="1061"/>
    </row>
    <row r="80" spans="1:14">
      <c r="E80" s="1056" t="s">
        <v>1018</v>
      </c>
      <c r="F80" s="454" t="s">
        <v>1004</v>
      </c>
      <c r="G80" s="454">
        <v>55</v>
      </c>
      <c r="H80" s="454">
        <v>50</v>
      </c>
      <c r="I80" s="454">
        <v>45</v>
      </c>
      <c r="J80" s="1061"/>
    </row>
    <row r="81" spans="1:15">
      <c r="E81" s="1057"/>
      <c r="F81" s="454" t="s">
        <v>1005</v>
      </c>
      <c r="G81" s="454">
        <v>80</v>
      </c>
      <c r="H81" s="454">
        <v>75</v>
      </c>
      <c r="I81" s="454">
        <v>70</v>
      </c>
      <c r="J81" s="1057"/>
    </row>
    <row r="82" spans="1:15">
      <c r="E82" s="1056" t="s">
        <v>1019</v>
      </c>
      <c r="F82" s="454" t="s">
        <v>1002</v>
      </c>
      <c r="G82" s="454">
        <v>50</v>
      </c>
      <c r="H82" s="454">
        <v>45</v>
      </c>
      <c r="I82" s="454">
        <v>40</v>
      </c>
      <c r="J82" s="1056">
        <v>2</v>
      </c>
    </row>
    <row r="83" spans="1:15">
      <c r="E83" s="1057"/>
      <c r="F83" s="454" t="s">
        <v>1003</v>
      </c>
      <c r="G83" s="454">
        <v>75</v>
      </c>
      <c r="H83" s="454">
        <v>70</v>
      </c>
      <c r="I83" s="454">
        <v>65</v>
      </c>
      <c r="J83" s="1061"/>
    </row>
    <row r="84" spans="1:15">
      <c r="E84" s="1056" t="s">
        <v>1018</v>
      </c>
      <c r="F84" s="454" t="s">
        <v>1004</v>
      </c>
      <c r="G84" s="454">
        <v>60</v>
      </c>
      <c r="H84" s="454">
        <v>55</v>
      </c>
      <c r="I84" s="454">
        <v>50</v>
      </c>
      <c r="J84" s="1061"/>
    </row>
    <row r="85" spans="1:15">
      <c r="E85" s="1057"/>
      <c r="F85" s="454" t="s">
        <v>1005</v>
      </c>
      <c r="G85" s="454">
        <v>85</v>
      </c>
      <c r="H85" s="454">
        <v>80</v>
      </c>
      <c r="I85" s="454">
        <v>75</v>
      </c>
      <c r="J85" s="1057"/>
    </row>
    <row r="86" spans="1:15">
      <c r="E86" s="1056" t="s">
        <v>1017</v>
      </c>
      <c r="F86" s="454" t="s">
        <v>1002</v>
      </c>
      <c r="G86" s="454">
        <v>55</v>
      </c>
      <c r="H86" s="454">
        <v>50</v>
      </c>
      <c r="I86" s="454">
        <v>45</v>
      </c>
      <c r="J86" s="1056">
        <v>1</v>
      </c>
    </row>
    <row r="87" spans="1:15">
      <c r="E87" s="1057"/>
      <c r="F87" s="454" t="s">
        <v>1003</v>
      </c>
      <c r="G87" s="454">
        <v>80</v>
      </c>
      <c r="H87" s="454">
        <v>75</v>
      </c>
      <c r="I87" s="454">
        <v>70</v>
      </c>
      <c r="J87" s="1057"/>
    </row>
    <row r="88" spans="1:15">
      <c r="E88" s="1056" t="s">
        <v>1018</v>
      </c>
      <c r="F88" s="454" t="s">
        <v>1004</v>
      </c>
      <c r="G88" s="454">
        <v>60</v>
      </c>
      <c r="H88" s="454">
        <v>55</v>
      </c>
      <c r="I88" s="454">
        <v>50</v>
      </c>
      <c r="J88" s="1058" t="s">
        <v>735</v>
      </c>
    </row>
    <row r="89" spans="1:15">
      <c r="E89" s="1057"/>
      <c r="F89" s="454" t="s">
        <v>1005</v>
      </c>
      <c r="G89" s="454">
        <v>85</v>
      </c>
      <c r="H89" s="454">
        <v>80</v>
      </c>
      <c r="I89" s="454">
        <v>75</v>
      </c>
      <c r="J89" s="1059"/>
    </row>
    <row r="90" spans="1:15">
      <c r="C90" s="224" t="s">
        <v>1006</v>
      </c>
      <c r="E90" s="455"/>
      <c r="F90" s="455"/>
      <c r="G90" s="455"/>
      <c r="H90" s="455"/>
      <c r="I90" s="455"/>
      <c r="J90" s="456"/>
    </row>
    <row r="91" spans="1:15" ht="27.6">
      <c r="B91" s="224" t="s">
        <v>1007</v>
      </c>
      <c r="C91" s="457">
        <v>3</v>
      </c>
      <c r="D91" s="457">
        <v>3</v>
      </c>
      <c r="E91" s="445">
        <v>3</v>
      </c>
      <c r="F91" s="445">
        <v>3</v>
      </c>
      <c r="G91" s="445">
        <v>2</v>
      </c>
      <c r="H91" s="445">
        <v>2</v>
      </c>
      <c r="I91" s="445">
        <v>2</v>
      </c>
      <c r="J91" s="445">
        <v>2</v>
      </c>
      <c r="K91" s="457">
        <v>1</v>
      </c>
      <c r="L91" s="445">
        <v>1</v>
      </c>
      <c r="M91" s="445" t="s">
        <v>735</v>
      </c>
      <c r="N91" s="445"/>
      <c r="O91" s="445" t="s">
        <v>735</v>
      </c>
    </row>
    <row r="92" spans="1:15" ht="96.6">
      <c r="A92" s="1047" t="s">
        <v>1008</v>
      </c>
      <c r="B92" s="1047"/>
      <c r="C92" s="454" t="s">
        <v>1002</v>
      </c>
      <c r="D92" s="454" t="s">
        <v>1003</v>
      </c>
      <c r="E92" s="454" t="s">
        <v>1004</v>
      </c>
      <c r="F92" s="454" t="s">
        <v>1005</v>
      </c>
      <c r="G92" s="454" t="s">
        <v>1002</v>
      </c>
      <c r="H92" s="454" t="s">
        <v>1003</v>
      </c>
      <c r="I92" s="454" t="s">
        <v>1004</v>
      </c>
      <c r="J92" s="454" t="s">
        <v>1005</v>
      </c>
      <c r="K92" s="454" t="s">
        <v>1002</v>
      </c>
      <c r="L92" s="454" t="s">
        <v>1003</v>
      </c>
      <c r="M92" s="454" t="s">
        <v>1004</v>
      </c>
      <c r="N92" s="686"/>
      <c r="O92" s="454" t="s">
        <v>1005</v>
      </c>
    </row>
    <row r="93" spans="1:15">
      <c r="A93" s="1046" t="s">
        <v>972</v>
      </c>
      <c r="B93" s="1046"/>
      <c r="C93" s="454">
        <v>45</v>
      </c>
      <c r="D93" s="454">
        <v>70</v>
      </c>
      <c r="E93" s="454">
        <v>55</v>
      </c>
      <c r="F93" s="454">
        <v>80</v>
      </c>
      <c r="G93" s="454">
        <v>50</v>
      </c>
      <c r="H93" s="454">
        <v>75</v>
      </c>
      <c r="I93" s="454">
        <v>60</v>
      </c>
      <c r="J93" s="454">
        <v>85</v>
      </c>
      <c r="K93" s="454">
        <v>55</v>
      </c>
      <c r="L93" s="454">
        <v>80</v>
      </c>
      <c r="M93" s="454">
        <v>60</v>
      </c>
      <c r="N93" s="686"/>
      <c r="O93" s="454">
        <v>85</v>
      </c>
    </row>
    <row r="94" spans="1:15">
      <c r="A94" s="1046" t="s">
        <v>999</v>
      </c>
      <c r="B94" s="1046"/>
      <c r="C94" s="454">
        <v>45</v>
      </c>
      <c r="D94" s="454">
        <v>70</v>
      </c>
      <c r="E94" s="454">
        <v>55</v>
      </c>
      <c r="F94" s="454">
        <v>80</v>
      </c>
      <c r="G94" s="454">
        <v>50</v>
      </c>
      <c r="H94" s="454">
        <v>75</v>
      </c>
      <c r="I94" s="454">
        <v>60</v>
      </c>
      <c r="J94" s="454">
        <v>85</v>
      </c>
      <c r="K94" s="454">
        <v>55</v>
      </c>
      <c r="L94" s="454">
        <v>80</v>
      </c>
      <c r="M94" s="454">
        <v>60</v>
      </c>
      <c r="N94" s="686"/>
      <c r="O94" s="454">
        <v>85</v>
      </c>
    </row>
    <row r="95" spans="1:15">
      <c r="A95" s="1046" t="s">
        <v>977</v>
      </c>
      <c r="B95" s="1046"/>
      <c r="C95" s="454">
        <v>40</v>
      </c>
      <c r="D95" s="454">
        <v>65</v>
      </c>
      <c r="E95" s="454">
        <v>50</v>
      </c>
      <c r="F95" s="454">
        <v>75</v>
      </c>
      <c r="G95" s="454">
        <v>45</v>
      </c>
      <c r="H95" s="454">
        <v>70</v>
      </c>
      <c r="I95" s="454">
        <v>55</v>
      </c>
      <c r="J95" s="454">
        <v>80</v>
      </c>
      <c r="K95" s="454">
        <v>50</v>
      </c>
      <c r="L95" s="454">
        <v>75</v>
      </c>
      <c r="M95" s="454">
        <v>55</v>
      </c>
      <c r="N95" s="686"/>
      <c r="O95" s="454">
        <v>80</v>
      </c>
    </row>
    <row r="96" spans="1:15">
      <c r="A96" s="1046" t="s">
        <v>1063</v>
      </c>
      <c r="B96" s="1046"/>
      <c r="C96" s="454">
        <v>40</v>
      </c>
      <c r="D96" s="454">
        <v>65</v>
      </c>
      <c r="E96" s="454">
        <v>50</v>
      </c>
      <c r="F96" s="454">
        <v>75</v>
      </c>
      <c r="G96" s="454">
        <v>45</v>
      </c>
      <c r="H96" s="454">
        <v>70</v>
      </c>
      <c r="I96" s="454">
        <v>55</v>
      </c>
      <c r="J96" s="454">
        <v>80</v>
      </c>
      <c r="K96" s="454">
        <v>50</v>
      </c>
      <c r="L96" s="454">
        <v>75</v>
      </c>
      <c r="M96" s="454">
        <v>55</v>
      </c>
      <c r="N96" s="686"/>
      <c r="O96" s="454">
        <v>80</v>
      </c>
    </row>
    <row r="97" spans="1:15">
      <c r="A97" s="1046" t="s">
        <v>908</v>
      </c>
      <c r="B97" s="1046"/>
      <c r="C97" s="454">
        <v>35</v>
      </c>
      <c r="D97" s="454">
        <v>60</v>
      </c>
      <c r="E97" s="454">
        <v>45</v>
      </c>
      <c r="F97" s="454">
        <v>70</v>
      </c>
      <c r="G97" s="454">
        <v>40</v>
      </c>
      <c r="H97" s="454">
        <v>65</v>
      </c>
      <c r="I97" s="454">
        <v>50</v>
      </c>
      <c r="J97" s="454">
        <v>75</v>
      </c>
      <c r="K97" s="454">
        <v>45</v>
      </c>
      <c r="L97" s="454">
        <v>70</v>
      </c>
      <c r="M97" s="454">
        <v>50</v>
      </c>
      <c r="N97" s="686"/>
      <c r="O97" s="454">
        <v>75</v>
      </c>
    </row>
    <row r="98" spans="1:15">
      <c r="A98" s="1046" t="s">
        <v>978</v>
      </c>
      <c r="B98" s="1046"/>
      <c r="C98" s="454">
        <v>35</v>
      </c>
      <c r="D98" s="454">
        <v>60</v>
      </c>
      <c r="E98" s="454">
        <v>45</v>
      </c>
      <c r="F98" s="454">
        <v>70</v>
      </c>
      <c r="G98" s="454">
        <v>40</v>
      </c>
      <c r="H98" s="454">
        <v>65</v>
      </c>
      <c r="I98" s="454">
        <v>50</v>
      </c>
      <c r="J98" s="454">
        <v>75</v>
      </c>
      <c r="K98" s="454">
        <v>45</v>
      </c>
      <c r="L98" s="454">
        <v>70</v>
      </c>
      <c r="M98" s="454">
        <v>50</v>
      </c>
      <c r="N98" s="686"/>
      <c r="O98" s="454">
        <v>75</v>
      </c>
    </row>
    <row r="99" spans="1:15">
      <c r="A99" s="1046" t="s">
        <v>1009</v>
      </c>
      <c r="B99" s="1046"/>
      <c r="C99" s="454">
        <v>35</v>
      </c>
      <c r="D99" s="454">
        <v>60</v>
      </c>
      <c r="E99" s="454">
        <v>45</v>
      </c>
      <c r="F99" s="454">
        <v>70</v>
      </c>
      <c r="G99" s="454">
        <v>40</v>
      </c>
      <c r="H99" s="454">
        <v>65</v>
      </c>
      <c r="I99" s="454">
        <v>50</v>
      </c>
      <c r="J99" s="454">
        <v>75</v>
      </c>
      <c r="K99" s="454">
        <v>45</v>
      </c>
      <c r="L99" s="454">
        <v>70</v>
      </c>
      <c r="M99" s="454">
        <v>50</v>
      </c>
      <c r="N99" s="686"/>
      <c r="O99" s="454">
        <v>75</v>
      </c>
    </row>
    <row r="100" spans="1:15">
      <c r="C100" s="224" t="s">
        <v>1010</v>
      </c>
    </row>
    <row r="101" spans="1:15">
      <c r="C101" s="224">
        <v>3</v>
      </c>
      <c r="D101" s="455">
        <v>2</v>
      </c>
      <c r="E101" s="455">
        <v>1</v>
      </c>
    </row>
    <row r="102" spans="1:15">
      <c r="A102" s="1047" t="s">
        <v>1008</v>
      </c>
      <c r="B102" s="1047"/>
      <c r="C102" s="454" t="s">
        <v>1002</v>
      </c>
      <c r="D102" s="454" t="s">
        <v>1002</v>
      </c>
      <c r="E102" s="454" t="s">
        <v>1002</v>
      </c>
    </row>
    <row r="103" spans="1:15">
      <c r="A103" s="1046" t="s">
        <v>972</v>
      </c>
      <c r="B103" s="1046"/>
      <c r="C103" s="454">
        <v>45</v>
      </c>
      <c r="D103" s="454">
        <v>50</v>
      </c>
      <c r="E103" s="454">
        <v>55</v>
      </c>
    </row>
    <row r="104" spans="1:15">
      <c r="A104" s="1046" t="s">
        <v>999</v>
      </c>
      <c r="B104" s="1046"/>
      <c r="C104" s="454">
        <v>45</v>
      </c>
      <c r="D104" s="454">
        <v>50</v>
      </c>
      <c r="E104" s="454">
        <v>55</v>
      </c>
    </row>
    <row r="105" spans="1:15">
      <c r="A105" s="1046" t="s">
        <v>977</v>
      </c>
      <c r="B105" s="1046"/>
      <c r="C105" s="454">
        <v>40</v>
      </c>
      <c r="D105" s="454">
        <v>45</v>
      </c>
      <c r="E105" s="454">
        <v>50</v>
      </c>
    </row>
    <row r="106" spans="1:15">
      <c r="A106" s="1046" t="s">
        <v>1063</v>
      </c>
      <c r="B106" s="1046"/>
      <c r="C106" s="454">
        <v>40</v>
      </c>
      <c r="D106" s="454">
        <v>45</v>
      </c>
      <c r="E106" s="454">
        <v>50</v>
      </c>
    </row>
    <row r="107" spans="1:15">
      <c r="A107" s="1046" t="s">
        <v>908</v>
      </c>
      <c r="B107" s="1046"/>
      <c r="C107" s="454">
        <v>35</v>
      </c>
      <c r="D107" s="454">
        <v>40</v>
      </c>
      <c r="E107" s="454">
        <v>45</v>
      </c>
    </row>
    <row r="108" spans="1:15">
      <c r="A108" s="1046" t="s">
        <v>978</v>
      </c>
      <c r="B108" s="1046"/>
      <c r="C108" s="454">
        <v>35</v>
      </c>
      <c r="D108" s="454">
        <v>40</v>
      </c>
      <c r="E108" s="454">
        <v>45</v>
      </c>
    </row>
    <row r="109" spans="1:15">
      <c r="A109" s="1046" t="s">
        <v>1009</v>
      </c>
      <c r="B109" s="1046"/>
      <c r="C109" s="454">
        <v>35</v>
      </c>
      <c r="D109" s="454">
        <v>40</v>
      </c>
      <c r="E109" s="454">
        <v>45</v>
      </c>
    </row>
    <row r="111" spans="1:15">
      <c r="C111" s="455">
        <v>3</v>
      </c>
      <c r="D111" s="455">
        <v>2</v>
      </c>
      <c r="E111" s="224">
        <v>1</v>
      </c>
    </row>
    <row r="112" spans="1:15">
      <c r="A112" s="1047" t="s">
        <v>1008</v>
      </c>
      <c r="B112" s="1047"/>
      <c r="C112" s="454" t="s">
        <v>1003</v>
      </c>
      <c r="D112" s="454" t="s">
        <v>1003</v>
      </c>
      <c r="E112" s="454" t="s">
        <v>1003</v>
      </c>
    </row>
    <row r="113" spans="1:5">
      <c r="A113" s="1046" t="s">
        <v>972</v>
      </c>
      <c r="B113" s="1046"/>
      <c r="C113" s="454">
        <v>70</v>
      </c>
      <c r="D113" s="454">
        <v>75</v>
      </c>
      <c r="E113" s="454">
        <v>80</v>
      </c>
    </row>
    <row r="114" spans="1:5">
      <c r="A114" s="1046" t="s">
        <v>999</v>
      </c>
      <c r="B114" s="1046"/>
      <c r="C114" s="454">
        <v>70</v>
      </c>
      <c r="D114" s="454">
        <v>75</v>
      </c>
      <c r="E114" s="454">
        <v>80</v>
      </c>
    </row>
    <row r="115" spans="1:5">
      <c r="A115" s="1046" t="s">
        <v>977</v>
      </c>
      <c r="B115" s="1046"/>
      <c r="C115" s="454">
        <v>65</v>
      </c>
      <c r="D115" s="454">
        <v>70</v>
      </c>
      <c r="E115" s="454">
        <v>75</v>
      </c>
    </row>
    <row r="116" spans="1:5">
      <c r="A116" s="1046" t="s">
        <v>1063</v>
      </c>
      <c r="B116" s="1046"/>
      <c r="C116" s="454">
        <v>65</v>
      </c>
      <c r="D116" s="454">
        <v>70</v>
      </c>
      <c r="E116" s="454">
        <v>75</v>
      </c>
    </row>
    <row r="117" spans="1:5">
      <c r="A117" s="1046" t="s">
        <v>908</v>
      </c>
      <c r="B117" s="1046"/>
      <c r="C117" s="454">
        <v>60</v>
      </c>
      <c r="D117" s="454">
        <v>65</v>
      </c>
      <c r="E117" s="454">
        <v>70</v>
      </c>
    </row>
    <row r="118" spans="1:5">
      <c r="A118" s="1046" t="s">
        <v>978</v>
      </c>
      <c r="B118" s="1046"/>
      <c r="C118" s="454">
        <v>60</v>
      </c>
      <c r="D118" s="454">
        <v>65</v>
      </c>
      <c r="E118" s="454">
        <v>70</v>
      </c>
    </row>
    <row r="119" spans="1:5">
      <c r="A119" s="1046" t="s">
        <v>1009</v>
      </c>
      <c r="B119" s="1046"/>
      <c r="C119" s="454">
        <v>60</v>
      </c>
      <c r="D119" s="454">
        <v>65</v>
      </c>
      <c r="E119" s="454">
        <v>70</v>
      </c>
    </row>
    <row r="121" spans="1:5">
      <c r="C121" s="455">
        <v>3</v>
      </c>
      <c r="D121" s="224">
        <v>2</v>
      </c>
      <c r="E121" s="224" t="s">
        <v>735</v>
      </c>
    </row>
    <row r="122" spans="1:5">
      <c r="A122" s="231" t="s">
        <v>1008</v>
      </c>
      <c r="B122" s="231"/>
      <c r="C122" s="454" t="s">
        <v>1004</v>
      </c>
      <c r="D122" s="454" t="s">
        <v>1004</v>
      </c>
      <c r="E122" s="454" t="s">
        <v>1004</v>
      </c>
    </row>
    <row r="123" spans="1:5">
      <c r="A123" s="224" t="s">
        <v>972</v>
      </c>
      <c r="C123" s="454">
        <v>55</v>
      </c>
      <c r="D123" s="454">
        <v>60</v>
      </c>
      <c r="E123" s="454"/>
    </row>
    <row r="124" spans="1:5">
      <c r="A124" s="224" t="s">
        <v>999</v>
      </c>
      <c r="C124" s="454">
        <v>55</v>
      </c>
      <c r="D124" s="454">
        <v>60</v>
      </c>
      <c r="E124" s="454"/>
    </row>
    <row r="125" spans="1:5">
      <c r="A125" s="224" t="s">
        <v>977</v>
      </c>
      <c r="C125" s="454">
        <v>50</v>
      </c>
      <c r="D125" s="454">
        <v>55</v>
      </c>
      <c r="E125" s="454"/>
    </row>
    <row r="126" spans="1:5">
      <c r="A126" s="1046" t="s">
        <v>1063</v>
      </c>
      <c r="B126" s="1046"/>
      <c r="C126" s="454">
        <v>50</v>
      </c>
      <c r="D126" s="454">
        <v>55</v>
      </c>
      <c r="E126" s="454"/>
    </row>
    <row r="127" spans="1:5">
      <c r="A127" s="224" t="s">
        <v>908</v>
      </c>
      <c r="C127" s="454">
        <v>45</v>
      </c>
      <c r="D127" s="454">
        <v>50</v>
      </c>
      <c r="E127" s="454"/>
    </row>
    <row r="128" spans="1:5">
      <c r="A128" s="224" t="s">
        <v>978</v>
      </c>
      <c r="C128" s="454">
        <v>45</v>
      </c>
      <c r="D128" s="454">
        <v>50</v>
      </c>
      <c r="E128" s="454"/>
    </row>
    <row r="129" spans="1:11">
      <c r="A129" s="224" t="s">
        <v>1009</v>
      </c>
      <c r="C129" s="454">
        <v>45</v>
      </c>
      <c r="D129" s="454">
        <v>50</v>
      </c>
      <c r="E129" s="454"/>
    </row>
    <row r="131" spans="1:11">
      <c r="C131" s="455">
        <v>3</v>
      </c>
      <c r="D131" s="455">
        <v>2</v>
      </c>
      <c r="E131" s="224" t="s">
        <v>735</v>
      </c>
    </row>
    <row r="132" spans="1:11">
      <c r="A132" s="231" t="s">
        <v>1008</v>
      </c>
      <c r="B132" s="231"/>
      <c r="C132" s="454" t="s">
        <v>1005</v>
      </c>
      <c r="D132" s="454" t="s">
        <v>1005</v>
      </c>
      <c r="E132" s="454" t="s">
        <v>1005</v>
      </c>
    </row>
    <row r="133" spans="1:11">
      <c r="A133" s="224" t="s">
        <v>972</v>
      </c>
      <c r="C133" s="454">
        <v>80</v>
      </c>
      <c r="D133" s="454">
        <v>85</v>
      </c>
      <c r="E133" s="454"/>
    </row>
    <row r="134" spans="1:11">
      <c r="A134" s="224" t="s">
        <v>999</v>
      </c>
      <c r="C134" s="454">
        <v>80</v>
      </c>
      <c r="D134" s="454">
        <v>85</v>
      </c>
      <c r="E134" s="454"/>
    </row>
    <row r="135" spans="1:11">
      <c r="A135" s="224" t="s">
        <v>977</v>
      </c>
      <c r="C135" s="454">
        <v>75</v>
      </c>
      <c r="D135" s="454">
        <v>80</v>
      </c>
      <c r="E135" s="454"/>
    </row>
    <row r="136" spans="1:11">
      <c r="A136" s="224" t="s">
        <v>1063</v>
      </c>
      <c r="C136" s="454">
        <v>75</v>
      </c>
      <c r="D136" s="454">
        <v>80</v>
      </c>
      <c r="E136" s="454"/>
    </row>
    <row r="137" spans="1:11">
      <c r="A137" s="224" t="s">
        <v>908</v>
      </c>
      <c r="C137" s="454">
        <v>70</v>
      </c>
      <c r="D137" s="454">
        <v>75</v>
      </c>
      <c r="E137" s="454"/>
    </row>
    <row r="138" spans="1:11">
      <c r="A138" s="224" t="s">
        <v>978</v>
      </c>
      <c r="C138" s="454">
        <v>70</v>
      </c>
      <c r="D138" s="454">
        <v>75</v>
      </c>
      <c r="E138" s="454"/>
    </row>
    <row r="139" spans="1:11">
      <c r="A139" s="224" t="s">
        <v>1009</v>
      </c>
      <c r="C139" s="454">
        <v>70</v>
      </c>
      <c r="D139" s="454">
        <v>75</v>
      </c>
      <c r="E139" s="454"/>
    </row>
    <row r="142" spans="1:11">
      <c r="C142" s="457">
        <v>3</v>
      </c>
      <c r="D142" s="454" t="s">
        <v>1002</v>
      </c>
      <c r="E142" s="454">
        <v>45</v>
      </c>
      <c r="F142" s="454">
        <v>45</v>
      </c>
      <c r="G142" s="454">
        <v>40</v>
      </c>
      <c r="H142" s="454">
        <v>40</v>
      </c>
      <c r="I142" s="454">
        <v>35</v>
      </c>
      <c r="J142" s="454">
        <v>35</v>
      </c>
      <c r="K142" s="454">
        <v>35</v>
      </c>
    </row>
    <row r="143" spans="1:11">
      <c r="C143" s="457">
        <v>3</v>
      </c>
      <c r="D143" s="454" t="s">
        <v>1003</v>
      </c>
      <c r="E143" s="454">
        <v>70</v>
      </c>
      <c r="F143" s="454">
        <v>70</v>
      </c>
      <c r="G143" s="454">
        <v>65</v>
      </c>
      <c r="H143" s="454">
        <v>65</v>
      </c>
      <c r="I143" s="454">
        <v>60</v>
      </c>
      <c r="J143" s="454">
        <v>60</v>
      </c>
      <c r="K143" s="454">
        <v>60</v>
      </c>
    </row>
    <row r="144" spans="1:11">
      <c r="C144" s="445">
        <v>3</v>
      </c>
      <c r="D144" s="454" t="s">
        <v>1004</v>
      </c>
      <c r="E144" s="454">
        <v>55</v>
      </c>
      <c r="F144" s="454">
        <v>55</v>
      </c>
      <c r="G144" s="454">
        <v>50</v>
      </c>
      <c r="H144" s="454">
        <v>50</v>
      </c>
      <c r="I144" s="454">
        <v>45</v>
      </c>
      <c r="J144" s="454">
        <v>45</v>
      </c>
      <c r="K144" s="454">
        <v>45</v>
      </c>
    </row>
    <row r="145" spans="3:11">
      <c r="C145" s="445">
        <v>3</v>
      </c>
      <c r="D145" s="454" t="s">
        <v>1005</v>
      </c>
      <c r="E145" s="454">
        <v>80</v>
      </c>
      <c r="F145" s="454">
        <v>80</v>
      </c>
      <c r="G145" s="454">
        <v>75</v>
      </c>
      <c r="H145" s="454">
        <v>75</v>
      </c>
      <c r="I145" s="454">
        <v>70</v>
      </c>
      <c r="J145" s="454">
        <v>70</v>
      </c>
      <c r="K145" s="454">
        <v>70</v>
      </c>
    </row>
    <row r="146" spans="3:11">
      <c r="C146" s="445">
        <v>2</v>
      </c>
      <c r="D146" s="454" t="s">
        <v>1002</v>
      </c>
      <c r="E146" s="454">
        <v>50</v>
      </c>
      <c r="F146" s="454">
        <v>50</v>
      </c>
      <c r="G146" s="454">
        <v>45</v>
      </c>
      <c r="H146" s="454">
        <v>45</v>
      </c>
      <c r="I146" s="454">
        <v>40</v>
      </c>
      <c r="J146" s="454">
        <v>40</v>
      </c>
      <c r="K146" s="454">
        <v>40</v>
      </c>
    </row>
    <row r="147" spans="3:11">
      <c r="C147" s="445">
        <v>2</v>
      </c>
      <c r="D147" s="454" t="s">
        <v>1003</v>
      </c>
      <c r="E147" s="454">
        <v>75</v>
      </c>
      <c r="F147" s="454">
        <v>75</v>
      </c>
      <c r="G147" s="454">
        <v>70</v>
      </c>
      <c r="H147" s="454">
        <v>70</v>
      </c>
      <c r="I147" s="454">
        <v>65</v>
      </c>
      <c r="J147" s="454">
        <v>65</v>
      </c>
      <c r="K147" s="454">
        <v>65</v>
      </c>
    </row>
    <row r="148" spans="3:11">
      <c r="C148" s="445">
        <v>2</v>
      </c>
      <c r="D148" s="454" t="s">
        <v>1004</v>
      </c>
      <c r="E148" s="454">
        <v>60</v>
      </c>
      <c r="F148" s="454">
        <v>60</v>
      </c>
      <c r="G148" s="454">
        <v>55</v>
      </c>
      <c r="H148" s="454">
        <v>55</v>
      </c>
      <c r="I148" s="454">
        <v>50</v>
      </c>
      <c r="J148" s="454">
        <v>50</v>
      </c>
      <c r="K148" s="454">
        <v>50</v>
      </c>
    </row>
    <row r="149" spans="3:11">
      <c r="C149" s="445">
        <v>2</v>
      </c>
      <c r="D149" s="454" t="s">
        <v>1005</v>
      </c>
      <c r="E149" s="454">
        <v>85</v>
      </c>
      <c r="F149" s="454">
        <v>85</v>
      </c>
      <c r="G149" s="454">
        <v>80</v>
      </c>
      <c r="H149" s="454">
        <v>80</v>
      </c>
      <c r="I149" s="454">
        <v>75</v>
      </c>
      <c r="J149" s="454">
        <v>75</v>
      </c>
      <c r="K149" s="454">
        <v>75</v>
      </c>
    </row>
    <row r="150" spans="3:11">
      <c r="C150" s="457">
        <v>1</v>
      </c>
      <c r="D150" s="454" t="s">
        <v>1002</v>
      </c>
      <c r="E150" s="454">
        <v>55</v>
      </c>
      <c r="F150" s="454">
        <v>55</v>
      </c>
      <c r="G150" s="454">
        <v>50</v>
      </c>
      <c r="H150" s="454">
        <v>50</v>
      </c>
      <c r="I150" s="454">
        <v>45</v>
      </c>
      <c r="J150" s="454">
        <v>45</v>
      </c>
      <c r="K150" s="454">
        <v>45</v>
      </c>
    </row>
    <row r="151" spans="3:11">
      <c r="C151" s="445">
        <v>1</v>
      </c>
      <c r="D151" s="454" t="s">
        <v>1003</v>
      </c>
      <c r="E151" s="454">
        <v>80</v>
      </c>
      <c r="F151" s="454">
        <v>80</v>
      </c>
      <c r="G151" s="454">
        <v>75</v>
      </c>
      <c r="H151" s="454">
        <v>75</v>
      </c>
      <c r="I151" s="454">
        <v>70</v>
      </c>
      <c r="J151" s="454">
        <v>70</v>
      </c>
      <c r="K151" s="454">
        <v>70</v>
      </c>
    </row>
    <row r="152" spans="3:11">
      <c r="C152" s="445" t="s">
        <v>735</v>
      </c>
      <c r="D152" s="454" t="s">
        <v>1004</v>
      </c>
      <c r="E152" s="454">
        <v>60</v>
      </c>
      <c r="F152" s="454">
        <v>60</v>
      </c>
      <c r="G152" s="454">
        <v>55</v>
      </c>
      <c r="H152" s="454">
        <v>55</v>
      </c>
      <c r="I152" s="454">
        <v>50</v>
      </c>
      <c r="J152" s="454">
        <v>50</v>
      </c>
      <c r="K152" s="454">
        <v>50</v>
      </c>
    </row>
    <row r="153" spans="3:11">
      <c r="C153" s="445" t="s">
        <v>735</v>
      </c>
      <c r="D153" s="454" t="s">
        <v>1005</v>
      </c>
      <c r="E153" s="454">
        <v>85</v>
      </c>
      <c r="F153" s="454">
        <v>85</v>
      </c>
      <c r="G153" s="454">
        <v>80</v>
      </c>
      <c r="H153" s="454">
        <v>80</v>
      </c>
      <c r="I153" s="454">
        <v>75</v>
      </c>
      <c r="J153" s="454">
        <v>75</v>
      </c>
      <c r="K153" s="454">
        <v>75</v>
      </c>
    </row>
    <row r="156" spans="3:11">
      <c r="D156" s="455">
        <v>1</v>
      </c>
      <c r="E156" s="455">
        <v>2</v>
      </c>
      <c r="F156" s="224">
        <v>3</v>
      </c>
    </row>
    <row r="157" spans="3:11">
      <c r="C157" s="231" t="s">
        <v>1008</v>
      </c>
      <c r="D157" s="454" t="s">
        <v>1002</v>
      </c>
      <c r="E157" s="454" t="s">
        <v>1002</v>
      </c>
      <c r="F157" s="454" t="s">
        <v>1002</v>
      </c>
    </row>
    <row r="158" spans="3:11">
      <c r="C158" s="224" t="s">
        <v>972</v>
      </c>
      <c r="D158" s="454">
        <v>55</v>
      </c>
      <c r="E158" s="454">
        <v>50</v>
      </c>
      <c r="F158" s="454">
        <v>45</v>
      </c>
    </row>
    <row r="159" spans="3:11">
      <c r="C159" s="224" t="s">
        <v>999</v>
      </c>
      <c r="D159" s="454">
        <v>55</v>
      </c>
      <c r="E159" s="454">
        <v>50</v>
      </c>
      <c r="F159" s="454">
        <v>45</v>
      </c>
    </row>
    <row r="160" spans="3:11">
      <c r="C160" s="224" t="s">
        <v>977</v>
      </c>
      <c r="D160" s="454">
        <v>50</v>
      </c>
      <c r="E160" s="454">
        <v>45</v>
      </c>
      <c r="F160" s="454">
        <v>40</v>
      </c>
    </row>
    <row r="161" spans="3:6">
      <c r="C161" s="224" t="s">
        <v>1063</v>
      </c>
      <c r="D161" s="454">
        <v>50</v>
      </c>
      <c r="E161" s="454">
        <v>45</v>
      </c>
      <c r="F161" s="454">
        <v>40</v>
      </c>
    </row>
    <row r="162" spans="3:6">
      <c r="C162" s="224" t="s">
        <v>908</v>
      </c>
      <c r="D162" s="454">
        <v>45</v>
      </c>
      <c r="E162" s="454">
        <v>40</v>
      </c>
      <c r="F162" s="454">
        <v>35</v>
      </c>
    </row>
    <row r="163" spans="3:6">
      <c r="C163" s="224" t="s">
        <v>978</v>
      </c>
      <c r="D163" s="454">
        <v>45</v>
      </c>
      <c r="E163" s="454">
        <v>40</v>
      </c>
      <c r="F163" s="454">
        <v>35</v>
      </c>
    </row>
    <row r="164" spans="3:6">
      <c r="C164" s="224" t="s">
        <v>1009</v>
      </c>
      <c r="D164" s="454">
        <v>45</v>
      </c>
      <c r="E164" s="454">
        <v>40</v>
      </c>
      <c r="F164" s="454">
        <v>35</v>
      </c>
    </row>
    <row r="166" spans="3:6">
      <c r="D166" s="224">
        <v>1</v>
      </c>
      <c r="E166" s="455">
        <v>2</v>
      </c>
      <c r="F166" s="455">
        <v>3</v>
      </c>
    </row>
    <row r="167" spans="3:6">
      <c r="C167" s="231" t="s">
        <v>1008</v>
      </c>
      <c r="D167" s="454" t="s">
        <v>1003</v>
      </c>
      <c r="E167" s="454" t="s">
        <v>1003</v>
      </c>
      <c r="F167" s="454" t="s">
        <v>1003</v>
      </c>
    </row>
    <row r="168" spans="3:6">
      <c r="C168" s="224" t="s">
        <v>972</v>
      </c>
      <c r="D168" s="454">
        <v>80</v>
      </c>
      <c r="E168" s="454">
        <v>75</v>
      </c>
      <c r="F168" s="454">
        <v>70</v>
      </c>
    </row>
    <row r="169" spans="3:6">
      <c r="C169" s="224" t="s">
        <v>999</v>
      </c>
      <c r="D169" s="454">
        <v>80</v>
      </c>
      <c r="E169" s="454">
        <v>75</v>
      </c>
      <c r="F169" s="454">
        <v>70</v>
      </c>
    </row>
    <row r="170" spans="3:6">
      <c r="C170" s="224" t="s">
        <v>977</v>
      </c>
      <c r="D170" s="454">
        <v>75</v>
      </c>
      <c r="E170" s="454">
        <v>70</v>
      </c>
      <c r="F170" s="454">
        <v>65</v>
      </c>
    </row>
    <row r="171" spans="3:6">
      <c r="C171" s="224" t="s">
        <v>1063</v>
      </c>
      <c r="D171" s="454">
        <v>75</v>
      </c>
      <c r="E171" s="454">
        <v>70</v>
      </c>
      <c r="F171" s="454">
        <v>65</v>
      </c>
    </row>
    <row r="172" spans="3:6">
      <c r="C172" s="224" t="s">
        <v>908</v>
      </c>
      <c r="D172" s="454">
        <v>70</v>
      </c>
      <c r="E172" s="454">
        <v>65</v>
      </c>
      <c r="F172" s="454">
        <v>60</v>
      </c>
    </row>
    <row r="173" spans="3:6">
      <c r="C173" s="224" t="s">
        <v>978</v>
      </c>
      <c r="D173" s="454">
        <v>70</v>
      </c>
      <c r="E173" s="454">
        <v>65</v>
      </c>
      <c r="F173" s="454">
        <v>60</v>
      </c>
    </row>
    <row r="174" spans="3:6">
      <c r="C174" s="224" t="s">
        <v>1009</v>
      </c>
      <c r="D174" s="454">
        <v>70</v>
      </c>
      <c r="E174" s="454">
        <v>65</v>
      </c>
      <c r="F174" s="454">
        <v>60</v>
      </c>
    </row>
    <row r="176" spans="3:6">
      <c r="D176" s="224" t="s">
        <v>735</v>
      </c>
      <c r="E176" s="224">
        <v>2</v>
      </c>
      <c r="F176" s="455">
        <v>3</v>
      </c>
    </row>
    <row r="177" spans="3:6">
      <c r="C177" s="231" t="s">
        <v>1008</v>
      </c>
      <c r="D177" s="454" t="s">
        <v>1004</v>
      </c>
      <c r="E177" s="454" t="s">
        <v>1004</v>
      </c>
      <c r="F177" s="454" t="s">
        <v>1004</v>
      </c>
    </row>
    <row r="178" spans="3:6">
      <c r="C178" s="224" t="s">
        <v>972</v>
      </c>
      <c r="D178" s="454"/>
      <c r="E178" s="454">
        <v>60</v>
      </c>
      <c r="F178" s="454">
        <v>55</v>
      </c>
    </row>
    <row r="179" spans="3:6">
      <c r="C179" s="224" t="s">
        <v>999</v>
      </c>
      <c r="D179" s="454"/>
      <c r="E179" s="454">
        <v>60</v>
      </c>
      <c r="F179" s="454">
        <v>55</v>
      </c>
    </row>
    <row r="180" spans="3:6">
      <c r="C180" s="224" t="s">
        <v>977</v>
      </c>
      <c r="D180" s="454"/>
      <c r="E180" s="454">
        <v>55</v>
      </c>
      <c r="F180" s="454">
        <v>50</v>
      </c>
    </row>
    <row r="181" spans="3:6">
      <c r="C181" s="224" t="s">
        <v>1063</v>
      </c>
      <c r="D181" s="454"/>
      <c r="E181" s="454">
        <v>55</v>
      </c>
      <c r="F181" s="454">
        <v>50</v>
      </c>
    </row>
    <row r="182" spans="3:6">
      <c r="C182" s="224" t="s">
        <v>908</v>
      </c>
      <c r="D182" s="454"/>
      <c r="E182" s="454">
        <v>50</v>
      </c>
      <c r="F182" s="454">
        <v>45</v>
      </c>
    </row>
    <row r="183" spans="3:6">
      <c r="C183" s="224" t="s">
        <v>978</v>
      </c>
      <c r="D183" s="454"/>
      <c r="E183" s="454">
        <v>50</v>
      </c>
      <c r="F183" s="454">
        <v>45</v>
      </c>
    </row>
    <row r="184" spans="3:6">
      <c r="C184" s="224" t="s">
        <v>1009</v>
      </c>
      <c r="D184" s="454"/>
      <c r="E184" s="454">
        <v>50</v>
      </c>
      <c r="F184" s="454">
        <v>45</v>
      </c>
    </row>
    <row r="186" spans="3:6">
      <c r="D186" s="224" t="s">
        <v>735</v>
      </c>
      <c r="E186" s="455">
        <v>2</v>
      </c>
      <c r="F186" s="455">
        <v>3</v>
      </c>
    </row>
    <row r="187" spans="3:6">
      <c r="C187" s="231" t="s">
        <v>1008</v>
      </c>
      <c r="D187" s="454" t="s">
        <v>1005</v>
      </c>
      <c r="E187" s="454" t="s">
        <v>1005</v>
      </c>
      <c r="F187" s="454" t="s">
        <v>1005</v>
      </c>
    </row>
    <row r="188" spans="3:6">
      <c r="C188" s="224" t="s">
        <v>972</v>
      </c>
      <c r="D188" s="454"/>
      <c r="E188" s="454">
        <v>85</v>
      </c>
      <c r="F188" s="454">
        <v>80</v>
      </c>
    </row>
    <row r="189" spans="3:6">
      <c r="C189" s="224" t="s">
        <v>999</v>
      </c>
      <c r="D189" s="454"/>
      <c r="E189" s="454">
        <v>85</v>
      </c>
      <c r="F189" s="454">
        <v>80</v>
      </c>
    </row>
    <row r="190" spans="3:6">
      <c r="C190" s="224" t="s">
        <v>977</v>
      </c>
      <c r="D190" s="454"/>
      <c r="E190" s="454">
        <v>80</v>
      </c>
      <c r="F190" s="454">
        <v>75</v>
      </c>
    </row>
    <row r="191" spans="3:6">
      <c r="C191" s="224" t="s">
        <v>1063</v>
      </c>
      <c r="D191" s="454"/>
      <c r="E191" s="454">
        <v>80</v>
      </c>
      <c r="F191" s="454">
        <v>75</v>
      </c>
    </row>
    <row r="192" spans="3:6">
      <c r="C192" s="224" t="s">
        <v>908</v>
      </c>
      <c r="D192" s="454"/>
      <c r="E192" s="454">
        <v>75</v>
      </c>
      <c r="F192" s="454">
        <v>70</v>
      </c>
    </row>
    <row r="193" spans="3:6">
      <c r="C193" s="224" t="s">
        <v>978</v>
      </c>
      <c r="D193" s="454"/>
      <c r="E193" s="454">
        <v>75</v>
      </c>
      <c r="F193" s="454">
        <v>70</v>
      </c>
    </row>
    <row r="194" spans="3:6">
      <c r="C194" s="224" t="s">
        <v>1009</v>
      </c>
      <c r="D194" s="454"/>
      <c r="E194" s="454">
        <v>75</v>
      </c>
      <c r="F194" s="454">
        <v>70</v>
      </c>
    </row>
  </sheetData>
  <sheetProtection autoFilter="0"/>
  <autoFilter ref="N1:O59" xr:uid="{2ED5A63B-0418-4D83-8D30-40E62A9619E4}"/>
  <mergeCells count="131">
    <mergeCell ref="A1:I1"/>
    <mergeCell ref="A2:B2"/>
    <mergeCell ref="B5:L5"/>
    <mergeCell ref="C6:L6"/>
    <mergeCell ref="C7:L7"/>
    <mergeCell ref="K8:L8"/>
    <mergeCell ref="C9:C12"/>
    <mergeCell ref="D9:D12"/>
    <mergeCell ref="E9:E12"/>
    <mergeCell ref="J9:J12"/>
    <mergeCell ref="K9:L9"/>
    <mergeCell ref="K10:L10"/>
    <mergeCell ref="K11:L11"/>
    <mergeCell ref="K12:L12"/>
    <mergeCell ref="A3:H3"/>
    <mergeCell ref="C17:C20"/>
    <mergeCell ref="D17:D20"/>
    <mergeCell ref="E17:E20"/>
    <mergeCell ref="J17:J20"/>
    <mergeCell ref="K17:L17"/>
    <mergeCell ref="K18:L18"/>
    <mergeCell ref="K19:L19"/>
    <mergeCell ref="K20:L20"/>
    <mergeCell ref="C13:C16"/>
    <mergeCell ref="D13:D16"/>
    <mergeCell ref="E13:E16"/>
    <mergeCell ref="J13:J16"/>
    <mergeCell ref="K13:L13"/>
    <mergeCell ref="K14:L14"/>
    <mergeCell ref="K15:L15"/>
    <mergeCell ref="K16:L16"/>
    <mergeCell ref="C25:C28"/>
    <mergeCell ref="D25:D28"/>
    <mergeCell ref="E25:E28"/>
    <mergeCell ref="J25:J28"/>
    <mergeCell ref="K25:L25"/>
    <mergeCell ref="K26:L26"/>
    <mergeCell ref="K27:L27"/>
    <mergeCell ref="K28:L28"/>
    <mergeCell ref="C21:C24"/>
    <mergeCell ref="D21:D24"/>
    <mergeCell ref="E21:E24"/>
    <mergeCell ref="J21:J24"/>
    <mergeCell ref="K21:L21"/>
    <mergeCell ref="K22:L22"/>
    <mergeCell ref="K23:L23"/>
    <mergeCell ref="K24:L24"/>
    <mergeCell ref="C29:C32"/>
    <mergeCell ref="D29:D32"/>
    <mergeCell ref="E29:E32"/>
    <mergeCell ref="J29:J32"/>
    <mergeCell ref="K29:L29"/>
    <mergeCell ref="K30:L30"/>
    <mergeCell ref="K31:L31"/>
    <mergeCell ref="K32:L32"/>
    <mergeCell ref="C33:C36"/>
    <mergeCell ref="D33:D36"/>
    <mergeCell ref="E33:E36"/>
    <mergeCell ref="J33:J36"/>
    <mergeCell ref="K33:L33"/>
    <mergeCell ref="K34:L34"/>
    <mergeCell ref="K35:L35"/>
    <mergeCell ref="K36:L36"/>
    <mergeCell ref="C41:L41"/>
    <mergeCell ref="I42:J42"/>
    <mergeCell ref="K42:L42"/>
    <mergeCell ref="I43:J43"/>
    <mergeCell ref="K43:L43"/>
    <mergeCell ref="I44:J44"/>
    <mergeCell ref="K44:L44"/>
    <mergeCell ref="I48:L48"/>
    <mergeCell ref="C37:C40"/>
    <mergeCell ref="D37:D40"/>
    <mergeCell ref="E37:E40"/>
    <mergeCell ref="J37:J40"/>
    <mergeCell ref="K37:L37"/>
    <mergeCell ref="K38:L38"/>
    <mergeCell ref="K39:L39"/>
    <mergeCell ref="K40:L40"/>
    <mergeCell ref="I49:L49"/>
    <mergeCell ref="I50:L50"/>
    <mergeCell ref="I51:L51"/>
    <mergeCell ref="I52:L52"/>
    <mergeCell ref="I45:J45"/>
    <mergeCell ref="K45:L45"/>
    <mergeCell ref="I46:J46"/>
    <mergeCell ref="K46:L46"/>
    <mergeCell ref="C47:L47"/>
    <mergeCell ref="A114:B114"/>
    <mergeCell ref="C53:L53"/>
    <mergeCell ref="J54:L54"/>
    <mergeCell ref="J55:L55"/>
    <mergeCell ref="J56:L56"/>
    <mergeCell ref="J57:L57"/>
    <mergeCell ref="E86:E87"/>
    <mergeCell ref="J86:J87"/>
    <mergeCell ref="E88:E89"/>
    <mergeCell ref="J88:J89"/>
    <mergeCell ref="A67:M72"/>
    <mergeCell ref="E78:E79"/>
    <mergeCell ref="J78:J81"/>
    <mergeCell ref="E80:E81"/>
    <mergeCell ref="E82:E83"/>
    <mergeCell ref="J82:J85"/>
    <mergeCell ref="E84:E85"/>
    <mergeCell ref="J58:L58"/>
    <mergeCell ref="J59:L59"/>
    <mergeCell ref="A126:B126"/>
    <mergeCell ref="A98:B98"/>
    <mergeCell ref="A99:B99"/>
    <mergeCell ref="A102:B102"/>
    <mergeCell ref="A103:B103"/>
    <mergeCell ref="A104:B104"/>
    <mergeCell ref="A105:B105"/>
    <mergeCell ref="A92:B92"/>
    <mergeCell ref="A93:B93"/>
    <mergeCell ref="A94:B94"/>
    <mergeCell ref="A95:B95"/>
    <mergeCell ref="A96:B96"/>
    <mergeCell ref="A97:B97"/>
    <mergeCell ref="A115:B115"/>
    <mergeCell ref="A116:B116"/>
    <mergeCell ref="A117:B117"/>
    <mergeCell ref="A118:B118"/>
    <mergeCell ref="A119:B119"/>
    <mergeCell ref="A106:B106"/>
    <mergeCell ref="A107:B107"/>
    <mergeCell ref="A108:B108"/>
    <mergeCell ref="A109:B109"/>
    <mergeCell ref="A112:B112"/>
    <mergeCell ref="A113:B113"/>
  </mergeCells>
  <conditionalFormatting sqref="H55:H59 G49:H52 I10:I16 I37:I40">
    <cfRule type="expression" dxfId="75" priority="45">
      <formula>IF($H10="FAIL",1,0)</formula>
    </cfRule>
  </conditionalFormatting>
  <conditionalFormatting sqref="H30:H32 H38:H40 H22:H24 H43:H46">
    <cfRule type="expression" dxfId="74" priority="44">
      <formula>IF($J22="FAIL",1,0)</formula>
    </cfRule>
  </conditionalFormatting>
  <conditionalFormatting sqref="H52">
    <cfRule type="expression" dxfId="73" priority="43">
      <formula>IF($J52="FAIL",1,0)</formula>
    </cfRule>
  </conditionalFormatting>
  <conditionalFormatting sqref="J9 I38:I40">
    <cfRule type="expression" dxfId="72" priority="41">
      <formula>IF($J9="FAIL",1,0)</formula>
    </cfRule>
  </conditionalFormatting>
  <conditionalFormatting sqref="K9">
    <cfRule type="expression" dxfId="71" priority="42">
      <formula>IF(#REF!="FAIL",1,0)</formula>
    </cfRule>
  </conditionalFormatting>
  <conditionalFormatting sqref="H37:I37">
    <cfRule type="expression" dxfId="70" priority="40">
      <formula>IF($J37="FAIL",1,0)</formula>
    </cfRule>
  </conditionalFormatting>
  <conditionalFormatting sqref="H21">
    <cfRule type="expression" dxfId="69" priority="39">
      <formula>IF($J21="FAIL",1,0)</formula>
    </cfRule>
  </conditionalFormatting>
  <conditionalFormatting sqref="H29">
    <cfRule type="expression" dxfId="68" priority="38">
      <formula>IF($J29="FAIL",1,0)</formula>
    </cfRule>
  </conditionalFormatting>
  <conditionalFormatting sqref="H9:H12">
    <cfRule type="expression" dxfId="67" priority="37">
      <formula>IF($H9="FAIL",1,0)</formula>
    </cfRule>
  </conditionalFormatting>
  <conditionalFormatting sqref="H13:H16">
    <cfRule type="expression" dxfId="66" priority="36">
      <formula>IF($H13="FAIL",1,0)</formula>
    </cfRule>
  </conditionalFormatting>
  <conditionalFormatting sqref="H17:H20">
    <cfRule type="expression" dxfId="65" priority="35">
      <formula>IF($H17="FAIL",1,0)</formula>
    </cfRule>
  </conditionalFormatting>
  <conditionalFormatting sqref="H26:H28">
    <cfRule type="expression" dxfId="64" priority="34">
      <formula>IF($J26="FAIL",1,0)</formula>
    </cfRule>
  </conditionalFormatting>
  <conditionalFormatting sqref="H25">
    <cfRule type="expression" dxfId="63" priority="33">
      <formula>IF($J25="FAIL",1,0)</formula>
    </cfRule>
  </conditionalFormatting>
  <conditionalFormatting sqref="J13">
    <cfRule type="expression" dxfId="62" priority="32">
      <formula>IF($J13="FAIL",1,0)</formula>
    </cfRule>
  </conditionalFormatting>
  <conditionalFormatting sqref="J17">
    <cfRule type="expression" dxfId="61" priority="31">
      <formula>IF($J17="FAIL",1,0)</formula>
    </cfRule>
  </conditionalFormatting>
  <conditionalFormatting sqref="J21">
    <cfRule type="expression" dxfId="60" priority="30">
      <formula>IF($J21="FAIL",1,0)</formula>
    </cfRule>
  </conditionalFormatting>
  <conditionalFormatting sqref="J25">
    <cfRule type="expression" dxfId="59" priority="29">
      <formula>IF($J25="FAIL",1,0)</formula>
    </cfRule>
  </conditionalFormatting>
  <conditionalFormatting sqref="J29">
    <cfRule type="expression" dxfId="58" priority="28">
      <formula>IF($J29="FAIL",1,0)</formula>
    </cfRule>
  </conditionalFormatting>
  <conditionalFormatting sqref="J37">
    <cfRule type="expression" dxfId="57" priority="27">
      <formula>IF($J37="FAIL",1,0)</formula>
    </cfRule>
  </conditionalFormatting>
  <conditionalFormatting sqref="I14">
    <cfRule type="expression" dxfId="56" priority="20">
      <formula>IF($J14="FAIL",1,0)</formula>
    </cfRule>
  </conditionalFormatting>
  <conditionalFormatting sqref="I13">
    <cfRule type="expression" dxfId="55" priority="19">
      <formula>IF($J13="FAIL",1,0)</formula>
    </cfRule>
  </conditionalFormatting>
  <conditionalFormatting sqref="I10">
    <cfRule type="expression" dxfId="54" priority="18">
      <formula>IF($J10="FAIL",1,0)</formula>
    </cfRule>
  </conditionalFormatting>
  <conditionalFormatting sqref="H33:I33">
    <cfRule type="expression" dxfId="53" priority="11">
      <formula>IF($J33="FAIL",1,0)</formula>
    </cfRule>
  </conditionalFormatting>
  <conditionalFormatting sqref="I43:I46">
    <cfRule type="expression" dxfId="52" priority="16">
      <formula>IF($J43="FAIL",1,0)</formula>
    </cfRule>
  </conditionalFormatting>
  <conditionalFormatting sqref="I55:I59">
    <cfRule type="expression" dxfId="51" priority="15">
      <formula>IF($H55="FAIL",1,0)</formula>
    </cfRule>
  </conditionalFormatting>
  <conditionalFormatting sqref="I33:I36">
    <cfRule type="expression" dxfId="50" priority="14">
      <formula>IF($H33="FAIL",1,0)</formula>
    </cfRule>
  </conditionalFormatting>
  <conditionalFormatting sqref="H34:H36">
    <cfRule type="expression" dxfId="49" priority="13">
      <formula>IF($J34="FAIL",1,0)</formula>
    </cfRule>
  </conditionalFormatting>
  <conditionalFormatting sqref="I34:I36">
    <cfRule type="expression" dxfId="48" priority="12">
      <formula>IF($J34="FAIL",1,0)</formula>
    </cfRule>
  </conditionalFormatting>
  <conditionalFormatting sqref="J33">
    <cfRule type="expression" dxfId="47" priority="10">
      <formula>IF($J33="FAIL",1,0)</formula>
    </cfRule>
  </conditionalFormatting>
  <conditionalFormatting sqref="I33">
    <cfRule type="expression" dxfId="46" priority="9">
      <formula>IF($J33="FAIL",1,0)</formula>
    </cfRule>
  </conditionalFormatting>
  <conditionalFormatting sqref="I18:I24">
    <cfRule type="expression" dxfId="45" priority="8">
      <formula>IF($H18="FAIL",1,0)</formula>
    </cfRule>
  </conditionalFormatting>
  <conditionalFormatting sqref="I22">
    <cfRule type="expression" dxfId="44" priority="7">
      <formula>IF($J22="FAIL",1,0)</formula>
    </cfRule>
  </conditionalFormatting>
  <conditionalFormatting sqref="I21">
    <cfRule type="expression" dxfId="43" priority="6">
      <formula>IF($J21="FAIL",1,0)</formula>
    </cfRule>
  </conditionalFormatting>
  <conditionalFormatting sqref="I18">
    <cfRule type="expression" dxfId="42" priority="5">
      <formula>IF($J18="FAIL",1,0)</formula>
    </cfRule>
  </conditionalFormatting>
  <conditionalFormatting sqref="I26:I32">
    <cfRule type="expression" dxfId="41" priority="4">
      <formula>IF($H26="FAIL",1,0)</formula>
    </cfRule>
  </conditionalFormatting>
  <conditionalFormatting sqref="I30">
    <cfRule type="expression" dxfId="40" priority="3">
      <formula>IF($J30="FAIL",1,0)</formula>
    </cfRule>
  </conditionalFormatting>
  <conditionalFormatting sqref="I29">
    <cfRule type="expression" dxfId="39" priority="2">
      <formula>IF($J29="FAIL",1,0)</formula>
    </cfRule>
  </conditionalFormatting>
  <conditionalFormatting sqref="I26">
    <cfRule type="expression" dxfId="38" priority="1">
      <formula>IF($J26="FAIL",1,0)</formula>
    </cfRule>
  </conditionalFormatting>
  <dataValidations disablePrompts="1" count="1">
    <dataValidation type="list" allowBlank="1" showInputMessage="1" showErrorMessage="1" sqref="E9:E40" xr:uid="{B2B5635D-21C9-4922-A03F-D4B433DD5899}">
      <formula1>$A$93:$A$99</formula1>
    </dataValidation>
  </dataValidations>
  <pageMargins left="0.7" right="0.7" top="0.75" bottom="0.75" header="0.3" footer="0.3"/>
  <pageSetup scale="36" fitToHeight="1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C40C9-F36B-44B7-A84C-1F461C3148FC}">
  <sheetPr>
    <pageSetUpPr fitToPage="1"/>
  </sheetPr>
  <dimension ref="A1:P60"/>
  <sheetViews>
    <sheetView view="pageBreakPreview" zoomScale="85" zoomScaleNormal="80" zoomScaleSheetLayoutView="85" workbookViewId="0">
      <selection activeCell="D13" sqref="D13:D16"/>
    </sheetView>
  </sheetViews>
  <sheetFormatPr defaultColWidth="8.88671875" defaultRowHeight="13.8"/>
  <cols>
    <col min="1" max="1" width="8.6640625" style="224" customWidth="1"/>
    <col min="2" max="2" width="10.6640625" style="224" customWidth="1"/>
    <col min="3" max="3" width="20.6640625" style="224" customWidth="1"/>
    <col min="4" max="4" width="45.6640625" style="224" customWidth="1"/>
    <col min="5" max="7" width="24.6640625" style="224" customWidth="1"/>
    <col min="8" max="10" width="20.6640625" style="224" customWidth="1"/>
    <col min="11" max="11" width="8.88671875" style="224"/>
    <col min="12" max="12" width="19.33203125" style="224" customWidth="1"/>
    <col min="13" max="13" width="1.6640625" style="224" customWidth="1"/>
    <col min="14" max="14" width="9.6640625" style="223" customWidth="1"/>
    <col min="15" max="15" width="9.6640625" style="224" customWidth="1"/>
    <col min="16" max="22" width="8.88671875" style="224"/>
    <col min="23" max="26" width="8.88671875" style="224" customWidth="1"/>
    <col min="27" max="16384" width="8.88671875" style="224"/>
  </cols>
  <sheetData>
    <row r="1" spans="1:15" ht="21.9" customHeight="1">
      <c r="A1" s="1101" t="str">
        <f>'Thermal Comfort'!A1</f>
        <v xml:space="preserve"> 	2202025367 - Shenzhen Prince Bay Mixed-use Development DY04-02</v>
      </c>
      <c r="B1" s="1101"/>
      <c r="C1" s="1101"/>
      <c r="D1" s="1101"/>
      <c r="E1" s="1101"/>
      <c r="F1" s="1101"/>
      <c r="G1" s="1101"/>
      <c r="H1" s="1101"/>
      <c r="I1" s="1101"/>
      <c r="N1" s="223" t="s">
        <v>1060</v>
      </c>
    </row>
    <row r="2" spans="1:15" ht="18" customHeight="1">
      <c r="A2" s="1102" t="s">
        <v>778</v>
      </c>
      <c r="B2" s="1102"/>
      <c r="C2" s="516"/>
      <c r="D2" s="516"/>
      <c r="E2" s="516"/>
      <c r="F2" s="516"/>
      <c r="G2" s="516"/>
      <c r="H2" s="516"/>
      <c r="I2" s="516"/>
      <c r="N2" s="223" t="s">
        <v>1061</v>
      </c>
    </row>
    <row r="3" spans="1:15" ht="18" customHeight="1">
      <c r="A3" s="1103" t="str">
        <f>'Thermal Comfort'!A3</f>
        <v>[date] On-site Performance Verification Summary of Results</v>
      </c>
      <c r="B3" s="1103"/>
      <c r="C3" s="1103"/>
      <c r="D3" s="1103"/>
      <c r="E3" s="1103"/>
      <c r="F3" s="1103"/>
      <c r="G3" s="1103"/>
      <c r="H3" s="1103"/>
      <c r="I3" s="516"/>
      <c r="N3" s="223" t="s">
        <v>1061</v>
      </c>
    </row>
    <row r="4" spans="1:15" ht="15" customHeight="1" thickBot="1">
      <c r="N4" s="223" t="s">
        <v>1061</v>
      </c>
    </row>
    <row r="5" spans="1:15" ht="24" customHeight="1" thickBot="1">
      <c r="B5" s="1091" t="s">
        <v>131</v>
      </c>
      <c r="C5" s="1092"/>
      <c r="D5" s="1092"/>
      <c r="E5" s="1092"/>
      <c r="F5" s="1092"/>
      <c r="G5" s="1092"/>
      <c r="H5" s="1092"/>
      <c r="I5" s="1092"/>
      <c r="J5" s="1092"/>
      <c r="K5" s="1092"/>
      <c r="L5" s="1093"/>
      <c r="N5" s="223" t="s">
        <v>1061</v>
      </c>
    </row>
    <row r="6" spans="1:15" ht="99.9" customHeight="1" thickBot="1">
      <c r="B6" s="681"/>
      <c r="C6" s="1104" t="s">
        <v>954</v>
      </c>
      <c r="D6" s="1105"/>
      <c r="E6" s="1105"/>
      <c r="F6" s="1105"/>
      <c r="G6" s="1105"/>
      <c r="H6" s="1105"/>
      <c r="I6" s="1105"/>
      <c r="J6" s="1105"/>
      <c r="K6" s="1105"/>
      <c r="L6" s="1106"/>
      <c r="N6" s="223" t="s">
        <v>1061</v>
      </c>
    </row>
    <row r="7" spans="1:15" ht="24" customHeight="1" thickBot="1">
      <c r="B7" s="682"/>
      <c r="C7" s="1097" t="s">
        <v>955</v>
      </c>
      <c r="D7" s="1097"/>
      <c r="E7" s="1097"/>
      <c r="F7" s="1097"/>
      <c r="G7" s="1097"/>
      <c r="H7" s="1097"/>
      <c r="I7" s="1097"/>
      <c r="J7" s="1097"/>
      <c r="K7" s="1097"/>
      <c r="L7" s="1098"/>
      <c r="M7" s="230"/>
      <c r="N7" s="223" t="s">
        <v>1061</v>
      </c>
      <c r="O7" s="230" t="s">
        <v>956</v>
      </c>
    </row>
    <row r="8" spans="1:15" ht="60" customHeight="1">
      <c r="B8" s="681"/>
      <c r="C8" s="476" t="s">
        <v>959</v>
      </c>
      <c r="D8" s="668" t="s">
        <v>960</v>
      </c>
      <c r="E8" s="668" t="s">
        <v>1115</v>
      </c>
      <c r="F8" s="668" t="s">
        <v>962</v>
      </c>
      <c r="G8" s="668" t="s">
        <v>963</v>
      </c>
      <c r="H8" s="668" t="s">
        <v>964</v>
      </c>
      <c r="I8" s="668" t="s">
        <v>802</v>
      </c>
      <c r="J8" s="668" t="s">
        <v>984</v>
      </c>
      <c r="K8" s="1099" t="s">
        <v>904</v>
      </c>
      <c r="L8" s="1100"/>
      <c r="N8" s="223" t="s">
        <v>1061</v>
      </c>
      <c r="O8" s="230" t="s">
        <v>965</v>
      </c>
    </row>
    <row r="9" spans="1:15" ht="20.100000000000001" customHeight="1">
      <c r="B9" s="681"/>
      <c r="C9" s="1083"/>
      <c r="D9" s="1085"/>
      <c r="E9" s="1085"/>
      <c r="F9" s="477" t="s">
        <v>973</v>
      </c>
      <c r="G9" s="477" t="s">
        <v>1116</v>
      </c>
      <c r="H9" s="781"/>
      <c r="I9" s="782"/>
      <c r="J9" s="1087"/>
      <c r="K9" s="1073"/>
      <c r="L9" s="1074"/>
      <c r="N9" s="223" t="s">
        <v>1061</v>
      </c>
      <c r="O9" s="230"/>
    </row>
    <row r="10" spans="1:15" ht="20.100000000000001" customHeight="1">
      <c r="B10" s="681"/>
      <c r="C10" s="1083"/>
      <c r="D10" s="1085"/>
      <c r="E10" s="1085"/>
      <c r="F10" s="477" t="s">
        <v>974</v>
      </c>
      <c r="G10" s="477" t="s">
        <v>1117</v>
      </c>
      <c r="H10" s="781"/>
      <c r="I10" s="782"/>
      <c r="J10" s="1088"/>
      <c r="K10" s="1073"/>
      <c r="L10" s="1074"/>
      <c r="N10" s="223" t="s">
        <v>1061</v>
      </c>
    </row>
    <row r="11" spans="1:15" ht="20.100000000000001" customHeight="1">
      <c r="B11" s="681"/>
      <c r="C11" s="1083"/>
      <c r="D11" s="1085"/>
      <c r="E11" s="1085"/>
      <c r="F11" s="477" t="s">
        <v>975</v>
      </c>
      <c r="G11" s="477" t="s">
        <v>1118</v>
      </c>
      <c r="H11" s="781"/>
      <c r="I11" s="782"/>
      <c r="J11" s="1088"/>
      <c r="K11" s="1073"/>
      <c r="L11" s="1074"/>
      <c r="N11" s="223" t="s">
        <v>1061</v>
      </c>
    </row>
    <row r="12" spans="1:15" ht="20.100000000000001" customHeight="1">
      <c r="B12" s="681"/>
      <c r="C12" s="1083"/>
      <c r="D12" s="1085"/>
      <c r="E12" s="1085"/>
      <c r="F12" s="477" t="s">
        <v>976</v>
      </c>
      <c r="G12" s="477" t="s">
        <v>1119</v>
      </c>
      <c r="H12" s="781"/>
      <c r="I12" s="782"/>
      <c r="J12" s="1090"/>
      <c r="K12" s="1073"/>
      <c r="L12" s="1074"/>
      <c r="N12" s="223" t="s">
        <v>1061</v>
      </c>
    </row>
    <row r="13" spans="1:15" ht="20.100000000000001" customHeight="1">
      <c r="B13" s="681"/>
      <c r="C13" s="1083"/>
      <c r="D13" s="1085"/>
      <c r="E13" s="1085"/>
      <c r="F13" s="477" t="s">
        <v>973</v>
      </c>
      <c r="G13" s="477" t="s">
        <v>1120</v>
      </c>
      <c r="H13" s="620"/>
      <c r="I13" s="477"/>
      <c r="J13" s="1087"/>
      <c r="K13" s="1073"/>
      <c r="L13" s="1074"/>
      <c r="N13" s="223" t="str">
        <f>IF(H13&lt;&gt;"","No","Yes")</f>
        <v>Yes</v>
      </c>
    </row>
    <row r="14" spans="1:15" ht="20.100000000000001" customHeight="1">
      <c r="B14" s="681"/>
      <c r="C14" s="1083"/>
      <c r="D14" s="1085"/>
      <c r="E14" s="1085"/>
      <c r="F14" s="477" t="s">
        <v>974</v>
      </c>
      <c r="G14" s="477" t="s">
        <v>1121</v>
      </c>
      <c r="H14" s="620"/>
      <c r="I14" s="477"/>
      <c r="J14" s="1088"/>
      <c r="K14" s="1073"/>
      <c r="L14" s="1074"/>
      <c r="N14" s="223" t="str">
        <f t="shared" ref="N14:N40" si="0">IF(H14&lt;&gt;"","No","Yes")</f>
        <v>Yes</v>
      </c>
    </row>
    <row r="15" spans="1:15" ht="20.100000000000001" customHeight="1">
      <c r="B15" s="681"/>
      <c r="C15" s="1083"/>
      <c r="D15" s="1085"/>
      <c r="E15" s="1085"/>
      <c r="F15" s="477" t="s">
        <v>975</v>
      </c>
      <c r="G15" s="477" t="s">
        <v>1122</v>
      </c>
      <c r="H15" s="620"/>
      <c r="I15" s="477"/>
      <c r="J15" s="1088"/>
      <c r="K15" s="1073"/>
      <c r="L15" s="1074"/>
      <c r="N15" s="223" t="str">
        <f t="shared" si="0"/>
        <v>Yes</v>
      </c>
    </row>
    <row r="16" spans="1:15" ht="20.100000000000001" customHeight="1">
      <c r="B16" s="681"/>
      <c r="C16" s="1083"/>
      <c r="D16" s="1085"/>
      <c r="E16" s="1085"/>
      <c r="F16" s="477" t="s">
        <v>976</v>
      </c>
      <c r="G16" s="477" t="s">
        <v>1123</v>
      </c>
      <c r="H16" s="620"/>
      <c r="I16" s="477"/>
      <c r="J16" s="1090"/>
      <c r="K16" s="1073"/>
      <c r="L16" s="1074"/>
      <c r="N16" s="223" t="str">
        <f t="shared" si="0"/>
        <v>Yes</v>
      </c>
    </row>
    <row r="17" spans="2:16" ht="20.100000000000001" customHeight="1">
      <c r="B17" s="681"/>
      <c r="C17" s="1083"/>
      <c r="D17" s="1085"/>
      <c r="E17" s="1085"/>
      <c r="F17" s="477" t="s">
        <v>973</v>
      </c>
      <c r="G17" s="477" t="s">
        <v>1118</v>
      </c>
      <c r="H17" s="620"/>
      <c r="I17" s="477"/>
      <c r="J17" s="1087"/>
      <c r="K17" s="1073"/>
      <c r="L17" s="1074"/>
      <c r="N17" s="223" t="str">
        <f t="shared" si="0"/>
        <v>Yes</v>
      </c>
    </row>
    <row r="18" spans="2:16" ht="20.100000000000001" customHeight="1">
      <c r="B18" s="681"/>
      <c r="C18" s="1083"/>
      <c r="D18" s="1085"/>
      <c r="E18" s="1085"/>
      <c r="F18" s="477" t="s">
        <v>974</v>
      </c>
      <c r="G18" s="477" t="s">
        <v>1119</v>
      </c>
      <c r="H18" s="620"/>
      <c r="I18" s="477"/>
      <c r="J18" s="1088"/>
      <c r="K18" s="1073"/>
      <c r="L18" s="1074"/>
      <c r="N18" s="223" t="str">
        <f t="shared" si="0"/>
        <v>Yes</v>
      </c>
    </row>
    <row r="19" spans="2:16" ht="20.100000000000001" customHeight="1">
      <c r="B19" s="681"/>
      <c r="C19" s="1083"/>
      <c r="D19" s="1085"/>
      <c r="E19" s="1085"/>
      <c r="F19" s="477" t="s">
        <v>975</v>
      </c>
      <c r="G19" s="477" t="s">
        <v>1124</v>
      </c>
      <c r="H19" s="620"/>
      <c r="I19" s="477"/>
      <c r="J19" s="1088"/>
      <c r="K19" s="1073"/>
      <c r="L19" s="1074"/>
      <c r="N19" s="223" t="str">
        <f t="shared" si="0"/>
        <v>Yes</v>
      </c>
      <c r="P19" s="231"/>
    </row>
    <row r="20" spans="2:16" ht="20.100000000000001" customHeight="1">
      <c r="B20" s="681"/>
      <c r="C20" s="1083"/>
      <c r="D20" s="1085"/>
      <c r="E20" s="1085"/>
      <c r="F20" s="477" t="s">
        <v>976</v>
      </c>
      <c r="G20" s="477" t="s">
        <v>1125</v>
      </c>
      <c r="H20" s="620"/>
      <c r="I20" s="477"/>
      <c r="J20" s="1090"/>
      <c r="K20" s="1073"/>
      <c r="L20" s="1074"/>
      <c r="N20" s="223" t="str">
        <f t="shared" si="0"/>
        <v>Yes</v>
      </c>
      <c r="O20" s="458" t="s">
        <v>1011</v>
      </c>
    </row>
    <row r="21" spans="2:16" ht="20.100000000000001" customHeight="1">
      <c r="B21" s="681"/>
      <c r="C21" s="1083"/>
      <c r="D21" s="1085"/>
      <c r="E21" s="1085"/>
      <c r="F21" s="477" t="s">
        <v>973</v>
      </c>
      <c r="G21" s="477" t="s">
        <v>1120</v>
      </c>
      <c r="H21" s="621"/>
      <c r="I21" s="477"/>
      <c r="J21" s="1087"/>
      <c r="K21" s="1073"/>
      <c r="L21" s="1074"/>
      <c r="N21" s="223" t="str">
        <f t="shared" si="0"/>
        <v>Yes</v>
      </c>
    </row>
    <row r="22" spans="2:16" ht="20.100000000000001" customHeight="1">
      <c r="B22" s="681"/>
      <c r="C22" s="1083"/>
      <c r="D22" s="1085"/>
      <c r="E22" s="1085"/>
      <c r="F22" s="477" t="s">
        <v>974</v>
      </c>
      <c r="G22" s="477" t="s">
        <v>1121</v>
      </c>
      <c r="H22" s="621"/>
      <c r="I22" s="477"/>
      <c r="J22" s="1088"/>
      <c r="K22" s="1073"/>
      <c r="L22" s="1074"/>
      <c r="N22" s="223" t="str">
        <f t="shared" si="0"/>
        <v>Yes</v>
      </c>
    </row>
    <row r="23" spans="2:16" ht="20.100000000000001" customHeight="1">
      <c r="B23" s="681"/>
      <c r="C23" s="1083"/>
      <c r="D23" s="1085"/>
      <c r="E23" s="1085"/>
      <c r="F23" s="477" t="s">
        <v>975</v>
      </c>
      <c r="G23" s="477" t="s">
        <v>1122</v>
      </c>
      <c r="H23" s="621"/>
      <c r="I23" s="477"/>
      <c r="J23" s="1088"/>
      <c r="K23" s="1073"/>
      <c r="L23" s="1074"/>
      <c r="N23" s="223" t="str">
        <f t="shared" si="0"/>
        <v>Yes</v>
      </c>
    </row>
    <row r="24" spans="2:16" ht="20.100000000000001" customHeight="1">
      <c r="B24" s="681"/>
      <c r="C24" s="1083"/>
      <c r="D24" s="1085"/>
      <c r="E24" s="1085"/>
      <c r="F24" s="477" t="s">
        <v>976</v>
      </c>
      <c r="G24" s="477" t="s">
        <v>1123</v>
      </c>
      <c r="H24" s="621"/>
      <c r="I24" s="477"/>
      <c r="J24" s="1090"/>
      <c r="K24" s="1073"/>
      <c r="L24" s="1074"/>
      <c r="N24" s="223" t="str">
        <f t="shared" si="0"/>
        <v>Yes</v>
      </c>
    </row>
    <row r="25" spans="2:16" ht="20.100000000000001" customHeight="1">
      <c r="B25" s="681"/>
      <c r="C25" s="1107"/>
      <c r="D25" s="1085"/>
      <c r="E25" s="1085"/>
      <c r="F25" s="477" t="s">
        <v>973</v>
      </c>
      <c r="G25" s="477" t="s">
        <v>1118</v>
      </c>
      <c r="H25" s="621"/>
      <c r="I25" s="477"/>
      <c r="J25" s="1087"/>
      <c r="K25" s="1073"/>
      <c r="L25" s="1074"/>
      <c r="N25" s="223" t="str">
        <f t="shared" si="0"/>
        <v>Yes</v>
      </c>
      <c r="O25" s="458" t="s">
        <v>1012</v>
      </c>
    </row>
    <row r="26" spans="2:16" ht="20.100000000000001" customHeight="1">
      <c r="B26" s="681"/>
      <c r="C26" s="1083"/>
      <c r="D26" s="1085"/>
      <c r="E26" s="1085"/>
      <c r="F26" s="477" t="s">
        <v>974</v>
      </c>
      <c r="G26" s="477" t="s">
        <v>1119</v>
      </c>
      <c r="H26" s="621"/>
      <c r="I26" s="477"/>
      <c r="J26" s="1088"/>
      <c r="K26" s="1065"/>
      <c r="L26" s="1067"/>
      <c r="N26" s="223" t="str">
        <f t="shared" si="0"/>
        <v>Yes</v>
      </c>
    </row>
    <row r="27" spans="2:16" ht="20.100000000000001" customHeight="1">
      <c r="B27" s="681"/>
      <c r="C27" s="1083"/>
      <c r="D27" s="1085"/>
      <c r="E27" s="1085"/>
      <c r="F27" s="477" t="s">
        <v>975</v>
      </c>
      <c r="G27" s="477" t="s">
        <v>1124</v>
      </c>
      <c r="H27" s="621"/>
      <c r="I27" s="477"/>
      <c r="J27" s="1088"/>
      <c r="K27" s="1073"/>
      <c r="L27" s="1074"/>
      <c r="N27" s="223" t="str">
        <f t="shared" si="0"/>
        <v>Yes</v>
      </c>
    </row>
    <row r="28" spans="2:16" ht="20.100000000000001" customHeight="1">
      <c r="B28" s="681"/>
      <c r="C28" s="1083"/>
      <c r="D28" s="1085"/>
      <c r="E28" s="1085"/>
      <c r="F28" s="477" t="s">
        <v>976</v>
      </c>
      <c r="G28" s="477" t="s">
        <v>1125</v>
      </c>
      <c r="H28" s="621"/>
      <c r="I28" s="477"/>
      <c r="J28" s="1090"/>
      <c r="K28" s="1073"/>
      <c r="L28" s="1074"/>
      <c r="N28" s="223" t="str">
        <f t="shared" si="0"/>
        <v>Yes</v>
      </c>
    </row>
    <row r="29" spans="2:16" ht="20.100000000000001" customHeight="1">
      <c r="B29" s="681"/>
      <c r="C29" s="1083"/>
      <c r="D29" s="1085"/>
      <c r="E29" s="1085"/>
      <c r="F29" s="477" t="s">
        <v>973</v>
      </c>
      <c r="G29" s="477"/>
      <c r="H29" s="621"/>
      <c r="I29" s="477"/>
      <c r="J29" s="1087"/>
      <c r="K29" s="1073"/>
      <c r="L29" s="1074"/>
      <c r="N29" s="223" t="str">
        <f t="shared" si="0"/>
        <v>Yes</v>
      </c>
    </row>
    <row r="30" spans="2:16" ht="20.100000000000001" customHeight="1">
      <c r="B30" s="681"/>
      <c r="C30" s="1083"/>
      <c r="D30" s="1085"/>
      <c r="E30" s="1085"/>
      <c r="F30" s="477" t="s">
        <v>974</v>
      </c>
      <c r="G30" s="477"/>
      <c r="H30" s="621"/>
      <c r="I30" s="477"/>
      <c r="J30" s="1088"/>
      <c r="K30" s="1073"/>
      <c r="L30" s="1074"/>
      <c r="N30" s="223" t="str">
        <f t="shared" si="0"/>
        <v>Yes</v>
      </c>
      <c r="O30" s="458"/>
    </row>
    <row r="31" spans="2:16" ht="20.100000000000001" customHeight="1">
      <c r="B31" s="681"/>
      <c r="C31" s="1083"/>
      <c r="D31" s="1085"/>
      <c r="E31" s="1085"/>
      <c r="F31" s="477" t="s">
        <v>975</v>
      </c>
      <c r="G31" s="477"/>
      <c r="H31" s="792"/>
      <c r="I31" s="477"/>
      <c r="J31" s="1088"/>
      <c r="K31" s="1073"/>
      <c r="L31" s="1074"/>
      <c r="N31" s="223" t="str">
        <f t="shared" si="0"/>
        <v>Yes</v>
      </c>
    </row>
    <row r="32" spans="2:16" ht="20.100000000000001" customHeight="1">
      <c r="B32" s="681"/>
      <c r="C32" s="1083"/>
      <c r="D32" s="1085"/>
      <c r="E32" s="1085"/>
      <c r="F32" s="477" t="s">
        <v>976</v>
      </c>
      <c r="G32" s="477"/>
      <c r="H32" s="621"/>
      <c r="I32" s="477"/>
      <c r="J32" s="1090"/>
      <c r="K32" s="1073"/>
      <c r="L32" s="1074"/>
      <c r="N32" s="223" t="str">
        <f t="shared" si="0"/>
        <v>Yes</v>
      </c>
    </row>
    <row r="33" spans="2:15" ht="20.100000000000001" customHeight="1">
      <c r="B33" s="681"/>
      <c r="C33" s="1083"/>
      <c r="D33" s="1085"/>
      <c r="E33" s="1085"/>
      <c r="F33" s="477" t="s">
        <v>973</v>
      </c>
      <c r="G33" s="477"/>
      <c r="H33" s="621"/>
      <c r="I33" s="477"/>
      <c r="J33" s="1087"/>
      <c r="K33" s="1073"/>
      <c r="L33" s="1074"/>
      <c r="N33" s="223" t="str">
        <f t="shared" si="0"/>
        <v>Yes</v>
      </c>
    </row>
    <row r="34" spans="2:15" ht="20.100000000000001" customHeight="1">
      <c r="B34" s="681"/>
      <c r="C34" s="1083"/>
      <c r="D34" s="1085"/>
      <c r="E34" s="1085"/>
      <c r="F34" s="477" t="s">
        <v>974</v>
      </c>
      <c r="G34" s="477"/>
      <c r="H34" s="621"/>
      <c r="I34" s="477"/>
      <c r="J34" s="1088"/>
      <c r="K34" s="1073"/>
      <c r="L34" s="1074"/>
      <c r="N34" s="223" t="str">
        <f t="shared" si="0"/>
        <v>Yes</v>
      </c>
      <c r="O34" s="458"/>
    </row>
    <row r="35" spans="2:15" ht="20.100000000000001" customHeight="1">
      <c r="B35" s="681"/>
      <c r="C35" s="1083"/>
      <c r="D35" s="1085"/>
      <c r="E35" s="1085"/>
      <c r="F35" s="477" t="s">
        <v>975</v>
      </c>
      <c r="G35" s="477"/>
      <c r="H35" s="621"/>
      <c r="I35" s="477"/>
      <c r="J35" s="1088"/>
      <c r="K35" s="1073"/>
      <c r="L35" s="1074"/>
      <c r="N35" s="223" t="str">
        <f t="shared" si="0"/>
        <v>Yes</v>
      </c>
    </row>
    <row r="36" spans="2:15" ht="20.100000000000001" customHeight="1">
      <c r="B36" s="681"/>
      <c r="C36" s="1083"/>
      <c r="D36" s="1085"/>
      <c r="E36" s="1085"/>
      <c r="F36" s="477" t="s">
        <v>976</v>
      </c>
      <c r="G36" s="477"/>
      <c r="H36" s="621"/>
      <c r="I36" s="477"/>
      <c r="J36" s="1090"/>
      <c r="K36" s="1073"/>
      <c r="L36" s="1074"/>
      <c r="N36" s="223" t="str">
        <f t="shared" si="0"/>
        <v>Yes</v>
      </c>
    </row>
    <row r="37" spans="2:15" ht="20.100000000000001" customHeight="1">
      <c r="B37" s="681"/>
      <c r="C37" s="1083"/>
      <c r="D37" s="1085"/>
      <c r="E37" s="1085"/>
      <c r="F37" s="477" t="s">
        <v>973</v>
      </c>
      <c r="G37" s="477"/>
      <c r="H37" s="621"/>
      <c r="I37" s="477"/>
      <c r="J37" s="1087"/>
      <c r="K37" s="1073"/>
      <c r="L37" s="1074"/>
      <c r="N37" s="223" t="str">
        <f t="shared" si="0"/>
        <v>Yes</v>
      </c>
    </row>
    <row r="38" spans="2:15" ht="20.100000000000001" customHeight="1">
      <c r="B38" s="681"/>
      <c r="C38" s="1083"/>
      <c r="D38" s="1085"/>
      <c r="E38" s="1085"/>
      <c r="F38" s="477" t="s">
        <v>974</v>
      </c>
      <c r="G38" s="477"/>
      <c r="H38" s="621"/>
      <c r="I38" s="477"/>
      <c r="J38" s="1088"/>
      <c r="K38" s="1073"/>
      <c r="L38" s="1074"/>
      <c r="N38" s="223" t="str">
        <f t="shared" si="0"/>
        <v>Yes</v>
      </c>
      <c r="O38" s="458" t="s">
        <v>1011</v>
      </c>
    </row>
    <row r="39" spans="2:15" ht="20.100000000000001" customHeight="1">
      <c r="B39" s="681"/>
      <c r="C39" s="1083"/>
      <c r="D39" s="1085"/>
      <c r="E39" s="1085"/>
      <c r="F39" s="477" t="s">
        <v>975</v>
      </c>
      <c r="G39" s="477"/>
      <c r="H39" s="621"/>
      <c r="I39" s="477"/>
      <c r="J39" s="1088"/>
      <c r="K39" s="1073"/>
      <c r="L39" s="1074"/>
      <c r="N39" s="223" t="str">
        <f t="shared" si="0"/>
        <v>Yes</v>
      </c>
    </row>
    <row r="40" spans="2:15" ht="20.100000000000001" customHeight="1" thickBot="1">
      <c r="B40" s="681"/>
      <c r="C40" s="1084"/>
      <c r="D40" s="1086"/>
      <c r="E40" s="1086"/>
      <c r="F40" s="478" t="s">
        <v>976</v>
      </c>
      <c r="G40" s="478"/>
      <c r="H40" s="622"/>
      <c r="I40" s="478"/>
      <c r="J40" s="1089"/>
      <c r="K40" s="1077"/>
      <c r="L40" s="1078"/>
      <c r="N40" s="223" t="str">
        <f t="shared" si="0"/>
        <v>Yes</v>
      </c>
    </row>
    <row r="41" spans="2:15" ht="24" customHeight="1" thickBot="1">
      <c r="B41" s="682"/>
      <c r="C41" s="1048" t="s">
        <v>979</v>
      </c>
      <c r="D41" s="1048"/>
      <c r="E41" s="1048"/>
      <c r="F41" s="1048"/>
      <c r="G41" s="1048"/>
      <c r="H41" s="1048"/>
      <c r="I41" s="1048"/>
      <c r="J41" s="1048"/>
      <c r="K41" s="1048"/>
      <c r="L41" s="1049"/>
      <c r="N41" s="223" t="str">
        <f>IF(D$43&lt;&gt;"","No","Yes")</f>
        <v>Yes</v>
      </c>
    </row>
    <row r="42" spans="2:15" ht="60" customHeight="1">
      <c r="B42" s="681"/>
      <c r="C42" s="476" t="s">
        <v>932</v>
      </c>
      <c r="D42" s="668" t="s">
        <v>980</v>
      </c>
      <c r="E42" s="668" t="s">
        <v>981</v>
      </c>
      <c r="F42" s="668" t="s">
        <v>962</v>
      </c>
      <c r="G42" s="668" t="s">
        <v>982</v>
      </c>
      <c r="H42" s="479" t="s">
        <v>983</v>
      </c>
      <c r="I42" s="1050" t="s">
        <v>984</v>
      </c>
      <c r="J42" s="1079"/>
      <c r="K42" s="1080" t="s">
        <v>904</v>
      </c>
      <c r="L42" s="1081"/>
      <c r="N42" s="223" t="str">
        <f>IF(D$43&lt;&gt;"","No","Yes")</f>
        <v>Yes</v>
      </c>
    </row>
    <row r="43" spans="2:15" ht="20.100000000000001" customHeight="1">
      <c r="B43" s="681"/>
      <c r="C43" s="623">
        <v>1</v>
      </c>
      <c r="D43" s="688"/>
      <c r="E43" s="688"/>
      <c r="F43" s="477" t="s">
        <v>985</v>
      </c>
      <c r="G43" s="625"/>
      <c r="H43" s="626"/>
      <c r="I43" s="1071"/>
      <c r="J43" s="1072"/>
      <c r="K43" s="1073" t="e">
        <f>IF(#REF!&lt;&gt;#REF!,_xlfn.CONCAT(#REF!*-1, " dB tolerance applied to ", F43),"")</f>
        <v>#REF!</v>
      </c>
      <c r="L43" s="1074"/>
      <c r="N43" s="223" t="str">
        <f>IF(D43&lt;&gt;"","No","Yes")</f>
        <v>Yes</v>
      </c>
    </row>
    <row r="44" spans="2:15" ht="20.100000000000001" customHeight="1">
      <c r="B44" s="681"/>
      <c r="C44" s="623">
        <v>2</v>
      </c>
      <c r="D44" s="688"/>
      <c r="E44" s="688"/>
      <c r="F44" s="477" t="s">
        <v>985</v>
      </c>
      <c r="G44" s="625"/>
      <c r="H44" s="626"/>
      <c r="I44" s="1071"/>
      <c r="J44" s="1072"/>
      <c r="K44" s="1073" t="e">
        <f>IF(#REF!&lt;&gt;#REF!,_xlfn.CONCAT(#REF!*-1, " dB tolerance applied to ", F44),"")</f>
        <v>#REF!</v>
      </c>
      <c r="L44" s="1074"/>
      <c r="N44" s="223" t="str">
        <f>IF(D44&lt;&gt;"","No","Yes")</f>
        <v>Yes</v>
      </c>
    </row>
    <row r="45" spans="2:15" ht="20.100000000000001" customHeight="1">
      <c r="B45" s="681"/>
      <c r="C45" s="623">
        <v>3</v>
      </c>
      <c r="D45" s="688"/>
      <c r="E45" s="688"/>
      <c r="F45" s="477" t="s">
        <v>985</v>
      </c>
      <c r="G45" s="625"/>
      <c r="H45" s="626"/>
      <c r="I45" s="1071"/>
      <c r="J45" s="1072"/>
      <c r="K45" s="1073" t="e">
        <f>IF(#REF!&lt;&gt;#REF!,_xlfn.CONCAT(#REF!*-1, " dB tolerance applied to ", F45),"")</f>
        <v>#REF!</v>
      </c>
      <c r="L45" s="1074"/>
      <c r="N45" s="223" t="str">
        <f>IF(D45&lt;&gt;"","No","Yes")</f>
        <v>Yes</v>
      </c>
    </row>
    <row r="46" spans="2:15" ht="20.100000000000001" customHeight="1" thickBot="1">
      <c r="B46" s="681"/>
      <c r="C46" s="624">
        <v>4</v>
      </c>
      <c r="D46" s="689"/>
      <c r="E46" s="689"/>
      <c r="F46" s="478" t="s">
        <v>985</v>
      </c>
      <c r="G46" s="627"/>
      <c r="H46" s="628"/>
      <c r="I46" s="1075"/>
      <c r="J46" s="1076"/>
      <c r="K46" s="1077" t="e">
        <f>IF(#REF!&lt;&gt;#REF!,_xlfn.CONCAT(#REF!*-1, " dB tolerance applied to ", F46),"")</f>
        <v>#REF!</v>
      </c>
      <c r="L46" s="1078"/>
      <c r="N46" s="223" t="str">
        <f>IF(D46&lt;&gt;"","No","Yes")</f>
        <v>Yes</v>
      </c>
    </row>
    <row r="47" spans="2:15" ht="24" customHeight="1" thickBot="1">
      <c r="B47" s="682"/>
      <c r="C47" s="1048" t="s">
        <v>986</v>
      </c>
      <c r="D47" s="1048"/>
      <c r="E47" s="1048"/>
      <c r="F47" s="1048"/>
      <c r="G47" s="1048"/>
      <c r="H47" s="1048"/>
      <c r="I47" s="1048"/>
      <c r="J47" s="1048"/>
      <c r="K47" s="1048"/>
      <c r="L47" s="1049"/>
      <c r="N47" s="223" t="str">
        <f>IF(D$49&lt;&gt;"","No","Yes")</f>
        <v>Yes</v>
      </c>
    </row>
    <row r="48" spans="2:15" ht="60" customHeight="1">
      <c r="B48" s="681"/>
      <c r="C48" s="476" t="s">
        <v>932</v>
      </c>
      <c r="D48" s="668" t="s">
        <v>933</v>
      </c>
      <c r="E48" s="668" t="s">
        <v>962</v>
      </c>
      <c r="F48" s="668" t="s">
        <v>987</v>
      </c>
      <c r="G48" s="479" t="s">
        <v>988</v>
      </c>
      <c r="H48" s="668" t="s">
        <v>984</v>
      </c>
      <c r="I48" s="1080" t="s">
        <v>904</v>
      </c>
      <c r="J48" s="1082"/>
      <c r="K48" s="1082"/>
      <c r="L48" s="1081"/>
      <c r="N48" s="223" t="str">
        <f>IF(D$49&lt;&gt;"","No","Yes")</f>
        <v>Yes</v>
      </c>
    </row>
    <row r="49" spans="2:14" ht="20.100000000000001" customHeight="1">
      <c r="B49" s="681"/>
      <c r="C49" s="629">
        <v>1</v>
      </c>
      <c r="D49" s="636"/>
      <c r="E49" s="477" t="s">
        <v>989</v>
      </c>
      <c r="F49" s="625"/>
      <c r="G49" s="631"/>
      <c r="H49" s="632"/>
      <c r="I49" s="1065"/>
      <c r="J49" s="1066"/>
      <c r="K49" s="1066"/>
      <c r="L49" s="1067"/>
      <c r="N49" s="223" t="str">
        <f>IF(D49&lt;&gt;"","No","Yes")</f>
        <v>Yes</v>
      </c>
    </row>
    <row r="50" spans="2:14" ht="20.100000000000001" customHeight="1">
      <c r="B50" s="681"/>
      <c r="C50" s="629">
        <v>2</v>
      </c>
      <c r="D50" s="636"/>
      <c r="E50" s="477" t="s">
        <v>989</v>
      </c>
      <c r="F50" s="625"/>
      <c r="G50" s="631"/>
      <c r="H50" s="632"/>
      <c r="I50" s="1065"/>
      <c r="J50" s="1066"/>
      <c r="K50" s="1066"/>
      <c r="L50" s="1067"/>
      <c r="N50" s="223" t="str">
        <f>IF(D50&lt;&gt;"","No","Yes")</f>
        <v>Yes</v>
      </c>
    </row>
    <row r="51" spans="2:14" ht="20.100000000000001" customHeight="1">
      <c r="B51" s="681"/>
      <c r="C51" s="629">
        <v>3</v>
      </c>
      <c r="D51" s="636"/>
      <c r="E51" s="477" t="s">
        <v>989</v>
      </c>
      <c r="F51" s="625"/>
      <c r="G51" s="631"/>
      <c r="H51" s="632"/>
      <c r="I51" s="1065"/>
      <c r="J51" s="1066"/>
      <c r="K51" s="1066"/>
      <c r="L51" s="1067"/>
      <c r="N51" s="223" t="str">
        <f>IF(D51&lt;&gt;"","No","Yes")</f>
        <v>Yes</v>
      </c>
    </row>
    <row r="52" spans="2:14" ht="20.100000000000001" customHeight="1" thickBot="1">
      <c r="B52" s="681"/>
      <c r="C52" s="630">
        <v>4</v>
      </c>
      <c r="D52" s="638"/>
      <c r="E52" s="478" t="s">
        <v>989</v>
      </c>
      <c r="F52" s="627"/>
      <c r="G52" s="633"/>
      <c r="H52" s="634"/>
      <c r="I52" s="1068"/>
      <c r="J52" s="1069"/>
      <c r="K52" s="1069"/>
      <c r="L52" s="1070"/>
      <c r="N52" s="223" t="str">
        <f>IF(D52&lt;&gt;"","No","Yes")</f>
        <v>Yes</v>
      </c>
    </row>
    <row r="53" spans="2:14" ht="24" customHeight="1" thickBot="1">
      <c r="B53" s="682"/>
      <c r="C53" s="1048" t="s">
        <v>990</v>
      </c>
      <c r="D53" s="1048"/>
      <c r="E53" s="1048"/>
      <c r="F53" s="1048"/>
      <c r="G53" s="1048"/>
      <c r="H53" s="1048"/>
      <c r="I53" s="1048"/>
      <c r="J53" s="1048"/>
      <c r="K53" s="1048"/>
      <c r="L53" s="1049"/>
      <c r="N53" s="223" t="str">
        <f>IF(D$55&lt;&gt;"","No","Yes")</f>
        <v>Yes</v>
      </c>
    </row>
    <row r="54" spans="2:14" ht="60" customHeight="1">
      <c r="B54" s="681"/>
      <c r="C54" s="476" t="s">
        <v>932</v>
      </c>
      <c r="D54" s="668" t="s">
        <v>933</v>
      </c>
      <c r="E54" s="668" t="s">
        <v>962</v>
      </c>
      <c r="F54" s="668" t="s">
        <v>991</v>
      </c>
      <c r="G54" s="479" t="s">
        <v>992</v>
      </c>
      <c r="H54" s="668" t="s">
        <v>993</v>
      </c>
      <c r="I54" s="668" t="s">
        <v>984</v>
      </c>
      <c r="J54" s="1050" t="s">
        <v>904</v>
      </c>
      <c r="K54" s="1051"/>
      <c r="L54" s="1052"/>
      <c r="N54" s="223" t="str">
        <f>IF(D$55&lt;&gt;"","No","Yes")</f>
        <v>Yes</v>
      </c>
    </row>
    <row r="55" spans="2:14" ht="20.100000000000001" customHeight="1">
      <c r="B55" s="681"/>
      <c r="C55" s="629">
        <v>1</v>
      </c>
      <c r="D55" s="636"/>
      <c r="E55" s="477" t="s">
        <v>994</v>
      </c>
      <c r="F55" s="635"/>
      <c r="G55" s="635"/>
      <c r="H55" s="636"/>
      <c r="I55" s="676"/>
      <c r="J55" s="1053"/>
      <c r="K55" s="1054"/>
      <c r="L55" s="1055"/>
      <c r="N55" s="223" t="str">
        <f>IF(D55&lt;&gt;"","No","Yes")</f>
        <v>Yes</v>
      </c>
    </row>
    <row r="56" spans="2:14" ht="20.100000000000001" customHeight="1">
      <c r="B56" s="681"/>
      <c r="C56" s="629">
        <v>2</v>
      </c>
      <c r="D56" s="688"/>
      <c r="E56" s="477" t="s">
        <v>994</v>
      </c>
      <c r="F56" s="635"/>
      <c r="G56" s="635"/>
      <c r="H56" s="636"/>
      <c r="I56" s="676"/>
      <c r="J56" s="1053"/>
      <c r="K56" s="1054"/>
      <c r="L56" s="1055"/>
      <c r="N56" s="223" t="str">
        <f>IF(D56&lt;&gt;"","No","Yes")</f>
        <v>Yes</v>
      </c>
    </row>
    <row r="57" spans="2:14" ht="20.100000000000001" customHeight="1">
      <c r="B57" s="681"/>
      <c r="C57" s="629">
        <v>3</v>
      </c>
      <c r="D57" s="688"/>
      <c r="E57" s="477" t="s">
        <v>994</v>
      </c>
      <c r="F57" s="635"/>
      <c r="G57" s="635"/>
      <c r="H57" s="636"/>
      <c r="I57" s="676"/>
      <c r="J57" s="1053"/>
      <c r="K57" s="1054"/>
      <c r="L57" s="1055"/>
      <c r="N57" s="223" t="str">
        <f>IF(D57&lt;&gt;"","No","Yes")</f>
        <v>Yes</v>
      </c>
    </row>
    <row r="58" spans="2:14" ht="20.100000000000001" customHeight="1">
      <c r="B58" s="681"/>
      <c r="C58" s="629">
        <v>4</v>
      </c>
      <c r="D58" s="688"/>
      <c r="E58" s="477" t="s">
        <v>994</v>
      </c>
      <c r="F58" s="635"/>
      <c r="G58" s="635"/>
      <c r="H58" s="636"/>
      <c r="I58" s="676"/>
      <c r="J58" s="1053"/>
      <c r="K58" s="1054"/>
      <c r="L58" s="1055"/>
      <c r="N58" s="223" t="str">
        <f>IF(D58&lt;&gt;"","No","Yes")</f>
        <v>Yes</v>
      </c>
    </row>
    <row r="59" spans="2:14" ht="20.100000000000001" customHeight="1" thickBot="1">
      <c r="B59" s="683"/>
      <c r="C59" s="630">
        <v>5</v>
      </c>
      <c r="D59" s="689"/>
      <c r="E59" s="478" t="s">
        <v>994</v>
      </c>
      <c r="F59" s="637"/>
      <c r="G59" s="637"/>
      <c r="H59" s="638"/>
      <c r="I59" s="677"/>
      <c r="J59" s="1062"/>
      <c r="K59" s="1063"/>
      <c r="L59" s="1064"/>
      <c r="N59" s="223" t="str">
        <f>IF(D59&lt;&gt;"","No","Yes")</f>
        <v>Yes</v>
      </c>
    </row>
    <row r="60" spans="2:14">
      <c r="B60" s="235"/>
      <c r="C60" s="572"/>
      <c r="D60" s="572"/>
      <c r="E60" s="572"/>
      <c r="F60" s="572"/>
      <c r="G60" s="572"/>
      <c r="H60" s="572"/>
      <c r="I60" s="572"/>
      <c r="J60" s="572"/>
      <c r="K60" s="235"/>
      <c r="L60" s="235"/>
    </row>
  </sheetData>
  <sheetProtection autoFilter="0"/>
  <autoFilter ref="N1:O59" xr:uid="{2ED5A63B-0418-4D83-8D30-40E62A9619E4}"/>
  <mergeCells count="95">
    <mergeCell ref="J55:L55"/>
    <mergeCell ref="J56:L56"/>
    <mergeCell ref="J57:L57"/>
    <mergeCell ref="J58:L58"/>
    <mergeCell ref="J59:L59"/>
    <mergeCell ref="J54:L54"/>
    <mergeCell ref="I45:J45"/>
    <mergeCell ref="K45:L45"/>
    <mergeCell ref="I46:J46"/>
    <mergeCell ref="K46:L46"/>
    <mergeCell ref="C47:L47"/>
    <mergeCell ref="I48:L48"/>
    <mergeCell ref="I49:L49"/>
    <mergeCell ref="I50:L50"/>
    <mergeCell ref="I51:L51"/>
    <mergeCell ref="I52:L52"/>
    <mergeCell ref="C53:L53"/>
    <mergeCell ref="I44:J44"/>
    <mergeCell ref="K44:L44"/>
    <mergeCell ref="C37:C40"/>
    <mergeCell ref="D37:D40"/>
    <mergeCell ref="E37:E40"/>
    <mergeCell ref="J37:J40"/>
    <mergeCell ref="K37:L37"/>
    <mergeCell ref="K38:L38"/>
    <mergeCell ref="K39:L39"/>
    <mergeCell ref="K40:L40"/>
    <mergeCell ref="C41:L41"/>
    <mergeCell ref="I42:J42"/>
    <mergeCell ref="K42:L42"/>
    <mergeCell ref="I43:J43"/>
    <mergeCell ref="K43:L43"/>
    <mergeCell ref="C33:C36"/>
    <mergeCell ref="D33:D36"/>
    <mergeCell ref="E33:E36"/>
    <mergeCell ref="J33:J36"/>
    <mergeCell ref="K33:L33"/>
    <mergeCell ref="K34:L34"/>
    <mergeCell ref="K35:L35"/>
    <mergeCell ref="K36:L36"/>
    <mergeCell ref="C29:C32"/>
    <mergeCell ref="D29:D32"/>
    <mergeCell ref="E29:E32"/>
    <mergeCell ref="J29:J32"/>
    <mergeCell ref="K29:L29"/>
    <mergeCell ref="K30:L30"/>
    <mergeCell ref="K31:L31"/>
    <mergeCell ref="K32:L32"/>
    <mergeCell ref="C25:C28"/>
    <mergeCell ref="D25:D28"/>
    <mergeCell ref="E25:E28"/>
    <mergeCell ref="J25:J28"/>
    <mergeCell ref="K25:L25"/>
    <mergeCell ref="K26:L26"/>
    <mergeCell ref="K27:L27"/>
    <mergeCell ref="K28:L28"/>
    <mergeCell ref="C21:C24"/>
    <mergeCell ref="D21:D24"/>
    <mergeCell ref="E21:E24"/>
    <mergeCell ref="J21:J24"/>
    <mergeCell ref="K21:L21"/>
    <mergeCell ref="K22:L22"/>
    <mergeCell ref="K23:L23"/>
    <mergeCell ref="K24:L24"/>
    <mergeCell ref="C17:C20"/>
    <mergeCell ref="D17:D20"/>
    <mergeCell ref="E17:E20"/>
    <mergeCell ref="J17:J20"/>
    <mergeCell ref="K17:L17"/>
    <mergeCell ref="K18:L18"/>
    <mergeCell ref="K19:L19"/>
    <mergeCell ref="K20:L20"/>
    <mergeCell ref="C13:C16"/>
    <mergeCell ref="D13:D16"/>
    <mergeCell ref="E13:E16"/>
    <mergeCell ref="J13:J16"/>
    <mergeCell ref="K13:L13"/>
    <mergeCell ref="K14:L14"/>
    <mergeCell ref="K15:L15"/>
    <mergeCell ref="K16:L16"/>
    <mergeCell ref="K8:L8"/>
    <mergeCell ref="C9:C12"/>
    <mergeCell ref="D9:D12"/>
    <mergeCell ref="E9:E12"/>
    <mergeCell ref="J9:J12"/>
    <mergeCell ref="K9:L9"/>
    <mergeCell ref="K10:L10"/>
    <mergeCell ref="K11:L11"/>
    <mergeCell ref="K12:L12"/>
    <mergeCell ref="C7:L7"/>
    <mergeCell ref="A1:I1"/>
    <mergeCell ref="A2:B2"/>
    <mergeCell ref="A3:H3"/>
    <mergeCell ref="B5:L5"/>
    <mergeCell ref="C6:L6"/>
  </mergeCells>
  <conditionalFormatting sqref="H55:H59 G49:H52 I10:I16 I37:I40">
    <cfRule type="expression" dxfId="37" priority="38">
      <formula>IF($H10="FAIL",1,0)</formula>
    </cfRule>
  </conditionalFormatting>
  <conditionalFormatting sqref="H30:H32 H38:H40 H22:H24 H43:H46">
    <cfRule type="expression" dxfId="36" priority="37">
      <formula>IF($J22="FAIL",1,0)</formula>
    </cfRule>
  </conditionalFormatting>
  <conditionalFormatting sqref="H52">
    <cfRule type="expression" dxfId="35" priority="36">
      <formula>IF($J52="FAIL",1,0)</formula>
    </cfRule>
  </conditionalFormatting>
  <conditionalFormatting sqref="J9 I38:I40">
    <cfRule type="expression" dxfId="34" priority="34">
      <formula>IF($J9="FAIL",1,0)</formula>
    </cfRule>
  </conditionalFormatting>
  <conditionalFormatting sqref="K9">
    <cfRule type="expression" dxfId="33" priority="35">
      <formula>IF(#REF!="FAIL",1,0)</formula>
    </cfRule>
  </conditionalFormatting>
  <conditionalFormatting sqref="H37:I37">
    <cfRule type="expression" dxfId="32" priority="33">
      <formula>IF($J37="FAIL",1,0)</formula>
    </cfRule>
  </conditionalFormatting>
  <conditionalFormatting sqref="H21">
    <cfRule type="expression" dxfId="31" priority="32">
      <formula>IF($J21="FAIL",1,0)</formula>
    </cfRule>
  </conditionalFormatting>
  <conditionalFormatting sqref="H29">
    <cfRule type="expression" dxfId="30" priority="31">
      <formula>IF($J29="FAIL",1,0)</formula>
    </cfRule>
  </conditionalFormatting>
  <conditionalFormatting sqref="H9:H12">
    <cfRule type="expression" dxfId="29" priority="30">
      <formula>IF($H9="FAIL",1,0)</formula>
    </cfRule>
  </conditionalFormatting>
  <conditionalFormatting sqref="H13:H16">
    <cfRule type="expression" dxfId="28" priority="29">
      <formula>IF($H13="FAIL",1,0)</formula>
    </cfRule>
  </conditionalFormatting>
  <conditionalFormatting sqref="H17:H20">
    <cfRule type="expression" dxfId="27" priority="28">
      <formula>IF($H17="FAIL",1,0)</formula>
    </cfRule>
  </conditionalFormatting>
  <conditionalFormatting sqref="H26:H28">
    <cfRule type="expression" dxfId="26" priority="27">
      <formula>IF($J26="FAIL",1,0)</formula>
    </cfRule>
  </conditionalFormatting>
  <conditionalFormatting sqref="H25">
    <cfRule type="expression" dxfId="25" priority="26">
      <formula>IF($J25="FAIL",1,0)</formula>
    </cfRule>
  </conditionalFormatting>
  <conditionalFormatting sqref="J25">
    <cfRule type="expression" dxfId="24" priority="25">
      <formula>IF($J25="FAIL",1,0)</formula>
    </cfRule>
  </conditionalFormatting>
  <conditionalFormatting sqref="J29">
    <cfRule type="expression" dxfId="23" priority="24">
      <formula>IF($J29="FAIL",1,0)</formula>
    </cfRule>
  </conditionalFormatting>
  <conditionalFormatting sqref="J37">
    <cfRule type="expression" dxfId="22" priority="23">
      <formula>IF($J37="FAIL",1,0)</formula>
    </cfRule>
  </conditionalFormatting>
  <conditionalFormatting sqref="I14">
    <cfRule type="expression" dxfId="21" priority="22">
      <formula>IF($J14="FAIL",1,0)</formula>
    </cfRule>
  </conditionalFormatting>
  <conditionalFormatting sqref="I13">
    <cfRule type="expression" dxfId="20" priority="21">
      <formula>IF($J13="FAIL",1,0)</formula>
    </cfRule>
  </conditionalFormatting>
  <conditionalFormatting sqref="I10">
    <cfRule type="expression" dxfId="19" priority="20">
      <formula>IF($J10="FAIL",1,0)</formula>
    </cfRule>
  </conditionalFormatting>
  <conditionalFormatting sqref="H33:I33">
    <cfRule type="expression" dxfId="18" priority="14">
      <formula>IF($J33="FAIL",1,0)</formula>
    </cfRule>
  </conditionalFormatting>
  <conditionalFormatting sqref="I43:I46">
    <cfRule type="expression" dxfId="17" priority="19">
      <formula>IF($J43="FAIL",1,0)</formula>
    </cfRule>
  </conditionalFormatting>
  <conditionalFormatting sqref="I55:I59">
    <cfRule type="expression" dxfId="16" priority="18">
      <formula>IF($H55="FAIL",1,0)</formula>
    </cfRule>
  </conditionalFormatting>
  <conditionalFormatting sqref="I33:I36">
    <cfRule type="expression" dxfId="15" priority="17">
      <formula>IF($H33="FAIL",1,0)</formula>
    </cfRule>
  </conditionalFormatting>
  <conditionalFormatting sqref="H34:H36">
    <cfRule type="expression" dxfId="14" priority="16">
      <formula>IF($J34="FAIL",1,0)</formula>
    </cfRule>
  </conditionalFormatting>
  <conditionalFormatting sqref="I34:I36">
    <cfRule type="expression" dxfId="13" priority="15">
      <formula>IF($J34="FAIL",1,0)</formula>
    </cfRule>
  </conditionalFormatting>
  <conditionalFormatting sqref="J33">
    <cfRule type="expression" dxfId="12" priority="13">
      <formula>IF($J33="FAIL",1,0)</formula>
    </cfRule>
  </conditionalFormatting>
  <conditionalFormatting sqref="I33">
    <cfRule type="expression" dxfId="11" priority="12">
      <formula>IF($J33="FAIL",1,0)</formula>
    </cfRule>
  </conditionalFormatting>
  <conditionalFormatting sqref="I18:I24">
    <cfRule type="expression" dxfId="10" priority="11">
      <formula>IF($H18="FAIL",1,0)</formula>
    </cfRule>
  </conditionalFormatting>
  <conditionalFormatting sqref="I22">
    <cfRule type="expression" dxfId="9" priority="10">
      <formula>IF($J22="FAIL",1,0)</formula>
    </cfRule>
  </conditionalFormatting>
  <conditionalFormatting sqref="I21">
    <cfRule type="expression" dxfId="8" priority="9">
      <formula>IF($J21="FAIL",1,0)</formula>
    </cfRule>
  </conditionalFormatting>
  <conditionalFormatting sqref="I18">
    <cfRule type="expression" dxfId="7" priority="8">
      <formula>IF($J18="FAIL",1,0)</formula>
    </cfRule>
  </conditionalFormatting>
  <conditionalFormatting sqref="I26:I32">
    <cfRule type="expression" dxfId="6" priority="7">
      <formula>IF($H26="FAIL",1,0)</formula>
    </cfRule>
  </conditionalFormatting>
  <conditionalFormatting sqref="I30">
    <cfRule type="expression" dxfId="5" priority="6">
      <formula>IF($J30="FAIL",1,0)</formula>
    </cfRule>
  </conditionalFormatting>
  <conditionalFormatting sqref="I29">
    <cfRule type="expression" dxfId="4" priority="5">
      <formula>IF($J29="FAIL",1,0)</formula>
    </cfRule>
  </conditionalFormatting>
  <conditionalFormatting sqref="I26">
    <cfRule type="expression" dxfId="3" priority="4">
      <formula>IF($J26="FAIL",1,0)</formula>
    </cfRule>
  </conditionalFormatting>
  <conditionalFormatting sqref="J13">
    <cfRule type="expression" dxfId="2" priority="3">
      <formula>IF($J13="FAIL",1,0)</formula>
    </cfRule>
  </conditionalFormatting>
  <conditionalFormatting sqref="J17">
    <cfRule type="expression" dxfId="1" priority="2">
      <formula>IF($J17="FAIL",1,0)</formula>
    </cfRule>
  </conditionalFormatting>
  <conditionalFormatting sqref="J21">
    <cfRule type="expression" dxfId="0" priority="1">
      <formula>IF($J21="FAIL",1,0)</formula>
    </cfRule>
  </conditionalFormatting>
  <pageMargins left="0.7" right="0.7" top="0.75" bottom="0.75" header="0.3" footer="0.3"/>
  <pageSetup scale="36" fitToHeight="11"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Q104"/>
  <sheetViews>
    <sheetView topLeftCell="M1" zoomScale="115" zoomScaleNormal="115" workbookViewId="0">
      <selection sqref="A1:I10"/>
    </sheetView>
  </sheetViews>
  <sheetFormatPr defaultRowHeight="13.2"/>
  <cols>
    <col min="1" max="1" width="51.6640625" customWidth="1"/>
    <col min="2" max="2" width="38.44140625" bestFit="1" customWidth="1"/>
    <col min="3" max="3" width="29.6640625" bestFit="1" customWidth="1"/>
    <col min="4" max="5" width="45.5546875" bestFit="1" customWidth="1"/>
    <col min="6" max="6" width="21.33203125" customWidth="1"/>
    <col min="7" max="7" width="45.5546875" bestFit="1" customWidth="1"/>
    <col min="8" max="8" width="35" bestFit="1" customWidth="1"/>
    <col min="9" max="9" width="30.6640625" customWidth="1"/>
    <col min="10" max="10" width="45.5546875" bestFit="1" customWidth="1"/>
    <col min="11" max="11" width="35" bestFit="1" customWidth="1"/>
    <col min="12" max="12" width="42.33203125" bestFit="1" customWidth="1"/>
    <col min="13" max="13" width="45.5546875" bestFit="1" customWidth="1"/>
    <col min="14" max="14" width="10.6640625" style="35" customWidth="1"/>
    <col min="15" max="15" width="35.6640625" customWidth="1"/>
    <col min="16" max="16" width="45.5546875" bestFit="1" customWidth="1"/>
    <col min="17" max="17" width="65.6640625" customWidth="1"/>
  </cols>
  <sheetData>
    <row r="1" spans="1:17">
      <c r="A1" s="11" t="s">
        <v>6</v>
      </c>
      <c r="B1" s="15" t="s">
        <v>343</v>
      </c>
      <c r="C1" s="16" t="s">
        <v>366</v>
      </c>
      <c r="D1" s="16" t="s">
        <v>367</v>
      </c>
      <c r="E1" s="17" t="s">
        <v>368</v>
      </c>
      <c r="F1" s="1112" t="s">
        <v>378</v>
      </c>
      <c r="G1" s="14" t="s">
        <v>390</v>
      </c>
      <c r="H1" s="13" t="s">
        <v>366</v>
      </c>
      <c r="I1" s="25" t="s">
        <v>387</v>
      </c>
      <c r="J1" s="14" t="s">
        <v>389</v>
      </c>
      <c r="K1" s="2" t="s">
        <v>391</v>
      </c>
      <c r="L1" s="28" t="s">
        <v>371</v>
      </c>
      <c r="M1" s="28" t="s">
        <v>372</v>
      </c>
      <c r="N1" s="32" t="s">
        <v>379</v>
      </c>
      <c r="O1" s="28" t="s">
        <v>373</v>
      </c>
      <c r="P1" s="29" t="s">
        <v>374</v>
      </c>
      <c r="Q1" s="30"/>
    </row>
    <row r="2" spans="1:17" ht="13.2" customHeight="1">
      <c r="A2" s="12" t="s">
        <v>320</v>
      </c>
      <c r="B2" s="18" t="s">
        <v>350</v>
      </c>
      <c r="C2" s="19" t="s">
        <v>320</v>
      </c>
      <c r="D2" s="19" t="s">
        <v>322</v>
      </c>
      <c r="E2" s="20"/>
      <c r="F2" s="1112"/>
      <c r="G2" s="12" t="s">
        <v>325</v>
      </c>
      <c r="H2" s="12" t="s">
        <v>320</v>
      </c>
      <c r="I2" s="26" t="s">
        <v>322</v>
      </c>
      <c r="J2" s="12" t="s">
        <v>325</v>
      </c>
      <c r="K2" t="s">
        <v>327</v>
      </c>
      <c r="L2" s="26" t="s">
        <v>350</v>
      </c>
      <c r="M2" s="26" t="s">
        <v>320</v>
      </c>
      <c r="N2" s="33">
        <v>1</v>
      </c>
      <c r="O2" s="27" t="str">
        <f>IF(Overview!$D$4=L2,M2,"")</f>
        <v/>
      </c>
      <c r="P2" s="31" t="str" cm="1">
        <f t="array" ref="P2">IFERROR(INDEX($O$1:$O$99,SMALL(IF($O$1:$O$99&lt;&gt;"",ROW($O$1:$O$99),999),ROW(2:2))),"")</f>
        <v>Anticipated</v>
      </c>
      <c r="Q2" s="1113" t="s">
        <v>763</v>
      </c>
    </row>
    <row r="3" spans="1:17">
      <c r="A3" s="12" t="s">
        <v>369</v>
      </c>
      <c r="B3" s="18" t="s">
        <v>349</v>
      </c>
      <c r="C3" s="19" t="s">
        <v>320</v>
      </c>
      <c r="D3" s="19" t="s">
        <v>322</v>
      </c>
      <c r="E3" s="20"/>
      <c r="F3" s="1112"/>
      <c r="G3" s="12" t="s">
        <v>326</v>
      </c>
      <c r="H3" s="12" t="s">
        <v>369</v>
      </c>
      <c r="I3" s="26" t="s">
        <v>323</v>
      </c>
      <c r="J3" s="12" t="s">
        <v>326</v>
      </c>
      <c r="K3" t="s">
        <v>321</v>
      </c>
      <c r="L3" s="26" t="s">
        <v>350</v>
      </c>
      <c r="M3" s="26" t="s">
        <v>322</v>
      </c>
      <c r="N3" s="33">
        <v>2</v>
      </c>
      <c r="O3" s="27" t="str">
        <f>IF(Overview!$D$4=L3,M3,"")</f>
        <v/>
      </c>
      <c r="P3" s="31" t="str" cm="1">
        <f t="array" ref="P3">IFERROR(INDEX($O$1:$O$99,SMALL(IF($O$1:$O$99&lt;&gt;"",ROW($O$1:$O$99),999),ROW(3:3))),"")</f>
        <v>Not Attempted</v>
      </c>
      <c r="Q3" s="1113"/>
    </row>
    <row r="4" spans="1:17" ht="13.2" customHeight="1">
      <c r="A4" s="12" t="s">
        <v>321</v>
      </c>
      <c r="B4" s="18" t="s">
        <v>345</v>
      </c>
      <c r="C4" s="19" t="s">
        <v>369</v>
      </c>
      <c r="D4" s="19" t="s">
        <v>323</v>
      </c>
      <c r="E4" s="20" t="s">
        <v>325</v>
      </c>
      <c r="F4" s="1112"/>
      <c r="G4" s="12"/>
      <c r="H4" s="23"/>
      <c r="I4" s="27"/>
      <c r="J4" s="12" t="s">
        <v>220</v>
      </c>
      <c r="L4" s="26" t="s">
        <v>350</v>
      </c>
      <c r="M4" s="26" t="s">
        <v>328</v>
      </c>
      <c r="N4" s="33">
        <v>3</v>
      </c>
      <c r="O4" s="27" t="str">
        <f>IF(Overview!$D$4=L4,M4,"")</f>
        <v/>
      </c>
      <c r="P4" s="31" t="str" cm="1">
        <f t="array" ref="P4">IFERROR(INDEX($O$1:$O$99,SMALL(IF($O$1:$O$99&lt;&gt;"",ROW($O$1:$O$99),999),ROW(4:4))),"")</f>
        <v>Withdrawn</v>
      </c>
      <c r="Q4" s="1113"/>
    </row>
    <row r="5" spans="1:17">
      <c r="A5" s="12" t="s">
        <v>322</v>
      </c>
      <c r="B5" s="18" t="s">
        <v>348</v>
      </c>
      <c r="C5" s="19" t="s">
        <v>320</v>
      </c>
      <c r="D5" s="19" t="s">
        <v>322</v>
      </c>
      <c r="E5" s="20"/>
      <c r="F5" s="1112"/>
      <c r="H5" s="23"/>
      <c r="I5" s="27"/>
      <c r="J5" s="12" t="s">
        <v>327</v>
      </c>
      <c r="L5" s="26" t="s">
        <v>350</v>
      </c>
      <c r="M5" s="26" t="s">
        <v>352</v>
      </c>
      <c r="N5" s="33">
        <v>4</v>
      </c>
      <c r="O5" s="27" t="str">
        <f>IF(Overview!$D$4=L5,M5,"")</f>
        <v/>
      </c>
      <c r="P5" s="31" t="str" cm="1">
        <f t="array" ref="P5">IFERROR(INDEX($O$1:$O$99,SMALL(IF($O$1:$O$99&lt;&gt;"",ROW($O$1:$O$99),999),ROW(5:5))),"")</f>
        <v>Not Applicable</v>
      </c>
      <c r="Q5" s="1113"/>
    </row>
    <row r="6" spans="1:17">
      <c r="A6" s="12" t="s">
        <v>323</v>
      </c>
      <c r="B6" s="18" t="s">
        <v>346</v>
      </c>
      <c r="C6" s="19" t="s">
        <v>369</v>
      </c>
      <c r="D6" s="19" t="s">
        <v>323</v>
      </c>
      <c r="E6" s="20"/>
      <c r="F6" s="1112"/>
      <c r="G6" s="14" t="s">
        <v>392</v>
      </c>
      <c r="H6" s="24"/>
      <c r="I6" s="27"/>
      <c r="J6" s="12" t="s">
        <v>321</v>
      </c>
      <c r="L6" s="26" t="s">
        <v>350</v>
      </c>
      <c r="M6" s="26" t="s">
        <v>324</v>
      </c>
      <c r="N6" s="33">
        <v>5</v>
      </c>
      <c r="O6" s="27" t="str">
        <f>IF(Overview!$D$4=L6,M6,"")</f>
        <v/>
      </c>
      <c r="P6" s="31" t="str" cm="1">
        <f t="array" ref="P6">IFERROR(INDEX($O$1:$O$99,SMALL(IF($O$1:$O$99&lt;&gt;"",ROW($O$1:$O$99),999),ROW(6:6))),"")</f>
        <v>Not Anticipated</v>
      </c>
      <c r="Q6" s="1113"/>
    </row>
    <row r="7" spans="1:17">
      <c r="A7" s="12" t="s">
        <v>352</v>
      </c>
      <c r="B7" s="18" t="s">
        <v>351</v>
      </c>
      <c r="C7" s="19" t="s">
        <v>320</v>
      </c>
      <c r="D7" s="19" t="s">
        <v>322</v>
      </c>
      <c r="E7" s="20"/>
      <c r="F7" s="1112"/>
      <c r="G7" s="12" t="s">
        <v>220</v>
      </c>
      <c r="H7" s="23"/>
      <c r="I7" s="27"/>
      <c r="J7" s="23"/>
      <c r="L7" s="26" t="s">
        <v>349</v>
      </c>
      <c r="M7" s="26" t="s">
        <v>320</v>
      </c>
      <c r="N7" s="33">
        <v>1</v>
      </c>
      <c r="O7" s="27" t="str">
        <f>IF(Overview!$D$4=L7,M7,"")</f>
        <v/>
      </c>
      <c r="P7" s="31" t="str" cm="1">
        <f t="array" ref="P7">IFERROR(INDEX($O$1:$O$99,SMALL(IF($O$1:$O$99&lt;&gt;"",ROW($O$1:$O$99),999),ROW(7:7))),"")</f>
        <v/>
      </c>
      <c r="Q7" s="1113"/>
    </row>
    <row r="8" spans="1:17">
      <c r="A8" s="12" t="s">
        <v>324</v>
      </c>
      <c r="B8" s="18" t="s">
        <v>344</v>
      </c>
      <c r="C8" s="19" t="s">
        <v>369</v>
      </c>
      <c r="D8" s="19"/>
      <c r="E8" s="20" t="s">
        <v>325</v>
      </c>
      <c r="F8" s="1112"/>
      <c r="H8" s="23"/>
      <c r="I8" s="27"/>
      <c r="J8" s="23"/>
      <c r="L8" s="26" t="s">
        <v>349</v>
      </c>
      <c r="M8" s="26" t="s">
        <v>322</v>
      </c>
      <c r="N8" s="33">
        <v>2</v>
      </c>
      <c r="O8" s="27" t="str">
        <f>IF(Overview!$D$4=L8,M8,"")</f>
        <v/>
      </c>
      <c r="P8" s="31" t="str" cm="1">
        <f t="array" ref="P8">IFERROR(INDEX($O$1:$O$99,SMALL(IF($O$1:$O$99&lt;&gt;"",ROW($O$1:$O$99),999),ROW(8:8))),"")</f>
        <v/>
      </c>
      <c r="Q8" s="1113"/>
    </row>
    <row r="9" spans="1:17">
      <c r="A9" s="12" t="s">
        <v>365</v>
      </c>
      <c r="B9" s="18" t="s">
        <v>347</v>
      </c>
      <c r="C9" s="19" t="s">
        <v>320</v>
      </c>
      <c r="D9" s="19" t="s">
        <v>322</v>
      </c>
      <c r="E9" s="20" t="s">
        <v>325</v>
      </c>
      <c r="F9" s="1112"/>
      <c r="H9" s="23"/>
      <c r="I9" s="27"/>
      <c r="J9" s="23"/>
      <c r="L9" s="26" t="s">
        <v>349</v>
      </c>
      <c r="M9" s="26" t="s">
        <v>328</v>
      </c>
      <c r="N9" s="33">
        <v>3</v>
      </c>
      <c r="O9" s="27" t="str">
        <f>IF(Overview!$D$4=L9,M9,"")</f>
        <v/>
      </c>
      <c r="P9" s="31" t="str" cm="1">
        <f t="array" ref="P9">IFERROR(INDEX($O$1:$O$99,SMALL(IF($O$1:$O$99&lt;&gt;"",ROW($O$1:$O$99),999),ROW(9:9))),"")</f>
        <v/>
      </c>
      <c r="Q9" s="1113"/>
    </row>
    <row r="10" spans="1:17">
      <c r="A10" s="12" t="s">
        <v>341</v>
      </c>
      <c r="B10" s="18" t="s">
        <v>774</v>
      </c>
      <c r="C10" s="19" t="s">
        <v>369</v>
      </c>
      <c r="D10" s="19"/>
      <c r="E10" s="20" t="s">
        <v>325</v>
      </c>
      <c r="F10" s="1112"/>
      <c r="H10" s="23"/>
      <c r="I10" s="27"/>
      <c r="J10" s="23"/>
      <c r="L10" s="26" t="s">
        <v>349</v>
      </c>
      <c r="M10" s="26" t="s">
        <v>352</v>
      </c>
      <c r="N10" s="33">
        <v>4</v>
      </c>
      <c r="O10" s="27" t="str">
        <f>IF(Overview!$D$4=L10,M10,"")</f>
        <v/>
      </c>
      <c r="P10" s="31" t="str" cm="1">
        <f t="array" ref="P10">IFERROR(INDEX($O$1:$O$99,SMALL(IF($O$1:$O$99&lt;&gt;"",ROW($O$1:$O$99),999),ROW(10:10))),"")</f>
        <v/>
      </c>
      <c r="Q10" s="1113"/>
    </row>
    <row r="11" spans="1:17">
      <c r="A11" s="12" t="s">
        <v>325</v>
      </c>
      <c r="B11" s="18" t="s">
        <v>775</v>
      </c>
      <c r="C11" s="19" t="s">
        <v>369</v>
      </c>
      <c r="D11" s="19" t="s">
        <v>323</v>
      </c>
      <c r="E11" s="20" t="s">
        <v>325</v>
      </c>
      <c r="H11" s="1116" t="s">
        <v>375</v>
      </c>
      <c r="I11" s="1117" t="s">
        <v>376</v>
      </c>
      <c r="J11" s="1116" t="s">
        <v>717</v>
      </c>
      <c r="L11" s="26" t="s">
        <v>349</v>
      </c>
      <c r="M11" s="26" t="s">
        <v>324</v>
      </c>
      <c r="N11" s="33">
        <v>5</v>
      </c>
      <c r="O11" s="27" t="str">
        <f>IF(Overview!$D$4=L11,M11,"")</f>
        <v/>
      </c>
      <c r="P11" s="31" t="str" cm="1">
        <f t="array" ref="P11">IFERROR(INDEX($O$1:$O$99,SMALL(IF($O$1:$O$99&lt;&gt;"",ROW($O$1:$O$99),999),ROW(11:11))),"")</f>
        <v/>
      </c>
      <c r="Q11" s="1113"/>
    </row>
    <row r="12" spans="1:17">
      <c r="A12" s="12" t="s">
        <v>326</v>
      </c>
      <c r="B12" s="18" t="s">
        <v>776</v>
      </c>
      <c r="C12" s="19" t="s">
        <v>320</v>
      </c>
      <c r="D12" s="19" t="s">
        <v>323</v>
      </c>
      <c r="E12" s="20" t="s">
        <v>325</v>
      </c>
      <c r="H12" s="1116"/>
      <c r="I12" s="1117"/>
      <c r="J12" s="1116"/>
      <c r="L12" s="26" t="s">
        <v>345</v>
      </c>
      <c r="M12" s="26" t="s">
        <v>369</v>
      </c>
      <c r="N12" s="33">
        <v>1</v>
      </c>
      <c r="O12" s="27" t="str">
        <f>IF(Overview!$D$4=L12,M12,"")</f>
        <v/>
      </c>
      <c r="P12" s="31" t="str" cm="1">
        <f t="array" ref="P12">IFERROR(INDEX($O$1:$O$99,SMALL(IF($O$1:$O$99&lt;&gt;"",ROW($O$1:$O$99),999),ROW(12:12))),"")</f>
        <v/>
      </c>
      <c r="Q12" s="1114" t="s">
        <v>380</v>
      </c>
    </row>
    <row r="13" spans="1:17">
      <c r="A13" s="12" t="s">
        <v>220</v>
      </c>
      <c r="B13" s="18" t="s">
        <v>777</v>
      </c>
      <c r="C13" s="19" t="s">
        <v>320</v>
      </c>
      <c r="D13" s="19" t="s">
        <v>322</v>
      </c>
      <c r="E13" s="20"/>
      <c r="H13" s="1116"/>
      <c r="I13" s="1117"/>
      <c r="J13" s="1116"/>
      <c r="L13" s="26" t="s">
        <v>345</v>
      </c>
      <c r="M13" s="26" t="s">
        <v>321</v>
      </c>
      <c r="N13" s="33">
        <v>2</v>
      </c>
      <c r="O13" s="27" t="str">
        <f>IF(Overview!$D$4=L13,M13,"")</f>
        <v/>
      </c>
      <c r="P13" s="31" t="str" cm="1">
        <f t="array" ref="P13">IFERROR(INDEX($O$1:$O$99,SMALL(IF($O$1:$O$99&lt;&gt;"",ROW($O$1:$O$99),999),ROW(13:13))),"")</f>
        <v/>
      </c>
      <c r="Q13" s="1115"/>
    </row>
    <row r="14" spans="1:17">
      <c r="A14" s="12" t="s">
        <v>327</v>
      </c>
      <c r="B14" s="21" t="s">
        <v>342</v>
      </c>
      <c r="C14" s="19" t="s">
        <v>369</v>
      </c>
      <c r="D14" s="22"/>
      <c r="E14" s="20" t="s">
        <v>325</v>
      </c>
      <c r="J14" s="8"/>
      <c r="L14" s="26" t="s">
        <v>345</v>
      </c>
      <c r="M14" s="26" t="s">
        <v>323</v>
      </c>
      <c r="N14" s="33">
        <v>3</v>
      </c>
      <c r="O14" s="27" t="str">
        <f>IF(Overview!$D$4=L14,M14,"")</f>
        <v/>
      </c>
      <c r="P14" s="31" t="str" cm="1">
        <f t="array" ref="P14">IFERROR(INDEX($O$1:$O$99,SMALL(IF($O$1:$O$99&lt;&gt;"",ROW($O$1:$O$99),999),ROW(14:14))),"")</f>
        <v/>
      </c>
      <c r="Q14" s="1115"/>
    </row>
    <row r="15" spans="1:17">
      <c r="A15" s="12" t="s">
        <v>328</v>
      </c>
      <c r="B15" s="1"/>
      <c r="F15" s="6"/>
      <c r="J15" s="8"/>
      <c r="L15" s="26" t="s">
        <v>345</v>
      </c>
      <c r="M15" s="26" t="s">
        <v>328</v>
      </c>
      <c r="N15" s="33">
        <v>4</v>
      </c>
      <c r="O15" s="27" t="str">
        <f>IF(Overview!$D$4=L15,M15,"")</f>
        <v/>
      </c>
      <c r="P15" s="31" t="str" cm="1">
        <f t="array" ref="P15">IFERROR(INDEX($O$1:$O$99,SMALL(IF($O$1:$O$99&lt;&gt;"",ROW($O$1:$O$99),999),ROW(15:15))),"")</f>
        <v/>
      </c>
      <c r="Q15" s="1115"/>
    </row>
    <row r="16" spans="1:17">
      <c r="A16" s="1111" t="s">
        <v>718</v>
      </c>
      <c r="B16" s="1"/>
      <c r="F16" s="10"/>
      <c r="G16" s="1"/>
      <c r="J16" s="8"/>
      <c r="L16" s="26" t="s">
        <v>345</v>
      </c>
      <c r="M16" s="26" t="s">
        <v>326</v>
      </c>
      <c r="N16" s="33">
        <v>5</v>
      </c>
      <c r="O16" s="27" t="str">
        <f>IF(Overview!$D$4=L16,M16,"")</f>
        <v/>
      </c>
      <c r="P16" s="31" t="str" cm="1">
        <f t="array" ref="P16">IFERROR(INDEX($O$1:$O$99,SMALL(IF($O$1:$O$99&lt;&gt;"",ROW($O$1:$O$99),999),ROW(16:16))),"")</f>
        <v/>
      </c>
      <c r="Q16" s="1115"/>
    </row>
    <row r="17" spans="1:17">
      <c r="A17" s="1111"/>
      <c r="C17" s="1"/>
      <c r="F17" s="10"/>
      <c r="J17" s="8"/>
      <c r="L17" s="26" t="s">
        <v>345</v>
      </c>
      <c r="M17" s="26" t="s">
        <v>220</v>
      </c>
      <c r="N17" s="33">
        <v>6</v>
      </c>
      <c r="O17" s="27" t="str">
        <f>IF(Overview!$D$4=L17,M17,"")</f>
        <v/>
      </c>
      <c r="P17" s="31" t="str" cm="1">
        <f t="array" ref="P17">IFERROR(INDEX($O$1:$O$99,SMALL(IF($O$1:$O$99&lt;&gt;"",ROW($O$1:$O$99),999),ROW(17:17))),"")</f>
        <v/>
      </c>
      <c r="Q17" s="1115"/>
    </row>
    <row r="18" spans="1:17">
      <c r="F18" s="10"/>
      <c r="J18" s="8"/>
      <c r="L18" s="26" t="s">
        <v>345</v>
      </c>
      <c r="M18" s="26" t="s">
        <v>327</v>
      </c>
      <c r="N18" s="33">
        <v>7</v>
      </c>
      <c r="O18" s="27" t="str">
        <f>IF(Overview!$D$4=L18,M18,"")</f>
        <v/>
      </c>
      <c r="P18" s="31" t="str" cm="1">
        <f t="array" ref="P18">IFERROR(INDEX($O$1:$O$99,SMALL(IF($O$1:$O$99&lt;&gt;"",ROW($O$1:$O$99),999),ROW(18:18))),"")</f>
        <v/>
      </c>
      <c r="Q18" s="1115"/>
    </row>
    <row r="19" spans="1:17">
      <c r="B19" s="1"/>
      <c r="C19" s="2"/>
      <c r="D19" s="2"/>
      <c r="E19" s="2"/>
      <c r="F19" s="10"/>
      <c r="L19" s="26" t="s">
        <v>348</v>
      </c>
      <c r="M19" s="26" t="s">
        <v>320</v>
      </c>
      <c r="N19" s="33">
        <v>1</v>
      </c>
      <c r="O19" s="27" t="str">
        <f>IF(Overview!$D$4=L19,M19,"")</f>
        <v/>
      </c>
      <c r="P19" s="31" t="str" cm="1">
        <f t="array" ref="P19">IFERROR(INDEX($O$1:$O$99,SMALL(IF($O$1:$O$99&lt;&gt;"",ROW($O$1:$O$99),999),ROW(19:19))),"")</f>
        <v/>
      </c>
      <c r="Q19" s="1115"/>
    </row>
    <row r="20" spans="1:17">
      <c r="B20" s="1"/>
      <c r="C20" s="1"/>
      <c r="D20" s="1"/>
      <c r="F20" s="10"/>
      <c r="L20" s="26" t="s">
        <v>348</v>
      </c>
      <c r="M20" s="26" t="s">
        <v>322</v>
      </c>
      <c r="N20" s="33">
        <v>2</v>
      </c>
      <c r="O20" s="27" t="str">
        <f>IF(Overview!$D$4=L20,M20,"")</f>
        <v/>
      </c>
      <c r="P20" s="31" t="str" cm="1">
        <f t="array" ref="P20">IFERROR(INDEX($O$1:$O$99,SMALL(IF($O$1:$O$99&lt;&gt;"",ROW($O$1:$O$99),999),ROW(20:20))),"")</f>
        <v/>
      </c>
      <c r="Q20" s="1115"/>
    </row>
    <row r="21" spans="1:17">
      <c r="B21" s="1"/>
      <c r="C21" s="1"/>
      <c r="D21" s="1"/>
      <c r="F21" s="10"/>
      <c r="L21" s="26" t="s">
        <v>348</v>
      </c>
      <c r="M21" s="26" t="s">
        <v>328</v>
      </c>
      <c r="N21" s="33">
        <v>3</v>
      </c>
      <c r="O21" s="27" t="str">
        <f>IF(Overview!$D$4=L21,M21,"")</f>
        <v/>
      </c>
      <c r="P21" s="31" t="str" cm="1">
        <f t="array" ref="P21">IFERROR(INDEX($O$1:$O$99,SMALL(IF($O$1:$O$99&lt;&gt;"",ROW($O$1:$O$99),999),ROW(21:21))),"")</f>
        <v/>
      </c>
      <c r="Q21" s="1115"/>
    </row>
    <row r="22" spans="1:17">
      <c r="B22" s="1"/>
      <c r="C22" s="1"/>
      <c r="D22" s="1"/>
      <c r="F22" s="10"/>
      <c r="L22" s="26" t="s">
        <v>348</v>
      </c>
      <c r="M22" s="26" t="s">
        <v>352</v>
      </c>
      <c r="N22" s="33">
        <v>4</v>
      </c>
      <c r="O22" s="27" t="str">
        <f>IF(Overview!$D$4=L22,M22,"")</f>
        <v/>
      </c>
      <c r="P22" s="31" t="str" cm="1">
        <f t="array" ref="P22">IFERROR(INDEX($O$1:$O$99,SMALL(IF($O$1:$O$99&lt;&gt;"",ROW($O$1:$O$99),999),ROW(22:22))),"")</f>
        <v/>
      </c>
      <c r="Q22" s="30"/>
    </row>
    <row r="23" spans="1:17" ht="13.8">
      <c r="A23" s="39" t="s">
        <v>343</v>
      </c>
      <c r="B23" s="1110" t="s">
        <v>377</v>
      </c>
      <c r="C23" s="1"/>
      <c r="D23" s="1"/>
      <c r="F23" s="10"/>
      <c r="G23" s="1"/>
      <c r="H23" s="1"/>
      <c r="I23" s="1"/>
      <c r="J23" s="1"/>
      <c r="L23" s="26" t="s">
        <v>348</v>
      </c>
      <c r="M23" s="26" t="s">
        <v>324</v>
      </c>
      <c r="N23" s="33">
        <v>5</v>
      </c>
      <c r="O23" s="27" t="str">
        <f>IF(Overview!$D$4=L23,M23,"")</f>
        <v/>
      </c>
      <c r="P23" s="31" t="str" cm="1">
        <f t="array" ref="P23">IFERROR(INDEX($O$1:$O$99,SMALL(IF($O$1:$O$99&lt;&gt;"",ROW($O$1:$O$99),999),ROW(23:23))),"")</f>
        <v/>
      </c>
      <c r="Q23" s="30"/>
    </row>
    <row r="24" spans="1:17" ht="13.8">
      <c r="A24" s="40" t="s">
        <v>344</v>
      </c>
      <c r="B24" s="1110"/>
      <c r="C24" s="1"/>
      <c r="D24" s="1"/>
      <c r="F24" s="10"/>
      <c r="L24" s="26" t="s">
        <v>346</v>
      </c>
      <c r="M24" s="26" t="s">
        <v>369</v>
      </c>
      <c r="N24" s="33">
        <v>1</v>
      </c>
      <c r="O24" s="27" t="str">
        <f>IF(Overview!$D$4=L24,M24,"")</f>
        <v>Anticipated</v>
      </c>
      <c r="P24" s="31" t="str" cm="1">
        <f t="array" ref="P24">IFERROR(INDEX($O$1:$O$99,SMALL(IF($O$1:$O$99&lt;&gt;"",ROW($O$1:$O$99),999),ROW(24:24))),"")</f>
        <v/>
      </c>
      <c r="Q24" s="1108" t="s">
        <v>743</v>
      </c>
    </row>
    <row r="25" spans="1:17" ht="13.8">
      <c r="A25" s="40" t="s">
        <v>345</v>
      </c>
      <c r="B25" s="1110"/>
      <c r="C25" s="1"/>
      <c r="D25" s="1"/>
      <c r="F25" s="10"/>
      <c r="L25" s="26" t="s">
        <v>346</v>
      </c>
      <c r="M25" s="26" t="s">
        <v>324</v>
      </c>
      <c r="N25" s="33">
        <v>2</v>
      </c>
      <c r="O25" s="27" t="str">
        <f>IF(Overview!$D$4=L25,M25,"")</f>
        <v>Not Attempted</v>
      </c>
      <c r="P25" s="31" t="str" cm="1">
        <f t="array" ref="P25">IFERROR(INDEX($O$1:$O$99,SMALL(IF($O$1:$O$99&lt;&gt;"",ROW($O$1:$O$99),999),ROW(25:25))),"")</f>
        <v/>
      </c>
      <c r="Q25" s="1109"/>
    </row>
    <row r="26" spans="1:17" ht="13.8">
      <c r="A26" s="40" t="s">
        <v>342</v>
      </c>
      <c r="B26" s="1110"/>
      <c r="C26" s="1"/>
      <c r="D26" s="1"/>
      <c r="F26" s="10"/>
      <c r="L26" s="26" t="s">
        <v>346</v>
      </c>
      <c r="M26" s="26" t="s">
        <v>328</v>
      </c>
      <c r="N26" s="33">
        <v>3</v>
      </c>
      <c r="O26" s="27" t="str">
        <f>IF(Overview!$D$4=L26,M26,"")</f>
        <v>Withdrawn</v>
      </c>
      <c r="P26" s="31" t="str" cm="1">
        <f t="array" ref="P26">IFERROR(INDEX($O$1:$O$99,SMALL(IF($O$1:$O$99&lt;&gt;"",ROW($O$1:$O$99),999),ROW(26:26))),"")</f>
        <v/>
      </c>
      <c r="Q26" s="1109"/>
    </row>
    <row r="27" spans="1:17" ht="13.95" customHeight="1">
      <c r="A27" s="40" t="s">
        <v>346</v>
      </c>
      <c r="B27" s="1110"/>
      <c r="C27" s="1"/>
      <c r="D27" s="1"/>
      <c r="F27" s="10"/>
      <c r="L27" s="26" t="s">
        <v>346</v>
      </c>
      <c r="M27" s="26" t="s">
        <v>352</v>
      </c>
      <c r="N27" s="33">
        <v>4</v>
      </c>
      <c r="O27" s="27" t="str">
        <f>IF(Overview!$D$4=L27,M27,"")</f>
        <v>Not Applicable</v>
      </c>
      <c r="P27" s="31" t="str" cm="1">
        <f t="array" ref="P27">IFERROR(INDEX($O$1:$O$99,SMALL(IF($O$1:$O$99&lt;&gt;"",ROW($O$1:$O$99),999),ROW(27:27))),"")</f>
        <v/>
      </c>
      <c r="Q27" s="1109"/>
    </row>
    <row r="28" spans="1:17" ht="13.8">
      <c r="A28" s="40" t="s">
        <v>347</v>
      </c>
      <c r="B28" s="1110"/>
      <c r="C28" s="1"/>
      <c r="D28" s="1"/>
      <c r="F28" s="10"/>
      <c r="L28" s="26" t="s">
        <v>351</v>
      </c>
      <c r="M28" s="26" t="s">
        <v>320</v>
      </c>
      <c r="N28" s="33">
        <v>1</v>
      </c>
      <c r="O28" s="27" t="str">
        <f>IF(Overview!$D$4=L28,M28,"")</f>
        <v/>
      </c>
      <c r="P28" s="31" t="str" cm="1">
        <f t="array" ref="P28">IFERROR(INDEX($O$1:$O$99,SMALL(IF($O$1:$O$99&lt;&gt;"",ROW($O$1:$O$99),999),ROW(28:28))),"")</f>
        <v/>
      </c>
      <c r="Q28" s="1109"/>
    </row>
    <row r="29" spans="1:17" ht="13.8">
      <c r="A29" s="40" t="s">
        <v>348</v>
      </c>
      <c r="B29" s="1110"/>
      <c r="C29" s="1"/>
      <c r="D29" s="1"/>
      <c r="F29" s="10"/>
      <c r="L29" s="26" t="s">
        <v>351</v>
      </c>
      <c r="M29" s="26" t="s">
        <v>322</v>
      </c>
      <c r="N29" s="33">
        <v>2</v>
      </c>
      <c r="O29" s="27" t="str">
        <f>IF(Overview!$D$4=L29,M29,"")</f>
        <v/>
      </c>
      <c r="P29" s="31" t="str" cm="1">
        <f t="array" ref="P29">IFERROR(INDEX($O$1:$O$99,SMALL(IF($O$1:$O$99&lt;&gt;"",ROW($O$1:$O$99),999),ROW(29:29))),"")</f>
        <v/>
      </c>
      <c r="Q29" s="1109"/>
    </row>
    <row r="30" spans="1:17" ht="13.8">
      <c r="A30" s="40" t="s">
        <v>349</v>
      </c>
      <c r="B30" s="1110"/>
      <c r="C30" s="1"/>
      <c r="D30" s="1"/>
      <c r="F30" s="10"/>
      <c r="L30" s="26" t="s">
        <v>351</v>
      </c>
      <c r="M30" s="26" t="s">
        <v>328</v>
      </c>
      <c r="N30" s="33">
        <v>3</v>
      </c>
      <c r="O30" s="27" t="str">
        <f>IF(Overview!$D$4=L30,M30,"")</f>
        <v/>
      </c>
      <c r="P30" s="31" t="str" cm="1">
        <f t="array" ref="P30">IFERROR(INDEX($O$1:$O$99,SMALL(IF($O$1:$O$99&lt;&gt;"",ROW($O$1:$O$99),999),ROW(30:30))),"")</f>
        <v/>
      </c>
      <c r="Q30" s="1109"/>
    </row>
    <row r="31" spans="1:17" ht="13.8">
      <c r="A31" s="40" t="s">
        <v>350</v>
      </c>
      <c r="B31" s="1110"/>
      <c r="C31" s="1"/>
      <c r="D31" s="1"/>
      <c r="F31" s="10"/>
      <c r="L31" s="26" t="s">
        <v>351</v>
      </c>
      <c r="M31" s="26" t="s">
        <v>324</v>
      </c>
      <c r="N31" s="33">
        <v>4</v>
      </c>
      <c r="O31" s="27" t="str">
        <f>IF(Overview!$D$4=L31,M31,"")</f>
        <v/>
      </c>
      <c r="P31" s="31" t="str" cm="1">
        <f t="array" ref="P31">IFERROR(INDEX($O$1:$O$99,SMALL(IF($O$1:$O$99&lt;&gt;"",ROW($O$1:$O$99),999),ROW(31:31))),"")</f>
        <v/>
      </c>
      <c r="Q31" s="1109"/>
    </row>
    <row r="32" spans="1:17" ht="13.8">
      <c r="A32" s="40" t="s">
        <v>351</v>
      </c>
      <c r="B32" s="1110"/>
      <c r="C32" s="1"/>
      <c r="D32" s="1"/>
      <c r="F32" s="10"/>
      <c r="L32" s="26" t="s">
        <v>351</v>
      </c>
      <c r="M32" s="26" t="s">
        <v>352</v>
      </c>
      <c r="N32" s="33">
        <v>5</v>
      </c>
      <c r="O32" s="27" t="str">
        <f>IF(Overview!$D$4=L32,M32,"")</f>
        <v/>
      </c>
      <c r="P32" s="31" t="str" cm="1">
        <f t="array" ref="P32">IFERROR(INDEX($O$1:$O$99,SMALL(IF($O$1:$O$99&lt;&gt;"",ROW($O$1:$O$99),999),ROW(32:32))),"")</f>
        <v/>
      </c>
      <c r="Q32" s="1109"/>
    </row>
    <row r="33" spans="1:17" ht="13.8">
      <c r="A33" s="40" t="s">
        <v>774</v>
      </c>
      <c r="B33" s="1110"/>
      <c r="C33" s="1"/>
      <c r="D33" s="1"/>
      <c r="F33" s="10"/>
      <c r="L33" s="26" t="s">
        <v>344</v>
      </c>
      <c r="M33" s="26" t="s">
        <v>369</v>
      </c>
      <c r="N33" s="33">
        <v>1</v>
      </c>
      <c r="O33" s="27" t="str">
        <f>IF(Overview!$D$4=L33,M33,"")</f>
        <v/>
      </c>
      <c r="P33" s="31" t="str" cm="1">
        <f t="array" ref="P33">IFERROR(INDEX($O$1:$O$99,SMALL(IF($O$1:$O$99&lt;&gt;"",ROW($O$1:$O$99),999),ROW(33:33))),"")</f>
        <v/>
      </c>
      <c r="Q33" s="1109"/>
    </row>
    <row r="34" spans="1:17" ht="13.8">
      <c r="A34" s="40" t="s">
        <v>775</v>
      </c>
      <c r="B34" s="1110"/>
      <c r="C34" s="1"/>
      <c r="D34" s="1"/>
      <c r="F34" s="10"/>
      <c r="L34" s="26" t="s">
        <v>344</v>
      </c>
      <c r="M34" s="26" t="s">
        <v>321</v>
      </c>
      <c r="N34" s="33">
        <v>2</v>
      </c>
      <c r="O34" s="27" t="str">
        <f>IF(Overview!$D$4=L34,M34,"")</f>
        <v/>
      </c>
      <c r="P34" s="31" t="str" cm="1">
        <f t="array" ref="P34">IFERROR(INDEX($O$1:$O$99,SMALL(IF($O$1:$O$99&lt;&gt;"",ROW($O$1:$O$99),999),ROW(34:34))),"")</f>
        <v/>
      </c>
      <c r="Q34" s="1109"/>
    </row>
    <row r="35" spans="1:17" ht="13.8">
      <c r="A35" s="40" t="s">
        <v>776</v>
      </c>
      <c r="B35" s="1110"/>
      <c r="C35" s="1"/>
      <c r="D35" s="1"/>
      <c r="F35" s="10"/>
      <c r="L35" s="26" t="s">
        <v>344</v>
      </c>
      <c r="M35" s="26" t="s">
        <v>326</v>
      </c>
      <c r="N35" s="33">
        <v>3</v>
      </c>
      <c r="O35" s="27" t="str">
        <f>IF(Overview!$D$4=L35,M35,"")</f>
        <v/>
      </c>
      <c r="P35" s="31" t="str" cm="1">
        <f t="array" ref="P35">IFERROR(INDEX($O$1:$O$99,SMALL(IF($O$1:$O$99&lt;&gt;"",ROW($O$1:$O$99),999),ROW(35:35))),"")</f>
        <v/>
      </c>
      <c r="Q35" s="1109"/>
    </row>
    <row r="36" spans="1:17" ht="13.8">
      <c r="A36" s="40" t="s">
        <v>777</v>
      </c>
      <c r="B36" s="1110"/>
      <c r="C36" s="1"/>
      <c r="D36" s="1"/>
      <c r="F36" s="10"/>
      <c r="L36" s="26" t="s">
        <v>344</v>
      </c>
      <c r="M36" s="26" t="s">
        <v>220</v>
      </c>
      <c r="N36" s="33">
        <v>4</v>
      </c>
      <c r="O36" s="27" t="str">
        <f>IF(Overview!$D$4=L36,M36,"")</f>
        <v/>
      </c>
      <c r="P36" s="31" t="str" cm="1">
        <f t="array" ref="P36">IFERROR(INDEX($O$1:$O$99,SMALL(IF($O$1:$O$99&lt;&gt;"",ROW($O$1:$O$99),999),ROW(36:36))),"")</f>
        <v/>
      </c>
      <c r="Q36" s="1109"/>
    </row>
    <row r="37" spans="1:17">
      <c r="A37" s="1" t="s">
        <v>728</v>
      </c>
      <c r="C37" s="1"/>
      <c r="D37" s="1"/>
      <c r="F37" s="10"/>
      <c r="L37" s="26" t="s">
        <v>344</v>
      </c>
      <c r="M37" s="26" t="s">
        <v>327</v>
      </c>
      <c r="N37" s="33">
        <v>5</v>
      </c>
      <c r="O37" s="27" t="str">
        <f>IF(Overview!$D$4=L37,M37,"")</f>
        <v/>
      </c>
      <c r="P37" s="31" t="str" cm="1">
        <f t="array" ref="P37">IFERROR(INDEX($O$1:$O$99,SMALL(IF($O$1:$O$99&lt;&gt;"",ROW($O$1:$O$99),999),ROW(37:37))),"")</f>
        <v/>
      </c>
      <c r="Q37" s="1109"/>
    </row>
    <row r="38" spans="1:17">
      <c r="A38" s="1"/>
      <c r="C38" s="1"/>
      <c r="D38" s="1"/>
      <c r="F38" s="10"/>
      <c r="L38" s="26" t="s">
        <v>344</v>
      </c>
      <c r="M38" s="26" t="s">
        <v>324</v>
      </c>
      <c r="N38" s="33">
        <v>6</v>
      </c>
      <c r="O38" s="27" t="str">
        <f>IF(Overview!$D$4=L38,M38,"")</f>
        <v/>
      </c>
      <c r="P38" s="31" t="str" cm="1">
        <f t="array" ref="P38">IFERROR(INDEX($O$1:$O$99,SMALL(IF($O$1:$O$99&lt;&gt;"",ROW($O$1:$O$99),999),ROW(38:38))),"")</f>
        <v/>
      </c>
      <c r="Q38" s="1109"/>
    </row>
    <row r="39" spans="1:17">
      <c r="A39" s="36" t="s">
        <v>381</v>
      </c>
      <c r="B39" s="36" t="s">
        <v>719</v>
      </c>
      <c r="C39" s="1"/>
      <c r="D39" s="1"/>
      <c r="F39" s="10"/>
      <c r="L39" s="26" t="s">
        <v>344</v>
      </c>
      <c r="M39" s="26" t="s">
        <v>352</v>
      </c>
      <c r="N39" s="33">
        <v>7</v>
      </c>
      <c r="O39" s="27" t="str">
        <f>IF(Overview!$D$4=L39,M39,"")</f>
        <v/>
      </c>
      <c r="P39" s="31" t="str" cm="1">
        <f t="array" ref="P39">IFERROR(INDEX($O$1:$O$99,SMALL(IF($O$1:$O$99&lt;&gt;"",ROW($O$1:$O$99),999),ROW(39:39))),"")</f>
        <v/>
      </c>
      <c r="Q39" s="1109"/>
    </row>
    <row r="40" spans="1:17">
      <c r="A40" s="37" t="s">
        <v>320</v>
      </c>
      <c r="C40" s="1"/>
      <c r="D40" s="1"/>
      <c r="F40" s="10"/>
      <c r="L40" s="26" t="s">
        <v>347</v>
      </c>
      <c r="M40" s="26" t="s">
        <v>320</v>
      </c>
      <c r="N40" s="33">
        <v>1</v>
      </c>
      <c r="O40" s="27" t="str">
        <f>IF(Overview!$D$4=L40,M40,"")</f>
        <v/>
      </c>
      <c r="P40" s="31" t="str" cm="1">
        <f t="array" ref="P40">IFERROR(INDEX($O$1:$O$99,SMALL(IF($O$1:$O$99&lt;&gt;"",ROW($O$1:$O$99),999),ROW(40:40))),"")</f>
        <v/>
      </c>
      <c r="Q40" s="1109"/>
    </row>
    <row r="41" spans="1:17">
      <c r="A41" s="38" t="s">
        <v>369</v>
      </c>
      <c r="C41" s="1"/>
      <c r="D41" s="1"/>
      <c r="F41" s="10"/>
      <c r="L41" s="26" t="s">
        <v>347</v>
      </c>
      <c r="M41" s="26" t="s">
        <v>326</v>
      </c>
      <c r="N41" s="33">
        <v>2</v>
      </c>
      <c r="O41" s="27" t="str">
        <f>IF(Overview!$D$4=L41,M41,"")</f>
        <v/>
      </c>
      <c r="P41" s="31" t="str" cm="1">
        <f t="array" ref="P41">IFERROR(INDEX($O$1:$O$99,SMALL(IF($O$1:$O$99&lt;&gt;"",ROW($O$1:$O$99),999),ROW(41:41))),"")</f>
        <v/>
      </c>
      <c r="Q41" s="1109"/>
    </row>
    <row r="42" spans="1:17">
      <c r="A42" s="38" t="s">
        <v>321</v>
      </c>
      <c r="C42" s="1"/>
      <c r="D42" s="1"/>
      <c r="F42" s="10"/>
      <c r="L42" s="26" t="s">
        <v>347</v>
      </c>
      <c r="M42" s="26" t="s">
        <v>328</v>
      </c>
      <c r="N42" s="33">
        <v>3</v>
      </c>
      <c r="O42" s="27" t="str">
        <f>IF(Overview!$D$4=L42,M42,"")</f>
        <v/>
      </c>
      <c r="P42" s="31" t="str" cm="1">
        <f t="array" ref="P42">IFERROR(INDEX($O$1:$O$99,SMALL(IF($O$1:$O$99&lt;&gt;"",ROW($O$1:$O$99),999),ROW(42:42))),"")</f>
        <v/>
      </c>
      <c r="Q42" s="1109"/>
    </row>
    <row r="43" spans="1:17">
      <c r="A43" s="37" t="s">
        <v>322</v>
      </c>
      <c r="B43" s="6"/>
      <c r="C43" s="1"/>
      <c r="D43" s="1"/>
      <c r="F43" s="10"/>
      <c r="L43" s="26" t="s">
        <v>347</v>
      </c>
      <c r="M43" s="26" t="s">
        <v>324</v>
      </c>
      <c r="N43" s="33">
        <v>4</v>
      </c>
      <c r="O43" s="27" t="str">
        <f>IF(Overview!$D$4=L43,M43,"")</f>
        <v/>
      </c>
      <c r="P43" s="31" t="str" cm="1">
        <f t="array" ref="P43">IFERROR(INDEX($O$1:$O$99,SMALL(IF($O$1:$O$99&lt;&gt;"",ROW($O$1:$O$99),999),ROW(43:43))),"")</f>
        <v/>
      </c>
      <c r="Q43" s="1109"/>
    </row>
    <row r="44" spans="1:17">
      <c r="A44" s="38" t="s">
        <v>323</v>
      </c>
      <c r="B44" s="10"/>
      <c r="C44" s="1"/>
      <c r="D44" s="1"/>
      <c r="F44" s="10"/>
      <c r="L44" s="26" t="s">
        <v>347</v>
      </c>
      <c r="M44" s="26" t="s">
        <v>352</v>
      </c>
      <c r="N44" s="33">
        <v>5</v>
      </c>
      <c r="O44" s="27" t="str">
        <f>IF(Overview!$D$4=L44,M44,"")</f>
        <v/>
      </c>
      <c r="P44" s="31" t="str" cm="1">
        <f t="array" ref="P44">IFERROR(INDEX($O$1:$O$99,SMALL(IF($O$1:$O$99&lt;&gt;"",ROW($O$1:$O$99),999),ROW(44:44))),"")</f>
        <v/>
      </c>
      <c r="Q44" s="1109"/>
    </row>
    <row r="45" spans="1:17">
      <c r="A45" s="38" t="s">
        <v>352</v>
      </c>
      <c r="B45" s="10"/>
      <c r="C45" s="1"/>
      <c r="D45" s="1"/>
      <c r="F45" s="10"/>
      <c r="L45" s="26" t="s">
        <v>347</v>
      </c>
      <c r="M45" s="26" t="s">
        <v>322</v>
      </c>
      <c r="N45" s="34">
        <v>6</v>
      </c>
      <c r="O45" s="27" t="str">
        <f>IF(Overview!$D$4=L45,M45,"")</f>
        <v/>
      </c>
      <c r="P45" s="31" t="str" cm="1">
        <f t="array" ref="P45">IFERROR(INDEX($O$1:$O$99,SMALL(IF($O$1:$O$99&lt;&gt;"",ROW($O$1:$O$99),999),ROW(45:45))),"")</f>
        <v/>
      </c>
      <c r="Q45" s="1109"/>
    </row>
    <row r="46" spans="1:17">
      <c r="A46" s="38" t="s">
        <v>324</v>
      </c>
      <c r="B46" s="10"/>
      <c r="C46" s="1"/>
      <c r="D46" s="1"/>
      <c r="F46" s="9"/>
      <c r="L46" s="26" t="s">
        <v>342</v>
      </c>
      <c r="M46" s="26" t="s">
        <v>369</v>
      </c>
      <c r="N46" s="33">
        <v>1</v>
      </c>
      <c r="O46" s="27" t="str">
        <f>IF(Overview!$D$4=L46,M46,"")</f>
        <v/>
      </c>
      <c r="P46" s="31" t="str" cm="1">
        <f t="array" ref="P46">IFERROR(INDEX($O$1:$O$99,SMALL(IF($O$1:$O$99&lt;&gt;"",ROW($O$1:$O$99),999),ROW(46:46))),"")</f>
        <v/>
      </c>
      <c r="Q46" s="1109"/>
    </row>
    <row r="47" spans="1:17">
      <c r="A47" s="38" t="s">
        <v>365</v>
      </c>
      <c r="B47" s="10"/>
      <c r="C47" s="1"/>
      <c r="D47" s="1"/>
      <c r="F47" s="9"/>
      <c r="L47" s="26" t="s">
        <v>342</v>
      </c>
      <c r="M47" s="26" t="s">
        <v>326</v>
      </c>
      <c r="N47" s="33">
        <v>2</v>
      </c>
      <c r="O47" s="27" t="str">
        <f>IF(Overview!$D$4=L47,M47,"")</f>
        <v/>
      </c>
      <c r="P47" s="31" t="str" cm="1">
        <f t="array" ref="P47">IFERROR(INDEX($O$1:$O$99,SMALL(IF($O$1:$O$99&lt;&gt;"",ROW($O$1:$O$99),999),ROW(47:47))),"")</f>
        <v/>
      </c>
      <c r="Q47" s="1109"/>
    </row>
    <row r="48" spans="1:17">
      <c r="A48" s="38" t="s">
        <v>341</v>
      </c>
      <c r="B48" s="10"/>
      <c r="C48" s="1"/>
      <c r="D48" s="1"/>
      <c r="F48" s="9"/>
      <c r="L48" s="26" t="s">
        <v>342</v>
      </c>
      <c r="M48" s="26" t="s">
        <v>324</v>
      </c>
      <c r="N48" s="33">
        <v>3</v>
      </c>
      <c r="O48" s="27" t="str">
        <f>IF(Overview!$D$4=L48,M48,"")</f>
        <v/>
      </c>
      <c r="P48" s="31" t="str" cm="1">
        <f t="array" ref="P48">IFERROR(INDEX($O$1:$O$99,SMALL(IF($O$1:$O$99&lt;&gt;"",ROW($O$1:$O$99),999),ROW(48:48))),"")</f>
        <v/>
      </c>
      <c r="Q48" s="30"/>
    </row>
    <row r="49" spans="1:17">
      <c r="A49" s="38" t="s">
        <v>325</v>
      </c>
      <c r="B49" s="10"/>
      <c r="C49" s="1"/>
      <c r="D49" s="1"/>
      <c r="F49" s="9"/>
      <c r="L49" s="26" t="s">
        <v>342</v>
      </c>
      <c r="M49" s="26" t="s">
        <v>352</v>
      </c>
      <c r="N49" s="33">
        <v>4</v>
      </c>
      <c r="O49" s="27" t="str">
        <f>IF(Overview!$D$4=L49,M49,"")</f>
        <v/>
      </c>
      <c r="P49" s="31" t="str" cm="1">
        <f t="array" ref="P49">IFERROR(INDEX($O$1:$O$99,SMALL(IF($O$1:$O$99&lt;&gt;"",ROW($O$1:$O$99),999),ROW(49:49))),"")</f>
        <v/>
      </c>
      <c r="Q49" s="30"/>
    </row>
    <row r="50" spans="1:17">
      <c r="A50" s="38" t="s">
        <v>326</v>
      </c>
      <c r="B50" s="10"/>
      <c r="C50" s="1"/>
      <c r="D50" s="1"/>
      <c r="F50" s="9"/>
      <c r="L50" s="26" t="s">
        <v>346</v>
      </c>
      <c r="M50" s="26" t="s">
        <v>323</v>
      </c>
      <c r="N50" s="33">
        <v>5</v>
      </c>
      <c r="O50" s="27" t="str">
        <f>IF(Overview!$D$4=L50,M50,"")</f>
        <v>Not Anticipated</v>
      </c>
      <c r="P50" s="31" t="str" cm="1">
        <f t="array" ref="P50">IFERROR(INDEX($O$1:$O$99,SMALL(IF($O$1:$O$99&lt;&gt;"",ROW($O$1:$O$99),999),ROW(50:50))),"")</f>
        <v/>
      </c>
      <c r="Q50" s="30"/>
    </row>
    <row r="51" spans="1:17">
      <c r="A51" s="38" t="s">
        <v>220</v>
      </c>
      <c r="B51" s="10"/>
      <c r="C51" s="1"/>
      <c r="D51" s="1"/>
      <c r="F51" s="9"/>
      <c r="L51" s="26" t="s">
        <v>777</v>
      </c>
      <c r="M51" s="26" t="s">
        <v>320</v>
      </c>
      <c r="N51" s="33">
        <v>1</v>
      </c>
      <c r="O51" s="27" t="str">
        <f>IF(Overview!$D$4=L51,M51,"")</f>
        <v/>
      </c>
      <c r="P51" s="31" t="str" cm="1">
        <f t="array" ref="P51">IFERROR(INDEX($O$1:$O$99,SMALL(IF($O$1:$O$99&lt;&gt;"",ROW($O$1:$O$99),999),ROW(51:51))),"")</f>
        <v/>
      </c>
      <c r="Q51" s="30"/>
    </row>
    <row r="52" spans="1:17">
      <c r="A52" s="38" t="s">
        <v>327</v>
      </c>
      <c r="B52" s="10"/>
      <c r="C52" s="1"/>
      <c r="D52" s="1"/>
      <c r="F52" s="9"/>
      <c r="L52" s="26" t="s">
        <v>777</v>
      </c>
      <c r="M52" s="26" t="s">
        <v>322</v>
      </c>
      <c r="N52" s="34">
        <v>2</v>
      </c>
      <c r="O52" s="27" t="str">
        <f>IF(Overview!$D$4=L52,M52,"")</f>
        <v/>
      </c>
      <c r="P52" s="31" t="str" cm="1">
        <f t="array" ref="P52">IFERROR(INDEX($O$1:$O$99,SMALL(IF($O$1:$O$99&lt;&gt;"",ROW($O$1:$O$99),999),ROW(52:52))),"")</f>
        <v/>
      </c>
      <c r="Q52" s="30"/>
    </row>
    <row r="53" spans="1:17">
      <c r="A53" s="38" t="s">
        <v>328</v>
      </c>
      <c r="B53" s="10"/>
      <c r="C53" s="1"/>
      <c r="D53" s="1"/>
      <c r="F53" s="9"/>
      <c r="L53" s="27" t="s">
        <v>777</v>
      </c>
      <c r="M53" s="27" t="s">
        <v>328</v>
      </c>
      <c r="N53" s="34">
        <v>3</v>
      </c>
      <c r="O53" s="27" t="str">
        <f>IF(Overview!$D$4=L53,M53,"")</f>
        <v/>
      </c>
      <c r="P53" s="31" t="str" cm="1">
        <f t="array" ref="P53">IFERROR(INDEX($O$1:$O$99,SMALL(IF($O$1:$O$99&lt;&gt;"",ROW($O$1:$O$99),999),ROW(53:53))),"")</f>
        <v/>
      </c>
      <c r="Q53" s="30"/>
    </row>
    <row r="54" spans="1:17">
      <c r="B54" s="10"/>
      <c r="C54" s="1"/>
      <c r="D54" s="1"/>
      <c r="F54" s="9"/>
      <c r="L54" s="27" t="s">
        <v>777</v>
      </c>
      <c r="M54" s="27" t="s">
        <v>352</v>
      </c>
      <c r="N54" s="34">
        <v>4</v>
      </c>
      <c r="O54" s="27" t="str">
        <f>IF(Overview!$D$4=L54,M54,"")</f>
        <v/>
      </c>
      <c r="P54" s="31" t="str" cm="1">
        <f t="array" ref="P54">IFERROR(INDEX($O$1:$O$99,SMALL(IF($O$1:$O$99&lt;&gt;"",ROW($O$1:$O$99),999),ROW(54:54))),"")</f>
        <v/>
      </c>
      <c r="Q54" s="30"/>
    </row>
    <row r="55" spans="1:17">
      <c r="B55" s="10"/>
      <c r="C55" s="1"/>
      <c r="D55" s="1"/>
      <c r="F55" s="9"/>
      <c r="L55" s="27" t="s">
        <v>777</v>
      </c>
      <c r="M55" s="27" t="s">
        <v>324</v>
      </c>
      <c r="N55" s="34">
        <v>5</v>
      </c>
      <c r="O55" s="27" t="str">
        <f>IF(Overview!$D$4=L55,M55,"")</f>
        <v/>
      </c>
      <c r="P55" s="31" t="str" cm="1">
        <f t="array" ref="P55">IFERROR(INDEX($O$1:$O$99,SMALL(IF($O$1:$O$99&lt;&gt;"",ROW($O$1:$O$99),999),ROW(55:55))),"")</f>
        <v/>
      </c>
      <c r="Q55" s="30"/>
    </row>
    <row r="56" spans="1:17">
      <c r="B56" s="10"/>
      <c r="C56" s="1"/>
      <c r="D56" s="1"/>
      <c r="F56" s="9"/>
      <c r="L56" s="27" t="s">
        <v>776</v>
      </c>
      <c r="M56" s="27" t="s">
        <v>320</v>
      </c>
      <c r="N56" s="34">
        <v>1</v>
      </c>
      <c r="O56" s="27" t="str">
        <f>IF(Overview!$D$4=L56,M56,"")</f>
        <v/>
      </c>
      <c r="P56" s="31" t="str" cm="1">
        <f t="array" ref="P56">IFERROR(INDEX($O$1:$O$99,SMALL(IF($O$1:$O$99&lt;&gt;"",ROW($O$1:$O$99),999),ROW(56:56))),"")</f>
        <v/>
      </c>
      <c r="Q56" s="30"/>
    </row>
    <row r="57" spans="1:17">
      <c r="B57" s="10"/>
      <c r="C57" s="1"/>
      <c r="D57" s="1"/>
      <c r="F57" s="9"/>
      <c r="L57" s="27" t="s">
        <v>776</v>
      </c>
      <c r="M57" s="27" t="s">
        <v>326</v>
      </c>
      <c r="N57" s="34">
        <v>2</v>
      </c>
      <c r="O57" s="27" t="str">
        <f>IF(Overview!$D$4=L57,M57,"")</f>
        <v/>
      </c>
      <c r="P57" s="31" t="str" cm="1">
        <f t="array" ref="P57">IFERROR(INDEX($O$1:$O$99,SMALL(IF($O$1:$O$99&lt;&gt;"",ROW($O$1:$O$99),999),ROW(57:57))),"")</f>
        <v/>
      </c>
      <c r="Q57" s="30"/>
    </row>
    <row r="58" spans="1:17">
      <c r="B58" s="10"/>
      <c r="C58" s="1"/>
      <c r="D58" s="1"/>
      <c r="F58" s="9"/>
      <c r="L58" s="27" t="s">
        <v>776</v>
      </c>
      <c r="M58" s="27" t="s">
        <v>328</v>
      </c>
      <c r="N58" s="34">
        <v>3</v>
      </c>
      <c r="O58" s="27" t="str">
        <f>IF(Overview!$D$4=L58,M58,"")</f>
        <v/>
      </c>
      <c r="P58" s="31" t="str" cm="1">
        <f t="array" ref="P58">IFERROR(INDEX($O$1:$O$99,SMALL(IF($O$1:$O$99&lt;&gt;"",ROW($O$1:$O$99),999),ROW(58:58))),"")</f>
        <v/>
      </c>
      <c r="Q58" s="30"/>
    </row>
    <row r="59" spans="1:17">
      <c r="B59" s="10"/>
      <c r="C59" s="1"/>
      <c r="D59" s="1"/>
      <c r="F59" s="9"/>
      <c r="L59" s="27" t="s">
        <v>776</v>
      </c>
      <c r="M59" s="27" t="s">
        <v>323</v>
      </c>
      <c r="N59" s="34">
        <v>4</v>
      </c>
      <c r="O59" s="27" t="str">
        <f>IF(Overview!$D$4=L59,M59,"")</f>
        <v/>
      </c>
      <c r="P59" s="31" t="str" cm="1">
        <f t="array" ref="P59">IFERROR(INDEX($O$1:$O$99,SMALL(IF($O$1:$O$99&lt;&gt;"",ROW($O$1:$O$99),999),ROW(59:59))),"")</f>
        <v/>
      </c>
      <c r="Q59" s="30"/>
    </row>
    <row r="60" spans="1:17">
      <c r="B60" s="10"/>
      <c r="C60" s="1"/>
      <c r="D60" s="1"/>
      <c r="F60" s="9"/>
      <c r="L60" s="27" t="s">
        <v>776</v>
      </c>
      <c r="M60" s="27" t="s">
        <v>324</v>
      </c>
      <c r="N60" s="34">
        <v>5</v>
      </c>
      <c r="O60" s="27" t="str">
        <f>IF(Overview!$D$4=L60,M60,"")</f>
        <v/>
      </c>
      <c r="P60" s="31" t="str" cm="1">
        <f t="array" ref="P60">IFERROR(INDEX($O$1:$O$99,SMALL(IF($O$1:$O$99&lt;&gt;"",ROW($O$1:$O$99),999),ROW(60:60))),"")</f>
        <v/>
      </c>
      <c r="Q60" s="30"/>
    </row>
    <row r="61" spans="1:17">
      <c r="B61" s="10"/>
      <c r="C61" s="1"/>
      <c r="D61" s="1"/>
      <c r="F61" s="9"/>
      <c r="L61" s="27" t="s">
        <v>776</v>
      </c>
      <c r="M61" s="27" t="s">
        <v>352</v>
      </c>
      <c r="N61" s="34">
        <v>6</v>
      </c>
      <c r="O61" s="27" t="str">
        <f>IF(Overview!$D$4=L61,M61,"")</f>
        <v/>
      </c>
      <c r="P61" s="31" t="str" cm="1">
        <f t="array" ref="P61">IFERROR(INDEX($O$1:$O$99,SMALL(IF($O$1:$O$99&lt;&gt;"",ROW($O$1:$O$99),999),ROW(61:61))),"")</f>
        <v/>
      </c>
      <c r="Q61" s="30"/>
    </row>
    <row r="62" spans="1:17">
      <c r="B62" s="10"/>
      <c r="C62" s="1"/>
      <c r="D62" s="1"/>
      <c r="F62" s="9"/>
      <c r="L62" s="27" t="s">
        <v>776</v>
      </c>
      <c r="M62" s="27" t="s">
        <v>322</v>
      </c>
      <c r="N62" s="34">
        <v>7</v>
      </c>
      <c r="O62" s="27" t="str">
        <f>IF(Overview!$D$4=L62,M62,"")</f>
        <v/>
      </c>
      <c r="P62" s="31" t="str" cm="1">
        <f t="array" ref="P62">IFERROR(INDEX($O$1:$O$99,SMALL(IF($O$1:$O$99&lt;&gt;"",ROW($O$1:$O$99),999),ROW(62:62))),"")</f>
        <v/>
      </c>
      <c r="Q62" s="30"/>
    </row>
    <row r="63" spans="1:17">
      <c r="B63" s="10"/>
      <c r="C63" s="1"/>
      <c r="D63" s="1"/>
      <c r="F63" s="9"/>
      <c r="L63" s="26" t="s">
        <v>774</v>
      </c>
      <c r="M63" s="26" t="s">
        <v>369</v>
      </c>
      <c r="N63" s="33">
        <v>1</v>
      </c>
      <c r="O63" s="27" t="str">
        <f>IF(Overview!$D$4=L63,M63,"")</f>
        <v/>
      </c>
      <c r="P63" s="31" t="str" cm="1">
        <f t="array" ref="P63">IFERROR(INDEX($O$1:$O$99,SMALL(IF($O$1:$O$99&lt;&gt;"",ROW($O$1:$O$99),999),ROW(63:63))),"")</f>
        <v/>
      </c>
      <c r="Q63" s="30"/>
    </row>
    <row r="64" spans="1:17">
      <c r="B64" s="10"/>
      <c r="C64" s="1"/>
      <c r="D64" s="1"/>
      <c r="F64" s="9"/>
      <c r="L64" s="26" t="s">
        <v>774</v>
      </c>
      <c r="M64" s="26" t="s">
        <v>321</v>
      </c>
      <c r="N64" s="33">
        <v>2</v>
      </c>
      <c r="O64" s="27" t="str">
        <f>IF(Overview!$D$4=L64,M64,"")</f>
        <v/>
      </c>
      <c r="P64" s="31" t="str" cm="1">
        <f t="array" ref="P64">IFERROR(INDEX($O$1:$O$99,SMALL(IF($O$1:$O$99&lt;&gt;"",ROW($O$1:$O$99),999),ROW(64:64))),"")</f>
        <v/>
      </c>
      <c r="Q64" s="30"/>
    </row>
    <row r="65" spans="1:17">
      <c r="B65" s="10"/>
      <c r="C65" s="1"/>
      <c r="D65" s="1"/>
      <c r="F65" s="9"/>
      <c r="L65" s="26" t="s">
        <v>774</v>
      </c>
      <c r="M65" s="26" t="s">
        <v>326</v>
      </c>
      <c r="N65" s="33">
        <v>3</v>
      </c>
      <c r="O65" s="27" t="str">
        <f>IF(Overview!$D$4=L65,M65,"")</f>
        <v/>
      </c>
      <c r="P65" s="31" t="str" cm="1">
        <f t="array" ref="P65">IFERROR(INDEX($O$1:$O$99,SMALL(IF($O$1:$O$99&lt;&gt;"",ROW($O$1:$O$99),999),ROW(65:65))),"")</f>
        <v/>
      </c>
      <c r="Q65" s="30"/>
    </row>
    <row r="66" spans="1:17">
      <c r="B66" s="10"/>
      <c r="C66" s="1"/>
      <c r="D66" s="1"/>
      <c r="F66" s="9"/>
      <c r="L66" s="26" t="s">
        <v>774</v>
      </c>
      <c r="M66" s="26" t="s">
        <v>220</v>
      </c>
      <c r="N66" s="33">
        <v>4</v>
      </c>
      <c r="O66" s="27" t="str">
        <f>IF(Overview!$D$4=L66,M66,"")</f>
        <v/>
      </c>
      <c r="P66" s="31" t="str" cm="1">
        <f t="array" ref="P66">IFERROR(INDEX($O$1:$O$99,SMALL(IF($O$1:$O$99&lt;&gt;"",ROW($O$1:$O$99),999),ROW(66:66))),"")</f>
        <v/>
      </c>
      <c r="Q66" s="30"/>
    </row>
    <row r="67" spans="1:17">
      <c r="B67" s="10"/>
      <c r="C67" s="1"/>
      <c r="D67" s="1"/>
      <c r="F67" s="9"/>
      <c r="L67" s="26" t="s">
        <v>774</v>
      </c>
      <c r="M67" s="26" t="s">
        <v>327</v>
      </c>
      <c r="N67" s="33">
        <v>5</v>
      </c>
      <c r="O67" s="27" t="str">
        <f>IF(Overview!$D$4=L67,M67,"")</f>
        <v/>
      </c>
      <c r="P67" s="31" t="str" cm="1">
        <f t="array" ref="P67">IFERROR(INDEX($O$1:$O$99,SMALL(IF($O$1:$O$99&lt;&gt;"",ROW($O$1:$O$99),999),ROW(67:67))),"")</f>
        <v/>
      </c>
      <c r="Q67" s="30"/>
    </row>
    <row r="68" spans="1:17">
      <c r="B68" s="10"/>
      <c r="C68" s="1"/>
      <c r="D68" s="1"/>
      <c r="F68" s="9"/>
      <c r="L68" s="26" t="s">
        <v>774</v>
      </c>
      <c r="M68" s="26" t="s">
        <v>324</v>
      </c>
      <c r="N68" s="33">
        <v>6</v>
      </c>
      <c r="O68" s="27" t="str">
        <f>IF(Overview!$D$4=L68,M68,"")</f>
        <v/>
      </c>
      <c r="P68" s="31" t="str" cm="1">
        <f t="array" ref="P68">IFERROR(INDEX($O$1:$O$99,SMALL(IF($O$1:$O$99&lt;&gt;"",ROW($O$1:$O$99),999),ROW(68:68))),"")</f>
        <v/>
      </c>
      <c r="Q68" s="30"/>
    </row>
    <row r="69" spans="1:17">
      <c r="B69" s="10"/>
      <c r="F69" s="9"/>
      <c r="L69" s="26" t="s">
        <v>774</v>
      </c>
      <c r="M69" s="26" t="s">
        <v>352</v>
      </c>
      <c r="N69" s="33">
        <v>7</v>
      </c>
      <c r="O69" s="27" t="str">
        <f>IF(Overview!$D$4=L69,M69,"")</f>
        <v/>
      </c>
      <c r="P69" s="31" t="str" cm="1">
        <f t="array" ref="P69">IFERROR(INDEX($O$1:$O$99,SMALL(IF($O$1:$O$99&lt;&gt;"",ROW($O$1:$O$99),999),ROW(69:69))),"")</f>
        <v/>
      </c>
      <c r="Q69" s="30"/>
    </row>
    <row r="70" spans="1:17">
      <c r="B70" s="10"/>
      <c r="E70" t="str">
        <f>IF(Overview!$D$4=C70,D70,"")</f>
        <v/>
      </c>
      <c r="L70" s="26" t="s">
        <v>775</v>
      </c>
      <c r="M70" s="26" t="s">
        <v>369</v>
      </c>
      <c r="N70" s="33">
        <v>1</v>
      </c>
      <c r="O70" s="27" t="str">
        <f>IF(Overview!$D$4=L70,M70,"")</f>
        <v/>
      </c>
      <c r="P70" s="31" t="str" cm="1">
        <f t="array" ref="P70">IFERROR(INDEX($O$1:$O$99,SMALL(IF($O$1:$O$99&lt;&gt;"",ROW($O$1:$O$99),999),ROW(70:70))),"")</f>
        <v/>
      </c>
      <c r="Q70" s="30"/>
    </row>
    <row r="71" spans="1:17">
      <c r="B71" s="10"/>
      <c r="E71" t="str">
        <f>IF(Overview!$D$4=C71,D71,"")</f>
        <v/>
      </c>
      <c r="L71" s="26" t="s">
        <v>775</v>
      </c>
      <c r="M71" s="26" t="s">
        <v>321</v>
      </c>
      <c r="N71" s="33">
        <v>2</v>
      </c>
      <c r="O71" s="27" t="str">
        <f>IF(Overview!$D$4=L71,M71,"")</f>
        <v/>
      </c>
      <c r="P71" s="31" t="str" cm="1">
        <f t="array" ref="P71">IFERROR(INDEX($O$1:$O$99,SMALL(IF($O$1:$O$99&lt;&gt;"",ROW($O$1:$O$99),999),ROW(71:71))),"")</f>
        <v/>
      </c>
      <c r="Q71" s="30"/>
    </row>
    <row r="72" spans="1:17">
      <c r="B72" s="10"/>
      <c r="E72" t="str">
        <f>IF(Overview!$D$4=C72,D72,"")</f>
        <v/>
      </c>
      <c r="L72" s="26" t="s">
        <v>775</v>
      </c>
      <c r="M72" s="26" t="s">
        <v>323</v>
      </c>
      <c r="N72" s="33">
        <v>3</v>
      </c>
      <c r="O72" s="27" t="str">
        <f>IF(Overview!$D$4=L72,M72,"")</f>
        <v/>
      </c>
      <c r="P72" s="31" t="str" cm="1">
        <f t="array" ref="P72">IFERROR(INDEX($O$1:$O$99,SMALL(IF($O$1:$O$99&lt;&gt;"",ROW($O$1:$O$99),999),ROW(72:72))),"")</f>
        <v/>
      </c>
      <c r="Q72" s="30"/>
    </row>
    <row r="73" spans="1:17">
      <c r="B73" s="10"/>
      <c r="E73" t="str">
        <f>IF(Overview!$D$4=C73,D73,"")</f>
        <v/>
      </c>
      <c r="L73" s="26" t="s">
        <v>775</v>
      </c>
      <c r="M73" s="26" t="s">
        <v>328</v>
      </c>
      <c r="N73" s="33">
        <v>4</v>
      </c>
      <c r="O73" s="27" t="str">
        <f>IF(Overview!$D$4=L73,M73,"")</f>
        <v/>
      </c>
      <c r="P73" s="31" t="str" cm="1">
        <f t="array" ref="P73">IFERROR(INDEX($O$1:$O$99,SMALL(IF($O$1:$O$99&lt;&gt;"",ROW($O$1:$O$99),999),ROW(73:73))),"")</f>
        <v/>
      </c>
      <c r="Q73" s="30"/>
    </row>
    <row r="74" spans="1:17">
      <c r="B74" s="9"/>
      <c r="E74" t="str">
        <f>IF(Overview!$D$4=C74,D74,"")</f>
        <v/>
      </c>
      <c r="L74" s="26" t="s">
        <v>775</v>
      </c>
      <c r="M74" s="26" t="s">
        <v>326</v>
      </c>
      <c r="N74" s="33">
        <v>5</v>
      </c>
      <c r="O74" s="27" t="str">
        <f>IF(Overview!$D$4=L74,M74,"")</f>
        <v/>
      </c>
      <c r="P74" s="31" t="str" cm="1">
        <f t="array" ref="P74">IFERROR(INDEX($O$1:$O$99,SMALL(IF($O$1:$O$99&lt;&gt;"",ROW($O$1:$O$99),999),ROW(74:74))),"")</f>
        <v/>
      </c>
      <c r="Q74" s="30"/>
    </row>
    <row r="75" spans="1:17">
      <c r="B75" s="9"/>
      <c r="E75" t="str">
        <f>IF(Overview!$D$4=C75,D75,"")</f>
        <v/>
      </c>
      <c r="L75" s="26" t="s">
        <v>775</v>
      </c>
      <c r="M75" s="26" t="s">
        <v>220</v>
      </c>
      <c r="N75" s="33">
        <v>6</v>
      </c>
      <c r="O75" s="27" t="str">
        <f>IF(Overview!$D$4=L75,M75,"")</f>
        <v/>
      </c>
      <c r="P75" s="31" t="str" cm="1">
        <f t="array" ref="P75">IFERROR(INDEX($O$1:$O$99,SMALL(IF($O$1:$O$99&lt;&gt;"",ROW($O$1:$O$99),999),ROW(75:75))),"")</f>
        <v/>
      </c>
      <c r="Q75" s="30"/>
    </row>
    <row r="76" spans="1:17">
      <c r="B76" s="9"/>
      <c r="E76" t="str">
        <f>IF(Overview!$D$4=C76,D76,"")</f>
        <v/>
      </c>
      <c r="L76" s="26" t="s">
        <v>775</v>
      </c>
      <c r="M76" s="26" t="s">
        <v>327</v>
      </c>
      <c r="N76" s="33">
        <v>7</v>
      </c>
      <c r="O76" s="27" t="str">
        <f>IF(Overview!$D$4=L76,M76,"")</f>
        <v/>
      </c>
      <c r="P76" s="31" t="str" cm="1">
        <f t="array" ref="P76">IFERROR(INDEX($O$1:$O$99,SMALL(IF($O$1:$O$99&lt;&gt;"",ROW($O$1:$O$99),999),ROW(76:76))),"")</f>
        <v/>
      </c>
      <c r="Q76" s="30"/>
    </row>
    <row r="77" spans="1:17">
      <c r="B77" s="9"/>
      <c r="E77" t="str">
        <f>IF(Overview!$D$4=C77,D77,"")</f>
        <v/>
      </c>
      <c r="L77" s="26"/>
      <c r="M77" s="26"/>
      <c r="N77" s="33"/>
      <c r="O77" s="27" t="str">
        <f>IF(Overview!$D$4=L77,M77,"")</f>
        <v/>
      </c>
      <c r="P77" s="31" t="str" cm="1">
        <f t="array" ref="P77">IFERROR(INDEX($O$1:$O$99,SMALL(IF($O$1:$O$99&lt;&gt;"",ROW($O$1:$O$99),999),ROW(77:77))),"")</f>
        <v/>
      </c>
      <c r="Q77" s="30"/>
    </row>
    <row r="78" spans="1:17">
      <c r="A78" t="str">
        <f>IF(Overview!$D$4=C54,D54,"")</f>
        <v/>
      </c>
      <c r="B78" s="9"/>
      <c r="E78" t="str">
        <f>IF(Overview!$D$4=C78,D78,"")</f>
        <v/>
      </c>
      <c r="L78" s="27"/>
      <c r="M78" s="27"/>
      <c r="N78" s="34"/>
      <c r="O78" s="27" t="str">
        <f>IF(Overview!$D$4=L78,M78,"")</f>
        <v/>
      </c>
      <c r="P78" s="31" t="str" cm="1">
        <f t="array" ref="P78">IFERROR(INDEX($O$1:$O$99,SMALL(IF($O$1:$O$99&lt;&gt;"",ROW($O$1:$O$99),999),ROW(78:78))),"")</f>
        <v/>
      </c>
      <c r="Q78" s="30"/>
    </row>
    <row r="79" spans="1:17">
      <c r="A79" t="str">
        <f>IF(Overview!$D$4=C55,D55,"")</f>
        <v/>
      </c>
      <c r="B79" s="9"/>
      <c r="E79" t="str">
        <f>IF(Overview!$D$4=C79,D79,"")</f>
        <v/>
      </c>
      <c r="L79" s="27"/>
      <c r="M79" s="27"/>
      <c r="N79" s="34"/>
      <c r="O79" s="27" t="str">
        <f>IF(Overview!$D$4=L79,M79,"")</f>
        <v/>
      </c>
      <c r="P79" s="31" t="str" cm="1">
        <f t="array" ref="P79">IFERROR(INDEX($O$1:$O$99,SMALL(IF($O$1:$O$99&lt;&gt;"",ROW($O$1:$O$99),999),ROW(79:79))),"")</f>
        <v/>
      </c>
      <c r="Q79" s="30"/>
    </row>
    <row r="80" spans="1:17">
      <c r="A80" t="str">
        <f>IF(Overview!$D$4=C56,D56,"")</f>
        <v/>
      </c>
      <c r="B80" s="9"/>
      <c r="E80" t="str">
        <f>IF(Overview!$D$4=C80,D80,"")</f>
        <v/>
      </c>
      <c r="L80" s="27"/>
      <c r="M80" s="27"/>
      <c r="N80" s="34"/>
      <c r="O80" s="27" t="str">
        <f>IF(Overview!$D$4=L80,M80,"")</f>
        <v/>
      </c>
      <c r="P80" s="31" t="str" cm="1">
        <f t="array" ref="P80">IFERROR(INDEX($O$1:$O$99,SMALL(IF($O$1:$O$99&lt;&gt;"",ROW($O$1:$O$99),999),ROW(80:80))),"")</f>
        <v/>
      </c>
      <c r="Q80" s="30"/>
    </row>
    <row r="81" spans="1:17">
      <c r="A81" t="str">
        <f>IF(Overview!$D$4=C57,D57,"")</f>
        <v/>
      </c>
      <c r="B81" s="9"/>
      <c r="E81" t="str">
        <f>IF(Overview!$D$4=C81,D81,"")</f>
        <v/>
      </c>
      <c r="L81" s="27"/>
      <c r="M81" s="27"/>
      <c r="N81" s="34"/>
      <c r="O81" s="27" t="str">
        <f>IF(Overview!$D$4=L81,M81,"")</f>
        <v/>
      </c>
      <c r="P81" s="31" t="str" cm="1">
        <f t="array" ref="P81">IFERROR(INDEX($O$1:$O$99,SMALL(IF($O$1:$O$99&lt;&gt;"",ROW($O$1:$O$99),999),ROW(81:81))),"")</f>
        <v/>
      </c>
      <c r="Q81" s="30"/>
    </row>
    <row r="82" spans="1:17">
      <c r="A82" t="str">
        <f>IF(Overview!$D$4=C58,D58,"")</f>
        <v/>
      </c>
      <c r="B82" s="9"/>
      <c r="E82" t="str">
        <f>IF(Overview!$D$4=C82,D82,"")</f>
        <v/>
      </c>
      <c r="L82" s="27"/>
      <c r="M82" s="27"/>
      <c r="N82" s="34"/>
      <c r="O82" s="27" t="str">
        <f>IF(Overview!$D$4=L82,M82,"")</f>
        <v/>
      </c>
      <c r="P82" s="31" t="str" cm="1">
        <f t="array" ref="P82">IFERROR(INDEX($O$1:$O$99,SMALL(IF($O$1:$O$99&lt;&gt;"",ROW($O$1:$O$99),999),ROW(82:82))),"")</f>
        <v/>
      </c>
      <c r="Q82" s="30"/>
    </row>
    <row r="83" spans="1:17">
      <c r="A83" t="str">
        <f>IF(Overview!$D$4=C59,D59,"")</f>
        <v/>
      </c>
      <c r="B83" s="9"/>
      <c r="L83" s="27"/>
      <c r="M83" s="27"/>
      <c r="N83" s="34"/>
      <c r="O83" s="27" t="str">
        <f>IF(Overview!$D$4=L83,M83,"")</f>
        <v/>
      </c>
      <c r="P83" s="31" t="str" cm="1">
        <f t="array" ref="P83">IFERROR(INDEX($O$1:$O$99,SMALL(IF($O$1:$O$99&lt;&gt;"",ROW($O$1:$O$99),999),ROW(83:83))),"")</f>
        <v/>
      </c>
      <c r="Q83" s="30"/>
    </row>
    <row r="84" spans="1:17">
      <c r="A84" t="str">
        <f>IF(Overview!$D$4=C60,D60,"")</f>
        <v/>
      </c>
      <c r="B84" s="9"/>
      <c r="L84" s="27"/>
      <c r="M84" s="27"/>
      <c r="N84" s="34"/>
      <c r="O84" s="27" t="str">
        <f>IF(Overview!$D$4=L84,M84,"")</f>
        <v/>
      </c>
      <c r="P84" s="31" t="str" cm="1">
        <f t="array" ref="P84">IFERROR(INDEX($O$1:$O$99,SMALL(IF($O$1:$O$99&lt;&gt;"",ROW($O$1:$O$99),999),ROW(84:84))),"")</f>
        <v/>
      </c>
      <c r="Q84" s="30"/>
    </row>
    <row r="85" spans="1:17">
      <c r="A85" t="str">
        <f>IF(Overview!$D$4=C61,D61,"")</f>
        <v/>
      </c>
      <c r="B85" s="9"/>
      <c r="L85" s="27"/>
      <c r="M85" s="27"/>
      <c r="N85" s="34"/>
      <c r="O85" s="27" t="str">
        <f>IF(Overview!$D$4=L85,M85,"")</f>
        <v/>
      </c>
      <c r="P85" s="31" t="str" cm="1">
        <f t="array" ref="P85">IFERROR(INDEX($O$1:$O$99,SMALL(IF($O$1:$O$99&lt;&gt;"",ROW($O$1:$O$99),999),ROW(85:85))),"")</f>
        <v/>
      </c>
      <c r="Q85" s="30"/>
    </row>
    <row r="86" spans="1:17">
      <c r="A86" t="str">
        <f>IF(Overview!$D$4=C62,D62,"")</f>
        <v/>
      </c>
      <c r="B86" s="9"/>
      <c r="L86" s="27"/>
      <c r="M86" s="27"/>
      <c r="N86" s="34"/>
      <c r="O86" s="27" t="str">
        <f>IF(Overview!$D$4=L86,M86,"")</f>
        <v/>
      </c>
      <c r="P86" s="31" t="str" cm="1">
        <f t="array" ref="P86">IFERROR(INDEX($O$1:$O$99,SMALL(IF($O$1:$O$99&lt;&gt;"",ROW($O$1:$O$99),999),ROW(86:86))),"")</f>
        <v/>
      </c>
      <c r="Q86" s="30"/>
    </row>
    <row r="87" spans="1:17">
      <c r="A87" t="str">
        <f>IF(Overview!$D$4=C63,D63,"")</f>
        <v/>
      </c>
      <c r="B87" s="9"/>
      <c r="L87" s="27"/>
      <c r="M87" s="27"/>
      <c r="N87" s="34"/>
      <c r="O87" s="27" t="str">
        <f>IF(Overview!$D$4=L87,M87,"")</f>
        <v/>
      </c>
      <c r="P87" s="31" t="str" cm="1">
        <f t="array" ref="P87">IFERROR(INDEX($O$1:$O$99,SMALL(IF($O$1:$O$99&lt;&gt;"",ROW($O$1:$O$99),999),ROW(87:87))),"")</f>
        <v/>
      </c>
      <c r="Q87" s="30"/>
    </row>
    <row r="88" spans="1:17">
      <c r="A88" t="str">
        <f>IF(Overview!$D$4=C64,D64,"")</f>
        <v/>
      </c>
      <c r="B88" s="9"/>
      <c r="L88" s="27"/>
      <c r="M88" s="27"/>
      <c r="N88" s="34"/>
      <c r="O88" s="27" t="str">
        <f>IF(Overview!$D$4=L88,M88,"")</f>
        <v/>
      </c>
      <c r="P88" s="31" t="str" cm="1">
        <f t="array" ref="P88">IFERROR(INDEX($O$1:$O$99,SMALL(IF($O$1:$O$99&lt;&gt;"",ROW($O$1:$O$99),999),ROW(88:88))),"")</f>
        <v/>
      </c>
      <c r="Q88" s="30"/>
    </row>
    <row r="89" spans="1:17">
      <c r="A89" t="str">
        <f>IF(Overview!$D$4=C65,D65,"")</f>
        <v/>
      </c>
      <c r="B89" s="9"/>
      <c r="L89" s="27"/>
      <c r="M89" s="27"/>
      <c r="N89" s="34"/>
      <c r="O89" s="27" t="str">
        <f>IF(Overview!$D$4=L89,M89,"")</f>
        <v/>
      </c>
      <c r="P89" s="31" t="str" cm="1">
        <f t="array" ref="P89">IFERROR(INDEX($O$1:$O$99,SMALL(IF($O$1:$O$99&lt;&gt;"",ROW($O$1:$O$99),999),ROW(89:89))),"")</f>
        <v/>
      </c>
      <c r="Q89" s="30"/>
    </row>
    <row r="90" spans="1:17">
      <c r="A90" t="str">
        <f>IF(Overview!$D$4=C66,D66,"")</f>
        <v/>
      </c>
      <c r="B90" s="9"/>
      <c r="L90" s="27"/>
      <c r="M90" s="27"/>
      <c r="N90" s="34"/>
      <c r="O90" s="27" t="str">
        <f>IF(Overview!$D$4=L90,M90,"")</f>
        <v/>
      </c>
      <c r="P90" s="31" t="str" cm="1">
        <f t="array" ref="P90">IFERROR(INDEX($O$1:$O$99,SMALL(IF($O$1:$O$99&lt;&gt;"",ROW($O$1:$O$99),999),ROW(90:90))),"")</f>
        <v/>
      </c>
      <c r="Q90" s="30"/>
    </row>
    <row r="91" spans="1:17">
      <c r="A91" t="str">
        <f>IF(Overview!$D$4=C67,D67,"")</f>
        <v/>
      </c>
      <c r="B91" s="9"/>
      <c r="P91" s="10"/>
    </row>
    <row r="92" spans="1:17">
      <c r="A92" t="str">
        <f>IF(Overview!$D$4=C68,D68,"")</f>
        <v/>
      </c>
      <c r="B92" s="9"/>
      <c r="P92" s="10"/>
    </row>
    <row r="93" spans="1:17">
      <c r="A93" t="str">
        <f>IF(Overview!$D$4=C69,D69,"")</f>
        <v/>
      </c>
      <c r="B93" s="9"/>
      <c r="P93" s="10"/>
    </row>
    <row r="94" spans="1:17">
      <c r="A94" t="str">
        <f>IF(Overview!$D$4=C70,D70,"")</f>
        <v/>
      </c>
      <c r="B94" s="9"/>
      <c r="P94" s="10"/>
    </row>
    <row r="95" spans="1:17">
      <c r="A95" t="str">
        <f>IF(Overview!$D$4=C71,D71,"")</f>
        <v/>
      </c>
      <c r="B95" s="9"/>
      <c r="P95" s="10"/>
    </row>
    <row r="96" spans="1:17">
      <c r="A96" t="str">
        <f>IF(Overview!$D$4=C72,D72,"")</f>
        <v/>
      </c>
      <c r="B96" s="9"/>
      <c r="P96" s="10"/>
    </row>
    <row r="97" spans="1:16">
      <c r="A97" t="str">
        <f>IF(Overview!$D$4=C73,D73,"")</f>
        <v/>
      </c>
      <c r="B97" s="9"/>
      <c r="P97" s="10"/>
    </row>
    <row r="98" spans="1:16">
      <c r="P98" s="10"/>
    </row>
    <row r="99" spans="1:16">
      <c r="P99" s="10"/>
    </row>
    <row r="100" spans="1:16">
      <c r="P100" s="10"/>
    </row>
    <row r="101" spans="1:16">
      <c r="P101" s="10"/>
    </row>
    <row r="102" spans="1:16">
      <c r="P102" s="10"/>
    </row>
    <row r="103" spans="1:16">
      <c r="P103" s="10"/>
    </row>
    <row r="104" spans="1:16">
      <c r="P104" s="10"/>
    </row>
  </sheetData>
  <sortState xmlns:xlrd2="http://schemas.microsoft.com/office/spreadsheetml/2017/richdata2" ref="L2:N66">
    <sortCondition ref="L2:L66"/>
    <sortCondition ref="N2:N66"/>
  </sortState>
  <mergeCells count="9">
    <mergeCell ref="Q24:Q47"/>
    <mergeCell ref="B23:B36"/>
    <mergeCell ref="A16:A17"/>
    <mergeCell ref="F1:F10"/>
    <mergeCell ref="Q2:Q11"/>
    <mergeCell ref="Q12:Q21"/>
    <mergeCell ref="H11:H13"/>
    <mergeCell ref="I11:I13"/>
    <mergeCell ref="J11:J13"/>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660c906-94f1-406e-bb81-ae03b9b76a1b" xsi:nil="true"/>
    <lcf76f155ced4ddcb4097134ff3c332f xmlns="e3836035-195c-43bc-9e52-05ef18e3392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245D4F0D0E403418323386A6DEF913B" ma:contentTypeVersion="13" ma:contentTypeDescription="Create a new document." ma:contentTypeScope="" ma:versionID="d3449c412aad62c08266d90062de244a">
  <xsd:schema xmlns:xsd="http://www.w3.org/2001/XMLSchema" xmlns:xs="http://www.w3.org/2001/XMLSchema" xmlns:p="http://schemas.microsoft.com/office/2006/metadata/properties" xmlns:ns2="e3836035-195c-43bc-9e52-05ef18e3392f" xmlns:ns3="e660c906-94f1-406e-bb81-ae03b9b76a1b" targetNamespace="http://schemas.microsoft.com/office/2006/metadata/properties" ma:root="true" ma:fieldsID="5b99c552cc0c5483e824d3a15d19e427" ns2:_="" ns3:_="">
    <xsd:import namespace="e3836035-195c-43bc-9e52-05ef18e3392f"/>
    <xsd:import namespace="e660c906-94f1-406e-bb81-ae03b9b76a1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836035-195c-43bc-9e52-05ef18e339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dfcda72-0628-4071-a0aa-9935384ed9fb"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660c906-94f1-406e-bb81-ae03b9b76a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6a9c80-10e0-491e-bc15-a3a5b7d3255d}" ma:internalName="TaxCatchAll" ma:showField="CatchAllData" ma:web="e660c906-94f1-406e-bb81-ae03b9b76a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E16EAA-53E2-45D0-ACF6-A51807E859A7}">
  <ds:schemaRefs>
    <ds:schemaRef ds:uri="http://schemas.microsoft.com/office/2006/metadata/properties"/>
    <ds:schemaRef ds:uri="http://schemas.microsoft.com/office/infopath/2007/PartnerControls"/>
    <ds:schemaRef ds:uri="89c335a8-22a0-4e05-a5fb-6a80ce77ffaf"/>
    <ds:schemaRef ds:uri="e660c906-94f1-406e-bb81-ae03b9b76a1b"/>
    <ds:schemaRef ds:uri="e3836035-195c-43bc-9e52-05ef18e3392f"/>
  </ds:schemaRefs>
</ds:datastoreItem>
</file>

<file path=customXml/itemProps2.xml><?xml version="1.0" encoding="utf-8"?>
<ds:datastoreItem xmlns:ds="http://schemas.openxmlformats.org/officeDocument/2006/customXml" ds:itemID="{0A2CF06E-BD7F-434F-81C2-36D738E980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836035-195c-43bc-9e52-05ef18e3392f"/>
    <ds:schemaRef ds:uri="e660c906-94f1-406e-bb81-ae03b9b76a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2A97F1-E895-4AC7-9950-88ED6AE14C3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Reminders-Updated 2021-03-05</vt:lpstr>
      <vt:lpstr>Overview</vt:lpstr>
      <vt:lpstr>Review Comments</vt:lpstr>
      <vt:lpstr>Air</vt:lpstr>
      <vt:lpstr>Air_v2g</vt:lpstr>
      <vt:lpstr>Water</vt:lpstr>
      <vt:lpstr>Water_v2g</vt:lpstr>
      <vt:lpstr>Light</vt:lpstr>
      <vt:lpstr>Thermal Comfort</vt:lpstr>
      <vt:lpstr>Sound</vt:lpstr>
      <vt:lpstr>Sound_v2g</vt:lpstr>
      <vt:lpstr>Lists</vt:lpstr>
      <vt:lpstr>Air!Print_Area</vt:lpstr>
      <vt:lpstr>Air_v2g!Print_Area</vt:lpstr>
      <vt:lpstr>Light!Print_Area</vt:lpstr>
      <vt:lpstr>Overview!Print_Area</vt:lpstr>
      <vt:lpstr>'Review Comments'!Print_Area</vt:lpstr>
      <vt:lpstr>Sound!Print_Area</vt:lpstr>
      <vt:lpstr>Sound_v2g!Print_Area</vt:lpstr>
      <vt:lpstr>'Thermal Comfort'!Print_Area</vt:lpstr>
      <vt:lpstr>Water!Print_Area</vt:lpstr>
      <vt:lpstr>Water_v2g!Print_Area</vt:lpstr>
      <vt:lpstr>Overview!Print_Titles</vt:lpstr>
      <vt:lpstr>'Review Comments'!Print_Titles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2020-09-17T17:09:28Z</dcterms:created>
  <dcterms:modified xsi:type="dcterms:W3CDTF">2022-11-14T22:08:06Z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0x0101004245D4F0D0E403418323386A6DEF913B</vt:lpwstr>
  </property>
  <property fmtid="{D5CDD505-2E9C-101B-9397-08002B2CF9AE}" pid="3" name="MediaServiceImageTags">
    <vt:lpwstr/>
  </property>
</Properties>
</file>