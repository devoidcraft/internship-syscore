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3greenpillars.sharepoint.com/sites/3GP/WELL v2 Pilot/2202025410-Accenture-Assago_Milanofiori_U1/"/>
    </mc:Choice>
  </mc:AlternateContent>
  <xr:revisionPtr revIDLastSave="1148" documentId="8_{48859D74-23B0-4509-B585-09BA3EB29B21}" xr6:coauthVersionLast="47" xr6:coauthVersionMax="47" xr10:uidLastSave="{5F5ADD0D-324C-4068-9648-5018625915C9}"/>
  <bookViews>
    <workbookView xWindow="-108" yWindow="-108" windowWidth="41496" windowHeight="16896" activeTab="1" xr2:uid="{5EA66B8F-0392-47B3-BF1D-F7CE8B215CEB}"/>
  </bookViews>
  <sheets>
    <sheet name="Overview" sheetId="7" r:id="rId1"/>
    <sheet name="Review Comments" sheetId="8" r:id="rId2"/>
    <sheet name="LookUpData" sheetId="6" state="hidden" r:id="rId3"/>
    <sheet name="v2p_Air" sheetId="1" r:id="rId4"/>
    <sheet name="v2p_Water" sheetId="2" r:id="rId5"/>
    <sheet name="v2p_Light" sheetId="3" r:id="rId6"/>
    <sheet name="v2p_Thermal" sheetId="4" r:id="rId7"/>
    <sheet name="v2p_Sound" sheetId="5" r:id="rId8"/>
    <sheet name="Lists" sheetId="9" state="hidden" r:id="rId9"/>
  </sheets>
  <definedNames>
    <definedName name="_xlnm._FilterDatabase" localSheetId="3" hidden="1">v2p_Air!$S$3:$T$116</definedName>
    <definedName name="_xlnm._FilterDatabase" localSheetId="5" hidden="1">v2p_Light!$N$3:$O$252</definedName>
    <definedName name="_xlnm._FilterDatabase" localSheetId="7" hidden="1">v2p_Sound!$O$3:$P$136</definedName>
    <definedName name="_xlnm._FilterDatabase" localSheetId="6" hidden="1">v2p_Thermal!$T$3:$U$48</definedName>
    <definedName name="_xlnm._FilterDatabase" localSheetId="4" hidden="1">v2p_Water!$S$3:$T$203</definedName>
    <definedName name="IsTypeCore" localSheetId="2">VLOOKUP(ProjectType,ProjectTypes[[ProjectTypes]:[Type]],2,FALSE)</definedName>
    <definedName name="_xlnm.Print_Area" localSheetId="0">Overview!$B$1:$M$291</definedName>
    <definedName name="_xlnm.Print_Area" localSheetId="1">'Review Comments'!$A$1:$J$325</definedName>
    <definedName name="_xlnm.Print_Area" localSheetId="3">v2p_Air!$A$2:$Q$116</definedName>
    <definedName name="_xlnm.Print_Area" localSheetId="5">v2p_Light!$A$2:$L$134</definedName>
    <definedName name="_xlnm.Print_Area" localSheetId="7">v2p_Sound!$A$2:$M$135</definedName>
    <definedName name="_xlnm.Print_Area" localSheetId="6">v2p_Thermal!$A$2:$R$48</definedName>
    <definedName name="_xlnm.Print_Area" localSheetId="4">v2p_Water!$A$2:$Q$203</definedName>
    <definedName name="_xlnm.Print_Titles" localSheetId="0">Overview!$1:$9</definedName>
    <definedName name="_xlnm.Print_Titles" localSheetId="1">'Review Comments'!$2:$4</definedName>
    <definedName name="Project_Type">#REF!</definedName>
    <definedName name="ProjectVers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7" i="9" l="1"/>
  <c r="A96" i="9"/>
  <c r="A95" i="9"/>
  <c r="A94" i="9"/>
  <c r="A93" i="9"/>
  <c r="A92" i="9"/>
  <c r="A91" i="9"/>
  <c r="O90" i="9"/>
  <c r="A90" i="9"/>
  <c r="O89" i="9"/>
  <c r="A89" i="9"/>
  <c r="O88" i="9"/>
  <c r="A88" i="9"/>
  <c r="O87" i="9"/>
  <c r="A87" i="9"/>
  <c r="O86" i="9"/>
  <c r="A86" i="9"/>
  <c r="O85" i="9"/>
  <c r="A85" i="9"/>
  <c r="O84" i="9"/>
  <c r="A84" i="9"/>
  <c r="O83" i="9"/>
  <c r="A83" i="9"/>
  <c r="O82" i="9"/>
  <c r="E82" i="9"/>
  <c r="A82" i="9"/>
  <c r="O81" i="9"/>
  <c r="E81" i="9"/>
  <c r="A81" i="9"/>
  <c r="O80" i="9"/>
  <c r="E80" i="9"/>
  <c r="A80" i="9"/>
  <c r="O79" i="9"/>
  <c r="E79" i="9"/>
  <c r="A79" i="9"/>
  <c r="O78" i="9"/>
  <c r="E78" i="9"/>
  <c r="A78" i="9"/>
  <c r="O77" i="9"/>
  <c r="E77" i="9"/>
  <c r="O76" i="9"/>
  <c r="E76" i="9"/>
  <c r="O75" i="9"/>
  <c r="E75" i="9"/>
  <c r="O74" i="9"/>
  <c r="E74" i="9"/>
  <c r="O73" i="9"/>
  <c r="E73" i="9"/>
  <c r="O72" i="9"/>
  <c r="E72" i="9"/>
  <c r="O71" i="9"/>
  <c r="E71" i="9"/>
  <c r="O70" i="9"/>
  <c r="E70" i="9"/>
  <c r="O69" i="9"/>
  <c r="O68" i="9"/>
  <c r="O67" i="9"/>
  <c r="O66" i="9"/>
  <c r="O65" i="9"/>
  <c r="O64" i="9"/>
  <c r="O63" i="9"/>
  <c r="O62" i="9"/>
  <c r="O61" i="9"/>
  <c r="O60" i="9"/>
  <c r="O59" i="9"/>
  <c r="O58" i="9"/>
  <c r="O57" i="9"/>
  <c r="O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6" i="9"/>
  <c r="O5" i="9"/>
  <c r="O4" i="9"/>
  <c r="O3" i="9"/>
  <c r="O2" i="9"/>
  <c r="U272" i="7"/>
  <c r="T272" i="7"/>
  <c r="S272" i="7"/>
  <c r="R272" i="7"/>
  <c r="Q272" i="7"/>
  <c r="U226" i="7"/>
  <c r="T226" i="7"/>
  <c r="S226" i="7"/>
  <c r="R226" i="7"/>
  <c r="Q226" i="7"/>
  <c r="U198" i="7"/>
  <c r="T198" i="7"/>
  <c r="S198" i="7"/>
  <c r="R198" i="7"/>
  <c r="Q198" i="7"/>
  <c r="U170" i="7"/>
  <c r="T170" i="7"/>
  <c r="S170" i="7"/>
  <c r="R170" i="7"/>
  <c r="Q170" i="7"/>
  <c r="U154" i="7"/>
  <c r="T154" i="7"/>
  <c r="S154" i="7"/>
  <c r="R154" i="7"/>
  <c r="Q154" i="7"/>
  <c r="U136" i="7"/>
  <c r="T136" i="7"/>
  <c r="S136" i="7"/>
  <c r="R136" i="7"/>
  <c r="Q136" i="7"/>
  <c r="U105" i="7"/>
  <c r="T105" i="7"/>
  <c r="S105" i="7"/>
  <c r="R105" i="7"/>
  <c r="Q105" i="7"/>
  <c r="U89" i="7"/>
  <c r="T89" i="7"/>
  <c r="S89" i="7"/>
  <c r="R89" i="7"/>
  <c r="Q89" i="7"/>
  <c r="U64" i="7"/>
  <c r="T64" i="7"/>
  <c r="S64" i="7"/>
  <c r="R64" i="7"/>
  <c r="Q64" i="7"/>
  <c r="U41" i="7"/>
  <c r="T41" i="7"/>
  <c r="S41" i="7"/>
  <c r="R41" i="7"/>
  <c r="Q41" i="7"/>
  <c r="L10" i="7"/>
  <c r="K10" i="7"/>
  <c r="J2" i="7"/>
  <c r="J7" i="7"/>
  <c r="P16" i="9" l="1" a="1"/>
  <c r="P16" i="9" s="1"/>
  <c r="P5" i="9" a="1"/>
  <c r="P5" i="9" s="1"/>
  <c r="P88" i="9" a="1"/>
  <c r="P88" i="9" s="1"/>
  <c r="P59" i="9" a="1"/>
  <c r="P59" i="9" s="1"/>
  <c r="P27" i="9" a="1"/>
  <c r="P27" i="9" s="1"/>
  <c r="P22" i="9" a="1"/>
  <c r="P22" i="9" s="1"/>
  <c r="P38" i="9" a="1"/>
  <c r="P38" i="9" s="1"/>
  <c r="P54" i="9" a="1"/>
  <c r="P54" i="9" s="1"/>
  <c r="P21" i="9" a="1"/>
  <c r="P21" i="9" s="1"/>
  <c r="P6" i="9" a="1"/>
  <c r="P6" i="9" s="1"/>
  <c r="P17" i="9" a="1"/>
  <c r="P17" i="9" s="1"/>
  <c r="P33" i="9" a="1"/>
  <c r="P33" i="9" s="1"/>
  <c r="P49" i="9" a="1"/>
  <c r="P49" i="9" s="1"/>
  <c r="P65" i="9" a="1"/>
  <c r="P65" i="9" s="1"/>
  <c r="P70" i="9" a="1"/>
  <c r="P70" i="9" s="1"/>
  <c r="P74" i="9" a="1"/>
  <c r="P74" i="9" s="1"/>
  <c r="P81" i="9" a="1"/>
  <c r="P81" i="9" s="1"/>
  <c r="P43" i="9" a="1"/>
  <c r="P43" i="9" s="1"/>
  <c r="P12" i="9" a="1"/>
  <c r="P12" i="9" s="1"/>
  <c r="P28" i="9" a="1"/>
  <c r="P28" i="9" s="1"/>
  <c r="P44" i="9" a="1"/>
  <c r="P44" i="9" s="1"/>
  <c r="P60" i="9" a="1"/>
  <c r="P60" i="9" s="1"/>
  <c r="P78" i="9" a="1"/>
  <c r="P78" i="9" s="1"/>
  <c r="P85" i="9" a="1"/>
  <c r="P85" i="9" s="1"/>
  <c r="P89" i="9" a="1"/>
  <c r="P89" i="9" s="1"/>
  <c r="P11" i="9" a="1"/>
  <c r="P11" i="9" s="1"/>
  <c r="P7" i="9" a="1"/>
  <c r="P7" i="9" s="1"/>
  <c r="P23" i="9" a="1"/>
  <c r="P23" i="9" s="1"/>
  <c r="P39" i="9" a="1"/>
  <c r="P39" i="9" s="1"/>
  <c r="P55" i="9" a="1"/>
  <c r="P55" i="9" s="1"/>
  <c r="P2" i="9" a="1"/>
  <c r="P2" i="9" s="1"/>
  <c r="P18" i="9" a="1"/>
  <c r="P18" i="9" s="1"/>
  <c r="P34" i="9" a="1"/>
  <c r="P34" i="9" s="1"/>
  <c r="P50" i="9" a="1"/>
  <c r="P50" i="9" s="1"/>
  <c r="P66" i="9" a="1"/>
  <c r="P66" i="9" s="1"/>
  <c r="P13" i="9" a="1"/>
  <c r="P13" i="9" s="1"/>
  <c r="P29" i="9" a="1"/>
  <c r="P29" i="9" s="1"/>
  <c r="P45" i="9" a="1"/>
  <c r="P45" i="9" s="1"/>
  <c r="P61" i="9" a="1"/>
  <c r="P61" i="9" s="1"/>
  <c r="P71" i="9" a="1"/>
  <c r="P71" i="9" s="1"/>
  <c r="P75" i="9" a="1"/>
  <c r="P75" i="9" s="1"/>
  <c r="P24" i="9" a="1"/>
  <c r="P24" i="9" s="1"/>
  <c r="P40" i="9" a="1"/>
  <c r="P40" i="9" s="1"/>
  <c r="P56" i="9" a="1"/>
  <c r="P56" i="9" s="1"/>
  <c r="P82" i="9" a="1"/>
  <c r="P82" i="9" s="1"/>
  <c r="P86" i="9" a="1"/>
  <c r="P86" i="9" s="1"/>
  <c r="P90" i="9" a="1"/>
  <c r="P90" i="9" s="1"/>
  <c r="P79" i="9" a="1"/>
  <c r="P79" i="9" s="1"/>
  <c r="P35" i="9" a="1"/>
  <c r="P35" i="9" s="1"/>
  <c r="P67" i="9" a="1"/>
  <c r="P67" i="9" s="1"/>
  <c r="P14" i="9" a="1"/>
  <c r="P14" i="9" s="1"/>
  <c r="P30" i="9" a="1"/>
  <c r="P30" i="9" s="1"/>
  <c r="P46" i="9" a="1"/>
  <c r="P46" i="9" s="1"/>
  <c r="P62" i="9" a="1"/>
  <c r="P62" i="9" s="1"/>
  <c r="P8" i="9" a="1"/>
  <c r="P8" i="9" s="1"/>
  <c r="P51" i="9" a="1"/>
  <c r="P51" i="9" s="1"/>
  <c r="P9" i="9" a="1"/>
  <c r="P9" i="9" s="1"/>
  <c r="P25" i="9" a="1"/>
  <c r="P25" i="9" s="1"/>
  <c r="P41" i="9" a="1"/>
  <c r="P41" i="9" s="1"/>
  <c r="P57" i="9" a="1"/>
  <c r="P57" i="9" s="1"/>
  <c r="P72" i="9" a="1"/>
  <c r="P72" i="9" s="1"/>
  <c r="P76" i="9" a="1"/>
  <c r="P76" i="9" s="1"/>
  <c r="P19" i="9" a="1"/>
  <c r="P19" i="9" s="1"/>
  <c r="P20" i="9" a="1"/>
  <c r="P20" i="9" s="1"/>
  <c r="P52" i="9" a="1"/>
  <c r="P52" i="9" s="1"/>
  <c r="P68" i="9" a="1"/>
  <c r="P68" i="9" s="1"/>
  <c r="P83" i="9" a="1"/>
  <c r="P83" i="9" s="1"/>
  <c r="P87" i="9" a="1"/>
  <c r="P87" i="9" s="1"/>
  <c r="P3" i="9" a="1"/>
  <c r="P3" i="9" s="1"/>
  <c r="P4" i="9" a="1"/>
  <c r="P4" i="9" s="1"/>
  <c r="P36" i="9" a="1"/>
  <c r="P36" i="9" s="1"/>
  <c r="P15" i="9" a="1"/>
  <c r="P15" i="9" s="1"/>
  <c r="P31" i="9" a="1"/>
  <c r="P31" i="9" s="1"/>
  <c r="P47" i="9" a="1"/>
  <c r="P47" i="9" s="1"/>
  <c r="P63" i="9" a="1"/>
  <c r="P63" i="9" s="1"/>
  <c r="P10" i="9" a="1"/>
  <c r="P10" i="9" s="1"/>
  <c r="P26" i="9" a="1"/>
  <c r="P26" i="9" s="1"/>
  <c r="P42" i="9" a="1"/>
  <c r="P42" i="9" s="1"/>
  <c r="P58" i="9" a="1"/>
  <c r="P58" i="9" s="1"/>
  <c r="P80" i="9" a="1"/>
  <c r="P80" i="9" s="1"/>
  <c r="P53" i="9" a="1"/>
  <c r="P53" i="9" s="1"/>
  <c r="P69" i="9" a="1"/>
  <c r="P69" i="9" s="1"/>
  <c r="P73" i="9" a="1"/>
  <c r="P73" i="9" s="1"/>
  <c r="P77" i="9" a="1"/>
  <c r="P77" i="9" s="1"/>
  <c r="P37" i="9" a="1"/>
  <c r="P37" i="9" s="1"/>
  <c r="P32" i="9" a="1"/>
  <c r="P32" i="9" s="1"/>
  <c r="P48" i="9" a="1"/>
  <c r="P48" i="9" s="1"/>
  <c r="P64" i="9" a="1"/>
  <c r="P64" i="9" s="1"/>
  <c r="P84" i="9" a="1"/>
  <c r="P84" i="9" s="1"/>
  <c r="A2" i="1" l="1"/>
  <c r="M324" i="8"/>
  <c r="L324" i="8"/>
  <c r="S323" i="8"/>
  <c r="R323" i="8"/>
  <c r="Q323" i="8"/>
  <c r="P323" i="8"/>
  <c r="M323" i="8"/>
  <c r="L323" i="8"/>
  <c r="S322" i="8"/>
  <c r="R322" i="8"/>
  <c r="Q322" i="8"/>
  <c r="P322" i="8"/>
  <c r="M322" i="8"/>
  <c r="L322" i="8"/>
  <c r="S321" i="8"/>
  <c r="R321" i="8"/>
  <c r="Q321" i="8"/>
  <c r="P321" i="8"/>
  <c r="M321" i="8"/>
  <c r="L321" i="8"/>
  <c r="S320" i="8"/>
  <c r="R320" i="8"/>
  <c r="Q320" i="8"/>
  <c r="P320" i="8"/>
  <c r="M320" i="8"/>
  <c r="L320" i="8"/>
  <c r="S319" i="8"/>
  <c r="R319" i="8"/>
  <c r="Q319" i="8"/>
  <c r="P319" i="8"/>
  <c r="M319" i="8"/>
  <c r="L319" i="8"/>
  <c r="S318" i="8"/>
  <c r="R318" i="8"/>
  <c r="Q318" i="8"/>
  <c r="P318" i="8"/>
  <c r="M318" i="8"/>
  <c r="L318" i="8"/>
  <c r="S317" i="8"/>
  <c r="R317" i="8"/>
  <c r="Q317" i="8"/>
  <c r="P317" i="8"/>
  <c r="M317" i="8"/>
  <c r="L317" i="8"/>
  <c r="S316" i="8"/>
  <c r="R316" i="8"/>
  <c r="Q316" i="8"/>
  <c r="P316" i="8"/>
  <c r="M316" i="8"/>
  <c r="L316" i="8"/>
  <c r="S315" i="8"/>
  <c r="R315" i="8"/>
  <c r="Q315" i="8"/>
  <c r="P315" i="8"/>
  <c r="M315" i="8"/>
  <c r="L315" i="8"/>
  <c r="S314" i="8"/>
  <c r="R314" i="8"/>
  <c r="Q314" i="8"/>
  <c r="P314" i="8"/>
  <c r="S313" i="8"/>
  <c r="R313" i="8"/>
  <c r="Q313" i="8"/>
  <c r="P313" i="8"/>
  <c r="S312" i="8"/>
  <c r="R312" i="8"/>
  <c r="Q312" i="8"/>
  <c r="P312" i="8"/>
  <c r="S311" i="8"/>
  <c r="R311" i="8"/>
  <c r="Q311" i="8"/>
  <c r="P311" i="8"/>
  <c r="S310" i="8"/>
  <c r="R310" i="8"/>
  <c r="Q310" i="8"/>
  <c r="P310" i="8"/>
  <c r="S309" i="8"/>
  <c r="R309" i="8"/>
  <c r="Q309" i="8"/>
  <c r="P309" i="8"/>
  <c r="S308" i="8"/>
  <c r="R308" i="8"/>
  <c r="Q308" i="8"/>
  <c r="P308" i="8"/>
  <c r="S307" i="8"/>
  <c r="R307" i="8"/>
  <c r="Q307" i="8"/>
  <c r="P307" i="8"/>
  <c r="S306" i="8"/>
  <c r="R306" i="8"/>
  <c r="Q306" i="8"/>
  <c r="P306" i="8"/>
  <c r="S305" i="8"/>
  <c r="R305" i="8"/>
  <c r="Q305" i="8"/>
  <c r="P305" i="8"/>
  <c r="S304" i="8"/>
  <c r="R304" i="8"/>
  <c r="Q304" i="8"/>
  <c r="P304" i="8"/>
  <c r="M303" i="8"/>
  <c r="L303" i="8"/>
  <c r="M302" i="8"/>
  <c r="L302" i="8"/>
  <c r="N301" i="8"/>
  <c r="M301" i="8"/>
  <c r="L301" i="8"/>
  <c r="W300" i="8"/>
  <c r="V300" i="8"/>
  <c r="U300" i="8"/>
  <c r="T300" i="8"/>
  <c r="S300" i="8"/>
  <c r="R300" i="8"/>
  <c r="Q300" i="8"/>
  <c r="P300" i="8"/>
  <c r="O300" i="8"/>
  <c r="N300" i="8"/>
  <c r="M300" i="8"/>
  <c r="L300" i="8"/>
  <c r="W299" i="8"/>
  <c r="V299" i="8"/>
  <c r="U299" i="8"/>
  <c r="T299" i="8"/>
  <c r="S299" i="8"/>
  <c r="R299" i="8"/>
  <c r="Q299" i="8"/>
  <c r="P299" i="8"/>
  <c r="O299" i="8"/>
  <c r="N299" i="8"/>
  <c r="M299" i="8"/>
  <c r="L299" i="8"/>
  <c r="W298" i="8"/>
  <c r="V298" i="8"/>
  <c r="U298" i="8"/>
  <c r="T298" i="8"/>
  <c r="S298" i="8"/>
  <c r="R298" i="8"/>
  <c r="Q298" i="8"/>
  <c r="P298" i="8"/>
  <c r="O298" i="8"/>
  <c r="N298" i="8"/>
  <c r="M298" i="8"/>
  <c r="L298" i="8"/>
  <c r="W297" i="8"/>
  <c r="V297" i="8"/>
  <c r="U297" i="8"/>
  <c r="T297" i="8"/>
  <c r="S297" i="8"/>
  <c r="R297" i="8"/>
  <c r="Q297" i="8"/>
  <c r="P297" i="8"/>
  <c r="O297" i="8"/>
  <c r="N297" i="8"/>
  <c r="M297" i="8"/>
  <c r="L297" i="8"/>
  <c r="W296" i="8"/>
  <c r="V296" i="8"/>
  <c r="U296" i="8"/>
  <c r="T296" i="8"/>
  <c r="S296" i="8"/>
  <c r="R296" i="8"/>
  <c r="Q296" i="8"/>
  <c r="P296" i="8"/>
  <c r="O296" i="8"/>
  <c r="N296" i="8"/>
  <c r="M296" i="8"/>
  <c r="L296" i="8"/>
  <c r="W295" i="8"/>
  <c r="V295" i="8"/>
  <c r="U295" i="8"/>
  <c r="T295" i="8"/>
  <c r="S295" i="8"/>
  <c r="R295" i="8"/>
  <c r="Q295" i="8"/>
  <c r="P295" i="8"/>
  <c r="O295" i="8"/>
  <c r="N295" i="8"/>
  <c r="M295" i="8"/>
  <c r="L295" i="8"/>
  <c r="W294" i="8"/>
  <c r="V294" i="8"/>
  <c r="U294" i="8"/>
  <c r="T294" i="8"/>
  <c r="S294" i="8"/>
  <c r="R294" i="8"/>
  <c r="Q294" i="8"/>
  <c r="P294" i="8"/>
  <c r="O294" i="8"/>
  <c r="N294" i="8"/>
  <c r="M294" i="8"/>
  <c r="L294" i="8"/>
  <c r="W293" i="8"/>
  <c r="V293" i="8"/>
  <c r="U293" i="8"/>
  <c r="T293" i="8"/>
  <c r="S293" i="8"/>
  <c r="R293" i="8"/>
  <c r="Q293" i="8"/>
  <c r="P293" i="8"/>
  <c r="O293" i="8"/>
  <c r="N293" i="8"/>
  <c r="M293" i="8"/>
  <c r="L293" i="8"/>
  <c r="W292" i="8"/>
  <c r="V292" i="8"/>
  <c r="U292" i="8"/>
  <c r="T292" i="8"/>
  <c r="S292" i="8"/>
  <c r="R292" i="8"/>
  <c r="Q292" i="8"/>
  <c r="P292" i="8"/>
  <c r="O292" i="8"/>
  <c r="N292" i="8"/>
  <c r="M292" i="8"/>
  <c r="L292" i="8"/>
  <c r="W291" i="8"/>
  <c r="V291" i="8"/>
  <c r="U291" i="8"/>
  <c r="T291" i="8"/>
  <c r="S291" i="8"/>
  <c r="R291" i="8"/>
  <c r="Q291" i="8"/>
  <c r="P291" i="8"/>
  <c r="O291" i="8"/>
  <c r="N291" i="8"/>
  <c r="M291" i="8"/>
  <c r="L291" i="8"/>
  <c r="W290" i="8"/>
  <c r="V290" i="8"/>
  <c r="U290" i="8"/>
  <c r="T290" i="8"/>
  <c r="S290" i="8"/>
  <c r="R290" i="8"/>
  <c r="Q290" i="8"/>
  <c r="P290" i="8"/>
  <c r="O290" i="8"/>
  <c r="N290" i="8"/>
  <c r="M290" i="8"/>
  <c r="L290" i="8"/>
  <c r="W289" i="8"/>
  <c r="V289" i="8"/>
  <c r="U289" i="8"/>
  <c r="T289" i="8"/>
  <c r="S289" i="8"/>
  <c r="R289" i="8"/>
  <c r="Q289" i="8"/>
  <c r="P289" i="8"/>
  <c r="O289" i="8"/>
  <c r="N289" i="8"/>
  <c r="M289" i="8"/>
  <c r="L289" i="8"/>
  <c r="W288" i="8"/>
  <c r="V288" i="8"/>
  <c r="U288" i="8"/>
  <c r="T288" i="8"/>
  <c r="S288" i="8"/>
  <c r="R288" i="8"/>
  <c r="Q288" i="8"/>
  <c r="P288" i="8"/>
  <c r="O288" i="8"/>
  <c r="N288" i="8"/>
  <c r="M288" i="8"/>
  <c r="L288" i="8"/>
  <c r="W287" i="8"/>
  <c r="V287" i="8"/>
  <c r="U287" i="8"/>
  <c r="T287" i="8"/>
  <c r="S287" i="8"/>
  <c r="R287" i="8"/>
  <c r="Q287" i="8"/>
  <c r="P287" i="8"/>
  <c r="O287" i="8"/>
  <c r="N287" i="8"/>
  <c r="M287" i="8"/>
  <c r="L287" i="8"/>
  <c r="W286" i="8"/>
  <c r="V286" i="8"/>
  <c r="U286" i="8"/>
  <c r="T286" i="8"/>
  <c r="S286" i="8"/>
  <c r="R286" i="8"/>
  <c r="Q286" i="8"/>
  <c r="P286" i="8"/>
  <c r="O286" i="8"/>
  <c r="N286" i="8"/>
  <c r="M286" i="8"/>
  <c r="L286" i="8"/>
  <c r="W285" i="8"/>
  <c r="V285" i="8"/>
  <c r="U285" i="8"/>
  <c r="T285" i="8"/>
  <c r="S285" i="8"/>
  <c r="R285" i="8"/>
  <c r="Q285" i="8"/>
  <c r="P285" i="8"/>
  <c r="O285" i="8"/>
  <c r="N285" i="8"/>
  <c r="M285" i="8"/>
  <c r="L285" i="8"/>
  <c r="W284" i="8"/>
  <c r="V284" i="8"/>
  <c r="U284" i="8"/>
  <c r="T284" i="8"/>
  <c r="S284" i="8"/>
  <c r="R284" i="8"/>
  <c r="Q284" i="8"/>
  <c r="P284" i="8"/>
  <c r="O284" i="8"/>
  <c r="N284" i="8"/>
  <c r="M284" i="8"/>
  <c r="L284" i="8"/>
  <c r="W283" i="8"/>
  <c r="V283" i="8"/>
  <c r="U283" i="8"/>
  <c r="T283" i="8"/>
  <c r="S283" i="8"/>
  <c r="R283" i="8"/>
  <c r="Q283" i="8"/>
  <c r="P283" i="8"/>
  <c r="O283" i="8"/>
  <c r="N283" i="8"/>
  <c r="M283" i="8"/>
  <c r="L283" i="8"/>
  <c r="W282" i="8"/>
  <c r="V282" i="8"/>
  <c r="U282" i="8"/>
  <c r="T282" i="8"/>
  <c r="S282" i="8"/>
  <c r="R282" i="8"/>
  <c r="Q282" i="8"/>
  <c r="P282" i="8"/>
  <c r="O282" i="8"/>
  <c r="N282" i="8"/>
  <c r="M282" i="8"/>
  <c r="L282" i="8"/>
  <c r="W281" i="8"/>
  <c r="V281" i="8"/>
  <c r="U281" i="8"/>
  <c r="T281" i="8"/>
  <c r="S281" i="8"/>
  <c r="R281" i="8"/>
  <c r="Q281" i="8"/>
  <c r="P281" i="8"/>
  <c r="O281" i="8"/>
  <c r="N281" i="8"/>
  <c r="M281" i="8"/>
  <c r="L281" i="8"/>
  <c r="W280" i="8"/>
  <c r="V280" i="8"/>
  <c r="U280" i="8"/>
  <c r="T280" i="8"/>
  <c r="S280" i="8"/>
  <c r="R280" i="8"/>
  <c r="Q280" i="8"/>
  <c r="P280" i="8"/>
  <c r="O280" i="8"/>
  <c r="N280" i="8"/>
  <c r="M280" i="8"/>
  <c r="L280" i="8"/>
  <c r="W279" i="8"/>
  <c r="V279" i="8"/>
  <c r="U279" i="8"/>
  <c r="T279" i="8"/>
  <c r="S279" i="8"/>
  <c r="R279" i="8"/>
  <c r="Q279" i="8"/>
  <c r="P279" i="8"/>
  <c r="O279" i="8"/>
  <c r="N279" i="8"/>
  <c r="M279" i="8"/>
  <c r="L279" i="8"/>
  <c r="W278" i="8"/>
  <c r="V278" i="8"/>
  <c r="U278" i="8"/>
  <c r="T278" i="8"/>
  <c r="S278" i="8"/>
  <c r="R278" i="8"/>
  <c r="Q278" i="8"/>
  <c r="P278" i="8"/>
  <c r="O278" i="8"/>
  <c r="N278" i="8"/>
  <c r="M278" i="8"/>
  <c r="L278" i="8"/>
  <c r="W277" i="8"/>
  <c r="V277" i="8"/>
  <c r="U277" i="8"/>
  <c r="T277" i="8"/>
  <c r="S277" i="8"/>
  <c r="R277" i="8"/>
  <c r="Q277" i="8"/>
  <c r="P277" i="8"/>
  <c r="O277" i="8"/>
  <c r="N277" i="8"/>
  <c r="M277" i="8"/>
  <c r="L277" i="8"/>
  <c r="W276" i="8"/>
  <c r="V276" i="8"/>
  <c r="U276" i="8"/>
  <c r="T276" i="8"/>
  <c r="S276" i="8"/>
  <c r="R276" i="8"/>
  <c r="Q276" i="8"/>
  <c r="P276" i="8"/>
  <c r="O276" i="8"/>
  <c r="N276" i="8"/>
  <c r="M276" i="8"/>
  <c r="L276" i="8"/>
  <c r="W275" i="8"/>
  <c r="V275" i="8"/>
  <c r="U275" i="8"/>
  <c r="T275" i="8"/>
  <c r="S275" i="8"/>
  <c r="R275" i="8"/>
  <c r="Q275" i="8"/>
  <c r="P275" i="8"/>
  <c r="O275" i="8"/>
  <c r="N275" i="8"/>
  <c r="M275" i="8"/>
  <c r="L275" i="8"/>
  <c r="W274" i="8"/>
  <c r="V274" i="8"/>
  <c r="U274" i="8"/>
  <c r="T274" i="8"/>
  <c r="S274" i="8"/>
  <c r="R274" i="8"/>
  <c r="Q274" i="8"/>
  <c r="P274" i="8"/>
  <c r="O274" i="8"/>
  <c r="N274" i="8"/>
  <c r="M274" i="8"/>
  <c r="L274" i="8"/>
  <c r="W273" i="8"/>
  <c r="V273" i="8"/>
  <c r="U273" i="8"/>
  <c r="T273" i="8"/>
  <c r="S273" i="8"/>
  <c r="R273" i="8"/>
  <c r="Q273" i="8"/>
  <c r="P273" i="8"/>
  <c r="O273" i="8"/>
  <c r="N273" i="8"/>
  <c r="M273" i="8"/>
  <c r="L273" i="8"/>
  <c r="W272" i="8"/>
  <c r="V272" i="8"/>
  <c r="U272" i="8"/>
  <c r="T272" i="8"/>
  <c r="S272" i="8"/>
  <c r="R272" i="8"/>
  <c r="Q272" i="8"/>
  <c r="P272" i="8"/>
  <c r="O272" i="8"/>
  <c r="N272" i="8"/>
  <c r="M272" i="8"/>
  <c r="L272" i="8"/>
  <c r="W271" i="8"/>
  <c r="V271" i="8"/>
  <c r="U271" i="8"/>
  <c r="T271" i="8"/>
  <c r="S271" i="8"/>
  <c r="R271" i="8"/>
  <c r="Q271" i="8"/>
  <c r="P271" i="8"/>
  <c r="O271" i="8"/>
  <c r="N271" i="8"/>
  <c r="M271" i="8"/>
  <c r="L271" i="8"/>
  <c r="W270" i="8"/>
  <c r="V270" i="8"/>
  <c r="U270" i="8"/>
  <c r="T270" i="8"/>
  <c r="S270" i="8"/>
  <c r="R270" i="8"/>
  <c r="Q270" i="8"/>
  <c r="P270" i="8"/>
  <c r="O270" i="8"/>
  <c r="N270" i="8"/>
  <c r="M270" i="8"/>
  <c r="L270" i="8"/>
  <c r="W269" i="8"/>
  <c r="V269" i="8"/>
  <c r="U269" i="8"/>
  <c r="T269" i="8"/>
  <c r="S269" i="8"/>
  <c r="R269" i="8"/>
  <c r="Q269" i="8"/>
  <c r="P269" i="8"/>
  <c r="O269" i="8"/>
  <c r="N269" i="8"/>
  <c r="M269" i="8"/>
  <c r="L269" i="8"/>
  <c r="W268" i="8"/>
  <c r="V268" i="8"/>
  <c r="U268" i="8"/>
  <c r="T268" i="8"/>
  <c r="S268" i="8"/>
  <c r="R268" i="8"/>
  <c r="Q268" i="8"/>
  <c r="P268" i="8"/>
  <c r="O268" i="8"/>
  <c r="N268" i="8"/>
  <c r="M268" i="8"/>
  <c r="L268" i="8"/>
  <c r="W267" i="8"/>
  <c r="V267" i="8"/>
  <c r="U267" i="8"/>
  <c r="T267" i="8"/>
  <c r="S267" i="8"/>
  <c r="R267" i="8"/>
  <c r="Q267" i="8"/>
  <c r="P267" i="8"/>
  <c r="O267" i="8"/>
  <c r="N267" i="8"/>
  <c r="M267" i="8"/>
  <c r="L267" i="8"/>
  <c r="W266" i="8"/>
  <c r="V266" i="8"/>
  <c r="U266" i="8"/>
  <c r="T266" i="8"/>
  <c r="S266" i="8"/>
  <c r="R266" i="8"/>
  <c r="Q266" i="8"/>
  <c r="P266" i="8"/>
  <c r="O266" i="8"/>
  <c r="N266" i="8"/>
  <c r="M266" i="8"/>
  <c r="L266" i="8"/>
  <c r="W265" i="8"/>
  <c r="V265" i="8"/>
  <c r="U265" i="8"/>
  <c r="T265" i="8"/>
  <c r="S265" i="8"/>
  <c r="R265" i="8"/>
  <c r="Q265" i="8"/>
  <c r="P265" i="8"/>
  <c r="O265" i="8"/>
  <c r="N265" i="8"/>
  <c r="M265" i="8"/>
  <c r="L265" i="8"/>
  <c r="W264" i="8"/>
  <c r="V264" i="8"/>
  <c r="U264" i="8"/>
  <c r="T264" i="8"/>
  <c r="S264" i="8"/>
  <c r="R264" i="8"/>
  <c r="Q264" i="8"/>
  <c r="P264" i="8"/>
  <c r="O264" i="8"/>
  <c r="N264" i="8"/>
  <c r="M264" i="8"/>
  <c r="L264" i="8"/>
  <c r="W263" i="8"/>
  <c r="V263" i="8"/>
  <c r="U263" i="8"/>
  <c r="T263" i="8"/>
  <c r="S263" i="8"/>
  <c r="R263" i="8"/>
  <c r="Q263" i="8"/>
  <c r="P263" i="8"/>
  <c r="O263" i="8"/>
  <c r="N263" i="8"/>
  <c r="M263" i="8"/>
  <c r="L263" i="8"/>
  <c r="W262" i="8"/>
  <c r="V262" i="8"/>
  <c r="U262" i="8"/>
  <c r="T262" i="8"/>
  <c r="S262" i="8"/>
  <c r="R262" i="8"/>
  <c r="Q262" i="8"/>
  <c r="P262" i="8"/>
  <c r="O262" i="8"/>
  <c r="N262" i="8"/>
  <c r="M262" i="8"/>
  <c r="L262" i="8"/>
  <c r="W261" i="8"/>
  <c r="V261" i="8"/>
  <c r="U261" i="8"/>
  <c r="T261" i="8"/>
  <c r="S261" i="8"/>
  <c r="R261" i="8"/>
  <c r="Q261" i="8"/>
  <c r="P261" i="8"/>
  <c r="O261" i="8"/>
  <c r="N261" i="8"/>
  <c r="M261" i="8"/>
  <c r="L261" i="8"/>
  <c r="W260" i="8"/>
  <c r="V260" i="8"/>
  <c r="U260" i="8"/>
  <c r="T260" i="8"/>
  <c r="S260" i="8"/>
  <c r="R260" i="8"/>
  <c r="Q260" i="8"/>
  <c r="P260" i="8"/>
  <c r="O260" i="8"/>
  <c r="N260" i="8"/>
  <c r="M260" i="8"/>
  <c r="L260" i="8"/>
  <c r="W259" i="8"/>
  <c r="V259" i="8"/>
  <c r="U259" i="8"/>
  <c r="T259" i="8"/>
  <c r="S259" i="8"/>
  <c r="R259" i="8"/>
  <c r="Q259" i="8"/>
  <c r="P259" i="8"/>
  <c r="O259" i="8"/>
  <c r="N259" i="8"/>
  <c r="M259" i="8"/>
  <c r="L259" i="8"/>
  <c r="W258" i="8"/>
  <c r="V258" i="8"/>
  <c r="U258" i="8"/>
  <c r="T258" i="8"/>
  <c r="S258" i="8"/>
  <c r="R258" i="8"/>
  <c r="Q258" i="8"/>
  <c r="P258" i="8"/>
  <c r="O258" i="8"/>
  <c r="N258" i="8"/>
  <c r="M258" i="8"/>
  <c r="L258" i="8"/>
  <c r="W257" i="8"/>
  <c r="V257" i="8"/>
  <c r="U257" i="8"/>
  <c r="T257" i="8"/>
  <c r="S257" i="8"/>
  <c r="R257" i="8"/>
  <c r="Q257" i="8"/>
  <c r="P257" i="8"/>
  <c r="O257" i="8"/>
  <c r="N257" i="8"/>
  <c r="M257" i="8"/>
  <c r="L257" i="8"/>
  <c r="W256" i="8"/>
  <c r="V256" i="8"/>
  <c r="U256" i="8"/>
  <c r="T256" i="8"/>
  <c r="S256" i="8"/>
  <c r="R256" i="8"/>
  <c r="Q256" i="8"/>
  <c r="P256" i="8"/>
  <c r="O256" i="8"/>
  <c r="N256" i="8"/>
  <c r="M256" i="8"/>
  <c r="L256" i="8"/>
  <c r="W255" i="8"/>
  <c r="V255" i="8"/>
  <c r="U255" i="8"/>
  <c r="T255" i="8"/>
  <c r="S255" i="8"/>
  <c r="R255" i="8"/>
  <c r="Q255" i="8"/>
  <c r="P255" i="8"/>
  <c r="O255" i="8"/>
  <c r="N255" i="8"/>
  <c r="M255" i="8"/>
  <c r="L255" i="8"/>
  <c r="W254" i="8"/>
  <c r="V254" i="8"/>
  <c r="U254" i="8"/>
  <c r="T254" i="8"/>
  <c r="O254" i="8"/>
  <c r="N254" i="8"/>
  <c r="M254" i="8"/>
  <c r="L254" i="8"/>
  <c r="W253" i="8"/>
  <c r="V253" i="8"/>
  <c r="U253" i="8"/>
  <c r="T253" i="8"/>
  <c r="O253" i="8"/>
  <c r="N253" i="8"/>
  <c r="M253" i="8"/>
  <c r="L253" i="8"/>
  <c r="W252" i="8"/>
  <c r="V252" i="8"/>
  <c r="U252" i="8"/>
  <c r="T252" i="8"/>
  <c r="O252" i="8"/>
  <c r="N252" i="8"/>
  <c r="M252" i="8"/>
  <c r="L252" i="8"/>
  <c r="W251" i="8"/>
  <c r="V251" i="8"/>
  <c r="U251" i="8"/>
  <c r="T251" i="8"/>
  <c r="S251" i="8"/>
  <c r="R251" i="8"/>
  <c r="Q251" i="8"/>
  <c r="P251" i="8"/>
  <c r="O251" i="8"/>
  <c r="N251" i="8"/>
  <c r="M251" i="8"/>
  <c r="L251" i="8"/>
  <c r="W250" i="8"/>
  <c r="V250" i="8"/>
  <c r="U250" i="8"/>
  <c r="T250" i="8"/>
  <c r="S250" i="8"/>
  <c r="R250" i="8"/>
  <c r="Q250" i="8"/>
  <c r="P250" i="8"/>
  <c r="O250" i="8"/>
  <c r="N250" i="8"/>
  <c r="M250" i="8"/>
  <c r="L250" i="8"/>
  <c r="W249" i="8"/>
  <c r="V249" i="8"/>
  <c r="U249" i="8"/>
  <c r="T249" i="8"/>
  <c r="S249" i="8"/>
  <c r="R249" i="8"/>
  <c r="Q249" i="8"/>
  <c r="P249" i="8"/>
  <c r="O249" i="8"/>
  <c r="N249" i="8"/>
  <c r="M249" i="8"/>
  <c r="L249" i="8"/>
  <c r="W248" i="8"/>
  <c r="V248" i="8"/>
  <c r="U248" i="8"/>
  <c r="T248" i="8"/>
  <c r="S248" i="8"/>
  <c r="R248" i="8"/>
  <c r="Q248" i="8"/>
  <c r="P248" i="8"/>
  <c r="O248" i="8"/>
  <c r="N248" i="8"/>
  <c r="M248" i="8"/>
  <c r="L248" i="8"/>
  <c r="W247" i="8"/>
  <c r="V247" i="8"/>
  <c r="U247" i="8"/>
  <c r="T247" i="8"/>
  <c r="S247" i="8"/>
  <c r="R247" i="8"/>
  <c r="Q247" i="8"/>
  <c r="P247" i="8"/>
  <c r="O247" i="8"/>
  <c r="N247" i="8"/>
  <c r="M247" i="8"/>
  <c r="L247" i="8"/>
  <c r="W246" i="8"/>
  <c r="V246" i="8"/>
  <c r="U246" i="8"/>
  <c r="T246" i="8"/>
  <c r="S246" i="8"/>
  <c r="R246" i="8"/>
  <c r="Q246" i="8"/>
  <c r="P246" i="8"/>
  <c r="O246" i="8"/>
  <c r="N246" i="8"/>
  <c r="M246" i="8"/>
  <c r="L246" i="8"/>
  <c r="W245" i="8"/>
  <c r="V245" i="8"/>
  <c r="U245" i="8"/>
  <c r="T245" i="8"/>
  <c r="S245" i="8"/>
  <c r="R245" i="8"/>
  <c r="Q245" i="8"/>
  <c r="P245" i="8"/>
  <c r="O245" i="8"/>
  <c r="N245" i="8"/>
  <c r="M245" i="8"/>
  <c r="L245" i="8"/>
  <c r="W244" i="8"/>
  <c r="V244" i="8"/>
  <c r="U244" i="8"/>
  <c r="T244" i="8"/>
  <c r="S244" i="8"/>
  <c r="R244" i="8"/>
  <c r="Q244" i="8"/>
  <c r="P244" i="8"/>
  <c r="O244" i="8"/>
  <c r="N244" i="8"/>
  <c r="M244" i="8"/>
  <c r="L244" i="8"/>
  <c r="W243" i="8"/>
  <c r="V243" i="8"/>
  <c r="U243" i="8"/>
  <c r="T243" i="8"/>
  <c r="S243" i="8"/>
  <c r="R243" i="8"/>
  <c r="Q243" i="8"/>
  <c r="P243" i="8"/>
  <c r="O243" i="8"/>
  <c r="N243" i="8"/>
  <c r="M243" i="8"/>
  <c r="L243" i="8"/>
  <c r="W242" i="8"/>
  <c r="V242" i="8"/>
  <c r="U242" i="8"/>
  <c r="T242" i="8"/>
  <c r="S242" i="8"/>
  <c r="R242" i="8"/>
  <c r="Q242" i="8"/>
  <c r="P242" i="8"/>
  <c r="O242" i="8"/>
  <c r="N242" i="8"/>
  <c r="M242" i="8"/>
  <c r="L242" i="8"/>
  <c r="W241" i="8"/>
  <c r="V241" i="8"/>
  <c r="U241" i="8"/>
  <c r="T241" i="8"/>
  <c r="S241" i="8"/>
  <c r="R241" i="8"/>
  <c r="Q241" i="8"/>
  <c r="P241" i="8"/>
  <c r="O241" i="8"/>
  <c r="N241" i="8"/>
  <c r="M241" i="8"/>
  <c r="L241" i="8"/>
  <c r="W240" i="8"/>
  <c r="V240" i="8"/>
  <c r="U240" i="8"/>
  <c r="T240" i="8"/>
  <c r="S240" i="8"/>
  <c r="R240" i="8"/>
  <c r="Q240" i="8"/>
  <c r="P240" i="8"/>
  <c r="O240" i="8"/>
  <c r="N240" i="8"/>
  <c r="M240" i="8"/>
  <c r="L240" i="8"/>
  <c r="W239" i="8"/>
  <c r="V239" i="8"/>
  <c r="U239" i="8"/>
  <c r="T239" i="8"/>
  <c r="S239" i="8"/>
  <c r="R239" i="8"/>
  <c r="Q239" i="8"/>
  <c r="P239" i="8"/>
  <c r="O239" i="8"/>
  <c r="N239" i="8"/>
  <c r="M239" i="8"/>
  <c r="L239" i="8"/>
  <c r="W238" i="8"/>
  <c r="V238" i="8"/>
  <c r="U238" i="8"/>
  <c r="T238" i="8"/>
  <c r="S238" i="8"/>
  <c r="R238" i="8"/>
  <c r="Q238" i="8"/>
  <c r="P238" i="8"/>
  <c r="O238" i="8"/>
  <c r="N238" i="8"/>
  <c r="M238" i="8"/>
  <c r="L238" i="8"/>
  <c r="W237" i="8"/>
  <c r="V237" i="8"/>
  <c r="U237" i="8"/>
  <c r="T237" i="8"/>
  <c r="S237" i="8"/>
  <c r="R237" i="8"/>
  <c r="Q237" i="8"/>
  <c r="P237" i="8"/>
  <c r="O237" i="8"/>
  <c r="N237" i="8"/>
  <c r="M237" i="8"/>
  <c r="L237" i="8"/>
  <c r="W236" i="8"/>
  <c r="V236" i="8"/>
  <c r="U236" i="8"/>
  <c r="T236" i="8"/>
  <c r="S236" i="8"/>
  <c r="R236" i="8"/>
  <c r="Q236" i="8"/>
  <c r="P236" i="8"/>
  <c r="O236" i="8"/>
  <c r="N236" i="8"/>
  <c r="M236" i="8"/>
  <c r="L236" i="8"/>
  <c r="W235" i="8"/>
  <c r="V235" i="8"/>
  <c r="U235" i="8"/>
  <c r="T235" i="8"/>
  <c r="S235" i="8"/>
  <c r="R235" i="8"/>
  <c r="Q235" i="8"/>
  <c r="P235" i="8"/>
  <c r="O235" i="8"/>
  <c r="N235" i="8"/>
  <c r="M235" i="8"/>
  <c r="L235" i="8"/>
  <c r="W234" i="8"/>
  <c r="V234" i="8"/>
  <c r="U234" i="8"/>
  <c r="T234" i="8"/>
  <c r="S234" i="8"/>
  <c r="R234" i="8"/>
  <c r="Q234" i="8"/>
  <c r="P234" i="8"/>
  <c r="O234" i="8"/>
  <c r="N234" i="8"/>
  <c r="M234" i="8"/>
  <c r="L234" i="8"/>
  <c r="W233" i="8"/>
  <c r="V233" i="8"/>
  <c r="U233" i="8"/>
  <c r="T233" i="8"/>
  <c r="S233" i="8"/>
  <c r="R233" i="8"/>
  <c r="Q233" i="8"/>
  <c r="P233" i="8"/>
  <c r="O233" i="8"/>
  <c r="N233" i="8"/>
  <c r="M233" i="8"/>
  <c r="L233" i="8"/>
  <c r="W232" i="8"/>
  <c r="V232" i="8"/>
  <c r="U232" i="8"/>
  <c r="T232" i="8"/>
  <c r="S232" i="8"/>
  <c r="R232" i="8"/>
  <c r="Q232" i="8"/>
  <c r="P232" i="8"/>
  <c r="O232" i="8"/>
  <c r="N232" i="8"/>
  <c r="M232" i="8"/>
  <c r="L232" i="8"/>
  <c r="W231" i="8"/>
  <c r="V231" i="8"/>
  <c r="U231" i="8"/>
  <c r="T231" i="8"/>
  <c r="S231" i="8"/>
  <c r="R231" i="8"/>
  <c r="Q231" i="8"/>
  <c r="P231" i="8"/>
  <c r="O231" i="8"/>
  <c r="N231" i="8"/>
  <c r="M231" i="8"/>
  <c r="L231" i="8"/>
  <c r="W230" i="8"/>
  <c r="V230" i="8"/>
  <c r="U230" i="8"/>
  <c r="T230" i="8"/>
  <c r="S230" i="8"/>
  <c r="R230" i="8"/>
  <c r="Q230" i="8"/>
  <c r="P230" i="8"/>
  <c r="O230" i="8"/>
  <c r="N230" i="8"/>
  <c r="M230" i="8"/>
  <c r="L230" i="8"/>
  <c r="W229" i="8"/>
  <c r="V229" i="8"/>
  <c r="U229" i="8"/>
  <c r="T229" i="8"/>
  <c r="S229" i="8"/>
  <c r="R229" i="8"/>
  <c r="Q229" i="8"/>
  <c r="P229" i="8"/>
  <c r="O229" i="8"/>
  <c r="N229" i="8"/>
  <c r="M229" i="8"/>
  <c r="L229" i="8"/>
  <c r="W228" i="8"/>
  <c r="V228" i="8"/>
  <c r="U228" i="8"/>
  <c r="T228" i="8"/>
  <c r="S228" i="8"/>
  <c r="R228" i="8"/>
  <c r="Q228" i="8"/>
  <c r="P228" i="8"/>
  <c r="O228" i="8"/>
  <c r="N228" i="8"/>
  <c r="M228" i="8"/>
  <c r="L228" i="8"/>
  <c r="W227" i="8"/>
  <c r="V227" i="8"/>
  <c r="U227" i="8"/>
  <c r="T227" i="8"/>
  <c r="S227" i="8"/>
  <c r="R227" i="8"/>
  <c r="Q227" i="8"/>
  <c r="P227" i="8"/>
  <c r="O227" i="8"/>
  <c r="N227" i="8"/>
  <c r="M227" i="8"/>
  <c r="L227" i="8"/>
  <c r="W226" i="8"/>
  <c r="V226" i="8"/>
  <c r="U226" i="8"/>
  <c r="T226" i="8"/>
  <c r="S226" i="8"/>
  <c r="R226" i="8"/>
  <c r="Q226" i="8"/>
  <c r="P226" i="8"/>
  <c r="O226" i="8"/>
  <c r="N226" i="8"/>
  <c r="M226" i="8"/>
  <c r="L226" i="8"/>
  <c r="W225" i="8"/>
  <c r="V225" i="8"/>
  <c r="U225" i="8"/>
  <c r="T225" i="8"/>
  <c r="S225" i="8"/>
  <c r="R225" i="8"/>
  <c r="Q225" i="8"/>
  <c r="P225" i="8"/>
  <c r="O225" i="8"/>
  <c r="N225" i="8"/>
  <c r="M225" i="8"/>
  <c r="L225" i="8"/>
  <c r="W224" i="8"/>
  <c r="V224" i="8"/>
  <c r="U224" i="8"/>
  <c r="T224" i="8"/>
  <c r="S224" i="8"/>
  <c r="R224" i="8"/>
  <c r="Q224" i="8"/>
  <c r="P224" i="8"/>
  <c r="O224" i="8"/>
  <c r="N224" i="8"/>
  <c r="M224" i="8"/>
  <c r="L224" i="8"/>
  <c r="W223" i="8"/>
  <c r="V223" i="8"/>
  <c r="U223" i="8"/>
  <c r="T223" i="8"/>
  <c r="O223" i="8"/>
  <c r="N223" i="8"/>
  <c r="M223" i="8"/>
  <c r="L223" i="8"/>
  <c r="W222" i="8"/>
  <c r="V222" i="8"/>
  <c r="U222" i="8"/>
  <c r="T222" i="8"/>
  <c r="O222" i="8"/>
  <c r="N222" i="8"/>
  <c r="M222" i="8"/>
  <c r="L222" i="8"/>
  <c r="W221" i="8"/>
  <c r="V221" i="8"/>
  <c r="U221" i="8"/>
  <c r="T221" i="8"/>
  <c r="O221" i="8"/>
  <c r="N221" i="8"/>
  <c r="M221" i="8"/>
  <c r="L221" i="8"/>
  <c r="W220" i="8"/>
  <c r="V220" i="8"/>
  <c r="U220" i="8"/>
  <c r="T220" i="8"/>
  <c r="S220" i="8"/>
  <c r="R220" i="8"/>
  <c r="Q220" i="8"/>
  <c r="P220" i="8"/>
  <c r="O220" i="8"/>
  <c r="N220" i="8"/>
  <c r="M220" i="8"/>
  <c r="L220" i="8"/>
  <c r="W219" i="8"/>
  <c r="V219" i="8"/>
  <c r="U219" i="8"/>
  <c r="T219" i="8"/>
  <c r="S219" i="8"/>
  <c r="R219" i="8"/>
  <c r="Q219" i="8"/>
  <c r="P219" i="8"/>
  <c r="O219" i="8"/>
  <c r="N219" i="8"/>
  <c r="M219" i="8"/>
  <c r="L219" i="8"/>
  <c r="W218" i="8"/>
  <c r="V218" i="8"/>
  <c r="U218" i="8"/>
  <c r="T218" i="8"/>
  <c r="S218" i="8"/>
  <c r="R218" i="8"/>
  <c r="Q218" i="8"/>
  <c r="P218" i="8"/>
  <c r="O218" i="8"/>
  <c r="N218" i="8"/>
  <c r="M218" i="8"/>
  <c r="L218" i="8"/>
  <c r="W217" i="8"/>
  <c r="V217" i="8"/>
  <c r="U217" i="8"/>
  <c r="T217" i="8"/>
  <c r="S217" i="8"/>
  <c r="R217" i="8"/>
  <c r="Q217" i="8"/>
  <c r="P217" i="8"/>
  <c r="O217" i="8"/>
  <c r="N217" i="8"/>
  <c r="M217" i="8"/>
  <c r="L217" i="8"/>
  <c r="W216" i="8"/>
  <c r="V216" i="8"/>
  <c r="U216" i="8"/>
  <c r="T216" i="8"/>
  <c r="S216" i="8"/>
  <c r="R216" i="8"/>
  <c r="Q216" i="8"/>
  <c r="P216" i="8"/>
  <c r="O216" i="8"/>
  <c r="N216" i="8"/>
  <c r="M216" i="8"/>
  <c r="L216" i="8"/>
  <c r="W215" i="8"/>
  <c r="V215" i="8"/>
  <c r="U215" i="8"/>
  <c r="T215" i="8"/>
  <c r="S215" i="8"/>
  <c r="R215" i="8"/>
  <c r="Q215" i="8"/>
  <c r="P215" i="8"/>
  <c r="O215" i="8"/>
  <c r="N215" i="8"/>
  <c r="M215" i="8"/>
  <c r="L215" i="8"/>
  <c r="W214" i="8"/>
  <c r="V214" i="8"/>
  <c r="U214" i="8"/>
  <c r="T214" i="8"/>
  <c r="S214" i="8"/>
  <c r="R214" i="8"/>
  <c r="Q214" i="8"/>
  <c r="P214" i="8"/>
  <c r="O214" i="8"/>
  <c r="N214" i="8"/>
  <c r="M214" i="8"/>
  <c r="L214" i="8"/>
  <c r="W213" i="8"/>
  <c r="V213" i="8"/>
  <c r="U213" i="8"/>
  <c r="T213" i="8"/>
  <c r="S213" i="8"/>
  <c r="R213" i="8"/>
  <c r="Q213" i="8"/>
  <c r="P213" i="8"/>
  <c r="O213" i="8"/>
  <c r="N213" i="8"/>
  <c r="M213" i="8"/>
  <c r="L213" i="8"/>
  <c r="W212" i="8"/>
  <c r="V212" i="8"/>
  <c r="U212" i="8"/>
  <c r="T212" i="8"/>
  <c r="S212" i="8"/>
  <c r="R212" i="8"/>
  <c r="Q212" i="8"/>
  <c r="P212" i="8"/>
  <c r="O212" i="8"/>
  <c r="N212" i="8"/>
  <c r="M212" i="8"/>
  <c r="L212" i="8"/>
  <c r="W211" i="8"/>
  <c r="V211" i="8"/>
  <c r="U211" i="8"/>
  <c r="T211" i="8"/>
  <c r="S211" i="8"/>
  <c r="R211" i="8"/>
  <c r="Q211" i="8"/>
  <c r="P211" i="8"/>
  <c r="O211" i="8"/>
  <c r="N211" i="8"/>
  <c r="M211" i="8"/>
  <c r="L211" i="8"/>
  <c r="W210" i="8"/>
  <c r="V210" i="8"/>
  <c r="U210" i="8"/>
  <c r="T210" i="8"/>
  <c r="S210" i="8"/>
  <c r="R210" i="8"/>
  <c r="Q210" i="8"/>
  <c r="P210" i="8"/>
  <c r="O210" i="8"/>
  <c r="N210" i="8"/>
  <c r="M210" i="8"/>
  <c r="L210" i="8"/>
  <c r="W209" i="8"/>
  <c r="V209" i="8"/>
  <c r="U209" i="8"/>
  <c r="T209" i="8"/>
  <c r="S209" i="8"/>
  <c r="R209" i="8"/>
  <c r="Q209" i="8"/>
  <c r="P209" i="8"/>
  <c r="O209" i="8"/>
  <c r="N209" i="8"/>
  <c r="M209" i="8"/>
  <c r="L209" i="8"/>
  <c r="W208" i="8"/>
  <c r="V208" i="8"/>
  <c r="U208" i="8"/>
  <c r="T208" i="8"/>
  <c r="S208" i="8"/>
  <c r="R208" i="8"/>
  <c r="Q208" i="8"/>
  <c r="P208" i="8"/>
  <c r="O208" i="8"/>
  <c r="N208" i="8"/>
  <c r="M208" i="8"/>
  <c r="L208" i="8"/>
  <c r="W207" i="8"/>
  <c r="V207" i="8"/>
  <c r="U207" i="8"/>
  <c r="T207" i="8"/>
  <c r="S207" i="8"/>
  <c r="R207" i="8"/>
  <c r="Q207" i="8"/>
  <c r="P207" i="8"/>
  <c r="O207" i="8"/>
  <c r="N207" i="8"/>
  <c r="M207" i="8"/>
  <c r="L207" i="8"/>
  <c r="W206" i="8"/>
  <c r="V206" i="8"/>
  <c r="U206" i="8"/>
  <c r="T206" i="8"/>
  <c r="S206" i="8"/>
  <c r="R206" i="8"/>
  <c r="Q206" i="8"/>
  <c r="P206" i="8"/>
  <c r="O206" i="8"/>
  <c r="N206" i="8"/>
  <c r="M206" i="8"/>
  <c r="L206" i="8"/>
  <c r="W205" i="8"/>
  <c r="V205" i="8"/>
  <c r="U205" i="8"/>
  <c r="T205" i="8"/>
  <c r="S205" i="8"/>
  <c r="R205" i="8"/>
  <c r="Q205" i="8"/>
  <c r="P205" i="8"/>
  <c r="O205" i="8"/>
  <c r="N205" i="8"/>
  <c r="M205" i="8"/>
  <c r="L205" i="8"/>
  <c r="W204" i="8"/>
  <c r="V204" i="8"/>
  <c r="U204" i="8"/>
  <c r="T204" i="8"/>
  <c r="S204" i="8"/>
  <c r="R204" i="8"/>
  <c r="Q204" i="8"/>
  <c r="P204" i="8"/>
  <c r="O204" i="8"/>
  <c r="N204" i="8"/>
  <c r="M204" i="8"/>
  <c r="L204" i="8"/>
  <c r="W203" i="8"/>
  <c r="V203" i="8"/>
  <c r="U203" i="8"/>
  <c r="T203" i="8"/>
  <c r="S203" i="8"/>
  <c r="R203" i="8"/>
  <c r="Q203" i="8"/>
  <c r="P203" i="8"/>
  <c r="O203" i="8"/>
  <c r="N203" i="8"/>
  <c r="M203" i="8"/>
  <c r="L203" i="8"/>
  <c r="W202" i="8"/>
  <c r="V202" i="8"/>
  <c r="U202" i="8"/>
  <c r="T202" i="8"/>
  <c r="S202" i="8"/>
  <c r="R202" i="8"/>
  <c r="Q202" i="8"/>
  <c r="P202" i="8"/>
  <c r="O202" i="8"/>
  <c r="N202" i="8"/>
  <c r="M202" i="8"/>
  <c r="L202" i="8"/>
  <c r="W201" i="8"/>
  <c r="V201" i="8"/>
  <c r="U201" i="8"/>
  <c r="T201" i="8"/>
  <c r="S201" i="8"/>
  <c r="R201" i="8"/>
  <c r="Q201" i="8"/>
  <c r="P201" i="8"/>
  <c r="O201" i="8"/>
  <c r="N201" i="8"/>
  <c r="M201" i="8"/>
  <c r="L201" i="8"/>
  <c r="W200" i="8"/>
  <c r="V200" i="8"/>
  <c r="U200" i="8"/>
  <c r="T200" i="8"/>
  <c r="S200" i="8"/>
  <c r="R200" i="8"/>
  <c r="Q200" i="8"/>
  <c r="P200" i="8"/>
  <c r="O200" i="8"/>
  <c r="N200" i="8"/>
  <c r="M200" i="8"/>
  <c r="L200" i="8"/>
  <c r="W199" i="8"/>
  <c r="V199" i="8"/>
  <c r="U199" i="8"/>
  <c r="T199" i="8"/>
  <c r="S199" i="8"/>
  <c r="R199" i="8"/>
  <c r="Q199" i="8"/>
  <c r="P199" i="8"/>
  <c r="O199" i="8"/>
  <c r="N199" i="8"/>
  <c r="M199" i="8"/>
  <c r="L199" i="8"/>
  <c r="W198" i="8"/>
  <c r="V198" i="8"/>
  <c r="U198" i="8"/>
  <c r="T198" i="8"/>
  <c r="S198" i="8"/>
  <c r="R198" i="8"/>
  <c r="Q198" i="8"/>
  <c r="P198" i="8"/>
  <c r="O198" i="8"/>
  <c r="N198" i="8"/>
  <c r="M198" i="8"/>
  <c r="L198" i="8"/>
  <c r="W197" i="8"/>
  <c r="V197" i="8"/>
  <c r="U197" i="8"/>
  <c r="T197" i="8"/>
  <c r="S197" i="8"/>
  <c r="R197" i="8"/>
  <c r="Q197" i="8"/>
  <c r="P197" i="8"/>
  <c r="O197" i="8"/>
  <c r="N197" i="8"/>
  <c r="M197" i="8"/>
  <c r="L197" i="8"/>
  <c r="W196" i="8"/>
  <c r="V196" i="8"/>
  <c r="U196" i="8"/>
  <c r="T196" i="8"/>
  <c r="S196" i="8"/>
  <c r="R196" i="8"/>
  <c r="Q196" i="8"/>
  <c r="P196" i="8"/>
  <c r="O196" i="8"/>
  <c r="N196" i="8"/>
  <c r="M196" i="8"/>
  <c r="L196" i="8"/>
  <c r="W195" i="8"/>
  <c r="V195" i="8"/>
  <c r="U195" i="8"/>
  <c r="T195" i="8"/>
  <c r="S195" i="8"/>
  <c r="R195" i="8"/>
  <c r="Q195" i="8"/>
  <c r="P195" i="8"/>
  <c r="O195" i="8"/>
  <c r="N195" i="8"/>
  <c r="M195" i="8"/>
  <c r="L195" i="8"/>
  <c r="W194" i="8"/>
  <c r="V194" i="8"/>
  <c r="U194" i="8"/>
  <c r="T194" i="8"/>
  <c r="S194" i="8"/>
  <c r="R194" i="8"/>
  <c r="Q194" i="8"/>
  <c r="P194" i="8"/>
  <c r="O194" i="8"/>
  <c r="N194" i="8"/>
  <c r="M194" i="8"/>
  <c r="L194" i="8"/>
  <c r="W193" i="8"/>
  <c r="V193" i="8"/>
  <c r="U193" i="8"/>
  <c r="T193" i="8"/>
  <c r="S193" i="8"/>
  <c r="R193" i="8"/>
  <c r="Q193" i="8"/>
  <c r="P193" i="8"/>
  <c r="O193" i="8"/>
  <c r="N193" i="8"/>
  <c r="M193" i="8"/>
  <c r="L193" i="8"/>
  <c r="W192" i="8"/>
  <c r="V192" i="8"/>
  <c r="U192" i="8"/>
  <c r="T192" i="8"/>
  <c r="O192" i="8"/>
  <c r="N192" i="8"/>
  <c r="M192" i="8"/>
  <c r="L192" i="8"/>
  <c r="W191" i="8"/>
  <c r="V191" i="8"/>
  <c r="U191" i="8"/>
  <c r="T191" i="8"/>
  <c r="O191" i="8"/>
  <c r="N191" i="8"/>
  <c r="M191" i="8"/>
  <c r="L191" i="8"/>
  <c r="W190" i="8"/>
  <c r="V190" i="8"/>
  <c r="U190" i="8"/>
  <c r="T190" i="8"/>
  <c r="O190" i="8"/>
  <c r="N190" i="8"/>
  <c r="M190" i="8"/>
  <c r="L190" i="8"/>
  <c r="W189" i="8"/>
  <c r="V189" i="8"/>
  <c r="U189" i="8"/>
  <c r="T189" i="8"/>
  <c r="S189" i="8"/>
  <c r="R189" i="8"/>
  <c r="Q189" i="8"/>
  <c r="P189" i="8"/>
  <c r="O189" i="8"/>
  <c r="N189" i="8"/>
  <c r="M189" i="8"/>
  <c r="L189" i="8"/>
  <c r="W188" i="8"/>
  <c r="V188" i="8"/>
  <c r="U188" i="8"/>
  <c r="T188" i="8"/>
  <c r="S188" i="8"/>
  <c r="R188" i="8"/>
  <c r="Q188" i="8"/>
  <c r="P188" i="8"/>
  <c r="O188" i="8"/>
  <c r="N188" i="8"/>
  <c r="M188" i="8"/>
  <c r="L188" i="8"/>
  <c r="W187" i="8"/>
  <c r="V187" i="8"/>
  <c r="U187" i="8"/>
  <c r="T187" i="8"/>
  <c r="S187" i="8"/>
  <c r="R187" i="8"/>
  <c r="Q187" i="8"/>
  <c r="P187" i="8"/>
  <c r="O187" i="8"/>
  <c r="N187" i="8"/>
  <c r="M187" i="8"/>
  <c r="L187" i="8"/>
  <c r="W186" i="8"/>
  <c r="V186" i="8"/>
  <c r="U186" i="8"/>
  <c r="T186" i="8"/>
  <c r="S186" i="8"/>
  <c r="R186" i="8"/>
  <c r="Q186" i="8"/>
  <c r="P186" i="8"/>
  <c r="O186" i="8"/>
  <c r="N186" i="8"/>
  <c r="M186" i="8"/>
  <c r="L186" i="8"/>
  <c r="W185" i="8"/>
  <c r="V185" i="8"/>
  <c r="U185" i="8"/>
  <c r="T185" i="8"/>
  <c r="S185" i="8"/>
  <c r="R185" i="8"/>
  <c r="Q185" i="8"/>
  <c r="P185" i="8"/>
  <c r="O185" i="8"/>
  <c r="N185" i="8"/>
  <c r="M185" i="8"/>
  <c r="L185" i="8"/>
  <c r="W184" i="8"/>
  <c r="V184" i="8"/>
  <c r="U184" i="8"/>
  <c r="T184" i="8"/>
  <c r="S184" i="8"/>
  <c r="R184" i="8"/>
  <c r="Q184" i="8"/>
  <c r="P184" i="8"/>
  <c r="O184" i="8"/>
  <c r="N184" i="8"/>
  <c r="M184" i="8"/>
  <c r="L184" i="8"/>
  <c r="W183" i="8"/>
  <c r="V183" i="8"/>
  <c r="U183" i="8"/>
  <c r="T183" i="8"/>
  <c r="S183" i="8"/>
  <c r="R183" i="8"/>
  <c r="Q183" i="8"/>
  <c r="P183" i="8"/>
  <c r="O183" i="8"/>
  <c r="N183" i="8"/>
  <c r="M183" i="8"/>
  <c r="L183" i="8"/>
  <c r="W182" i="8"/>
  <c r="V182" i="8"/>
  <c r="U182" i="8"/>
  <c r="T182" i="8"/>
  <c r="S182" i="8"/>
  <c r="R182" i="8"/>
  <c r="Q182" i="8"/>
  <c r="P182" i="8"/>
  <c r="O182" i="8"/>
  <c r="N182" i="8"/>
  <c r="M182" i="8"/>
  <c r="L182" i="8"/>
  <c r="W181" i="8"/>
  <c r="V181" i="8"/>
  <c r="U181" i="8"/>
  <c r="T181" i="8"/>
  <c r="S181" i="8"/>
  <c r="R181" i="8"/>
  <c r="Q181" i="8"/>
  <c r="P181" i="8"/>
  <c r="O181" i="8"/>
  <c r="N181" i="8"/>
  <c r="M181" i="8"/>
  <c r="L181" i="8"/>
  <c r="W180" i="8"/>
  <c r="V180" i="8"/>
  <c r="U180" i="8"/>
  <c r="T180" i="8"/>
  <c r="S180" i="8"/>
  <c r="R180" i="8"/>
  <c r="Q180" i="8"/>
  <c r="P180" i="8"/>
  <c r="O180" i="8"/>
  <c r="N180" i="8"/>
  <c r="M180" i="8"/>
  <c r="L180" i="8"/>
  <c r="W179" i="8"/>
  <c r="V179" i="8"/>
  <c r="U179" i="8"/>
  <c r="T179" i="8"/>
  <c r="S179" i="8"/>
  <c r="R179" i="8"/>
  <c r="Q179" i="8"/>
  <c r="P179" i="8"/>
  <c r="O179" i="8"/>
  <c r="N179" i="8"/>
  <c r="M179" i="8"/>
  <c r="L179" i="8"/>
  <c r="W178" i="8"/>
  <c r="V178" i="8"/>
  <c r="U178" i="8"/>
  <c r="T178" i="8"/>
  <c r="S178" i="8"/>
  <c r="R178" i="8"/>
  <c r="Q178" i="8"/>
  <c r="P178" i="8"/>
  <c r="O178" i="8"/>
  <c r="N178" i="8"/>
  <c r="M178" i="8"/>
  <c r="L178" i="8"/>
  <c r="W177" i="8"/>
  <c r="V177" i="8"/>
  <c r="U177" i="8"/>
  <c r="T177" i="8"/>
  <c r="S177" i="8"/>
  <c r="R177" i="8"/>
  <c r="Q177" i="8"/>
  <c r="P177" i="8"/>
  <c r="O177" i="8"/>
  <c r="N177" i="8"/>
  <c r="M177" i="8"/>
  <c r="L177" i="8"/>
  <c r="W176" i="8"/>
  <c r="V176" i="8"/>
  <c r="U176" i="8"/>
  <c r="T176" i="8"/>
  <c r="S176" i="8"/>
  <c r="R176" i="8"/>
  <c r="Q176" i="8"/>
  <c r="P176" i="8"/>
  <c r="O176" i="8"/>
  <c r="N176" i="8"/>
  <c r="M176" i="8"/>
  <c r="L176" i="8"/>
  <c r="W175" i="8"/>
  <c r="V175" i="8"/>
  <c r="U175" i="8"/>
  <c r="T175" i="8"/>
  <c r="S175" i="8"/>
  <c r="R175" i="8"/>
  <c r="Q175" i="8"/>
  <c r="P175" i="8"/>
  <c r="O175" i="8"/>
  <c r="N175" i="8"/>
  <c r="M175" i="8"/>
  <c r="L175" i="8"/>
  <c r="W174" i="8"/>
  <c r="V174" i="8"/>
  <c r="U174" i="8"/>
  <c r="T174" i="8"/>
  <c r="S174" i="8"/>
  <c r="R174" i="8"/>
  <c r="Q174" i="8"/>
  <c r="P174" i="8"/>
  <c r="O174" i="8"/>
  <c r="N174" i="8"/>
  <c r="M174" i="8"/>
  <c r="L174" i="8"/>
  <c r="W173" i="8"/>
  <c r="V173" i="8"/>
  <c r="U173" i="8"/>
  <c r="T173" i="8"/>
  <c r="O173" i="8"/>
  <c r="N173" i="8"/>
  <c r="M173" i="8"/>
  <c r="L173" i="8"/>
  <c r="W172" i="8"/>
  <c r="V172" i="8"/>
  <c r="U172" i="8"/>
  <c r="T172" i="8"/>
  <c r="O172" i="8"/>
  <c r="N172" i="8"/>
  <c r="M172" i="8"/>
  <c r="L172" i="8"/>
  <c r="W171" i="8"/>
  <c r="V171" i="8"/>
  <c r="U171" i="8"/>
  <c r="T171" i="8"/>
  <c r="O171" i="8"/>
  <c r="N171" i="8"/>
  <c r="M171" i="8"/>
  <c r="L171" i="8"/>
  <c r="W170" i="8"/>
  <c r="V170" i="8"/>
  <c r="U170" i="8"/>
  <c r="T170" i="8"/>
  <c r="S170" i="8"/>
  <c r="R170" i="8"/>
  <c r="Q170" i="8"/>
  <c r="P170" i="8"/>
  <c r="O170" i="8"/>
  <c r="N170" i="8"/>
  <c r="M170" i="8"/>
  <c r="L170" i="8"/>
  <c r="W169" i="8"/>
  <c r="V169" i="8"/>
  <c r="U169" i="8"/>
  <c r="T169" i="8"/>
  <c r="S169" i="8"/>
  <c r="R169" i="8"/>
  <c r="Q169" i="8"/>
  <c r="P169" i="8"/>
  <c r="O169" i="8"/>
  <c r="N169" i="8"/>
  <c r="M169" i="8"/>
  <c r="L169" i="8"/>
  <c r="W168" i="8"/>
  <c r="V168" i="8"/>
  <c r="U168" i="8"/>
  <c r="T168" i="8"/>
  <c r="S168" i="8"/>
  <c r="R168" i="8"/>
  <c r="Q168" i="8"/>
  <c r="P168" i="8"/>
  <c r="O168" i="8"/>
  <c r="N168" i="8"/>
  <c r="M168" i="8"/>
  <c r="L168" i="8"/>
  <c r="W167" i="8"/>
  <c r="V167" i="8"/>
  <c r="U167" i="8"/>
  <c r="T167" i="8"/>
  <c r="S167" i="8"/>
  <c r="R167" i="8"/>
  <c r="Q167" i="8"/>
  <c r="P167" i="8"/>
  <c r="O167" i="8"/>
  <c r="N167" i="8"/>
  <c r="M167" i="8"/>
  <c r="L167" i="8"/>
  <c r="W166" i="8"/>
  <c r="V166" i="8"/>
  <c r="U166" i="8"/>
  <c r="T166" i="8"/>
  <c r="S166" i="8"/>
  <c r="R166" i="8"/>
  <c r="Q166" i="8"/>
  <c r="P166" i="8"/>
  <c r="O166" i="8"/>
  <c r="N166" i="8"/>
  <c r="M166" i="8"/>
  <c r="L166" i="8"/>
  <c r="W165" i="8"/>
  <c r="V165" i="8"/>
  <c r="U165" i="8"/>
  <c r="T165" i="8"/>
  <c r="S165" i="8"/>
  <c r="R165" i="8"/>
  <c r="Q165" i="8"/>
  <c r="P165" i="8"/>
  <c r="O165" i="8"/>
  <c r="N165" i="8"/>
  <c r="M165" i="8"/>
  <c r="L165" i="8"/>
  <c r="W164" i="8"/>
  <c r="V164" i="8"/>
  <c r="U164" i="8"/>
  <c r="T164" i="8"/>
  <c r="S164" i="8"/>
  <c r="R164" i="8"/>
  <c r="Q164" i="8"/>
  <c r="P164" i="8"/>
  <c r="O164" i="8"/>
  <c r="N164" i="8"/>
  <c r="M164" i="8"/>
  <c r="L164" i="8"/>
  <c r="W163" i="8"/>
  <c r="V163" i="8"/>
  <c r="U163" i="8"/>
  <c r="T163" i="8"/>
  <c r="S163" i="8"/>
  <c r="R163" i="8"/>
  <c r="Q163" i="8"/>
  <c r="P163" i="8"/>
  <c r="O163" i="8"/>
  <c r="N163" i="8"/>
  <c r="M163" i="8"/>
  <c r="L163" i="8"/>
  <c r="W162" i="8"/>
  <c r="V162" i="8"/>
  <c r="U162" i="8"/>
  <c r="T162" i="8"/>
  <c r="S162" i="8"/>
  <c r="R162" i="8"/>
  <c r="Q162" i="8"/>
  <c r="P162" i="8"/>
  <c r="O162" i="8"/>
  <c r="N162" i="8"/>
  <c r="M162" i="8"/>
  <c r="L162" i="8"/>
  <c r="W161" i="8"/>
  <c r="V161" i="8"/>
  <c r="U161" i="8"/>
  <c r="T161" i="8"/>
  <c r="S161" i="8"/>
  <c r="R161" i="8"/>
  <c r="Q161" i="8"/>
  <c r="P161" i="8"/>
  <c r="O161" i="8"/>
  <c r="N161" i="8"/>
  <c r="M161" i="8"/>
  <c r="L161" i="8"/>
  <c r="W160" i="8"/>
  <c r="V160" i="8"/>
  <c r="U160" i="8"/>
  <c r="T160" i="8"/>
  <c r="S160" i="8"/>
  <c r="R160" i="8"/>
  <c r="Q160" i="8"/>
  <c r="P160" i="8"/>
  <c r="O160" i="8"/>
  <c r="N160" i="8"/>
  <c r="M160" i="8"/>
  <c r="L160" i="8"/>
  <c r="W159" i="8"/>
  <c r="V159" i="8"/>
  <c r="U159" i="8"/>
  <c r="T159" i="8"/>
  <c r="S159" i="8"/>
  <c r="R159" i="8"/>
  <c r="Q159" i="8"/>
  <c r="P159" i="8"/>
  <c r="O159" i="8"/>
  <c r="N159" i="8"/>
  <c r="M159" i="8"/>
  <c r="L159" i="8"/>
  <c r="W158" i="8"/>
  <c r="V158" i="8"/>
  <c r="U158" i="8"/>
  <c r="T158" i="8"/>
  <c r="S158" i="8"/>
  <c r="R158" i="8"/>
  <c r="Q158" i="8"/>
  <c r="P158" i="8"/>
  <c r="O158" i="8"/>
  <c r="N158" i="8"/>
  <c r="M158" i="8"/>
  <c r="L158" i="8"/>
  <c r="W157" i="8"/>
  <c r="V157" i="8"/>
  <c r="U157" i="8"/>
  <c r="T157" i="8"/>
  <c r="S157" i="8"/>
  <c r="R157" i="8"/>
  <c r="Q157" i="8"/>
  <c r="P157" i="8"/>
  <c r="O157" i="8"/>
  <c r="N157" i="8"/>
  <c r="M157" i="8"/>
  <c r="L157" i="8"/>
  <c r="W156" i="8"/>
  <c r="V156" i="8"/>
  <c r="U156" i="8"/>
  <c r="T156" i="8"/>
  <c r="S156" i="8"/>
  <c r="R156" i="8"/>
  <c r="Q156" i="8"/>
  <c r="P156" i="8"/>
  <c r="O156" i="8"/>
  <c r="N156" i="8"/>
  <c r="M156" i="8"/>
  <c r="L156" i="8"/>
  <c r="W155" i="8"/>
  <c r="V155" i="8"/>
  <c r="U155" i="8"/>
  <c r="T155" i="8"/>
  <c r="S155" i="8"/>
  <c r="R155" i="8"/>
  <c r="Q155" i="8"/>
  <c r="P155" i="8"/>
  <c r="O155" i="8"/>
  <c r="N155" i="8"/>
  <c r="M155" i="8"/>
  <c r="L155" i="8"/>
  <c r="W154" i="8"/>
  <c r="V154" i="8"/>
  <c r="U154" i="8"/>
  <c r="T154" i="8"/>
  <c r="S154" i="8"/>
  <c r="R154" i="8"/>
  <c r="Q154" i="8"/>
  <c r="P154" i="8"/>
  <c r="O154" i="8"/>
  <c r="N154" i="8"/>
  <c r="M154" i="8"/>
  <c r="L154" i="8"/>
  <c r="W153" i="8"/>
  <c r="V153" i="8"/>
  <c r="U153" i="8"/>
  <c r="T153" i="8"/>
  <c r="S153" i="8"/>
  <c r="R153" i="8"/>
  <c r="Q153" i="8"/>
  <c r="P153" i="8"/>
  <c r="O153" i="8"/>
  <c r="N153" i="8"/>
  <c r="M153" i="8"/>
  <c r="L153" i="8"/>
  <c r="W152" i="8"/>
  <c r="V152" i="8"/>
  <c r="U152" i="8"/>
  <c r="T152" i="8"/>
  <c r="O152" i="8"/>
  <c r="N152" i="8"/>
  <c r="M152" i="8"/>
  <c r="L152" i="8"/>
  <c r="W151" i="8"/>
  <c r="V151" i="8"/>
  <c r="U151" i="8"/>
  <c r="T151" i="8"/>
  <c r="O151" i="8"/>
  <c r="N151" i="8"/>
  <c r="M151" i="8"/>
  <c r="L151" i="8"/>
  <c r="W150" i="8"/>
  <c r="V150" i="8"/>
  <c r="U150" i="8"/>
  <c r="T150" i="8"/>
  <c r="O150" i="8"/>
  <c r="N150" i="8"/>
  <c r="M150" i="8"/>
  <c r="L150" i="8"/>
  <c r="W149" i="8"/>
  <c r="V149" i="8"/>
  <c r="U149" i="8"/>
  <c r="T149" i="8"/>
  <c r="S149" i="8"/>
  <c r="R149" i="8"/>
  <c r="Q149" i="8"/>
  <c r="P149" i="8"/>
  <c r="O149" i="8"/>
  <c r="N149" i="8"/>
  <c r="M149" i="8"/>
  <c r="L149" i="8"/>
  <c r="W148" i="8"/>
  <c r="V148" i="8"/>
  <c r="U148" i="8"/>
  <c r="T148" i="8"/>
  <c r="S148" i="8"/>
  <c r="R148" i="8"/>
  <c r="Q148" i="8"/>
  <c r="P148" i="8"/>
  <c r="O148" i="8"/>
  <c r="N148" i="8"/>
  <c r="M148" i="8"/>
  <c r="L148" i="8"/>
  <c r="W147" i="8"/>
  <c r="V147" i="8"/>
  <c r="U147" i="8"/>
  <c r="T147" i="8"/>
  <c r="S147" i="8"/>
  <c r="R147" i="8"/>
  <c r="Q147" i="8"/>
  <c r="P147" i="8"/>
  <c r="O147" i="8"/>
  <c r="N147" i="8"/>
  <c r="M147" i="8"/>
  <c r="L147" i="8"/>
  <c r="W146" i="8"/>
  <c r="V146" i="8"/>
  <c r="U146" i="8"/>
  <c r="T146" i="8"/>
  <c r="S146" i="8"/>
  <c r="R146" i="8"/>
  <c r="Q146" i="8"/>
  <c r="P146" i="8"/>
  <c r="O146" i="8"/>
  <c r="N146" i="8"/>
  <c r="M146" i="8"/>
  <c r="L146" i="8"/>
  <c r="W145" i="8"/>
  <c r="V145" i="8"/>
  <c r="U145" i="8"/>
  <c r="T145" i="8"/>
  <c r="S145" i="8"/>
  <c r="R145" i="8"/>
  <c r="Q145" i="8"/>
  <c r="P145" i="8"/>
  <c r="O145" i="8"/>
  <c r="N145" i="8"/>
  <c r="M145" i="8"/>
  <c r="L145" i="8"/>
  <c r="W144" i="8"/>
  <c r="V144" i="8"/>
  <c r="U144" i="8"/>
  <c r="T144" i="8"/>
  <c r="S144" i="8"/>
  <c r="R144" i="8"/>
  <c r="Q144" i="8"/>
  <c r="P144" i="8"/>
  <c r="O144" i="8"/>
  <c r="N144" i="8"/>
  <c r="M144" i="8"/>
  <c r="L144" i="8"/>
  <c r="W143" i="8"/>
  <c r="V143" i="8"/>
  <c r="U143" i="8"/>
  <c r="T143" i="8"/>
  <c r="S143" i="8"/>
  <c r="R143" i="8"/>
  <c r="Q143" i="8"/>
  <c r="P143" i="8"/>
  <c r="O143" i="8"/>
  <c r="N143" i="8"/>
  <c r="M143" i="8"/>
  <c r="L143" i="8"/>
  <c r="W142" i="8"/>
  <c r="V142" i="8"/>
  <c r="U142" i="8"/>
  <c r="T142" i="8"/>
  <c r="S142" i="8"/>
  <c r="R142" i="8"/>
  <c r="Q142" i="8"/>
  <c r="P142" i="8"/>
  <c r="O142" i="8"/>
  <c r="N142" i="8"/>
  <c r="M142" i="8"/>
  <c r="L142" i="8"/>
  <c r="W141" i="8"/>
  <c r="V141" i="8"/>
  <c r="U141" i="8"/>
  <c r="T141" i="8"/>
  <c r="S141" i="8"/>
  <c r="R141" i="8"/>
  <c r="Q141" i="8"/>
  <c r="P141" i="8"/>
  <c r="O141" i="8"/>
  <c r="N141" i="8"/>
  <c r="M141" i="8"/>
  <c r="L141" i="8"/>
  <c r="W140" i="8"/>
  <c r="V140" i="8"/>
  <c r="U140" i="8"/>
  <c r="T140" i="8"/>
  <c r="S140" i="8"/>
  <c r="R140" i="8"/>
  <c r="Q140" i="8"/>
  <c r="P140" i="8"/>
  <c r="O140" i="8"/>
  <c r="N140" i="8"/>
  <c r="M140" i="8"/>
  <c r="L140" i="8"/>
  <c r="W139" i="8"/>
  <c r="V139" i="8"/>
  <c r="U139" i="8"/>
  <c r="T139" i="8"/>
  <c r="S139" i="8"/>
  <c r="R139" i="8"/>
  <c r="Q139" i="8"/>
  <c r="P139" i="8"/>
  <c r="O139" i="8"/>
  <c r="N139" i="8"/>
  <c r="M139" i="8"/>
  <c r="L139" i="8"/>
  <c r="W138" i="8"/>
  <c r="V138" i="8"/>
  <c r="U138" i="8"/>
  <c r="T138" i="8"/>
  <c r="S138" i="8"/>
  <c r="R138" i="8"/>
  <c r="Q138" i="8"/>
  <c r="P138" i="8"/>
  <c r="O138" i="8"/>
  <c r="N138" i="8"/>
  <c r="M138" i="8"/>
  <c r="L138" i="8"/>
  <c r="W137" i="8"/>
  <c r="V137" i="8"/>
  <c r="U137" i="8"/>
  <c r="T137" i="8"/>
  <c r="S137" i="8"/>
  <c r="R137" i="8"/>
  <c r="Q137" i="8"/>
  <c r="P137" i="8"/>
  <c r="O137" i="8"/>
  <c r="N137" i="8"/>
  <c r="M137" i="8"/>
  <c r="L137" i="8"/>
  <c r="W136" i="8"/>
  <c r="V136" i="8"/>
  <c r="U136" i="8"/>
  <c r="T136" i="8"/>
  <c r="S136" i="8"/>
  <c r="R136" i="8"/>
  <c r="Q136" i="8"/>
  <c r="P136" i="8"/>
  <c r="O136" i="8"/>
  <c r="N136" i="8"/>
  <c r="M136" i="8"/>
  <c r="L136" i="8"/>
  <c r="W135" i="8"/>
  <c r="V135" i="8"/>
  <c r="U135" i="8"/>
  <c r="T135" i="8"/>
  <c r="S135" i="8"/>
  <c r="R135" i="8"/>
  <c r="Q135" i="8"/>
  <c r="P135" i="8"/>
  <c r="O135" i="8"/>
  <c r="N135" i="8"/>
  <c r="M135" i="8"/>
  <c r="L135" i="8"/>
  <c r="W134" i="8"/>
  <c r="V134" i="8"/>
  <c r="U134" i="8"/>
  <c r="T134" i="8"/>
  <c r="S134" i="8"/>
  <c r="R134" i="8"/>
  <c r="Q134" i="8"/>
  <c r="P134" i="8"/>
  <c r="O134" i="8"/>
  <c r="N134" i="8"/>
  <c r="M134" i="8"/>
  <c r="L134" i="8"/>
  <c r="W133" i="8"/>
  <c r="V133" i="8"/>
  <c r="U133" i="8"/>
  <c r="T133" i="8"/>
  <c r="S133" i="8"/>
  <c r="R133" i="8"/>
  <c r="Q133" i="8"/>
  <c r="P133" i="8"/>
  <c r="O133" i="8"/>
  <c r="N133" i="8"/>
  <c r="M133" i="8"/>
  <c r="L133" i="8"/>
  <c r="W132" i="8"/>
  <c r="V132" i="8"/>
  <c r="U132" i="8"/>
  <c r="T132" i="8"/>
  <c r="S132" i="8"/>
  <c r="R132" i="8"/>
  <c r="Q132" i="8"/>
  <c r="P132" i="8"/>
  <c r="O132" i="8"/>
  <c r="N132" i="8"/>
  <c r="M132" i="8"/>
  <c r="L132" i="8"/>
  <c r="W131" i="8"/>
  <c r="V131" i="8"/>
  <c r="U131" i="8"/>
  <c r="T131" i="8"/>
  <c r="S131" i="8"/>
  <c r="R131" i="8"/>
  <c r="Q131" i="8"/>
  <c r="P131" i="8"/>
  <c r="O131" i="8"/>
  <c r="N131" i="8"/>
  <c r="M131" i="8"/>
  <c r="L131" i="8"/>
  <c r="W130" i="8"/>
  <c r="V130" i="8"/>
  <c r="U130" i="8"/>
  <c r="T130" i="8"/>
  <c r="S130" i="8"/>
  <c r="R130" i="8"/>
  <c r="Q130" i="8"/>
  <c r="P130" i="8"/>
  <c r="O130" i="8"/>
  <c r="N130" i="8"/>
  <c r="M130" i="8"/>
  <c r="L130" i="8"/>
  <c r="W129" i="8"/>
  <c r="V129" i="8"/>
  <c r="U129" i="8"/>
  <c r="T129" i="8"/>
  <c r="S129" i="8"/>
  <c r="R129" i="8"/>
  <c r="Q129" i="8"/>
  <c r="P129" i="8"/>
  <c r="O129" i="8"/>
  <c r="N129" i="8"/>
  <c r="M129" i="8"/>
  <c r="L129" i="8"/>
  <c r="W128" i="8"/>
  <c r="V128" i="8"/>
  <c r="U128" i="8"/>
  <c r="T128" i="8"/>
  <c r="S128" i="8"/>
  <c r="R128" i="8"/>
  <c r="Q128" i="8"/>
  <c r="P128" i="8"/>
  <c r="O128" i="8"/>
  <c r="N128" i="8"/>
  <c r="M128" i="8"/>
  <c r="L128" i="8"/>
  <c r="W127" i="8"/>
  <c r="V127" i="8"/>
  <c r="U127" i="8"/>
  <c r="T127" i="8"/>
  <c r="S127" i="8"/>
  <c r="R127" i="8"/>
  <c r="Q127" i="8"/>
  <c r="P127" i="8"/>
  <c r="O127" i="8"/>
  <c r="N127" i="8"/>
  <c r="M127" i="8"/>
  <c r="L127" i="8"/>
  <c r="W126" i="8"/>
  <c r="V126" i="8"/>
  <c r="U126" i="8"/>
  <c r="T126" i="8"/>
  <c r="S126" i="8"/>
  <c r="R126" i="8"/>
  <c r="Q126" i="8"/>
  <c r="P126" i="8"/>
  <c r="O126" i="8"/>
  <c r="N126" i="8"/>
  <c r="M126" i="8"/>
  <c r="L126" i="8"/>
  <c r="W125" i="8"/>
  <c r="V125" i="8"/>
  <c r="U125" i="8"/>
  <c r="T125" i="8"/>
  <c r="S125" i="8"/>
  <c r="R125" i="8"/>
  <c r="Q125" i="8"/>
  <c r="P125" i="8"/>
  <c r="O125" i="8"/>
  <c r="N125" i="8"/>
  <c r="M125" i="8"/>
  <c r="L125" i="8"/>
  <c r="W124" i="8"/>
  <c r="V124" i="8"/>
  <c r="U124" i="8"/>
  <c r="T124" i="8"/>
  <c r="S124" i="8"/>
  <c r="R124" i="8"/>
  <c r="Q124" i="8"/>
  <c r="P124" i="8"/>
  <c r="O124" i="8"/>
  <c r="N124" i="8"/>
  <c r="M124" i="8"/>
  <c r="L124" i="8"/>
  <c r="W123" i="8"/>
  <c r="V123" i="8"/>
  <c r="U123" i="8"/>
  <c r="T123" i="8"/>
  <c r="S123" i="8"/>
  <c r="R123" i="8"/>
  <c r="Q123" i="8"/>
  <c r="P123" i="8"/>
  <c r="O123" i="8"/>
  <c r="N123" i="8"/>
  <c r="M123" i="8"/>
  <c r="L123" i="8"/>
  <c r="W122" i="8"/>
  <c r="V122" i="8"/>
  <c r="U122" i="8"/>
  <c r="T122" i="8"/>
  <c r="S122" i="8"/>
  <c r="R122" i="8"/>
  <c r="Q122" i="8"/>
  <c r="P122" i="8"/>
  <c r="O122" i="8"/>
  <c r="N122" i="8"/>
  <c r="M122" i="8"/>
  <c r="L122" i="8"/>
  <c r="W121" i="8"/>
  <c r="V121" i="8"/>
  <c r="U121" i="8"/>
  <c r="T121" i="8"/>
  <c r="S121" i="8"/>
  <c r="R121" i="8"/>
  <c r="Q121" i="8"/>
  <c r="P121" i="8"/>
  <c r="O121" i="8"/>
  <c r="N121" i="8"/>
  <c r="M121" i="8"/>
  <c r="L121" i="8"/>
  <c r="W120" i="8"/>
  <c r="V120" i="8"/>
  <c r="U120" i="8"/>
  <c r="T120" i="8"/>
  <c r="S120" i="8"/>
  <c r="R120" i="8"/>
  <c r="Q120" i="8"/>
  <c r="P120" i="8"/>
  <c r="O120" i="8"/>
  <c r="N120" i="8"/>
  <c r="M120" i="8"/>
  <c r="L120" i="8"/>
  <c r="W119" i="8"/>
  <c r="V119" i="8"/>
  <c r="U119" i="8"/>
  <c r="T119" i="8"/>
  <c r="S119" i="8"/>
  <c r="R119" i="8"/>
  <c r="Q119" i="8"/>
  <c r="P119" i="8"/>
  <c r="O119" i="8"/>
  <c r="N119" i="8"/>
  <c r="M119" i="8"/>
  <c r="L119" i="8"/>
  <c r="W118" i="8"/>
  <c r="V118" i="8"/>
  <c r="U118" i="8"/>
  <c r="T118" i="8"/>
  <c r="O118" i="8"/>
  <c r="N118" i="8"/>
  <c r="M118" i="8"/>
  <c r="L118" i="8"/>
  <c r="W117" i="8"/>
  <c r="V117" i="8"/>
  <c r="U117" i="8"/>
  <c r="T117" i="8"/>
  <c r="O117" i="8"/>
  <c r="N117" i="8"/>
  <c r="M117" i="8"/>
  <c r="L117" i="8"/>
  <c r="W116" i="8"/>
  <c r="V116" i="8"/>
  <c r="U116" i="8"/>
  <c r="T116" i="8"/>
  <c r="O116" i="8"/>
  <c r="N116" i="8"/>
  <c r="M116" i="8"/>
  <c r="L116" i="8"/>
  <c r="W115" i="8"/>
  <c r="V115" i="8"/>
  <c r="U115" i="8"/>
  <c r="T115" i="8"/>
  <c r="S115" i="8"/>
  <c r="R115" i="8"/>
  <c r="Q115" i="8"/>
  <c r="P115" i="8"/>
  <c r="O115" i="8"/>
  <c r="N115" i="8"/>
  <c r="M115" i="8"/>
  <c r="L115" i="8"/>
  <c r="W114" i="8"/>
  <c r="V114" i="8"/>
  <c r="U114" i="8"/>
  <c r="T114" i="8"/>
  <c r="S114" i="8"/>
  <c r="R114" i="8"/>
  <c r="Q114" i="8"/>
  <c r="P114" i="8"/>
  <c r="O114" i="8"/>
  <c r="N114" i="8"/>
  <c r="M114" i="8"/>
  <c r="L114" i="8"/>
  <c r="W113" i="8"/>
  <c r="V113" i="8"/>
  <c r="U113" i="8"/>
  <c r="T113" i="8"/>
  <c r="S113" i="8"/>
  <c r="R113" i="8"/>
  <c r="Q113" i="8"/>
  <c r="P113" i="8"/>
  <c r="O113" i="8"/>
  <c r="N113" i="8"/>
  <c r="M113" i="8"/>
  <c r="L113" i="8"/>
  <c r="W112" i="8"/>
  <c r="V112" i="8"/>
  <c r="U112" i="8"/>
  <c r="T112" i="8"/>
  <c r="S112" i="8"/>
  <c r="R112" i="8"/>
  <c r="Q112" i="8"/>
  <c r="P112" i="8"/>
  <c r="O112" i="8"/>
  <c r="N112" i="8"/>
  <c r="M112" i="8"/>
  <c r="L112" i="8"/>
  <c r="W111" i="8"/>
  <c r="V111" i="8"/>
  <c r="U111" i="8"/>
  <c r="T111" i="8"/>
  <c r="S111" i="8"/>
  <c r="R111" i="8"/>
  <c r="Q111" i="8"/>
  <c r="P111" i="8"/>
  <c r="O111" i="8"/>
  <c r="N111" i="8"/>
  <c r="M111" i="8"/>
  <c r="L111" i="8"/>
  <c r="W110" i="8"/>
  <c r="V110" i="8"/>
  <c r="U110" i="8"/>
  <c r="T110" i="8"/>
  <c r="S110" i="8"/>
  <c r="R110" i="8"/>
  <c r="Q110" i="8"/>
  <c r="P110" i="8"/>
  <c r="O110" i="8"/>
  <c r="N110" i="8"/>
  <c r="M110" i="8"/>
  <c r="L110" i="8"/>
  <c r="W109" i="8"/>
  <c r="V109" i="8"/>
  <c r="U109" i="8"/>
  <c r="T109" i="8"/>
  <c r="S109" i="8"/>
  <c r="R109" i="8"/>
  <c r="Q109" i="8"/>
  <c r="P109" i="8"/>
  <c r="O109" i="8"/>
  <c r="N109" i="8"/>
  <c r="M109" i="8"/>
  <c r="L109" i="8"/>
  <c r="W108" i="8"/>
  <c r="V108" i="8"/>
  <c r="U108" i="8"/>
  <c r="T108" i="8"/>
  <c r="S108" i="8"/>
  <c r="R108" i="8"/>
  <c r="Q108" i="8"/>
  <c r="P108" i="8"/>
  <c r="O108" i="8"/>
  <c r="N108" i="8"/>
  <c r="M108" i="8"/>
  <c r="L108" i="8"/>
  <c r="W107" i="8"/>
  <c r="V107" i="8"/>
  <c r="U107" i="8"/>
  <c r="T107" i="8"/>
  <c r="S107" i="8"/>
  <c r="R107" i="8"/>
  <c r="Q107" i="8"/>
  <c r="P107" i="8"/>
  <c r="O107" i="8"/>
  <c r="N107" i="8"/>
  <c r="M107" i="8"/>
  <c r="L107" i="8"/>
  <c r="W106" i="8"/>
  <c r="V106" i="8"/>
  <c r="U106" i="8"/>
  <c r="T106" i="8"/>
  <c r="S106" i="8"/>
  <c r="R106" i="8"/>
  <c r="Q106" i="8"/>
  <c r="P106" i="8"/>
  <c r="O106" i="8"/>
  <c r="N106" i="8"/>
  <c r="M106" i="8"/>
  <c r="L106" i="8"/>
  <c r="W105" i="8"/>
  <c r="V105" i="8"/>
  <c r="U105" i="8"/>
  <c r="T105" i="8"/>
  <c r="S105" i="8"/>
  <c r="R105" i="8"/>
  <c r="Q105" i="8"/>
  <c r="P105" i="8"/>
  <c r="O105" i="8"/>
  <c r="N105" i="8"/>
  <c r="M105" i="8"/>
  <c r="L105" i="8"/>
  <c r="W104" i="8"/>
  <c r="V104" i="8"/>
  <c r="U104" i="8"/>
  <c r="T104" i="8"/>
  <c r="S104" i="8"/>
  <c r="R104" i="8"/>
  <c r="Q104" i="8"/>
  <c r="P104" i="8"/>
  <c r="O104" i="8"/>
  <c r="N104" i="8"/>
  <c r="M104" i="8"/>
  <c r="L104" i="8"/>
  <c r="W103" i="8"/>
  <c r="V103" i="8"/>
  <c r="U103" i="8"/>
  <c r="T103" i="8"/>
  <c r="S103" i="8"/>
  <c r="R103" i="8"/>
  <c r="Q103" i="8"/>
  <c r="P103" i="8"/>
  <c r="O103" i="8"/>
  <c r="N103" i="8"/>
  <c r="M103" i="8"/>
  <c r="L103" i="8"/>
  <c r="W102" i="8"/>
  <c r="V102" i="8"/>
  <c r="U102" i="8"/>
  <c r="T102" i="8"/>
  <c r="S102" i="8"/>
  <c r="R102" i="8"/>
  <c r="Q102" i="8"/>
  <c r="P102" i="8"/>
  <c r="O102" i="8"/>
  <c r="N102" i="8"/>
  <c r="M102" i="8"/>
  <c r="L102" i="8"/>
  <c r="W101" i="8"/>
  <c r="V101" i="8"/>
  <c r="U101" i="8"/>
  <c r="T101" i="8"/>
  <c r="S101" i="8"/>
  <c r="R101" i="8"/>
  <c r="Q101" i="8"/>
  <c r="P101" i="8"/>
  <c r="O101" i="8"/>
  <c r="N101" i="8"/>
  <c r="M101" i="8"/>
  <c r="L101" i="8"/>
  <c r="W100" i="8"/>
  <c r="V100" i="8"/>
  <c r="U100" i="8"/>
  <c r="T100" i="8"/>
  <c r="S100" i="8"/>
  <c r="R100" i="8"/>
  <c r="Q100" i="8"/>
  <c r="P100" i="8"/>
  <c r="O100" i="8"/>
  <c r="N100" i="8"/>
  <c r="M100" i="8"/>
  <c r="L100" i="8"/>
  <c r="W99" i="8"/>
  <c r="V99" i="8"/>
  <c r="U99" i="8"/>
  <c r="T99" i="8"/>
  <c r="O99" i="8"/>
  <c r="N99" i="8"/>
  <c r="M99" i="8"/>
  <c r="L99" i="8"/>
  <c r="W98" i="8"/>
  <c r="V98" i="8"/>
  <c r="U98" i="8"/>
  <c r="T98" i="8"/>
  <c r="O98" i="8"/>
  <c r="N98" i="8"/>
  <c r="M98" i="8"/>
  <c r="L98" i="8"/>
  <c r="W97" i="8"/>
  <c r="V97" i="8"/>
  <c r="U97" i="8"/>
  <c r="T97" i="8"/>
  <c r="O97" i="8"/>
  <c r="N97" i="8"/>
  <c r="M97" i="8"/>
  <c r="L97" i="8"/>
  <c r="W96" i="8"/>
  <c r="V96" i="8"/>
  <c r="U96" i="8"/>
  <c r="T96" i="8"/>
  <c r="S96" i="8"/>
  <c r="R96" i="8"/>
  <c r="Q96" i="8"/>
  <c r="P96" i="8"/>
  <c r="O96" i="8"/>
  <c r="N96" i="8"/>
  <c r="M96" i="8"/>
  <c r="L96" i="8"/>
  <c r="W95" i="8"/>
  <c r="V95" i="8"/>
  <c r="U95" i="8"/>
  <c r="T95" i="8"/>
  <c r="S95" i="8"/>
  <c r="R95" i="8"/>
  <c r="Q95" i="8"/>
  <c r="P95" i="8"/>
  <c r="O95" i="8"/>
  <c r="N95" i="8"/>
  <c r="M95" i="8"/>
  <c r="L95" i="8"/>
  <c r="W94" i="8"/>
  <c r="V94" i="8"/>
  <c r="U94" i="8"/>
  <c r="T94" i="8"/>
  <c r="S94" i="8"/>
  <c r="R94" i="8"/>
  <c r="Q94" i="8"/>
  <c r="P94" i="8"/>
  <c r="O94" i="8"/>
  <c r="N94" i="8"/>
  <c r="M94" i="8"/>
  <c r="L94" i="8"/>
  <c r="W93" i="8"/>
  <c r="V93" i="8"/>
  <c r="U93" i="8"/>
  <c r="T93" i="8"/>
  <c r="S93" i="8"/>
  <c r="R93" i="8"/>
  <c r="Q93" i="8"/>
  <c r="P93" i="8"/>
  <c r="O93" i="8"/>
  <c r="N93" i="8"/>
  <c r="M93" i="8"/>
  <c r="L93" i="8"/>
  <c r="W92" i="8"/>
  <c r="V92" i="8"/>
  <c r="U92" i="8"/>
  <c r="T92" i="8"/>
  <c r="S92" i="8"/>
  <c r="R92" i="8"/>
  <c r="Q92" i="8"/>
  <c r="P92" i="8"/>
  <c r="O92" i="8"/>
  <c r="N92" i="8"/>
  <c r="M92" i="8"/>
  <c r="L92" i="8"/>
  <c r="W91" i="8"/>
  <c r="V91" i="8"/>
  <c r="U91" i="8"/>
  <c r="T91" i="8"/>
  <c r="S91" i="8"/>
  <c r="R91" i="8"/>
  <c r="Q91" i="8"/>
  <c r="P91" i="8"/>
  <c r="O91" i="8"/>
  <c r="N91" i="8"/>
  <c r="M91" i="8"/>
  <c r="L91" i="8"/>
  <c r="W90" i="8"/>
  <c r="V90" i="8"/>
  <c r="U90" i="8"/>
  <c r="T90" i="8"/>
  <c r="S90" i="8"/>
  <c r="R90" i="8"/>
  <c r="Q90" i="8"/>
  <c r="P90" i="8"/>
  <c r="O90" i="8"/>
  <c r="N90" i="8"/>
  <c r="M90" i="8"/>
  <c r="L90" i="8"/>
  <c r="W89" i="8"/>
  <c r="V89" i="8"/>
  <c r="U89" i="8"/>
  <c r="T89" i="8"/>
  <c r="S89" i="8"/>
  <c r="R89" i="8"/>
  <c r="Q89" i="8"/>
  <c r="P89" i="8"/>
  <c r="O89" i="8"/>
  <c r="N89" i="8"/>
  <c r="M89" i="8"/>
  <c r="L89" i="8"/>
  <c r="W88" i="8"/>
  <c r="V88" i="8"/>
  <c r="U88" i="8"/>
  <c r="T88" i="8"/>
  <c r="S88" i="8"/>
  <c r="R88" i="8"/>
  <c r="Q88" i="8"/>
  <c r="P88" i="8"/>
  <c r="O88" i="8"/>
  <c r="N88" i="8"/>
  <c r="M88" i="8"/>
  <c r="L88" i="8"/>
  <c r="W87" i="8"/>
  <c r="V87" i="8"/>
  <c r="U87" i="8"/>
  <c r="T87" i="8"/>
  <c r="S87" i="8"/>
  <c r="R87" i="8"/>
  <c r="Q87" i="8"/>
  <c r="P87" i="8"/>
  <c r="O87" i="8"/>
  <c r="N87" i="8"/>
  <c r="M87" i="8"/>
  <c r="L87" i="8"/>
  <c r="W86" i="8"/>
  <c r="V86" i="8"/>
  <c r="U86" i="8"/>
  <c r="T86" i="8"/>
  <c r="S86" i="8"/>
  <c r="R86" i="8"/>
  <c r="Q86" i="8"/>
  <c r="P86" i="8"/>
  <c r="O86" i="8"/>
  <c r="N86" i="8"/>
  <c r="M86" i="8"/>
  <c r="L86" i="8"/>
  <c r="W85" i="8"/>
  <c r="V85" i="8"/>
  <c r="U85" i="8"/>
  <c r="T85" i="8"/>
  <c r="S85" i="8"/>
  <c r="R85" i="8"/>
  <c r="Q85" i="8"/>
  <c r="P85" i="8"/>
  <c r="O85" i="8"/>
  <c r="N85" i="8"/>
  <c r="M85" i="8"/>
  <c r="L85" i="8"/>
  <c r="W84" i="8"/>
  <c r="V84" i="8"/>
  <c r="U84" i="8"/>
  <c r="T84" i="8"/>
  <c r="S84" i="8"/>
  <c r="R84" i="8"/>
  <c r="Q84" i="8"/>
  <c r="P84" i="8"/>
  <c r="O84" i="8"/>
  <c r="N84" i="8"/>
  <c r="M84" i="8"/>
  <c r="L84" i="8"/>
  <c r="W83" i="8"/>
  <c r="V83" i="8"/>
  <c r="U83" i="8"/>
  <c r="T83" i="8"/>
  <c r="S83" i="8"/>
  <c r="R83" i="8"/>
  <c r="Q83" i="8"/>
  <c r="P83" i="8"/>
  <c r="O83" i="8"/>
  <c r="N83" i="8"/>
  <c r="M83" i="8"/>
  <c r="L83" i="8"/>
  <c r="W82" i="8"/>
  <c r="V82" i="8"/>
  <c r="U82" i="8"/>
  <c r="T82" i="8"/>
  <c r="S82" i="8"/>
  <c r="R82" i="8"/>
  <c r="Q82" i="8"/>
  <c r="P82" i="8"/>
  <c r="O82" i="8"/>
  <c r="N82" i="8"/>
  <c r="M82" i="8"/>
  <c r="L82" i="8"/>
  <c r="W81" i="8"/>
  <c r="V81" i="8"/>
  <c r="U81" i="8"/>
  <c r="T81" i="8"/>
  <c r="S81" i="8"/>
  <c r="R81" i="8"/>
  <c r="Q81" i="8"/>
  <c r="P81" i="8"/>
  <c r="O81" i="8"/>
  <c r="N81" i="8"/>
  <c r="M81" i="8"/>
  <c r="L81" i="8"/>
  <c r="W80" i="8"/>
  <c r="V80" i="8"/>
  <c r="U80" i="8"/>
  <c r="T80" i="8"/>
  <c r="S80" i="8"/>
  <c r="R80" i="8"/>
  <c r="Q80" i="8"/>
  <c r="P80" i="8"/>
  <c r="O80" i="8"/>
  <c r="N80" i="8"/>
  <c r="M80" i="8"/>
  <c r="L80" i="8"/>
  <c r="W79" i="8"/>
  <c r="V79" i="8"/>
  <c r="U79" i="8"/>
  <c r="T79" i="8"/>
  <c r="S79" i="8"/>
  <c r="R79" i="8"/>
  <c r="Q79" i="8"/>
  <c r="P79" i="8"/>
  <c r="O79" i="8"/>
  <c r="N79" i="8"/>
  <c r="M79" i="8"/>
  <c r="L79" i="8"/>
  <c r="W78" i="8"/>
  <c r="V78" i="8"/>
  <c r="U78" i="8"/>
  <c r="T78" i="8"/>
  <c r="S78" i="8"/>
  <c r="R78" i="8"/>
  <c r="Q78" i="8"/>
  <c r="P78" i="8"/>
  <c r="O78" i="8"/>
  <c r="N78" i="8"/>
  <c r="M78" i="8"/>
  <c r="L78" i="8"/>
  <c r="W77" i="8"/>
  <c r="V77" i="8"/>
  <c r="U77" i="8"/>
  <c r="T77" i="8"/>
  <c r="S77" i="8"/>
  <c r="R77" i="8"/>
  <c r="Q77" i="8"/>
  <c r="P77" i="8"/>
  <c r="O77" i="8"/>
  <c r="N77" i="8"/>
  <c r="M77" i="8"/>
  <c r="L77" i="8"/>
  <c r="W76" i="8"/>
  <c r="V76" i="8"/>
  <c r="U76" i="8"/>
  <c r="T76" i="8"/>
  <c r="S76" i="8"/>
  <c r="R76" i="8"/>
  <c r="Q76" i="8"/>
  <c r="P76" i="8"/>
  <c r="O76" i="8"/>
  <c r="N76" i="8"/>
  <c r="M76" i="8"/>
  <c r="L76" i="8"/>
  <c r="W75" i="8"/>
  <c r="V75" i="8"/>
  <c r="U75" i="8"/>
  <c r="T75" i="8"/>
  <c r="S75" i="8"/>
  <c r="R75" i="8"/>
  <c r="Q75" i="8"/>
  <c r="P75" i="8"/>
  <c r="O75" i="8"/>
  <c r="N75" i="8"/>
  <c r="M75" i="8"/>
  <c r="L75" i="8"/>
  <c r="W74" i="8"/>
  <c r="V74" i="8"/>
  <c r="U74" i="8"/>
  <c r="T74" i="8"/>
  <c r="S74" i="8"/>
  <c r="R74" i="8"/>
  <c r="Q74" i="8"/>
  <c r="P74" i="8"/>
  <c r="O74" i="8"/>
  <c r="N74" i="8"/>
  <c r="M74" i="8"/>
  <c r="L74" i="8"/>
  <c r="W73" i="8"/>
  <c r="V73" i="8"/>
  <c r="U73" i="8"/>
  <c r="T73" i="8"/>
  <c r="S73" i="8"/>
  <c r="R73" i="8"/>
  <c r="Q73" i="8"/>
  <c r="P73" i="8"/>
  <c r="O73" i="8"/>
  <c r="N73" i="8"/>
  <c r="M73" i="8"/>
  <c r="L73" i="8"/>
  <c r="W72" i="8"/>
  <c r="V72" i="8"/>
  <c r="U72" i="8"/>
  <c r="T72" i="8"/>
  <c r="S72" i="8"/>
  <c r="R72" i="8"/>
  <c r="Q72" i="8"/>
  <c r="P72" i="8"/>
  <c r="O72" i="8"/>
  <c r="N72" i="8"/>
  <c r="M72" i="8"/>
  <c r="L72" i="8"/>
  <c r="W71" i="8"/>
  <c r="V71" i="8"/>
  <c r="U71" i="8"/>
  <c r="T71" i="8"/>
  <c r="O71" i="8"/>
  <c r="N71" i="8"/>
  <c r="M71" i="8"/>
  <c r="L71" i="8"/>
  <c r="W70" i="8"/>
  <c r="V70" i="8"/>
  <c r="U70" i="8"/>
  <c r="T70" i="8"/>
  <c r="O70" i="8"/>
  <c r="N70" i="8"/>
  <c r="M70" i="8"/>
  <c r="L70" i="8"/>
  <c r="W69" i="8"/>
  <c r="V69" i="8"/>
  <c r="U69" i="8"/>
  <c r="T69" i="8"/>
  <c r="O69" i="8"/>
  <c r="N69" i="8"/>
  <c r="M69" i="8"/>
  <c r="L69" i="8"/>
  <c r="W68" i="8"/>
  <c r="V68" i="8"/>
  <c r="U68" i="8"/>
  <c r="T68" i="8"/>
  <c r="S68" i="8"/>
  <c r="R68" i="8"/>
  <c r="Q68" i="8"/>
  <c r="P68" i="8"/>
  <c r="O68" i="8"/>
  <c r="N68" i="8"/>
  <c r="M68" i="8"/>
  <c r="L68" i="8"/>
  <c r="W67" i="8"/>
  <c r="V67" i="8"/>
  <c r="U67" i="8"/>
  <c r="T67" i="8"/>
  <c r="S67" i="8"/>
  <c r="R67" i="8"/>
  <c r="Q67" i="8"/>
  <c r="P67" i="8"/>
  <c r="O67" i="8"/>
  <c r="N67" i="8"/>
  <c r="M67" i="8"/>
  <c r="L67" i="8"/>
  <c r="W66" i="8"/>
  <c r="V66" i="8"/>
  <c r="U66" i="8"/>
  <c r="T66" i="8"/>
  <c r="S66" i="8"/>
  <c r="R66" i="8"/>
  <c r="Q66" i="8"/>
  <c r="P66" i="8"/>
  <c r="O66" i="8"/>
  <c r="N66" i="8"/>
  <c r="M66" i="8"/>
  <c r="L66" i="8"/>
  <c r="W65" i="8"/>
  <c r="V65" i="8"/>
  <c r="U65" i="8"/>
  <c r="T65" i="8"/>
  <c r="S65" i="8"/>
  <c r="R65" i="8"/>
  <c r="Q65" i="8"/>
  <c r="P65" i="8"/>
  <c r="O65" i="8"/>
  <c r="N65" i="8"/>
  <c r="M65" i="8"/>
  <c r="L65" i="8"/>
  <c r="W64" i="8"/>
  <c r="V64" i="8"/>
  <c r="U64" i="8"/>
  <c r="T64" i="8"/>
  <c r="S64" i="8"/>
  <c r="R64" i="8"/>
  <c r="Q64" i="8"/>
  <c r="P64" i="8"/>
  <c r="O64" i="8"/>
  <c r="N64" i="8"/>
  <c r="M64" i="8"/>
  <c r="L64" i="8"/>
  <c r="W63" i="8"/>
  <c r="V63" i="8"/>
  <c r="U63" i="8"/>
  <c r="T63" i="8"/>
  <c r="S63" i="8"/>
  <c r="R63" i="8"/>
  <c r="Q63" i="8"/>
  <c r="P63" i="8"/>
  <c r="O63" i="8"/>
  <c r="N63" i="8"/>
  <c r="M63" i="8"/>
  <c r="L63" i="8"/>
  <c r="W62" i="8"/>
  <c r="V62" i="8"/>
  <c r="U62" i="8"/>
  <c r="T62" i="8"/>
  <c r="S62" i="8"/>
  <c r="R62" i="8"/>
  <c r="Q62" i="8"/>
  <c r="P62" i="8"/>
  <c r="O62" i="8"/>
  <c r="N62" i="8"/>
  <c r="M62" i="8"/>
  <c r="L62" i="8"/>
  <c r="W61" i="8"/>
  <c r="V61" i="8"/>
  <c r="U61" i="8"/>
  <c r="T61" i="8"/>
  <c r="S61" i="8"/>
  <c r="R61" i="8"/>
  <c r="Q61" i="8"/>
  <c r="P61" i="8"/>
  <c r="O61" i="8"/>
  <c r="N61" i="8"/>
  <c r="M61" i="8"/>
  <c r="L61" i="8"/>
  <c r="W60" i="8"/>
  <c r="V60" i="8"/>
  <c r="U60" i="8"/>
  <c r="T60" i="8"/>
  <c r="S60" i="8"/>
  <c r="R60" i="8"/>
  <c r="Q60" i="8"/>
  <c r="P60" i="8"/>
  <c r="O60" i="8"/>
  <c r="N60" i="8"/>
  <c r="M60" i="8"/>
  <c r="L60" i="8"/>
  <c r="W59" i="8"/>
  <c r="V59" i="8"/>
  <c r="U59" i="8"/>
  <c r="T59" i="8"/>
  <c r="S59" i="8"/>
  <c r="R59" i="8"/>
  <c r="Q59" i="8"/>
  <c r="P59" i="8"/>
  <c r="O59" i="8"/>
  <c r="N59" i="8"/>
  <c r="M59" i="8"/>
  <c r="L59" i="8"/>
  <c r="W58" i="8"/>
  <c r="V58" i="8"/>
  <c r="U58" i="8"/>
  <c r="T58" i="8"/>
  <c r="S58" i="8"/>
  <c r="R58" i="8"/>
  <c r="Q58" i="8"/>
  <c r="P58" i="8"/>
  <c r="O58" i="8"/>
  <c r="N58" i="8"/>
  <c r="M58" i="8"/>
  <c r="L58" i="8"/>
  <c r="W57" i="8"/>
  <c r="V57" i="8"/>
  <c r="U57" i="8"/>
  <c r="T57" i="8"/>
  <c r="S57" i="8"/>
  <c r="R57" i="8"/>
  <c r="Q57" i="8"/>
  <c r="P57" i="8"/>
  <c r="O57" i="8"/>
  <c r="N57" i="8"/>
  <c r="M57" i="8"/>
  <c r="L57" i="8"/>
  <c r="W56" i="8"/>
  <c r="V56" i="8"/>
  <c r="U56" i="8"/>
  <c r="T56" i="8"/>
  <c r="S56" i="8"/>
  <c r="R56" i="8"/>
  <c r="Q56" i="8"/>
  <c r="P56" i="8"/>
  <c r="O56" i="8"/>
  <c r="N56" i="8"/>
  <c r="M56" i="8"/>
  <c r="L56" i="8"/>
  <c r="W55" i="8"/>
  <c r="V55" i="8"/>
  <c r="U55" i="8"/>
  <c r="T55" i="8"/>
  <c r="S55" i="8"/>
  <c r="R55" i="8"/>
  <c r="Q55" i="8"/>
  <c r="P55" i="8"/>
  <c r="O55" i="8"/>
  <c r="N55" i="8"/>
  <c r="M55" i="8"/>
  <c r="L55" i="8"/>
  <c r="W54" i="8"/>
  <c r="V54" i="8"/>
  <c r="U54" i="8"/>
  <c r="T54" i="8"/>
  <c r="S54" i="8"/>
  <c r="R54" i="8"/>
  <c r="Q54" i="8"/>
  <c r="P54" i="8"/>
  <c r="O54" i="8"/>
  <c r="N54" i="8"/>
  <c r="M54" i="8"/>
  <c r="L54" i="8"/>
  <c r="W53" i="8"/>
  <c r="V53" i="8"/>
  <c r="U53" i="8"/>
  <c r="T53" i="8"/>
  <c r="S53" i="8"/>
  <c r="R53" i="8"/>
  <c r="Q53" i="8"/>
  <c r="P53" i="8"/>
  <c r="O53" i="8"/>
  <c r="N53" i="8"/>
  <c r="M53" i="8"/>
  <c r="L53" i="8"/>
  <c r="W52" i="8"/>
  <c r="V52" i="8"/>
  <c r="U52" i="8"/>
  <c r="T52" i="8"/>
  <c r="S52" i="8"/>
  <c r="R52" i="8"/>
  <c r="Q52" i="8"/>
  <c r="P52" i="8"/>
  <c r="O52" i="8"/>
  <c r="N52" i="8"/>
  <c r="M52" i="8"/>
  <c r="L52" i="8"/>
  <c r="W51" i="8"/>
  <c r="V51" i="8"/>
  <c r="U51" i="8"/>
  <c r="T51" i="8"/>
  <c r="S51" i="8"/>
  <c r="R51" i="8"/>
  <c r="Q51" i="8"/>
  <c r="P51" i="8"/>
  <c r="O51" i="8"/>
  <c r="N51" i="8"/>
  <c r="M51" i="8"/>
  <c r="L51" i="8"/>
  <c r="W50" i="8"/>
  <c r="V50" i="8"/>
  <c r="U50" i="8"/>
  <c r="T50" i="8"/>
  <c r="S50" i="8"/>
  <c r="R50" i="8"/>
  <c r="Q50" i="8"/>
  <c r="P50" i="8"/>
  <c r="O50" i="8"/>
  <c r="N50" i="8"/>
  <c r="M50" i="8"/>
  <c r="L50" i="8"/>
  <c r="W49" i="8"/>
  <c r="V49" i="8"/>
  <c r="U49" i="8"/>
  <c r="T49" i="8"/>
  <c r="S49" i="8"/>
  <c r="R49" i="8"/>
  <c r="Q49" i="8"/>
  <c r="P49" i="8"/>
  <c r="O49" i="8"/>
  <c r="N49" i="8"/>
  <c r="M49" i="8"/>
  <c r="L49" i="8"/>
  <c r="W48" i="8"/>
  <c r="V48" i="8"/>
  <c r="U48" i="8"/>
  <c r="T48" i="8"/>
  <c r="S48" i="8"/>
  <c r="R48" i="8"/>
  <c r="Q48" i="8"/>
  <c r="P48" i="8"/>
  <c r="O48" i="8"/>
  <c r="N48" i="8"/>
  <c r="M48" i="8"/>
  <c r="L48" i="8"/>
  <c r="W47" i="8"/>
  <c r="V47" i="8"/>
  <c r="U47" i="8"/>
  <c r="T47" i="8"/>
  <c r="S47" i="8"/>
  <c r="R47" i="8"/>
  <c r="Q47" i="8"/>
  <c r="P47" i="8"/>
  <c r="O47" i="8"/>
  <c r="N47" i="8"/>
  <c r="M47" i="8"/>
  <c r="L47" i="8"/>
  <c r="W46" i="8"/>
  <c r="V46" i="8"/>
  <c r="U46" i="8"/>
  <c r="T46" i="8"/>
  <c r="S46" i="8"/>
  <c r="R46" i="8"/>
  <c r="Q46" i="8"/>
  <c r="P46" i="8"/>
  <c r="O46" i="8"/>
  <c r="N46" i="8"/>
  <c r="M46" i="8"/>
  <c r="L46" i="8"/>
  <c r="W45" i="8"/>
  <c r="V45" i="8"/>
  <c r="U45" i="8"/>
  <c r="T45" i="8"/>
  <c r="O45" i="8"/>
  <c r="N45" i="8"/>
  <c r="M45" i="8"/>
  <c r="L45" i="8"/>
  <c r="W44" i="8"/>
  <c r="V44" i="8"/>
  <c r="U44" i="8"/>
  <c r="T44" i="8"/>
  <c r="O44" i="8"/>
  <c r="N44" i="8"/>
  <c r="M44" i="8"/>
  <c r="L44" i="8"/>
  <c r="W43" i="8"/>
  <c r="V43" i="8"/>
  <c r="U43" i="8"/>
  <c r="T43" i="8"/>
  <c r="O43" i="8"/>
  <c r="N43" i="8"/>
  <c r="M43" i="8"/>
  <c r="L43" i="8"/>
  <c r="W42" i="8"/>
  <c r="V42" i="8"/>
  <c r="U42" i="8"/>
  <c r="T42" i="8"/>
  <c r="S42" i="8"/>
  <c r="R42" i="8"/>
  <c r="Q42" i="8"/>
  <c r="P42" i="8"/>
  <c r="O42" i="8"/>
  <c r="N42" i="8"/>
  <c r="M42" i="8"/>
  <c r="L42" i="8"/>
  <c r="W41" i="8"/>
  <c r="V41" i="8"/>
  <c r="U41" i="8"/>
  <c r="T41" i="8"/>
  <c r="S41" i="8"/>
  <c r="R41" i="8"/>
  <c r="Q41" i="8"/>
  <c r="P41" i="8"/>
  <c r="O41" i="8"/>
  <c r="N41" i="8"/>
  <c r="M41" i="8"/>
  <c r="L41" i="8"/>
  <c r="W40" i="8"/>
  <c r="V40" i="8"/>
  <c r="U40" i="8"/>
  <c r="T40" i="8"/>
  <c r="S40" i="8"/>
  <c r="R40" i="8"/>
  <c r="Q40" i="8"/>
  <c r="P40" i="8"/>
  <c r="O40" i="8"/>
  <c r="N40" i="8"/>
  <c r="M40" i="8"/>
  <c r="L40" i="8"/>
  <c r="W39" i="8"/>
  <c r="V39" i="8"/>
  <c r="U39" i="8"/>
  <c r="T39" i="8"/>
  <c r="S39" i="8"/>
  <c r="R39" i="8"/>
  <c r="Q39" i="8"/>
  <c r="P39" i="8"/>
  <c r="O39" i="8"/>
  <c r="N39" i="8"/>
  <c r="M39" i="8"/>
  <c r="L39" i="8"/>
  <c r="W38" i="8"/>
  <c r="V38" i="8"/>
  <c r="U38" i="8"/>
  <c r="T38" i="8"/>
  <c r="S38" i="8"/>
  <c r="R38" i="8"/>
  <c r="Q38" i="8"/>
  <c r="P38" i="8"/>
  <c r="O38" i="8"/>
  <c r="N38" i="8"/>
  <c r="M38" i="8"/>
  <c r="L38" i="8"/>
  <c r="W37" i="8"/>
  <c r="V37" i="8"/>
  <c r="U37" i="8"/>
  <c r="T37" i="8"/>
  <c r="S37" i="8"/>
  <c r="R37" i="8"/>
  <c r="Q37" i="8"/>
  <c r="P37" i="8"/>
  <c r="O37" i="8"/>
  <c r="N37" i="8"/>
  <c r="M37" i="8"/>
  <c r="L37" i="8"/>
  <c r="W36" i="8"/>
  <c r="V36" i="8"/>
  <c r="U36" i="8"/>
  <c r="T36" i="8"/>
  <c r="S36" i="8"/>
  <c r="R36" i="8"/>
  <c r="Q36" i="8"/>
  <c r="P36" i="8"/>
  <c r="O36" i="8"/>
  <c r="N36" i="8"/>
  <c r="M36" i="8"/>
  <c r="L36" i="8"/>
  <c r="W35" i="8"/>
  <c r="V35" i="8"/>
  <c r="U35" i="8"/>
  <c r="T35" i="8"/>
  <c r="S35" i="8"/>
  <c r="R35" i="8"/>
  <c r="Q35" i="8"/>
  <c r="P35" i="8"/>
  <c r="O35" i="8"/>
  <c r="N35" i="8"/>
  <c r="M35" i="8"/>
  <c r="L35" i="8"/>
  <c r="W34" i="8"/>
  <c r="V34" i="8"/>
  <c r="U34" i="8"/>
  <c r="T34" i="8"/>
  <c r="S34" i="8"/>
  <c r="R34" i="8"/>
  <c r="Q34" i="8"/>
  <c r="P34" i="8"/>
  <c r="O34" i="8"/>
  <c r="N34" i="8"/>
  <c r="M34" i="8"/>
  <c r="L34" i="8"/>
  <c r="W33" i="8"/>
  <c r="V33" i="8"/>
  <c r="U33" i="8"/>
  <c r="T33" i="8"/>
  <c r="S33" i="8"/>
  <c r="R33" i="8"/>
  <c r="Q33" i="8"/>
  <c r="P33" i="8"/>
  <c r="O33" i="8"/>
  <c r="N33" i="8"/>
  <c r="M33" i="8"/>
  <c r="L33" i="8"/>
  <c r="W32" i="8"/>
  <c r="V32" i="8"/>
  <c r="U32" i="8"/>
  <c r="T32" i="8"/>
  <c r="S32" i="8"/>
  <c r="R32" i="8"/>
  <c r="Q32" i="8"/>
  <c r="P32" i="8"/>
  <c r="O32" i="8"/>
  <c r="N32" i="8"/>
  <c r="M32" i="8"/>
  <c r="L32" i="8"/>
  <c r="W31" i="8"/>
  <c r="V31" i="8"/>
  <c r="U31" i="8"/>
  <c r="T31" i="8"/>
  <c r="S31" i="8"/>
  <c r="R31" i="8"/>
  <c r="Q31" i="8"/>
  <c r="P31" i="8"/>
  <c r="O31" i="8"/>
  <c r="N31" i="8"/>
  <c r="M31" i="8"/>
  <c r="L31" i="8"/>
  <c r="W30" i="8"/>
  <c r="V30" i="8"/>
  <c r="U30" i="8"/>
  <c r="T30" i="8"/>
  <c r="S30" i="8"/>
  <c r="R30" i="8"/>
  <c r="Q30" i="8"/>
  <c r="P30" i="8"/>
  <c r="O30" i="8"/>
  <c r="N30" i="8"/>
  <c r="M30" i="8"/>
  <c r="L30" i="8"/>
  <c r="W29" i="8"/>
  <c r="V29" i="8"/>
  <c r="U29" i="8"/>
  <c r="T29" i="8"/>
  <c r="S29" i="8"/>
  <c r="R29" i="8"/>
  <c r="Q29" i="8"/>
  <c r="P29" i="8"/>
  <c r="O29" i="8"/>
  <c r="N29" i="8"/>
  <c r="M29" i="8"/>
  <c r="L29" i="8"/>
  <c r="W28" i="8"/>
  <c r="V28" i="8"/>
  <c r="U28" i="8"/>
  <c r="T28" i="8"/>
  <c r="S28" i="8"/>
  <c r="R28" i="8"/>
  <c r="Q28" i="8"/>
  <c r="P28" i="8"/>
  <c r="O28" i="8"/>
  <c r="N28" i="8"/>
  <c r="M28" i="8"/>
  <c r="L28" i="8"/>
  <c r="W27" i="8"/>
  <c r="V27" i="8"/>
  <c r="U27" i="8"/>
  <c r="T27" i="8"/>
  <c r="S27" i="8"/>
  <c r="R27" i="8"/>
  <c r="Q27" i="8"/>
  <c r="P27" i="8"/>
  <c r="O27" i="8"/>
  <c r="N27" i="8"/>
  <c r="M27" i="8"/>
  <c r="L27" i="8"/>
  <c r="W26" i="8"/>
  <c r="V26" i="8"/>
  <c r="U26" i="8"/>
  <c r="T26" i="8"/>
  <c r="S26" i="8"/>
  <c r="R26" i="8"/>
  <c r="Q26" i="8"/>
  <c r="P26" i="8"/>
  <c r="O26" i="8"/>
  <c r="N26" i="8"/>
  <c r="M26" i="8"/>
  <c r="L26" i="8"/>
  <c r="W25" i="8"/>
  <c r="V25" i="8"/>
  <c r="U25" i="8"/>
  <c r="T25" i="8"/>
  <c r="S25" i="8"/>
  <c r="R25" i="8"/>
  <c r="Q25" i="8"/>
  <c r="P25" i="8"/>
  <c r="O25" i="8"/>
  <c r="N25" i="8"/>
  <c r="M25" i="8"/>
  <c r="L25" i="8"/>
  <c r="W24" i="8"/>
  <c r="V24" i="8"/>
  <c r="U24" i="8"/>
  <c r="T24" i="8"/>
  <c r="S24" i="8"/>
  <c r="R24" i="8"/>
  <c r="Q24" i="8"/>
  <c r="P24" i="8"/>
  <c r="O24" i="8"/>
  <c r="N24" i="8"/>
  <c r="M24" i="8"/>
  <c r="L24" i="8"/>
  <c r="W22" i="8"/>
  <c r="V22" i="8"/>
  <c r="U22" i="8"/>
  <c r="T22" i="8"/>
  <c r="S22" i="8"/>
  <c r="R22" i="8"/>
  <c r="Q22" i="8"/>
  <c r="P22" i="8"/>
  <c r="O22" i="8"/>
  <c r="N22" i="8"/>
  <c r="M22" i="8"/>
  <c r="L22" i="8"/>
  <c r="W21" i="8"/>
  <c r="V21" i="8"/>
  <c r="U21" i="8"/>
  <c r="T21" i="8"/>
  <c r="S21" i="8"/>
  <c r="R21" i="8"/>
  <c r="Q21" i="8"/>
  <c r="P21" i="8"/>
  <c r="O21" i="8"/>
  <c r="N21" i="8"/>
  <c r="M21" i="8"/>
  <c r="L21" i="8"/>
  <c r="W20" i="8"/>
  <c r="V20" i="8"/>
  <c r="U20" i="8"/>
  <c r="T20" i="8"/>
  <c r="S20" i="8"/>
  <c r="R20" i="8"/>
  <c r="Q20" i="8"/>
  <c r="P20" i="8"/>
  <c r="O20" i="8"/>
  <c r="N20" i="8"/>
  <c r="M20" i="8"/>
  <c r="L20" i="8"/>
  <c r="W19" i="8"/>
  <c r="V19" i="8"/>
  <c r="U19" i="8"/>
  <c r="T19" i="8"/>
  <c r="S19" i="8"/>
  <c r="R19" i="8"/>
  <c r="Q19" i="8"/>
  <c r="P19" i="8"/>
  <c r="O19" i="8"/>
  <c r="N19" i="8"/>
  <c r="M19" i="8"/>
  <c r="L19" i="8"/>
  <c r="W18" i="8"/>
  <c r="V18" i="8"/>
  <c r="U18" i="8"/>
  <c r="T18" i="8"/>
  <c r="S18" i="8"/>
  <c r="R18" i="8"/>
  <c r="Q18" i="8"/>
  <c r="P18" i="8"/>
  <c r="O18" i="8"/>
  <c r="N18" i="8"/>
  <c r="M18" i="8"/>
  <c r="L18" i="8"/>
  <c r="W17" i="8"/>
  <c r="V17" i="8"/>
  <c r="U17" i="8"/>
  <c r="T17" i="8"/>
  <c r="S17" i="8"/>
  <c r="R17" i="8"/>
  <c r="Q17" i="8"/>
  <c r="P17" i="8"/>
  <c r="O17" i="8"/>
  <c r="N17" i="8"/>
  <c r="M17" i="8"/>
  <c r="L17" i="8"/>
  <c r="W16" i="8"/>
  <c r="V16" i="8"/>
  <c r="U16" i="8"/>
  <c r="T16" i="8"/>
  <c r="S16" i="8"/>
  <c r="R16" i="8"/>
  <c r="Q16" i="8"/>
  <c r="P16" i="8"/>
  <c r="O16" i="8"/>
  <c r="N16" i="8"/>
  <c r="M16" i="8"/>
  <c r="L16" i="8"/>
  <c r="W15" i="8"/>
  <c r="V15" i="8"/>
  <c r="U15" i="8"/>
  <c r="T15" i="8"/>
  <c r="S15" i="8"/>
  <c r="R15" i="8"/>
  <c r="Q15" i="8"/>
  <c r="P15" i="8"/>
  <c r="O15" i="8"/>
  <c r="N15" i="8"/>
  <c r="M15" i="8"/>
  <c r="L15" i="8"/>
  <c r="W14" i="8"/>
  <c r="V14" i="8"/>
  <c r="U14" i="8"/>
  <c r="T14" i="8"/>
  <c r="S14" i="8"/>
  <c r="R14" i="8"/>
  <c r="Q14" i="8"/>
  <c r="P14" i="8"/>
  <c r="O14" i="8"/>
  <c r="N14" i="8"/>
  <c r="M14" i="8"/>
  <c r="L14" i="8"/>
  <c r="W13" i="8"/>
  <c r="V13" i="8"/>
  <c r="U13" i="8"/>
  <c r="T13" i="8"/>
  <c r="S13" i="8"/>
  <c r="R13" i="8"/>
  <c r="Q13" i="8"/>
  <c r="P13" i="8"/>
  <c r="O13" i="8"/>
  <c r="N13" i="8"/>
  <c r="M13" i="8"/>
  <c r="L13" i="8"/>
  <c r="W11" i="8"/>
  <c r="V11" i="8"/>
  <c r="U11" i="8"/>
  <c r="T11" i="8"/>
  <c r="S11" i="8"/>
  <c r="R11" i="8"/>
  <c r="Q11" i="8"/>
  <c r="P11" i="8"/>
  <c r="O11" i="8"/>
  <c r="N11" i="8"/>
  <c r="M11" i="8"/>
  <c r="L11" i="8"/>
  <c r="W10" i="8"/>
  <c r="V10" i="8"/>
  <c r="U10" i="8"/>
  <c r="T10" i="8"/>
  <c r="S10" i="8"/>
  <c r="R10" i="8"/>
  <c r="Q10" i="8"/>
  <c r="P10" i="8"/>
  <c r="O10" i="8"/>
  <c r="N10" i="8"/>
  <c r="M10" i="8"/>
  <c r="L10" i="8"/>
  <c r="B2" i="8"/>
  <c r="W289" i="7"/>
  <c r="V289" i="7"/>
  <c r="J289" i="7"/>
  <c r="H289" i="7"/>
  <c r="I289" i="7" s="1"/>
  <c r="G289" i="7"/>
  <c r="W288" i="7"/>
  <c r="V288" i="7"/>
  <c r="J288" i="7"/>
  <c r="H288" i="7"/>
  <c r="I288" i="7" s="1"/>
  <c r="G288" i="7"/>
  <c r="W287" i="7"/>
  <c r="V287" i="7"/>
  <c r="J287" i="7"/>
  <c r="H287" i="7"/>
  <c r="I287" i="7" s="1"/>
  <c r="G287" i="7"/>
  <c r="W286" i="7"/>
  <c r="V286" i="7"/>
  <c r="J286" i="7"/>
  <c r="H286" i="7"/>
  <c r="I286" i="7" s="1"/>
  <c r="G286" i="7"/>
  <c r="W285" i="7"/>
  <c r="V285" i="7"/>
  <c r="J285" i="7"/>
  <c r="H285" i="7"/>
  <c r="G285" i="7"/>
  <c r="W284" i="7"/>
  <c r="V284" i="7"/>
  <c r="J284" i="7"/>
  <c r="H284" i="7"/>
  <c r="I284" i="7" s="1"/>
  <c r="G284" i="7"/>
  <c r="W283" i="7"/>
  <c r="V283" i="7"/>
  <c r="J283" i="7"/>
  <c r="H283" i="7"/>
  <c r="G283" i="7"/>
  <c r="W282" i="7"/>
  <c r="V282" i="7"/>
  <c r="J282" i="7"/>
  <c r="H282" i="7"/>
  <c r="G282" i="7"/>
  <c r="W281" i="7"/>
  <c r="J281" i="7"/>
  <c r="H281" i="7"/>
  <c r="I281" i="7" s="1"/>
  <c r="G281" i="7"/>
  <c r="W280" i="7"/>
  <c r="J280" i="7"/>
  <c r="H280" i="7"/>
  <c r="I280" i="7" s="1"/>
  <c r="G280" i="7"/>
  <c r="W279" i="7"/>
  <c r="J279" i="7"/>
  <c r="H279" i="7"/>
  <c r="I279" i="7" s="1"/>
  <c r="G279" i="7"/>
  <c r="W278" i="7"/>
  <c r="J278" i="7"/>
  <c r="H278" i="7"/>
  <c r="I278" i="7" s="1"/>
  <c r="G278" i="7"/>
  <c r="W277" i="7"/>
  <c r="J277" i="7"/>
  <c r="H277" i="7"/>
  <c r="I277" i="7" s="1"/>
  <c r="G277" i="7"/>
  <c r="W276" i="7"/>
  <c r="J276" i="7"/>
  <c r="H276" i="7"/>
  <c r="I276" i="7" s="1"/>
  <c r="G276" i="7"/>
  <c r="W275" i="7"/>
  <c r="J275" i="7"/>
  <c r="H275" i="7"/>
  <c r="I275" i="7" s="1"/>
  <c r="G275" i="7"/>
  <c r="W274" i="7"/>
  <c r="J274" i="7"/>
  <c r="H274" i="7"/>
  <c r="I274" i="7" s="1"/>
  <c r="G274" i="7"/>
  <c r="W273" i="7"/>
  <c r="V273" i="7"/>
  <c r="H273" i="7"/>
  <c r="J273" i="7" s="1"/>
  <c r="W272" i="7"/>
  <c r="V272" i="7"/>
  <c r="W271" i="7"/>
  <c r="V271" i="7"/>
  <c r="W270" i="7"/>
  <c r="V270" i="7"/>
  <c r="J270" i="7"/>
  <c r="H270" i="7"/>
  <c r="I270" i="7" s="1"/>
  <c r="G270" i="7"/>
  <c r="W269" i="7"/>
  <c r="V269" i="7"/>
  <c r="J269" i="7"/>
  <c r="H269" i="7"/>
  <c r="I269" i="7" s="1"/>
  <c r="G269" i="7"/>
  <c r="W268" i="7"/>
  <c r="V268" i="7"/>
  <c r="J268" i="7"/>
  <c r="H268" i="7"/>
  <c r="I268" i="7" s="1"/>
  <c r="G268" i="7"/>
  <c r="W267" i="7"/>
  <c r="V267" i="7"/>
  <c r="J267" i="7"/>
  <c r="H267" i="7"/>
  <c r="G267" i="7"/>
  <c r="W266" i="7"/>
  <c r="V266" i="7"/>
  <c r="J266" i="7"/>
  <c r="H266" i="7"/>
  <c r="G266" i="7"/>
  <c r="W265" i="7"/>
  <c r="V265" i="7"/>
  <c r="J265" i="7"/>
  <c r="H265" i="7"/>
  <c r="G265" i="7"/>
  <c r="W264" i="7"/>
  <c r="V264" i="7"/>
  <c r="J264" i="7"/>
  <c r="H264" i="7"/>
  <c r="I264" i="7" s="1"/>
  <c r="G264" i="7"/>
  <c r="W263" i="7"/>
  <c r="V263" i="7"/>
  <c r="J263" i="7"/>
  <c r="H263" i="7"/>
  <c r="I263" i="7" s="1"/>
  <c r="G263" i="7"/>
  <c r="W262" i="7"/>
  <c r="V262" i="7"/>
  <c r="J262" i="7"/>
  <c r="H262" i="7"/>
  <c r="G262" i="7"/>
  <c r="W261" i="7"/>
  <c r="V261" i="7"/>
  <c r="J261" i="7"/>
  <c r="H261" i="7"/>
  <c r="G261" i="7"/>
  <c r="W260" i="7"/>
  <c r="V260" i="7"/>
  <c r="J260" i="7"/>
  <c r="H260" i="7"/>
  <c r="I260" i="7" s="1"/>
  <c r="G260" i="7"/>
  <c r="W259" i="7"/>
  <c r="V259" i="7"/>
  <c r="J259" i="7"/>
  <c r="H259" i="7"/>
  <c r="I259" i="7" s="1"/>
  <c r="G259" i="7"/>
  <c r="W258" i="7"/>
  <c r="V258" i="7"/>
  <c r="J258" i="7"/>
  <c r="H258" i="7"/>
  <c r="I258" i="7" s="1"/>
  <c r="G258" i="7"/>
  <c r="W257" i="7"/>
  <c r="V257" i="7"/>
  <c r="J257" i="7"/>
  <c r="H257" i="7"/>
  <c r="G257" i="7"/>
  <c r="W256" i="7"/>
  <c r="V256" i="7"/>
  <c r="J256" i="7"/>
  <c r="H256" i="7"/>
  <c r="G256" i="7"/>
  <c r="W255" i="7"/>
  <c r="V255" i="7"/>
  <c r="J255" i="7"/>
  <c r="H255" i="7"/>
  <c r="I255" i="7" s="1"/>
  <c r="G255" i="7"/>
  <c r="W254" i="7"/>
  <c r="V254" i="7"/>
  <c r="J254" i="7"/>
  <c r="H254" i="7"/>
  <c r="I254" i="7" s="1"/>
  <c r="G254" i="7"/>
  <c r="W253" i="7"/>
  <c r="V253" i="7"/>
  <c r="J253" i="7"/>
  <c r="H253" i="7"/>
  <c r="I253" i="7" s="1"/>
  <c r="G253" i="7"/>
  <c r="W252" i="7"/>
  <c r="V252" i="7"/>
  <c r="J252" i="7"/>
  <c r="H252" i="7"/>
  <c r="I252" i="7" s="1"/>
  <c r="G252" i="7"/>
  <c r="W251" i="7"/>
  <c r="V251" i="7"/>
  <c r="J251" i="7"/>
  <c r="H251" i="7"/>
  <c r="I251" i="7" s="1"/>
  <c r="G251" i="7"/>
  <c r="W250" i="7"/>
  <c r="V250" i="7"/>
  <c r="J250" i="7"/>
  <c r="H250" i="7"/>
  <c r="I250" i="7" s="1"/>
  <c r="G250" i="7"/>
  <c r="W249" i="7"/>
  <c r="V249" i="7"/>
  <c r="J249" i="7"/>
  <c r="H249" i="7"/>
  <c r="I249" i="7" s="1"/>
  <c r="G249" i="7"/>
  <c r="W248" i="7"/>
  <c r="V248" i="7"/>
  <c r="J248" i="7"/>
  <c r="I248" i="7"/>
  <c r="H248" i="7"/>
  <c r="G248" i="7"/>
  <c r="W247" i="7"/>
  <c r="V247" i="7"/>
  <c r="J247" i="7"/>
  <c r="H247" i="7"/>
  <c r="I247" i="7" s="1"/>
  <c r="G247" i="7"/>
  <c r="W246" i="7"/>
  <c r="V246" i="7"/>
  <c r="J246" i="7"/>
  <c r="H246" i="7"/>
  <c r="G246" i="7"/>
  <c r="W245" i="7"/>
  <c r="V245" i="7"/>
  <c r="J245" i="7"/>
  <c r="H245" i="7"/>
  <c r="I245" i="7" s="1"/>
  <c r="G245" i="7"/>
  <c r="W244" i="7"/>
  <c r="V244" i="7"/>
  <c r="J244" i="7"/>
  <c r="H244" i="7"/>
  <c r="I244" i="7" s="1"/>
  <c r="G244" i="7"/>
  <c r="W243" i="7"/>
  <c r="V243" i="7"/>
  <c r="J243" i="7"/>
  <c r="H243" i="7"/>
  <c r="I243" i="7" s="1"/>
  <c r="G243" i="7"/>
  <c r="W242" i="7"/>
  <c r="V242" i="7"/>
  <c r="J242" i="7"/>
  <c r="H242" i="7"/>
  <c r="I242" i="7" s="1"/>
  <c r="G242" i="7"/>
  <c r="W241" i="7"/>
  <c r="V241" i="7"/>
  <c r="J241" i="7"/>
  <c r="H241" i="7"/>
  <c r="I241" i="7" s="1"/>
  <c r="G241" i="7"/>
  <c r="W240" i="7"/>
  <c r="V240" i="7"/>
  <c r="J240" i="7"/>
  <c r="H240" i="7"/>
  <c r="I240" i="7" s="1"/>
  <c r="G240" i="7"/>
  <c r="W239" i="7"/>
  <c r="V239" i="7"/>
  <c r="J239" i="7"/>
  <c r="H239" i="7"/>
  <c r="G239" i="7"/>
  <c r="W238" i="7"/>
  <c r="V238" i="7"/>
  <c r="J238" i="7"/>
  <c r="H238" i="7"/>
  <c r="I238" i="7" s="1"/>
  <c r="G238" i="7"/>
  <c r="W237" i="7"/>
  <c r="V237" i="7"/>
  <c r="J237" i="7"/>
  <c r="H237" i="7"/>
  <c r="I237" i="7" s="1"/>
  <c r="G237" i="7"/>
  <c r="W236" i="7"/>
  <c r="V236" i="7"/>
  <c r="J236" i="7"/>
  <c r="H236" i="7"/>
  <c r="I236" i="7" s="1"/>
  <c r="G236" i="7"/>
  <c r="W235" i="7"/>
  <c r="V235" i="7"/>
  <c r="J235" i="7"/>
  <c r="H235" i="7"/>
  <c r="I235" i="7" s="1"/>
  <c r="G235" i="7"/>
  <c r="J234" i="7"/>
  <c r="H234" i="7"/>
  <c r="I234" i="7" s="1"/>
  <c r="G234" i="7"/>
  <c r="J233" i="7"/>
  <c r="V233" i="7" s="1"/>
  <c r="H233" i="7"/>
  <c r="I233" i="7" s="1"/>
  <c r="G233" i="7"/>
  <c r="J232" i="7"/>
  <c r="H232" i="7"/>
  <c r="I232" i="7" s="1"/>
  <c r="G232" i="7"/>
  <c r="J231" i="7"/>
  <c r="V231" i="7" s="1"/>
  <c r="H231" i="7"/>
  <c r="I231" i="7" s="1"/>
  <c r="G231" i="7"/>
  <c r="J230" i="7"/>
  <c r="W230" i="7" s="1"/>
  <c r="H230" i="7"/>
  <c r="I230" i="7" s="1"/>
  <c r="G230" i="7"/>
  <c r="J229" i="7"/>
  <c r="V229" i="7" s="1"/>
  <c r="H229" i="7"/>
  <c r="I229" i="7" s="1"/>
  <c r="G229" i="7"/>
  <c r="J228" i="7"/>
  <c r="W228" i="7" s="1"/>
  <c r="H228" i="7"/>
  <c r="I228" i="7" s="1"/>
  <c r="G228" i="7"/>
  <c r="J227" i="7"/>
  <c r="H227" i="7"/>
  <c r="I227" i="7" s="1"/>
  <c r="G227" i="7"/>
  <c r="W226" i="7"/>
  <c r="V226" i="7"/>
  <c r="W225" i="7"/>
  <c r="V225" i="7"/>
  <c r="W224" i="7"/>
  <c r="V224" i="7"/>
  <c r="J224" i="7"/>
  <c r="H224" i="7"/>
  <c r="I224" i="7" s="1"/>
  <c r="G224" i="7"/>
  <c r="W223" i="7"/>
  <c r="V223" i="7"/>
  <c r="J223" i="7"/>
  <c r="H223" i="7"/>
  <c r="I223" i="7" s="1"/>
  <c r="G223" i="7"/>
  <c r="W222" i="7"/>
  <c r="V222" i="7"/>
  <c r="J222" i="7"/>
  <c r="H222" i="7"/>
  <c r="I222" i="7" s="1"/>
  <c r="G222" i="7"/>
  <c r="W221" i="7"/>
  <c r="V221" i="7"/>
  <c r="J221" i="7"/>
  <c r="H221" i="7"/>
  <c r="I221" i="7" s="1"/>
  <c r="G221" i="7"/>
  <c r="W220" i="7"/>
  <c r="V220" i="7"/>
  <c r="J220" i="7"/>
  <c r="H220" i="7"/>
  <c r="G220" i="7"/>
  <c r="W219" i="7"/>
  <c r="V219" i="7"/>
  <c r="J219" i="7"/>
  <c r="H219" i="7"/>
  <c r="I219" i="7" s="1"/>
  <c r="G219" i="7"/>
  <c r="W218" i="7"/>
  <c r="V218" i="7"/>
  <c r="J218" i="7"/>
  <c r="H218" i="7"/>
  <c r="I218" i="7" s="1"/>
  <c r="G218" i="7"/>
  <c r="W217" i="7"/>
  <c r="V217" i="7"/>
  <c r="J217" i="7"/>
  <c r="H217" i="7"/>
  <c r="I217" i="7" s="1"/>
  <c r="G217" i="7"/>
  <c r="W216" i="7"/>
  <c r="V216" i="7"/>
  <c r="J216" i="7"/>
  <c r="H216" i="7"/>
  <c r="I216" i="7" s="1"/>
  <c r="G216" i="7"/>
  <c r="W215" i="7"/>
  <c r="V215" i="7"/>
  <c r="J215" i="7"/>
  <c r="H215" i="7"/>
  <c r="I215" i="7" s="1"/>
  <c r="G215" i="7"/>
  <c r="W214" i="7"/>
  <c r="V214" i="7"/>
  <c r="J214" i="7"/>
  <c r="H214" i="7"/>
  <c r="G214" i="7"/>
  <c r="W213" i="7"/>
  <c r="V213" i="7"/>
  <c r="J213" i="7"/>
  <c r="H213" i="7"/>
  <c r="I213" i="7" s="1"/>
  <c r="G213" i="7"/>
  <c r="W212" i="7"/>
  <c r="V212" i="7"/>
  <c r="J212" i="7"/>
  <c r="H212" i="7"/>
  <c r="G212" i="7"/>
  <c r="W211" i="7"/>
  <c r="V211" i="7"/>
  <c r="J211" i="7"/>
  <c r="H211" i="7"/>
  <c r="I211" i="7" s="1"/>
  <c r="G211" i="7"/>
  <c r="W210" i="7"/>
  <c r="V210" i="7"/>
  <c r="J210" i="7"/>
  <c r="H210" i="7"/>
  <c r="I210" i="7" s="1"/>
  <c r="G210" i="7"/>
  <c r="W209" i="7"/>
  <c r="V209" i="7"/>
  <c r="J209" i="7"/>
  <c r="H209" i="7"/>
  <c r="I209" i="7" s="1"/>
  <c r="G209" i="7"/>
  <c r="W208" i="7"/>
  <c r="V208" i="7"/>
  <c r="J208" i="7"/>
  <c r="H208" i="7"/>
  <c r="G208" i="7"/>
  <c r="W207" i="7"/>
  <c r="V207" i="7"/>
  <c r="J207" i="7"/>
  <c r="H207" i="7"/>
  <c r="G207" i="7"/>
  <c r="I207" i="7" s="1"/>
  <c r="W206" i="7"/>
  <c r="V206" i="7"/>
  <c r="J206" i="7"/>
  <c r="H206" i="7"/>
  <c r="G206" i="7"/>
  <c r="W205" i="7"/>
  <c r="V205" i="7"/>
  <c r="J205" i="7"/>
  <c r="H205" i="7"/>
  <c r="I205" i="7" s="1"/>
  <c r="G205" i="7"/>
  <c r="W204" i="7"/>
  <c r="V204" i="7"/>
  <c r="J204" i="7"/>
  <c r="H204" i="7"/>
  <c r="G204" i="7"/>
  <c r="W203" i="7"/>
  <c r="V203" i="7"/>
  <c r="J203" i="7"/>
  <c r="H203" i="7"/>
  <c r="G203" i="7"/>
  <c r="I203" i="7" s="1"/>
  <c r="W202" i="7"/>
  <c r="V202" i="7"/>
  <c r="J202" i="7"/>
  <c r="H202" i="7"/>
  <c r="I202" i="7" s="1"/>
  <c r="G202" i="7"/>
  <c r="J201" i="7"/>
  <c r="H201" i="7"/>
  <c r="I201" i="7" s="1"/>
  <c r="G201" i="7"/>
  <c r="J200" i="7"/>
  <c r="W200" i="7" s="1"/>
  <c r="H200" i="7"/>
  <c r="I200" i="7" s="1"/>
  <c r="G200" i="7"/>
  <c r="J199" i="7"/>
  <c r="W199" i="7" s="1"/>
  <c r="H199" i="7"/>
  <c r="I199" i="7" s="1"/>
  <c r="G199" i="7"/>
  <c r="W198" i="7"/>
  <c r="V198" i="7"/>
  <c r="W197" i="7"/>
  <c r="V197" i="7"/>
  <c r="W196" i="7"/>
  <c r="V196" i="7"/>
  <c r="J196" i="7"/>
  <c r="H196" i="7"/>
  <c r="I196" i="7" s="1"/>
  <c r="G196" i="7"/>
  <c r="W195" i="7"/>
  <c r="V195" i="7"/>
  <c r="J195" i="7"/>
  <c r="H195" i="7"/>
  <c r="I195" i="7" s="1"/>
  <c r="G195" i="7"/>
  <c r="W194" i="7"/>
  <c r="V194" i="7"/>
  <c r="J194" i="7"/>
  <c r="H194" i="7"/>
  <c r="I194" i="7" s="1"/>
  <c r="G194" i="7"/>
  <c r="W193" i="7"/>
  <c r="V193" i="7"/>
  <c r="J193" i="7"/>
  <c r="H193" i="7"/>
  <c r="I193" i="7" s="1"/>
  <c r="G193" i="7"/>
  <c r="W192" i="7"/>
  <c r="V192" i="7"/>
  <c r="J192" i="7"/>
  <c r="H192" i="7"/>
  <c r="G192" i="7"/>
  <c r="W191" i="7"/>
  <c r="V191" i="7"/>
  <c r="J191" i="7"/>
  <c r="H191" i="7"/>
  <c r="G191" i="7"/>
  <c r="W190" i="7"/>
  <c r="V190" i="7"/>
  <c r="J190" i="7"/>
  <c r="H190" i="7"/>
  <c r="G190" i="7"/>
  <c r="W189" i="7"/>
  <c r="V189" i="7"/>
  <c r="J189" i="7"/>
  <c r="H189" i="7"/>
  <c r="I189" i="7" s="1"/>
  <c r="G189" i="7"/>
  <c r="W188" i="7"/>
  <c r="V188" i="7"/>
  <c r="J188" i="7"/>
  <c r="H188" i="7"/>
  <c r="I188" i="7" s="1"/>
  <c r="G188" i="7"/>
  <c r="W187" i="7"/>
  <c r="V187" i="7"/>
  <c r="J187" i="7"/>
  <c r="H187" i="7"/>
  <c r="I187" i="7" s="1"/>
  <c r="G187" i="7"/>
  <c r="W186" i="7"/>
  <c r="V186" i="7"/>
  <c r="J186" i="7"/>
  <c r="H186" i="7"/>
  <c r="I186" i="7" s="1"/>
  <c r="G186" i="7"/>
  <c r="W185" i="7"/>
  <c r="V185" i="7"/>
  <c r="J185" i="7"/>
  <c r="H185" i="7"/>
  <c r="G185" i="7"/>
  <c r="W184" i="7"/>
  <c r="V184" i="7"/>
  <c r="J184" i="7"/>
  <c r="H184" i="7"/>
  <c r="G184" i="7"/>
  <c r="W183" i="7"/>
  <c r="V183" i="7"/>
  <c r="J183" i="7"/>
  <c r="H183" i="7"/>
  <c r="G183" i="7"/>
  <c r="W182" i="7"/>
  <c r="V182" i="7"/>
  <c r="J182" i="7"/>
  <c r="H182" i="7"/>
  <c r="G182" i="7"/>
  <c r="W181" i="7"/>
  <c r="V181" i="7"/>
  <c r="J181" i="7"/>
  <c r="H181" i="7"/>
  <c r="I181" i="7" s="1"/>
  <c r="G181" i="7"/>
  <c r="W180" i="7"/>
  <c r="V180" i="7"/>
  <c r="J180" i="7"/>
  <c r="H180" i="7"/>
  <c r="I180" i="7" s="1"/>
  <c r="G180" i="7"/>
  <c r="W179" i="7"/>
  <c r="V179" i="7"/>
  <c r="J179" i="7"/>
  <c r="H179" i="7"/>
  <c r="G179" i="7"/>
  <c r="J178" i="7"/>
  <c r="V178" i="7" s="1"/>
  <c r="H178" i="7"/>
  <c r="I178" i="7" s="1"/>
  <c r="G178" i="7"/>
  <c r="J177" i="7"/>
  <c r="V177" i="7" s="1"/>
  <c r="H177" i="7"/>
  <c r="I177" i="7" s="1"/>
  <c r="G177" i="7"/>
  <c r="J176" i="7"/>
  <c r="W176" i="7" s="1"/>
  <c r="H176" i="7"/>
  <c r="I176" i="7" s="1"/>
  <c r="G176" i="7"/>
  <c r="J175" i="7"/>
  <c r="W175" i="7" s="1"/>
  <c r="H175" i="7"/>
  <c r="I175" i="7" s="1"/>
  <c r="G175" i="7"/>
  <c r="J174" i="7"/>
  <c r="H174" i="7"/>
  <c r="I174" i="7" s="1"/>
  <c r="G174" i="7"/>
  <c r="J173" i="7"/>
  <c r="W173" i="7" s="1"/>
  <c r="H173" i="7"/>
  <c r="I173" i="7" s="1"/>
  <c r="G173" i="7"/>
  <c r="J172" i="7"/>
  <c r="W172" i="7" s="1"/>
  <c r="H172" i="7"/>
  <c r="I172" i="7" s="1"/>
  <c r="G172" i="7"/>
  <c r="J171" i="7"/>
  <c r="W171" i="7" s="1"/>
  <c r="H171" i="7"/>
  <c r="I171" i="7" s="1"/>
  <c r="G171" i="7"/>
  <c r="W170" i="7"/>
  <c r="V170" i="7"/>
  <c r="W169" i="7"/>
  <c r="V169" i="7"/>
  <c r="W168" i="7"/>
  <c r="V168" i="7"/>
  <c r="J168" i="7"/>
  <c r="H168" i="7"/>
  <c r="I168" i="7" s="1"/>
  <c r="G168" i="7"/>
  <c r="W167" i="7"/>
  <c r="V167" i="7"/>
  <c r="J167" i="7"/>
  <c r="H167" i="7"/>
  <c r="I167" i="7" s="1"/>
  <c r="G167" i="7"/>
  <c r="W166" i="7"/>
  <c r="V166" i="7"/>
  <c r="J166" i="7"/>
  <c r="H166" i="7"/>
  <c r="I166" i="7" s="1"/>
  <c r="G166" i="7"/>
  <c r="W165" i="7"/>
  <c r="V165" i="7"/>
  <c r="J165" i="7"/>
  <c r="H165" i="7"/>
  <c r="G165" i="7"/>
  <c r="W164" i="7"/>
  <c r="V164" i="7"/>
  <c r="J164" i="7"/>
  <c r="H164" i="7"/>
  <c r="I164" i="7" s="1"/>
  <c r="G164" i="7"/>
  <c r="W163" i="7"/>
  <c r="V163" i="7"/>
  <c r="J163" i="7"/>
  <c r="H163" i="7"/>
  <c r="I163" i="7" s="1"/>
  <c r="G163" i="7"/>
  <c r="W162" i="7"/>
  <c r="V162" i="7"/>
  <c r="J162" i="7"/>
  <c r="H162" i="7"/>
  <c r="G162" i="7"/>
  <c r="W161" i="7"/>
  <c r="V161" i="7"/>
  <c r="J161" i="7"/>
  <c r="H161" i="7"/>
  <c r="G161" i="7"/>
  <c r="W160" i="7"/>
  <c r="V160" i="7"/>
  <c r="J160" i="7"/>
  <c r="H160" i="7"/>
  <c r="G160" i="7"/>
  <c r="W159" i="7"/>
  <c r="V159" i="7"/>
  <c r="J159" i="7"/>
  <c r="H159" i="7"/>
  <c r="I159" i="7" s="1"/>
  <c r="G159" i="7"/>
  <c r="W158" i="7"/>
  <c r="V158" i="7"/>
  <c r="J158" i="7"/>
  <c r="H158" i="7"/>
  <c r="G158" i="7"/>
  <c r="J157" i="7"/>
  <c r="V157" i="7" s="1"/>
  <c r="H157" i="7"/>
  <c r="I157" i="7" s="1"/>
  <c r="G157" i="7"/>
  <c r="J156" i="7"/>
  <c r="V156" i="7" s="1"/>
  <c r="H156" i="7"/>
  <c r="I156" i="7" s="1"/>
  <c r="G156" i="7"/>
  <c r="J155" i="7"/>
  <c r="H155" i="7"/>
  <c r="I155" i="7" s="1"/>
  <c r="G155" i="7"/>
  <c r="W154" i="7"/>
  <c r="V154" i="7"/>
  <c r="W153" i="7"/>
  <c r="V153" i="7"/>
  <c r="W152" i="7"/>
  <c r="V152" i="7"/>
  <c r="J152" i="7"/>
  <c r="H152" i="7"/>
  <c r="I152" i="7" s="1"/>
  <c r="G152" i="7"/>
  <c r="W151" i="7"/>
  <c r="V151" i="7"/>
  <c r="J151" i="7"/>
  <c r="H151" i="7"/>
  <c r="I151" i="7" s="1"/>
  <c r="G151" i="7"/>
  <c r="W150" i="7"/>
  <c r="V150" i="7"/>
  <c r="J150" i="7"/>
  <c r="H150" i="7"/>
  <c r="I150" i="7" s="1"/>
  <c r="G150" i="7"/>
  <c r="W149" i="7"/>
  <c r="V149" i="7"/>
  <c r="J149" i="7"/>
  <c r="H149" i="7"/>
  <c r="I149" i="7" s="1"/>
  <c r="G149" i="7"/>
  <c r="W148" i="7"/>
  <c r="V148" i="7"/>
  <c r="J148" i="7"/>
  <c r="H148" i="7"/>
  <c r="G148" i="7"/>
  <c r="W147" i="7"/>
  <c r="V147" i="7"/>
  <c r="J147" i="7"/>
  <c r="H147" i="7"/>
  <c r="I147" i="7" s="1"/>
  <c r="G147" i="7"/>
  <c r="W146" i="7"/>
  <c r="V146" i="7"/>
  <c r="J146" i="7"/>
  <c r="H146" i="7"/>
  <c r="G146" i="7"/>
  <c r="W145" i="7"/>
  <c r="V145" i="7"/>
  <c r="J145" i="7"/>
  <c r="H145" i="7"/>
  <c r="I145" i="7" s="1"/>
  <c r="G145" i="7"/>
  <c r="W144" i="7"/>
  <c r="V144" i="7"/>
  <c r="J144" i="7"/>
  <c r="H144" i="7"/>
  <c r="I144" i="7" s="1"/>
  <c r="G144" i="7"/>
  <c r="W143" i="7"/>
  <c r="V143" i="7"/>
  <c r="J143" i="7"/>
  <c r="H143" i="7"/>
  <c r="I143" i="7" s="1"/>
  <c r="G143" i="7"/>
  <c r="W142" i="7"/>
  <c r="V142" i="7"/>
  <c r="J142" i="7"/>
  <c r="H142" i="7"/>
  <c r="I142" i="7" s="1"/>
  <c r="G142" i="7"/>
  <c r="W141" i="7"/>
  <c r="V141" i="7"/>
  <c r="J141" i="7"/>
  <c r="H141" i="7"/>
  <c r="I141" i="7" s="1"/>
  <c r="G141" i="7"/>
  <c r="W140" i="7"/>
  <c r="V140" i="7"/>
  <c r="J140" i="7"/>
  <c r="H140" i="7"/>
  <c r="I140" i="7" s="1"/>
  <c r="G140" i="7"/>
  <c r="W139" i="7"/>
  <c r="V139" i="7"/>
  <c r="J139" i="7"/>
  <c r="H139" i="7"/>
  <c r="G139" i="7"/>
  <c r="J138" i="7"/>
  <c r="W138" i="7" s="1"/>
  <c r="H138" i="7"/>
  <c r="I138" i="7" s="1"/>
  <c r="G138" i="7"/>
  <c r="J137" i="7"/>
  <c r="W137" i="7" s="1"/>
  <c r="H137" i="7"/>
  <c r="I137" i="7" s="1"/>
  <c r="G137" i="7"/>
  <c r="W136" i="7"/>
  <c r="V136" i="7"/>
  <c r="W135" i="7"/>
  <c r="V135" i="7"/>
  <c r="W134" i="7"/>
  <c r="V134" i="7"/>
  <c r="J134" i="7"/>
  <c r="H134" i="7"/>
  <c r="I134" i="7" s="1"/>
  <c r="G134" i="7"/>
  <c r="W133" i="7"/>
  <c r="V133" i="7"/>
  <c r="J133" i="7"/>
  <c r="H133" i="7"/>
  <c r="I133" i="7" s="1"/>
  <c r="G133" i="7"/>
  <c r="W132" i="7"/>
  <c r="V132" i="7"/>
  <c r="J132" i="7"/>
  <c r="H132" i="7"/>
  <c r="G132" i="7"/>
  <c r="W131" i="7"/>
  <c r="V131" i="7"/>
  <c r="J131" i="7"/>
  <c r="H131" i="7"/>
  <c r="I131" i="7" s="1"/>
  <c r="G131" i="7"/>
  <c r="W130" i="7"/>
  <c r="V130" i="7"/>
  <c r="J130" i="7"/>
  <c r="H130" i="7"/>
  <c r="I130" i="7" s="1"/>
  <c r="G130" i="7"/>
  <c r="W129" i="7"/>
  <c r="V129" i="7"/>
  <c r="J129" i="7"/>
  <c r="H129" i="7"/>
  <c r="G129" i="7"/>
  <c r="W128" i="7"/>
  <c r="V128" i="7"/>
  <c r="J128" i="7"/>
  <c r="H128" i="7"/>
  <c r="G128" i="7"/>
  <c r="W127" i="7"/>
  <c r="V127" i="7"/>
  <c r="J127" i="7"/>
  <c r="H127" i="7"/>
  <c r="I127" i="7" s="1"/>
  <c r="G127" i="7"/>
  <c r="W126" i="7"/>
  <c r="V126" i="7"/>
  <c r="J126" i="7"/>
  <c r="H126" i="7"/>
  <c r="G126" i="7"/>
  <c r="W125" i="7"/>
  <c r="V125" i="7"/>
  <c r="J125" i="7"/>
  <c r="H125" i="7"/>
  <c r="I125" i="7" s="1"/>
  <c r="G125" i="7"/>
  <c r="W124" i="7"/>
  <c r="V124" i="7"/>
  <c r="J124" i="7"/>
  <c r="H124" i="7"/>
  <c r="I124" i="7" s="1"/>
  <c r="G124" i="7"/>
  <c r="W123" i="7"/>
  <c r="V123" i="7"/>
  <c r="J123" i="7"/>
  <c r="H123" i="7"/>
  <c r="I123" i="7" s="1"/>
  <c r="G123" i="7"/>
  <c r="W122" i="7"/>
  <c r="V122" i="7"/>
  <c r="J122" i="7"/>
  <c r="H122" i="7"/>
  <c r="I122" i="7" s="1"/>
  <c r="G122" i="7"/>
  <c r="W121" i="7"/>
  <c r="V121" i="7"/>
  <c r="J121" i="7"/>
  <c r="H121" i="7"/>
  <c r="I121" i="7" s="1"/>
  <c r="G121" i="7"/>
  <c r="W120" i="7"/>
  <c r="V120" i="7"/>
  <c r="J120" i="7"/>
  <c r="H120" i="7"/>
  <c r="I120" i="7" s="1"/>
  <c r="G120" i="7"/>
  <c r="W119" i="7"/>
  <c r="V119" i="7"/>
  <c r="J119" i="7"/>
  <c r="H119" i="7"/>
  <c r="I119" i="7" s="1"/>
  <c r="G119" i="7"/>
  <c r="W118" i="7"/>
  <c r="V118" i="7"/>
  <c r="J118" i="7"/>
  <c r="H118" i="7"/>
  <c r="G118" i="7"/>
  <c r="W117" i="7"/>
  <c r="V117" i="7"/>
  <c r="J117" i="7"/>
  <c r="H117" i="7"/>
  <c r="G117" i="7"/>
  <c r="W116" i="7"/>
  <c r="V116" i="7"/>
  <c r="J116" i="7"/>
  <c r="H116" i="7"/>
  <c r="I116" i="7" s="1"/>
  <c r="G116" i="7"/>
  <c r="W115" i="7"/>
  <c r="V115" i="7"/>
  <c r="J115" i="7"/>
  <c r="H115" i="7"/>
  <c r="G115" i="7"/>
  <c r="W114" i="7"/>
  <c r="V114" i="7"/>
  <c r="J114" i="7"/>
  <c r="H114" i="7"/>
  <c r="I114" i="7" s="1"/>
  <c r="G114" i="7"/>
  <c r="W113" i="7"/>
  <c r="V113" i="7"/>
  <c r="J113" i="7"/>
  <c r="H113" i="7"/>
  <c r="G113" i="7"/>
  <c r="W112" i="7"/>
  <c r="V112" i="7"/>
  <c r="J112" i="7"/>
  <c r="H112" i="7"/>
  <c r="G112" i="7"/>
  <c r="J111" i="7"/>
  <c r="V111" i="7" s="1"/>
  <c r="H111" i="7"/>
  <c r="I111" i="7" s="1"/>
  <c r="G111" i="7"/>
  <c r="J110" i="7"/>
  <c r="V110" i="7" s="1"/>
  <c r="H110" i="7"/>
  <c r="I110" i="7" s="1"/>
  <c r="G110" i="7"/>
  <c r="J109" i="7"/>
  <c r="W109" i="7" s="1"/>
  <c r="H109" i="7"/>
  <c r="I109" i="7" s="1"/>
  <c r="G109" i="7"/>
  <c r="J108" i="7"/>
  <c r="V108" i="7" s="1"/>
  <c r="H108" i="7"/>
  <c r="I108" i="7" s="1"/>
  <c r="G108" i="7"/>
  <c r="J107" i="7"/>
  <c r="V107" i="7" s="1"/>
  <c r="H107" i="7"/>
  <c r="I107" i="7" s="1"/>
  <c r="G107" i="7"/>
  <c r="J106" i="7"/>
  <c r="V106" i="7" s="1"/>
  <c r="H106" i="7"/>
  <c r="I106" i="7" s="1"/>
  <c r="G106" i="7"/>
  <c r="W105" i="7"/>
  <c r="V105" i="7"/>
  <c r="W104" i="7"/>
  <c r="V104" i="7"/>
  <c r="W103" i="7"/>
  <c r="V103" i="7"/>
  <c r="J103" i="7"/>
  <c r="H103" i="7"/>
  <c r="I103" i="7" s="1"/>
  <c r="G103" i="7"/>
  <c r="W102" i="7"/>
  <c r="V102" i="7"/>
  <c r="J102" i="7"/>
  <c r="H102" i="7"/>
  <c r="I102" i="7" s="1"/>
  <c r="G102" i="7"/>
  <c r="W101" i="7"/>
  <c r="V101" i="7"/>
  <c r="J101" i="7"/>
  <c r="H101" i="7"/>
  <c r="G101" i="7"/>
  <c r="W100" i="7"/>
  <c r="V100" i="7"/>
  <c r="J100" i="7"/>
  <c r="H100" i="7"/>
  <c r="I100" i="7" s="1"/>
  <c r="G100" i="7"/>
  <c r="W99" i="7"/>
  <c r="V99" i="7"/>
  <c r="J99" i="7"/>
  <c r="H99" i="7"/>
  <c r="I99" i="7" s="1"/>
  <c r="G99" i="7"/>
  <c r="W98" i="7"/>
  <c r="V98" i="7"/>
  <c r="J98" i="7"/>
  <c r="H98" i="7"/>
  <c r="G98" i="7"/>
  <c r="W97" i="7"/>
  <c r="V97" i="7"/>
  <c r="J97" i="7"/>
  <c r="H97" i="7"/>
  <c r="I97" i="7" s="1"/>
  <c r="G97" i="7"/>
  <c r="W96" i="7"/>
  <c r="V96" i="7"/>
  <c r="J96" i="7"/>
  <c r="H96" i="7"/>
  <c r="G96" i="7"/>
  <c r="W95" i="7"/>
  <c r="V95" i="7"/>
  <c r="J95" i="7"/>
  <c r="H95" i="7"/>
  <c r="G95" i="7"/>
  <c r="W94" i="7"/>
  <c r="V94" i="7"/>
  <c r="J94" i="7"/>
  <c r="H94" i="7"/>
  <c r="I94" i="7" s="1"/>
  <c r="G94" i="7"/>
  <c r="W93" i="7"/>
  <c r="V93" i="7"/>
  <c r="J93" i="7"/>
  <c r="H93" i="7"/>
  <c r="I93" i="7" s="1"/>
  <c r="G93" i="7"/>
  <c r="J92" i="7"/>
  <c r="V92" i="7" s="1"/>
  <c r="H92" i="7"/>
  <c r="I92" i="7" s="1"/>
  <c r="G92" i="7"/>
  <c r="J91" i="7"/>
  <c r="V91" i="7" s="1"/>
  <c r="H91" i="7"/>
  <c r="I91" i="7" s="1"/>
  <c r="G91" i="7"/>
  <c r="J90" i="7"/>
  <c r="W90" i="7" s="1"/>
  <c r="H90" i="7"/>
  <c r="I90" i="7" s="1"/>
  <c r="G90" i="7"/>
  <c r="W89" i="7"/>
  <c r="V89" i="7"/>
  <c r="W88" i="7"/>
  <c r="V88" i="7"/>
  <c r="W87" i="7"/>
  <c r="V87" i="7"/>
  <c r="J87" i="7"/>
  <c r="H87" i="7"/>
  <c r="I87" i="7" s="1"/>
  <c r="G87" i="7"/>
  <c r="W86" i="7"/>
  <c r="V86" i="7"/>
  <c r="J86" i="7"/>
  <c r="H86" i="7"/>
  <c r="I86" i="7" s="1"/>
  <c r="G86" i="7"/>
  <c r="W85" i="7"/>
  <c r="V85" i="7"/>
  <c r="J85" i="7"/>
  <c r="H85" i="7"/>
  <c r="I85" i="7" s="1"/>
  <c r="G85" i="7"/>
  <c r="W84" i="7"/>
  <c r="V84" i="7"/>
  <c r="J84" i="7"/>
  <c r="H84" i="7"/>
  <c r="I84" i="7" s="1"/>
  <c r="G84" i="7"/>
  <c r="W83" i="7"/>
  <c r="V83" i="7"/>
  <c r="J83" i="7"/>
  <c r="H83" i="7"/>
  <c r="I83" i="7" s="1"/>
  <c r="G83" i="7"/>
  <c r="W82" i="7"/>
  <c r="V82" i="7"/>
  <c r="J82" i="7"/>
  <c r="H82" i="7"/>
  <c r="G82" i="7"/>
  <c r="W81" i="7"/>
  <c r="V81" i="7"/>
  <c r="J81" i="7"/>
  <c r="H81" i="7"/>
  <c r="G81" i="7"/>
  <c r="W80" i="7"/>
  <c r="V80" i="7"/>
  <c r="J80" i="7"/>
  <c r="H80" i="7"/>
  <c r="I80" i="7" s="1"/>
  <c r="G80" i="7"/>
  <c r="W79" i="7"/>
  <c r="V79" i="7"/>
  <c r="J79" i="7"/>
  <c r="H79" i="7"/>
  <c r="G79" i="7"/>
  <c r="W78" i="7"/>
  <c r="V78" i="7"/>
  <c r="J78" i="7"/>
  <c r="H78" i="7"/>
  <c r="I78" i="7" s="1"/>
  <c r="G78" i="7"/>
  <c r="W77" i="7"/>
  <c r="V77" i="7"/>
  <c r="J77" i="7"/>
  <c r="H77" i="7"/>
  <c r="G77" i="7"/>
  <c r="W76" i="7"/>
  <c r="V76" i="7"/>
  <c r="J76" i="7"/>
  <c r="H76" i="7"/>
  <c r="I76" i="7" s="1"/>
  <c r="G76" i="7"/>
  <c r="W75" i="7"/>
  <c r="V75" i="7"/>
  <c r="J75" i="7"/>
  <c r="H75" i="7"/>
  <c r="I75" i="7" s="1"/>
  <c r="G75" i="7"/>
  <c r="W74" i="7"/>
  <c r="V74" i="7"/>
  <c r="J74" i="7"/>
  <c r="H74" i="7"/>
  <c r="I74" i="7" s="1"/>
  <c r="G74" i="7"/>
  <c r="W73" i="7"/>
  <c r="V73" i="7"/>
  <c r="J73" i="7"/>
  <c r="H73" i="7"/>
  <c r="G73" i="7"/>
  <c r="I73" i="7" s="1"/>
  <c r="W72" i="7"/>
  <c r="V72" i="7"/>
  <c r="J72" i="7"/>
  <c r="H72" i="7"/>
  <c r="I72" i="7" s="1"/>
  <c r="G72" i="7"/>
  <c r="W71" i="7"/>
  <c r="V71" i="7"/>
  <c r="J71" i="7"/>
  <c r="H71" i="7"/>
  <c r="I71" i="7" s="1"/>
  <c r="G71" i="7"/>
  <c r="W70" i="7"/>
  <c r="V70" i="7"/>
  <c r="J70" i="7"/>
  <c r="H70" i="7"/>
  <c r="I70" i="7" s="1"/>
  <c r="G70" i="7"/>
  <c r="J69" i="7"/>
  <c r="V69" i="7" s="1"/>
  <c r="H69" i="7"/>
  <c r="I69" i="7" s="1"/>
  <c r="G69" i="7"/>
  <c r="J68" i="7"/>
  <c r="V68" i="7" s="1"/>
  <c r="H68" i="7"/>
  <c r="I68" i="7" s="1"/>
  <c r="G68" i="7"/>
  <c r="J67" i="7"/>
  <c r="V67" i="7" s="1"/>
  <c r="H67" i="7"/>
  <c r="I67" i="7" s="1"/>
  <c r="G67" i="7"/>
  <c r="J66" i="7"/>
  <c r="W66" i="7" s="1"/>
  <c r="H66" i="7"/>
  <c r="I66" i="7" s="1"/>
  <c r="G66" i="7"/>
  <c r="J65" i="7"/>
  <c r="V65" i="7" s="1"/>
  <c r="H65" i="7"/>
  <c r="I65" i="7" s="1"/>
  <c r="G65" i="7"/>
  <c r="W64" i="7"/>
  <c r="V64" i="7"/>
  <c r="W63" i="7"/>
  <c r="V63" i="7"/>
  <c r="W62" i="7"/>
  <c r="V62" i="7"/>
  <c r="J62" i="7"/>
  <c r="H62" i="7"/>
  <c r="I62" i="7" s="1"/>
  <c r="G62" i="7"/>
  <c r="W61" i="7"/>
  <c r="V61" i="7"/>
  <c r="J61" i="7"/>
  <c r="H61" i="7"/>
  <c r="G61" i="7"/>
  <c r="W60" i="7"/>
  <c r="V60" i="7"/>
  <c r="J60" i="7"/>
  <c r="H60" i="7"/>
  <c r="G60" i="7"/>
  <c r="W59" i="7"/>
  <c r="V59" i="7"/>
  <c r="J59" i="7"/>
  <c r="H59" i="7"/>
  <c r="G59" i="7"/>
  <c r="W58" i="7"/>
  <c r="V58" i="7"/>
  <c r="J58" i="7"/>
  <c r="H58" i="7"/>
  <c r="G58" i="7"/>
  <c r="W57" i="7"/>
  <c r="V57" i="7"/>
  <c r="J57" i="7"/>
  <c r="H57" i="7"/>
  <c r="G57" i="7"/>
  <c r="W56" i="7"/>
  <c r="V56" i="7"/>
  <c r="J56" i="7"/>
  <c r="H56" i="7"/>
  <c r="G56" i="7"/>
  <c r="W55" i="7"/>
  <c r="V55" i="7"/>
  <c r="J55" i="7"/>
  <c r="H55" i="7"/>
  <c r="G55" i="7"/>
  <c r="W54" i="7"/>
  <c r="V54" i="7"/>
  <c r="J54" i="7"/>
  <c r="H54" i="7"/>
  <c r="G54" i="7"/>
  <c r="W53" i="7"/>
  <c r="V53" i="7"/>
  <c r="J53" i="7"/>
  <c r="H53" i="7"/>
  <c r="I53" i="7" s="1"/>
  <c r="G53" i="7"/>
  <c r="J52" i="7"/>
  <c r="W52" i="7" s="1"/>
  <c r="H52" i="7"/>
  <c r="I52" i="7" s="1"/>
  <c r="G52" i="7"/>
  <c r="J51" i="7"/>
  <c r="V51" i="7" s="1"/>
  <c r="H51" i="7"/>
  <c r="I51" i="7" s="1"/>
  <c r="G51" i="7"/>
  <c r="J50" i="7"/>
  <c r="H50" i="7"/>
  <c r="I50" i="7" s="1"/>
  <c r="G50" i="7"/>
  <c r="J49" i="7"/>
  <c r="V49" i="7" s="1"/>
  <c r="H49" i="7"/>
  <c r="I49" i="7" s="1"/>
  <c r="G49" i="7"/>
  <c r="J48" i="7"/>
  <c r="H48" i="7"/>
  <c r="I48" i="7" s="1"/>
  <c r="G48" i="7"/>
  <c r="J47" i="7"/>
  <c r="H47" i="7"/>
  <c r="I47" i="7" s="1"/>
  <c r="G47" i="7"/>
  <c r="J46" i="7"/>
  <c r="V46" i="7" s="1"/>
  <c r="H46" i="7"/>
  <c r="I46" i="7" s="1"/>
  <c r="G46" i="7"/>
  <c r="J45" i="7"/>
  <c r="V45" i="7" s="1"/>
  <c r="H45" i="7"/>
  <c r="I45" i="7" s="1"/>
  <c r="G45" i="7"/>
  <c r="J44" i="7"/>
  <c r="V44" i="7" s="1"/>
  <c r="H44" i="7"/>
  <c r="I44" i="7" s="1"/>
  <c r="G44" i="7"/>
  <c r="J43" i="7"/>
  <c r="W43" i="7" s="1"/>
  <c r="H43" i="7"/>
  <c r="I43" i="7" s="1"/>
  <c r="G43" i="7"/>
  <c r="J42" i="7"/>
  <c r="W42" i="7" s="1"/>
  <c r="H42" i="7"/>
  <c r="I42" i="7" s="1"/>
  <c r="G42" i="7"/>
  <c r="W41" i="7"/>
  <c r="V41" i="7"/>
  <c r="W40" i="7"/>
  <c r="V40" i="7"/>
  <c r="W39" i="7"/>
  <c r="V39" i="7"/>
  <c r="J39" i="7"/>
  <c r="H39" i="7"/>
  <c r="G39" i="7"/>
  <c r="I39" i="7" s="1"/>
  <c r="W38" i="7"/>
  <c r="V38" i="7"/>
  <c r="J38" i="7"/>
  <c r="H38" i="7"/>
  <c r="I38" i="7" s="1"/>
  <c r="G38" i="7"/>
  <c r="W37" i="7"/>
  <c r="V37" i="7"/>
  <c r="J37" i="7"/>
  <c r="H37" i="7"/>
  <c r="I37" i="7" s="1"/>
  <c r="G37" i="7"/>
  <c r="W36" i="7"/>
  <c r="V36" i="7"/>
  <c r="J36" i="7"/>
  <c r="H36" i="7"/>
  <c r="G36" i="7"/>
  <c r="W35" i="7"/>
  <c r="V35" i="7"/>
  <c r="J35" i="7"/>
  <c r="H35" i="7"/>
  <c r="G35" i="7"/>
  <c r="W34" i="7"/>
  <c r="V34" i="7"/>
  <c r="J34" i="7"/>
  <c r="H34" i="7"/>
  <c r="G34" i="7"/>
  <c r="W33" i="7"/>
  <c r="V33" i="7"/>
  <c r="J33" i="7"/>
  <c r="H33" i="7"/>
  <c r="G33" i="7"/>
  <c r="I33" i="7" s="1"/>
  <c r="W32" i="7"/>
  <c r="V32" i="7"/>
  <c r="J32" i="7"/>
  <c r="H32" i="7"/>
  <c r="I32" i="7" s="1"/>
  <c r="G32" i="7"/>
  <c r="W31" i="7"/>
  <c r="V31" i="7"/>
  <c r="J31" i="7"/>
  <c r="H31" i="7"/>
  <c r="I31" i="7" s="1"/>
  <c r="G31" i="7"/>
  <c r="W30" i="7"/>
  <c r="V30" i="7"/>
  <c r="J30" i="7"/>
  <c r="H30" i="7"/>
  <c r="I30" i="7" s="1"/>
  <c r="G30" i="7"/>
  <c r="W29" i="7"/>
  <c r="V29" i="7"/>
  <c r="J29" i="7"/>
  <c r="H29" i="7"/>
  <c r="I29" i="7" s="1"/>
  <c r="G29" i="7"/>
  <c r="W28" i="7"/>
  <c r="V28" i="7"/>
  <c r="J28" i="7"/>
  <c r="H28" i="7"/>
  <c r="I28" i="7" s="1"/>
  <c r="G28" i="7"/>
  <c r="W27" i="7"/>
  <c r="V27" i="7"/>
  <c r="J27" i="7"/>
  <c r="H27" i="7"/>
  <c r="I27" i="7" s="1"/>
  <c r="G27" i="7"/>
  <c r="W26" i="7"/>
  <c r="V26" i="7"/>
  <c r="J26" i="7"/>
  <c r="H26" i="7"/>
  <c r="I26" i="7" s="1"/>
  <c r="G26" i="7"/>
  <c r="W25" i="7"/>
  <c r="V25" i="7"/>
  <c r="J25" i="7"/>
  <c r="H25" i="7"/>
  <c r="I25" i="7" s="1"/>
  <c r="G25" i="7"/>
  <c r="W24" i="7"/>
  <c r="V24" i="7"/>
  <c r="J24" i="7"/>
  <c r="H24" i="7"/>
  <c r="G24" i="7"/>
  <c r="W23" i="7"/>
  <c r="V23" i="7"/>
  <c r="J23" i="7"/>
  <c r="H23" i="7"/>
  <c r="I23" i="7" s="1"/>
  <c r="G23" i="7"/>
  <c r="W22" i="7"/>
  <c r="V22" i="7"/>
  <c r="J22" i="7"/>
  <c r="H22" i="7"/>
  <c r="G22" i="7"/>
  <c r="W21" i="7"/>
  <c r="V21" i="7"/>
  <c r="J21" i="7"/>
  <c r="H21" i="7"/>
  <c r="G21" i="7"/>
  <c r="J20" i="7"/>
  <c r="V20" i="7" s="1"/>
  <c r="H20" i="7"/>
  <c r="I20" i="7" s="1"/>
  <c r="G20" i="7"/>
  <c r="J19" i="7"/>
  <c r="W19" i="7" s="1"/>
  <c r="H19" i="7"/>
  <c r="I19" i="7" s="1"/>
  <c r="G19" i="7"/>
  <c r="J18" i="7"/>
  <c r="W18" i="7" s="1"/>
  <c r="H18" i="7"/>
  <c r="I18" i="7" s="1"/>
  <c r="G18" i="7"/>
  <c r="J17" i="7"/>
  <c r="V17" i="7" s="1"/>
  <c r="H17" i="7"/>
  <c r="I17" i="7" s="1"/>
  <c r="G17" i="7"/>
  <c r="J16" i="7"/>
  <c r="W16" i="7" s="1"/>
  <c r="H16" i="7"/>
  <c r="I16" i="7" s="1"/>
  <c r="G16" i="7"/>
  <c r="J15" i="7"/>
  <c r="V15" i="7" s="1"/>
  <c r="H15" i="7"/>
  <c r="I15" i="7" s="1"/>
  <c r="G15" i="7"/>
  <c r="J14" i="7"/>
  <c r="W14" i="7" s="1"/>
  <c r="H14" i="7"/>
  <c r="I14" i="7" s="1"/>
  <c r="G14" i="7"/>
  <c r="J13" i="7"/>
  <c r="H13" i="7"/>
  <c r="I13" i="7" s="1"/>
  <c r="G13" i="7"/>
  <c r="J12" i="7"/>
  <c r="V12" i="7" s="1"/>
  <c r="H12" i="7"/>
  <c r="I12" i="7" s="1"/>
  <c r="G12" i="7"/>
  <c r="J11" i="7"/>
  <c r="V11" i="7" s="1"/>
  <c r="H11" i="7"/>
  <c r="I11" i="7" s="1"/>
  <c r="G11" i="7"/>
  <c r="H8" i="7"/>
  <c r="D3" i="7"/>
  <c r="A2" i="2"/>
  <c r="AE46" i="5"/>
  <c r="AF46" i="5" s="1"/>
  <c r="AG46" i="5" s="1"/>
  <c r="AD46" i="5"/>
  <c r="O46" i="5"/>
  <c r="AE45" i="5"/>
  <c r="AF45" i="5" s="1"/>
  <c r="AG45" i="5" s="1"/>
  <c r="AD45" i="5"/>
  <c r="O45" i="5"/>
  <c r="AF44" i="5"/>
  <c r="AE44" i="5"/>
  <c r="AD44" i="5"/>
  <c r="O44" i="5"/>
  <c r="AF43" i="5"/>
  <c r="AE43" i="5"/>
  <c r="AD43" i="5"/>
  <c r="O43" i="5"/>
  <c r="AE42" i="5"/>
  <c r="AF42" i="5" s="1"/>
  <c r="AG42" i="5" s="1"/>
  <c r="AD42" i="5"/>
  <c r="O42" i="5"/>
  <c r="AE41" i="5"/>
  <c r="AF41" i="5" s="1"/>
  <c r="AG41" i="5" s="1"/>
  <c r="AD41" i="5"/>
  <c r="O41" i="5"/>
  <c r="AF40" i="5"/>
  <c r="AG40" i="5" s="1"/>
  <c r="AE40" i="5"/>
  <c r="AD40" i="5"/>
  <c r="O40" i="5"/>
  <c r="AF39" i="5"/>
  <c r="AE39" i="5"/>
  <c r="AD39" i="5"/>
  <c r="O39" i="5"/>
  <c r="AE38" i="5"/>
  <c r="AF38" i="5" s="1"/>
  <c r="AG38" i="5" s="1"/>
  <c r="AD38" i="5"/>
  <c r="O38" i="5"/>
  <c r="AE37" i="5"/>
  <c r="AF37" i="5" s="1"/>
  <c r="AG37" i="5" s="1"/>
  <c r="AD37" i="5"/>
  <c r="O37" i="5"/>
  <c r="AF36" i="5"/>
  <c r="AG36" i="5" s="1"/>
  <c r="AE36" i="5"/>
  <c r="AD36" i="5"/>
  <c r="O36" i="5"/>
  <c r="AF35" i="5"/>
  <c r="AG35" i="5" s="1"/>
  <c r="AE35" i="5"/>
  <c r="AD35" i="5"/>
  <c r="O35" i="5"/>
  <c r="AE34" i="5"/>
  <c r="AF34" i="5" s="1"/>
  <c r="AG34" i="5" s="1"/>
  <c r="AD34" i="5"/>
  <c r="O34" i="5"/>
  <c r="AE33" i="5"/>
  <c r="AF33" i="5" s="1"/>
  <c r="AG33" i="5" s="1"/>
  <c r="AD33" i="5"/>
  <c r="O33" i="5"/>
  <c r="AF32" i="5"/>
  <c r="AE32" i="5"/>
  <c r="AD32" i="5"/>
  <c r="O32" i="5"/>
  <c r="AF31" i="5"/>
  <c r="AE31" i="5"/>
  <c r="AD31" i="5"/>
  <c r="O31" i="5"/>
  <c r="AE30" i="5"/>
  <c r="AF30" i="5" s="1"/>
  <c r="AG30" i="5" s="1"/>
  <c r="AD30" i="5"/>
  <c r="O30" i="5"/>
  <c r="AE29" i="5"/>
  <c r="AF29" i="5" s="1"/>
  <c r="AG29" i="5" s="1"/>
  <c r="AD29" i="5"/>
  <c r="O29" i="5"/>
  <c r="AF28" i="5"/>
  <c r="AE28" i="5"/>
  <c r="AD28" i="5"/>
  <c r="O28" i="5"/>
  <c r="AF27" i="5"/>
  <c r="AE27" i="5"/>
  <c r="AD27" i="5"/>
  <c r="O27" i="5"/>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N178" i="3"/>
  <c r="I57" i="7" l="1"/>
  <c r="I61" i="7"/>
  <c r="I212" i="7"/>
  <c r="I21" i="7"/>
  <c r="T21" i="7" s="1"/>
  <c r="I77" i="7"/>
  <c r="U77" i="7" s="1"/>
  <c r="I239" i="7"/>
  <c r="T239" i="7" s="1"/>
  <c r="I179" i="7"/>
  <c r="S179" i="7" s="1"/>
  <c r="I191" i="7"/>
  <c r="I146" i="7"/>
  <c r="W111" i="7"/>
  <c r="I214" i="7"/>
  <c r="T214" i="7" s="1"/>
  <c r="I148" i="7"/>
  <c r="I118" i="7"/>
  <c r="T118" i="7" s="1"/>
  <c r="I95" i="7"/>
  <c r="L95" i="7" s="1"/>
  <c r="I285" i="7"/>
  <c r="L285" i="7" s="1"/>
  <c r="I59" i="7"/>
  <c r="K59" i="7" s="1"/>
  <c r="U59" i="7" s="1"/>
  <c r="G104" i="7"/>
  <c r="W157" i="7"/>
  <c r="I208" i="7"/>
  <c r="T208" i="7" s="1"/>
  <c r="I113" i="7"/>
  <c r="S113" i="7" s="1"/>
  <c r="I129" i="7"/>
  <c r="S129" i="7" s="1"/>
  <c r="V230" i="7"/>
  <c r="I267" i="7"/>
  <c r="S267" i="7" s="1"/>
  <c r="I139" i="7"/>
  <c r="Q139" i="7" s="1"/>
  <c r="I115" i="7"/>
  <c r="I182" i="7"/>
  <c r="Q182" i="7" s="1"/>
  <c r="I246" i="7"/>
  <c r="L246" i="7" s="1"/>
  <c r="I24" i="7"/>
  <c r="L24" i="7" s="1"/>
  <c r="I183" i="7"/>
  <c r="T183" i="7" s="1"/>
  <c r="I98" i="7"/>
  <c r="T98" i="7" s="1"/>
  <c r="I257" i="7"/>
  <c r="Q257" i="7" s="1"/>
  <c r="I35" i="7"/>
  <c r="T35" i="7" s="1"/>
  <c r="I220" i="7"/>
  <c r="R220" i="7" s="1"/>
  <c r="I82" i="7"/>
  <c r="W91" i="7"/>
  <c r="I79" i="7"/>
  <c r="R79" i="7" s="1"/>
  <c r="I283" i="7"/>
  <c r="U283" i="7" s="1"/>
  <c r="I132" i="7"/>
  <c r="T132" i="7" s="1"/>
  <c r="K21" i="7"/>
  <c r="Q21" i="7"/>
  <c r="R21" i="7"/>
  <c r="K57" i="7"/>
  <c r="U57" i="7" s="1"/>
  <c r="R57" i="7"/>
  <c r="Q57" i="7"/>
  <c r="L57" i="7"/>
  <c r="T57" i="7"/>
  <c r="S57" i="7"/>
  <c r="T61" i="7"/>
  <c r="R61" i="7"/>
  <c r="Q61" i="7"/>
  <c r="L61" i="7"/>
  <c r="S61" i="7" s="1"/>
  <c r="K61" i="7"/>
  <c r="U61" i="7" s="1"/>
  <c r="L227" i="7"/>
  <c r="U227" i="7"/>
  <c r="K227" i="7"/>
  <c r="T227" i="7"/>
  <c r="S227" i="7"/>
  <c r="R227" i="7"/>
  <c r="Q227" i="7"/>
  <c r="U279" i="7"/>
  <c r="T279" i="7"/>
  <c r="S279" i="7"/>
  <c r="R279" i="7"/>
  <c r="Q279" i="7"/>
  <c r="L279" i="7"/>
  <c r="K279" i="7"/>
  <c r="U94" i="7"/>
  <c r="T94" i="7"/>
  <c r="S94" i="7"/>
  <c r="R94" i="7"/>
  <c r="Q94" i="7"/>
  <c r="L94" i="7"/>
  <c r="K94" i="7"/>
  <c r="T125" i="7"/>
  <c r="S125" i="7"/>
  <c r="R125" i="7"/>
  <c r="Q125" i="7"/>
  <c r="L125" i="7"/>
  <c r="K125" i="7"/>
  <c r="U125" i="7"/>
  <c r="U168" i="7"/>
  <c r="T168" i="7"/>
  <c r="S168" i="7"/>
  <c r="R168" i="7"/>
  <c r="Q168" i="7"/>
  <c r="L168" i="7"/>
  <c r="K168" i="7"/>
  <c r="K193" i="7"/>
  <c r="L193" i="7"/>
  <c r="U193" i="7"/>
  <c r="T193" i="7"/>
  <c r="Q193" i="7"/>
  <c r="S193" i="7"/>
  <c r="R193" i="7"/>
  <c r="S219" i="7"/>
  <c r="R219" i="7"/>
  <c r="Q219" i="7"/>
  <c r="L219" i="7"/>
  <c r="K219" i="7"/>
  <c r="T219" i="7"/>
  <c r="U219" i="7"/>
  <c r="U49" i="7"/>
  <c r="T49" i="7"/>
  <c r="S49" i="7"/>
  <c r="R49" i="7"/>
  <c r="Q49" i="7"/>
  <c r="L49" i="7"/>
  <c r="K49" i="7"/>
  <c r="S95" i="7"/>
  <c r="L151" i="7"/>
  <c r="K151" i="7"/>
  <c r="U151" i="7"/>
  <c r="T151" i="7"/>
  <c r="S151" i="7"/>
  <c r="R151" i="7"/>
  <c r="Q151" i="7"/>
  <c r="R176" i="7"/>
  <c r="S176" i="7"/>
  <c r="T176" i="7"/>
  <c r="Q176" i="7"/>
  <c r="L176" i="7"/>
  <c r="K176" i="7"/>
  <c r="U176" i="7"/>
  <c r="T235" i="7"/>
  <c r="U235" i="7"/>
  <c r="S235" i="7"/>
  <c r="Q235" i="7"/>
  <c r="L235" i="7"/>
  <c r="K235" i="7"/>
  <c r="R235" i="7"/>
  <c r="T285" i="7"/>
  <c r="S285" i="7"/>
  <c r="R285" i="7"/>
  <c r="Q285" i="7"/>
  <c r="U289" i="7"/>
  <c r="T289" i="7"/>
  <c r="S289" i="7"/>
  <c r="R289" i="7"/>
  <c r="Q289" i="7"/>
  <c r="L289" i="7"/>
  <c r="K289" i="7"/>
  <c r="U43" i="7"/>
  <c r="T43" i="7"/>
  <c r="S43" i="7"/>
  <c r="R43" i="7"/>
  <c r="K43" i="7"/>
  <c r="Q43" i="7"/>
  <c r="L43" i="7"/>
  <c r="U109" i="7"/>
  <c r="T109" i="7"/>
  <c r="S109" i="7"/>
  <c r="R109" i="7"/>
  <c r="Q109" i="7"/>
  <c r="L109" i="7"/>
  <c r="K109" i="7"/>
  <c r="T223" i="7"/>
  <c r="S223" i="7"/>
  <c r="R223" i="7"/>
  <c r="Q223" i="7"/>
  <c r="L223" i="7"/>
  <c r="K223" i="7"/>
  <c r="U223" i="7"/>
  <c r="R69" i="7"/>
  <c r="U69" i="7"/>
  <c r="S69" i="7"/>
  <c r="T69" i="7"/>
  <c r="K69" i="7"/>
  <c r="L69" i="7"/>
  <c r="Q69" i="7"/>
  <c r="L99" i="7"/>
  <c r="S99" i="7"/>
  <c r="K99" i="7"/>
  <c r="Q99" i="7"/>
  <c r="U99" i="7"/>
  <c r="T99" i="7"/>
  <c r="R99" i="7"/>
  <c r="Q243" i="7"/>
  <c r="L243" i="7"/>
  <c r="K243" i="7"/>
  <c r="U243" i="7"/>
  <c r="T243" i="7"/>
  <c r="S243" i="7"/>
  <c r="R243" i="7"/>
  <c r="Q281" i="7"/>
  <c r="T281" i="7"/>
  <c r="S281" i="7"/>
  <c r="U281" i="7"/>
  <c r="L281" i="7"/>
  <c r="R281" i="7"/>
  <c r="K281" i="7"/>
  <c r="L175" i="7"/>
  <c r="K175" i="7"/>
  <c r="U175" i="7"/>
  <c r="T175" i="7"/>
  <c r="S175" i="7"/>
  <c r="R175" i="7"/>
  <c r="Q175" i="7"/>
  <c r="S11" i="7"/>
  <c r="R11" i="7"/>
  <c r="Q11" i="7"/>
  <c r="L11" i="7"/>
  <c r="K11" i="7"/>
  <c r="U11" i="7"/>
  <c r="T11" i="7"/>
  <c r="L182" i="7"/>
  <c r="K182" i="7"/>
  <c r="U182" i="7" s="1"/>
  <c r="U251" i="7"/>
  <c r="T251" i="7"/>
  <c r="S251" i="7"/>
  <c r="R251" i="7"/>
  <c r="Q251" i="7"/>
  <c r="L251" i="7"/>
  <c r="K251" i="7"/>
  <c r="T100" i="7"/>
  <c r="S100" i="7"/>
  <c r="R100" i="7"/>
  <c r="Q100" i="7"/>
  <c r="L100" i="7"/>
  <c r="K100" i="7"/>
  <c r="U100" i="7"/>
  <c r="Q111" i="7"/>
  <c r="U111" i="7"/>
  <c r="T111" i="7"/>
  <c r="S111" i="7"/>
  <c r="R111" i="7"/>
  <c r="L111" i="7"/>
  <c r="K111" i="7"/>
  <c r="R152" i="7"/>
  <c r="L152" i="7"/>
  <c r="K152" i="7"/>
  <c r="S152" i="7"/>
  <c r="U152" i="7"/>
  <c r="T152" i="7"/>
  <c r="Q152" i="7"/>
  <c r="R286" i="7"/>
  <c r="Q286" i="7"/>
  <c r="U286" i="7"/>
  <c r="T286" i="7"/>
  <c r="S286" i="7"/>
  <c r="K286" i="7"/>
  <c r="L286" i="7"/>
  <c r="U144" i="7"/>
  <c r="T144" i="7"/>
  <c r="Q144" i="7"/>
  <c r="L144" i="7"/>
  <c r="S144" i="7"/>
  <c r="R144" i="7"/>
  <c r="K144" i="7"/>
  <c r="U186" i="7"/>
  <c r="T186" i="7"/>
  <c r="S186" i="7"/>
  <c r="R186" i="7"/>
  <c r="Q186" i="7"/>
  <c r="K186" i="7"/>
  <c r="L186" i="7"/>
  <c r="U224" i="7"/>
  <c r="T224" i="7"/>
  <c r="S224" i="7"/>
  <c r="R224" i="7"/>
  <c r="Q224" i="7"/>
  <c r="L224" i="7"/>
  <c r="K224" i="7"/>
  <c r="L51" i="7"/>
  <c r="T51" i="7"/>
  <c r="R51" i="7"/>
  <c r="U51" i="7"/>
  <c r="S51" i="7"/>
  <c r="Q51" i="7"/>
  <c r="K51" i="7"/>
  <c r="S200" i="7"/>
  <c r="U200" i="7"/>
  <c r="T200" i="7"/>
  <c r="K200" i="7"/>
  <c r="R200" i="7"/>
  <c r="Q200" i="7"/>
  <c r="L200" i="7"/>
  <c r="U263" i="7"/>
  <c r="T263" i="7"/>
  <c r="S263" i="7"/>
  <c r="R263" i="7"/>
  <c r="Q263" i="7"/>
  <c r="L263" i="7"/>
  <c r="K263" i="7"/>
  <c r="U233" i="7"/>
  <c r="T233" i="7"/>
  <c r="K233" i="7"/>
  <c r="Q233" i="7"/>
  <c r="S233" i="7"/>
  <c r="R233" i="7"/>
  <c r="L233" i="7"/>
  <c r="T216" i="7"/>
  <c r="S216" i="7"/>
  <c r="R216" i="7"/>
  <c r="Q216" i="7"/>
  <c r="L216" i="7"/>
  <c r="K216" i="7"/>
  <c r="U216" i="7"/>
  <c r="R19" i="7"/>
  <c r="L19" i="7"/>
  <c r="U19" i="7"/>
  <c r="T19" i="7"/>
  <c r="S19" i="7"/>
  <c r="Q19" i="7"/>
  <c r="K19" i="7"/>
  <c r="R188" i="7"/>
  <c r="L188" i="7"/>
  <c r="K188" i="7"/>
  <c r="Q188" i="7"/>
  <c r="S188" i="7"/>
  <c r="U188" i="7"/>
  <c r="T188" i="7"/>
  <c r="U91" i="7"/>
  <c r="T91" i="7"/>
  <c r="S91" i="7"/>
  <c r="R91" i="7"/>
  <c r="Q91" i="7"/>
  <c r="K91" i="7"/>
  <c r="L91" i="7"/>
  <c r="R145" i="7"/>
  <c r="Q145" i="7"/>
  <c r="L145" i="7"/>
  <c r="K145" i="7"/>
  <c r="U145" i="7"/>
  <c r="T145" i="7"/>
  <c r="S145" i="7"/>
  <c r="K179" i="7"/>
  <c r="U179" i="7" s="1"/>
  <c r="L187" i="7"/>
  <c r="K187" i="7"/>
  <c r="U187" i="7"/>
  <c r="T187" i="7"/>
  <c r="S187" i="7"/>
  <c r="R187" i="7"/>
  <c r="Q187" i="7"/>
  <c r="Q191" i="7"/>
  <c r="K191" i="7"/>
  <c r="U191" i="7" s="1"/>
  <c r="T191" i="7"/>
  <c r="S191" i="7"/>
  <c r="R191" i="7"/>
  <c r="L191" i="7"/>
  <c r="U195" i="7"/>
  <c r="T195" i="7"/>
  <c r="S195" i="7"/>
  <c r="R195" i="7"/>
  <c r="Q195" i="7"/>
  <c r="L195" i="7"/>
  <c r="K195" i="7"/>
  <c r="T29" i="7"/>
  <c r="S29" i="7"/>
  <c r="R29" i="7"/>
  <c r="K29" i="7"/>
  <c r="Q29" i="7"/>
  <c r="L29" i="7"/>
  <c r="U29" i="7"/>
  <c r="L253" i="7"/>
  <c r="S253" i="7"/>
  <c r="R253" i="7"/>
  <c r="U253" i="7"/>
  <c r="T253" i="7"/>
  <c r="K253" i="7"/>
  <c r="Q253" i="7"/>
  <c r="L215" i="7"/>
  <c r="U215" i="7"/>
  <c r="Q215" i="7"/>
  <c r="T215" i="7"/>
  <c r="R215" i="7"/>
  <c r="S215" i="7"/>
  <c r="K215" i="7"/>
  <c r="T31" i="7"/>
  <c r="U31" i="7"/>
  <c r="S31" i="7"/>
  <c r="R31" i="7"/>
  <c r="Q31" i="7"/>
  <c r="K31" i="7"/>
  <c r="L31" i="7"/>
  <c r="R13" i="7"/>
  <c r="T13" i="7"/>
  <c r="U13" i="7"/>
  <c r="S13" i="7"/>
  <c r="K13" i="7"/>
  <c r="Q13" i="7"/>
  <c r="L13" i="7"/>
  <c r="V13" i="7"/>
  <c r="K205" i="7"/>
  <c r="U205" i="7"/>
  <c r="T205" i="7"/>
  <c r="S205" i="7"/>
  <c r="R205" i="7"/>
  <c r="Q205" i="7"/>
  <c r="L205" i="7"/>
  <c r="K71" i="7"/>
  <c r="R71" i="7"/>
  <c r="Q71" i="7"/>
  <c r="L71" i="7"/>
  <c r="U71" i="7"/>
  <c r="T71" i="7"/>
  <c r="S71" i="7"/>
  <c r="U141" i="7"/>
  <c r="K141" i="7"/>
  <c r="S141" i="7"/>
  <c r="T141" i="7"/>
  <c r="L141" i="7"/>
  <c r="R141" i="7"/>
  <c r="Q141" i="7"/>
  <c r="S231" i="7"/>
  <c r="R231" i="7"/>
  <c r="Q231" i="7"/>
  <c r="L231" i="7"/>
  <c r="K231" i="7"/>
  <c r="U231" i="7"/>
  <c r="T231" i="7"/>
  <c r="T83" i="7"/>
  <c r="R83" i="7"/>
  <c r="U83" i="7"/>
  <c r="S83" i="7"/>
  <c r="K83" i="7"/>
  <c r="Q83" i="7"/>
  <c r="L83" i="7"/>
  <c r="U106" i="7"/>
  <c r="T106" i="7"/>
  <c r="S106" i="7"/>
  <c r="R106" i="7"/>
  <c r="L106" i="7"/>
  <c r="Q106" i="7"/>
  <c r="K106" i="7"/>
  <c r="L163" i="7"/>
  <c r="K163" i="7"/>
  <c r="U163" i="7"/>
  <c r="R163" i="7"/>
  <c r="Q163" i="7"/>
  <c r="T163" i="7"/>
  <c r="S163" i="7"/>
  <c r="U287" i="7"/>
  <c r="K287" i="7"/>
  <c r="S287" i="7"/>
  <c r="R287" i="7"/>
  <c r="Q287" i="7"/>
  <c r="L287" i="7"/>
  <c r="T287" i="7"/>
  <c r="L23" i="7"/>
  <c r="K23" i="7"/>
  <c r="U23" i="7"/>
  <c r="R23" i="7"/>
  <c r="Q23" i="7"/>
  <c r="T23" i="7"/>
  <c r="S23" i="7"/>
  <c r="S131" i="7"/>
  <c r="R131" i="7"/>
  <c r="Q131" i="7"/>
  <c r="L131" i="7"/>
  <c r="T131" i="7"/>
  <c r="U131" i="7"/>
  <c r="K131" i="7"/>
  <c r="Q75" i="7"/>
  <c r="S75" i="7"/>
  <c r="R75" i="7"/>
  <c r="L75" i="7"/>
  <c r="K75" i="7"/>
  <c r="U75" i="7"/>
  <c r="T75" i="7"/>
  <c r="U87" i="7"/>
  <c r="K87" i="7"/>
  <c r="R87" i="7"/>
  <c r="T87" i="7"/>
  <c r="S87" i="7"/>
  <c r="L87" i="7"/>
  <c r="Q87" i="7"/>
  <c r="R124" i="7"/>
  <c r="Q124" i="7"/>
  <c r="L124" i="7"/>
  <c r="K124" i="7"/>
  <c r="U124" i="7"/>
  <c r="T124" i="7"/>
  <c r="S124" i="7"/>
  <c r="S241" i="7"/>
  <c r="T241" i="7"/>
  <c r="R241" i="7"/>
  <c r="Q241" i="7"/>
  <c r="L241" i="7"/>
  <c r="K241" i="7"/>
  <c r="U241" i="7" s="1"/>
  <c r="T264" i="7"/>
  <c r="S264" i="7"/>
  <c r="R264" i="7"/>
  <c r="Q264" i="7"/>
  <c r="L264" i="7"/>
  <c r="K264" i="7"/>
  <c r="U264" i="7"/>
  <c r="S275" i="7"/>
  <c r="T275" i="7"/>
  <c r="K275" i="7"/>
  <c r="U275" i="7"/>
  <c r="L275" i="7"/>
  <c r="R275" i="7"/>
  <c r="Q275" i="7"/>
  <c r="U70" i="7"/>
  <c r="T70" i="7"/>
  <c r="S70" i="7"/>
  <c r="R70" i="7"/>
  <c r="Q70" i="7"/>
  <c r="L70" i="7"/>
  <c r="K70" i="7"/>
  <c r="Q65" i="7"/>
  <c r="L65" i="7"/>
  <c r="K65" i="7"/>
  <c r="U65" i="7"/>
  <c r="T65" i="7"/>
  <c r="S65" i="7"/>
  <c r="R65" i="7"/>
  <c r="S66" i="7"/>
  <c r="T66" i="7"/>
  <c r="R66" i="7"/>
  <c r="Q66" i="7"/>
  <c r="L66" i="7"/>
  <c r="K66" i="7"/>
  <c r="U66" i="7"/>
  <c r="S288" i="7"/>
  <c r="R288" i="7"/>
  <c r="Q288" i="7"/>
  <c r="L288" i="7"/>
  <c r="K288" i="7"/>
  <c r="U288" i="7"/>
  <c r="T288" i="7"/>
  <c r="I34" i="7"/>
  <c r="R108" i="7"/>
  <c r="K108" i="7"/>
  <c r="U108" i="7"/>
  <c r="Q108" i="7"/>
  <c r="L108" i="7"/>
  <c r="T108" i="7"/>
  <c r="S108" i="7"/>
  <c r="I158" i="7"/>
  <c r="I184" i="7"/>
  <c r="U86" i="7"/>
  <c r="T86" i="7"/>
  <c r="S86" i="7"/>
  <c r="R86" i="7"/>
  <c r="Q86" i="7"/>
  <c r="L86" i="7"/>
  <c r="K86" i="7"/>
  <c r="I117" i="7"/>
  <c r="I128" i="7"/>
  <c r="V175" i="7"/>
  <c r="W233" i="7"/>
  <c r="U245" i="7"/>
  <c r="T245" i="7"/>
  <c r="S245" i="7"/>
  <c r="R245" i="7"/>
  <c r="Q245" i="7"/>
  <c r="L245" i="7"/>
  <c r="K245" i="7"/>
  <c r="I256" i="7"/>
  <c r="L212" i="7"/>
  <c r="R212" i="7"/>
  <c r="T212" i="7"/>
  <c r="S212" i="7"/>
  <c r="Q212" i="7"/>
  <c r="K212" i="7"/>
  <c r="U212" i="7" s="1"/>
  <c r="U248" i="7"/>
  <c r="T248" i="7"/>
  <c r="S248" i="7"/>
  <c r="R248" i="7"/>
  <c r="Q248" i="7"/>
  <c r="L248" i="7"/>
  <c r="K248" i="7"/>
  <c r="U27" i="7"/>
  <c r="Q27" i="7"/>
  <c r="T27" i="7"/>
  <c r="S27" i="7"/>
  <c r="R27" i="7"/>
  <c r="L27" i="7"/>
  <c r="K27" i="7"/>
  <c r="S149" i="7"/>
  <c r="U149" i="7"/>
  <c r="L149" i="7"/>
  <c r="T149" i="7"/>
  <c r="R149" i="7"/>
  <c r="Q149" i="7"/>
  <c r="K149" i="7"/>
  <c r="Q209" i="7"/>
  <c r="U209" i="7"/>
  <c r="T209" i="7"/>
  <c r="S209" i="7"/>
  <c r="R209" i="7"/>
  <c r="L209" i="7"/>
  <c r="K209" i="7"/>
  <c r="L277" i="7"/>
  <c r="K277" i="7"/>
  <c r="S277" i="7"/>
  <c r="T277" i="7"/>
  <c r="U277" i="7"/>
  <c r="Q277" i="7"/>
  <c r="R277" i="7"/>
  <c r="U213" i="7"/>
  <c r="T213" i="7"/>
  <c r="S213" i="7"/>
  <c r="R213" i="7"/>
  <c r="Q213" i="7"/>
  <c r="L213" i="7"/>
  <c r="K213" i="7"/>
  <c r="W49" i="7"/>
  <c r="S62" i="7"/>
  <c r="R62" i="7"/>
  <c r="Q62" i="7"/>
  <c r="L62" i="7"/>
  <c r="K62" i="7"/>
  <c r="U62" i="7"/>
  <c r="T62" i="7"/>
  <c r="L68" i="7"/>
  <c r="K68" i="7"/>
  <c r="S68" i="7"/>
  <c r="R68" i="7"/>
  <c r="U68" i="7"/>
  <c r="T68" i="7"/>
  <c r="Q68" i="7"/>
  <c r="Q114" i="7"/>
  <c r="S114" i="7"/>
  <c r="R114" i="7"/>
  <c r="L114" i="7"/>
  <c r="U114" i="7"/>
  <c r="T114" i="7"/>
  <c r="K114" i="7"/>
  <c r="U138" i="7"/>
  <c r="K138" i="7"/>
  <c r="S138" i="7"/>
  <c r="R138" i="7"/>
  <c r="Q138" i="7"/>
  <c r="L138" i="7"/>
  <c r="T138" i="7"/>
  <c r="V171" i="7"/>
  <c r="I185" i="7"/>
  <c r="L202" i="7"/>
  <c r="K202" i="7"/>
  <c r="S202" i="7"/>
  <c r="T202" i="7"/>
  <c r="R202" i="7"/>
  <c r="Q202" i="7"/>
  <c r="U202" i="7"/>
  <c r="I206" i="7"/>
  <c r="I273" i="7"/>
  <c r="V48" i="7"/>
  <c r="K229" i="7"/>
  <c r="Q229" i="7"/>
  <c r="L229" i="7"/>
  <c r="U229" i="7"/>
  <c r="T229" i="7"/>
  <c r="S229" i="7"/>
  <c r="R229" i="7"/>
  <c r="L259" i="7"/>
  <c r="T259" i="7"/>
  <c r="S259" i="7"/>
  <c r="R259" i="7"/>
  <c r="Q259" i="7"/>
  <c r="K259" i="7"/>
  <c r="U259" i="7"/>
  <c r="L20" i="7"/>
  <c r="K20" i="7"/>
  <c r="R20" i="7"/>
  <c r="Q20" i="7"/>
  <c r="U20" i="7"/>
  <c r="T20" i="7"/>
  <c r="S20" i="7"/>
  <c r="U76" i="7"/>
  <c r="T76" i="7"/>
  <c r="S76" i="7"/>
  <c r="R76" i="7"/>
  <c r="Q76" i="7"/>
  <c r="L76" i="7"/>
  <c r="K76" i="7"/>
  <c r="K110" i="7"/>
  <c r="U110" i="7"/>
  <c r="R110" i="7"/>
  <c r="Q110" i="7"/>
  <c r="L110" i="7"/>
  <c r="T110" i="7"/>
  <c r="S110" i="7"/>
  <c r="L118" i="7"/>
  <c r="K118" i="7"/>
  <c r="T129" i="7"/>
  <c r="T146" i="7"/>
  <c r="Q146" i="7"/>
  <c r="S146" i="7"/>
  <c r="R146" i="7"/>
  <c r="L146" i="7"/>
  <c r="K146" i="7"/>
  <c r="U146" i="7" s="1"/>
  <c r="U159" i="7"/>
  <c r="T159" i="7"/>
  <c r="S159" i="7"/>
  <c r="R159" i="7"/>
  <c r="Q159" i="7"/>
  <c r="L159" i="7"/>
  <c r="K159" i="7"/>
  <c r="U196" i="7"/>
  <c r="T196" i="7"/>
  <c r="S196" i="7"/>
  <c r="R196" i="7"/>
  <c r="K196" i="7"/>
  <c r="Q196" i="7"/>
  <c r="L196" i="7"/>
  <c r="T217" i="7"/>
  <c r="U217" i="7"/>
  <c r="Q217" i="7"/>
  <c r="S217" i="7"/>
  <c r="R217" i="7"/>
  <c r="L217" i="7"/>
  <c r="K217" i="7"/>
  <c r="U230" i="7"/>
  <c r="K230" i="7"/>
  <c r="S230" i="7"/>
  <c r="Q230" i="7"/>
  <c r="T230" i="7"/>
  <c r="R230" i="7"/>
  <c r="L230" i="7"/>
  <c r="Q268" i="7"/>
  <c r="U268" i="7"/>
  <c r="T268" i="7"/>
  <c r="S268" i="7"/>
  <c r="R268" i="7"/>
  <c r="L268" i="7"/>
  <c r="K268" i="7"/>
  <c r="R278" i="7"/>
  <c r="U278" i="7"/>
  <c r="T278" i="7"/>
  <c r="S278" i="7"/>
  <c r="Q278" i="7"/>
  <c r="L278" i="7"/>
  <c r="K278" i="7"/>
  <c r="U28" i="7"/>
  <c r="T28" i="7"/>
  <c r="L28" i="7"/>
  <c r="S28" i="7"/>
  <c r="R28" i="7"/>
  <c r="Q28" i="7"/>
  <c r="K28" i="7"/>
  <c r="U50" i="7"/>
  <c r="R50" i="7"/>
  <c r="Q50" i="7"/>
  <c r="T50" i="7"/>
  <c r="L50" i="7"/>
  <c r="K50" i="7"/>
  <c r="S50" i="7"/>
  <c r="I55" i="7"/>
  <c r="Q93" i="7"/>
  <c r="U93" i="7"/>
  <c r="T93" i="7"/>
  <c r="S93" i="7"/>
  <c r="R93" i="7"/>
  <c r="L93" i="7"/>
  <c r="K93" i="7"/>
  <c r="Q133" i="7"/>
  <c r="L133" i="7"/>
  <c r="K133" i="7"/>
  <c r="U133" i="7"/>
  <c r="S133" i="7"/>
  <c r="T133" i="7"/>
  <c r="R133" i="7"/>
  <c r="Q172" i="7"/>
  <c r="L172" i="7"/>
  <c r="K172" i="7"/>
  <c r="S172" i="7"/>
  <c r="R172" i="7"/>
  <c r="U172" i="7"/>
  <c r="T172" i="7"/>
  <c r="U177" i="7"/>
  <c r="T177" i="7"/>
  <c r="S177" i="7"/>
  <c r="R177" i="7"/>
  <c r="Q177" i="7"/>
  <c r="K177" i="7"/>
  <c r="L177" i="7"/>
  <c r="R38" i="7"/>
  <c r="L38" i="7"/>
  <c r="U38" i="7"/>
  <c r="T38" i="7"/>
  <c r="S38" i="7"/>
  <c r="Q38" i="7"/>
  <c r="K38" i="7"/>
  <c r="U67" i="7"/>
  <c r="T67" i="7"/>
  <c r="S67" i="7"/>
  <c r="R67" i="7"/>
  <c r="K67" i="7"/>
  <c r="Q67" i="7"/>
  <c r="L67" i="7"/>
  <c r="U201" i="7"/>
  <c r="T201" i="7"/>
  <c r="S201" i="7"/>
  <c r="R201" i="7"/>
  <c r="L201" i="7"/>
  <c r="K201" i="7"/>
  <c r="Q201" i="7"/>
  <c r="S238" i="7"/>
  <c r="K238" i="7"/>
  <c r="U238" i="7"/>
  <c r="T238" i="7"/>
  <c r="R238" i="7"/>
  <c r="Q238" i="7"/>
  <c r="L238" i="7"/>
  <c r="T260" i="7"/>
  <c r="S260" i="7"/>
  <c r="R260" i="7"/>
  <c r="Q260" i="7"/>
  <c r="L260" i="7"/>
  <c r="K260" i="7"/>
  <c r="U260" i="7"/>
  <c r="L32" i="7"/>
  <c r="S32" i="7"/>
  <c r="T32" i="7"/>
  <c r="U32" i="7"/>
  <c r="R32" i="7"/>
  <c r="Q32" i="7"/>
  <c r="K32" i="7"/>
  <c r="U143" i="7"/>
  <c r="R143" i="7"/>
  <c r="Q143" i="7"/>
  <c r="L143" i="7"/>
  <c r="K143" i="7"/>
  <c r="S143" i="7"/>
  <c r="T143" i="7"/>
  <c r="U155" i="7"/>
  <c r="T155" i="7"/>
  <c r="S155" i="7"/>
  <c r="L155" i="7"/>
  <c r="R155" i="7"/>
  <c r="Q155" i="7"/>
  <c r="K155" i="7"/>
  <c r="V172" i="7"/>
  <c r="T30" i="7"/>
  <c r="U30" i="7"/>
  <c r="S30" i="7"/>
  <c r="L30" i="7"/>
  <c r="Q30" i="7"/>
  <c r="R30" i="7"/>
  <c r="K30" i="7"/>
  <c r="G63" i="7"/>
  <c r="K249" i="7"/>
  <c r="U249" i="7"/>
  <c r="T249" i="7"/>
  <c r="S249" i="7"/>
  <c r="L249" i="7"/>
  <c r="R249" i="7"/>
  <c r="Q249" i="7"/>
  <c r="U97" i="7"/>
  <c r="T97" i="7"/>
  <c r="S97" i="7"/>
  <c r="R97" i="7"/>
  <c r="Q97" i="7"/>
  <c r="L97" i="7"/>
  <c r="K97" i="7"/>
  <c r="R203" i="7"/>
  <c r="S203" i="7"/>
  <c r="L203" i="7"/>
  <c r="K203" i="7"/>
  <c r="U203" i="7" s="1"/>
  <c r="Q203" i="7"/>
  <c r="T203" i="7"/>
  <c r="Q274" i="7"/>
  <c r="L274" i="7"/>
  <c r="K274" i="7"/>
  <c r="U274" i="7"/>
  <c r="T274" i="7"/>
  <c r="S274" i="7"/>
  <c r="R274" i="7"/>
  <c r="W15" i="7"/>
  <c r="I36" i="7"/>
  <c r="L84" i="7"/>
  <c r="S84" i="7"/>
  <c r="R84" i="7"/>
  <c r="Q84" i="7"/>
  <c r="K84" i="7"/>
  <c r="T84" i="7"/>
  <c r="U84" i="7"/>
  <c r="K178" i="7"/>
  <c r="U178" i="7"/>
  <c r="T178" i="7"/>
  <c r="S178" i="7"/>
  <c r="R178" i="7"/>
  <c r="Q178" i="7"/>
  <c r="L178" i="7"/>
  <c r="T207" i="7"/>
  <c r="S207" i="7"/>
  <c r="R207" i="7"/>
  <c r="Q207" i="7"/>
  <c r="L207" i="7"/>
  <c r="K207" i="7"/>
  <c r="U207" i="7" s="1"/>
  <c r="T254" i="7"/>
  <c r="S254" i="7"/>
  <c r="R254" i="7"/>
  <c r="Q254" i="7"/>
  <c r="L254" i="7"/>
  <c r="K254" i="7"/>
  <c r="U254" i="7"/>
  <c r="I265" i="7"/>
  <c r="I101" i="7"/>
  <c r="G135" i="7"/>
  <c r="Q130" i="7"/>
  <c r="L130" i="7"/>
  <c r="K130" i="7"/>
  <c r="S130" i="7"/>
  <c r="R130" i="7"/>
  <c r="U130" i="7"/>
  <c r="T130" i="7"/>
  <c r="I160" i="7"/>
  <c r="S173" i="7"/>
  <c r="U173" i="7"/>
  <c r="T173" i="7"/>
  <c r="K173" i="7"/>
  <c r="R173" i="7"/>
  <c r="Q173" i="7"/>
  <c r="L173" i="7"/>
  <c r="U218" i="7"/>
  <c r="K218" i="7"/>
  <c r="T218" i="7"/>
  <c r="S218" i="7"/>
  <c r="R218" i="7"/>
  <c r="Q218" i="7"/>
  <c r="L218" i="7"/>
  <c r="U269" i="7"/>
  <c r="T269" i="7"/>
  <c r="S269" i="7"/>
  <c r="R269" i="7"/>
  <c r="Q269" i="7"/>
  <c r="L269" i="7"/>
  <c r="K269" i="7"/>
  <c r="R137" i="7"/>
  <c r="T137" i="7"/>
  <c r="U137" i="7"/>
  <c r="S137" i="7"/>
  <c r="K137" i="7"/>
  <c r="Q137" i="7"/>
  <c r="L137" i="7"/>
  <c r="K166" i="7"/>
  <c r="U166" i="7"/>
  <c r="S166" i="7"/>
  <c r="R166" i="7"/>
  <c r="T166" i="7"/>
  <c r="Q166" i="7"/>
  <c r="L166" i="7"/>
  <c r="T103" i="7"/>
  <c r="S103" i="7"/>
  <c r="R103" i="7"/>
  <c r="Q103" i="7"/>
  <c r="L103" i="7"/>
  <c r="K103" i="7"/>
  <c r="U103" i="7"/>
  <c r="U171" i="7"/>
  <c r="T171" i="7"/>
  <c r="S171" i="7"/>
  <c r="L171" i="7"/>
  <c r="K171" i="7"/>
  <c r="R171" i="7"/>
  <c r="Q171" i="7"/>
  <c r="R234" i="7"/>
  <c r="Q234" i="7"/>
  <c r="L234" i="7"/>
  <c r="K234" i="7"/>
  <c r="U234" i="7"/>
  <c r="T234" i="7"/>
  <c r="S234" i="7"/>
  <c r="L44" i="7"/>
  <c r="K44" i="7"/>
  <c r="S44" i="7"/>
  <c r="R44" i="7"/>
  <c r="Q44" i="7"/>
  <c r="U44" i="7"/>
  <c r="T44" i="7"/>
  <c r="I58" i="7"/>
  <c r="Q72" i="7"/>
  <c r="R72" i="7"/>
  <c r="U72" i="7"/>
  <c r="T72" i="7"/>
  <c r="S72" i="7"/>
  <c r="L72" i="7"/>
  <c r="K72" i="7"/>
  <c r="K92" i="7"/>
  <c r="T92" i="7"/>
  <c r="U92" i="7"/>
  <c r="Q92" i="7"/>
  <c r="R92" i="7"/>
  <c r="S92" i="7"/>
  <c r="L92" i="7"/>
  <c r="I96" i="7"/>
  <c r="S142" i="7"/>
  <c r="R142" i="7"/>
  <c r="Q142" i="7"/>
  <c r="L142" i="7"/>
  <c r="K142" i="7"/>
  <c r="U142" i="7"/>
  <c r="T142" i="7"/>
  <c r="K181" i="7"/>
  <c r="U181" i="7"/>
  <c r="R181" i="7"/>
  <c r="S181" i="7"/>
  <c r="T181" i="7"/>
  <c r="Q181" i="7"/>
  <c r="L181" i="7"/>
  <c r="I192" i="7"/>
  <c r="U242" i="7"/>
  <c r="T242" i="7"/>
  <c r="S242" i="7"/>
  <c r="K242" i="7"/>
  <c r="Q242" i="7"/>
  <c r="R242" i="7"/>
  <c r="L242" i="7"/>
  <c r="I282" i="7"/>
  <c r="Q15" i="7"/>
  <c r="S15" i="7"/>
  <c r="L15" i="7"/>
  <c r="K15" i="7"/>
  <c r="T15" i="7"/>
  <c r="U15" i="7"/>
  <c r="R15" i="7"/>
  <c r="K39" i="7"/>
  <c r="U39" i="7" s="1"/>
  <c r="Q39" i="7"/>
  <c r="L39" i="7"/>
  <c r="R39" i="7"/>
  <c r="S39" i="7"/>
  <c r="T39" i="7"/>
  <c r="T73" i="7"/>
  <c r="S73" i="7"/>
  <c r="R73" i="7"/>
  <c r="Q73" i="7"/>
  <c r="L73" i="7"/>
  <c r="K73" i="7"/>
  <c r="U73" i="7" s="1"/>
  <c r="U122" i="7"/>
  <c r="Q122" i="7"/>
  <c r="L122" i="7"/>
  <c r="K122" i="7"/>
  <c r="S122" i="7"/>
  <c r="T122" i="7"/>
  <c r="R122" i="7"/>
  <c r="S139" i="7"/>
  <c r="R139" i="7"/>
  <c r="U150" i="7"/>
  <c r="T150" i="7"/>
  <c r="S150" i="7"/>
  <c r="R150" i="7"/>
  <c r="Q150" i="7"/>
  <c r="K150" i="7"/>
  <c r="L150" i="7"/>
  <c r="U210" i="7"/>
  <c r="T210" i="7"/>
  <c r="S210" i="7"/>
  <c r="R210" i="7"/>
  <c r="Q210" i="7"/>
  <c r="L210" i="7"/>
  <c r="K210" i="7"/>
  <c r="S16" i="7"/>
  <c r="U16" i="7"/>
  <c r="Q16" i="7"/>
  <c r="T16" i="7"/>
  <c r="R16" i="7"/>
  <c r="L16" i="7"/>
  <c r="K16" i="7"/>
  <c r="Q25" i="7"/>
  <c r="U25" i="7"/>
  <c r="K25" i="7"/>
  <c r="T25" i="7"/>
  <c r="S25" i="7"/>
  <c r="R25" i="7"/>
  <c r="L25" i="7"/>
  <c r="U46" i="7"/>
  <c r="T46" i="7"/>
  <c r="S46" i="7"/>
  <c r="R46" i="7"/>
  <c r="Q46" i="7"/>
  <c r="L46" i="7"/>
  <c r="K46" i="7"/>
  <c r="K77" i="7"/>
  <c r="R77" i="7"/>
  <c r="Q77" i="7"/>
  <c r="T119" i="7"/>
  <c r="U119" i="7"/>
  <c r="Q119" i="7"/>
  <c r="R119" i="7"/>
  <c r="S119" i="7"/>
  <c r="L119" i="7"/>
  <c r="K119" i="7"/>
  <c r="S134" i="7"/>
  <c r="T134" i="7"/>
  <c r="R134" i="7"/>
  <c r="Q134" i="7"/>
  <c r="L134" i="7"/>
  <c r="K134" i="7"/>
  <c r="U134" i="7"/>
  <c r="U147" i="7"/>
  <c r="T147" i="7"/>
  <c r="S147" i="7"/>
  <c r="R147" i="7"/>
  <c r="Q147" i="7"/>
  <c r="L147" i="7"/>
  <c r="K147" i="7"/>
  <c r="U156" i="7"/>
  <c r="T156" i="7"/>
  <c r="Q156" i="7"/>
  <c r="L156" i="7"/>
  <c r="K156" i="7"/>
  <c r="S156" i="7"/>
  <c r="R156" i="7"/>
  <c r="R164" i="7"/>
  <c r="U164" i="7"/>
  <c r="T164" i="7"/>
  <c r="S164" i="7"/>
  <c r="Q164" i="7"/>
  <c r="L164" i="7"/>
  <c r="K164" i="7"/>
  <c r="U236" i="7"/>
  <c r="T236" i="7"/>
  <c r="S236" i="7"/>
  <c r="R236" i="7"/>
  <c r="Q236" i="7"/>
  <c r="L236" i="7"/>
  <c r="K236" i="7"/>
  <c r="R247" i="7"/>
  <c r="U247" i="7"/>
  <c r="T247" i="7"/>
  <c r="S247" i="7"/>
  <c r="Q247" i="7"/>
  <c r="L247" i="7"/>
  <c r="K247" i="7"/>
  <c r="S258" i="7"/>
  <c r="R258" i="7"/>
  <c r="U258" i="7"/>
  <c r="T258" i="7"/>
  <c r="L258" i="7"/>
  <c r="Q258" i="7"/>
  <c r="K258" i="7"/>
  <c r="K33" i="7"/>
  <c r="U33" i="7" s="1"/>
  <c r="Q33" i="7"/>
  <c r="T33" i="7"/>
  <c r="S33" i="7"/>
  <c r="R33" i="7"/>
  <c r="L33" i="7"/>
  <c r="V173" i="7"/>
  <c r="I54" i="7"/>
  <c r="I56" i="7"/>
  <c r="I81" i="7"/>
  <c r="U123" i="7"/>
  <c r="T123" i="7"/>
  <c r="Q123" i="7"/>
  <c r="K123" i="7"/>
  <c r="S123" i="7"/>
  <c r="R123" i="7"/>
  <c r="L123" i="7"/>
  <c r="L140" i="7"/>
  <c r="K140" i="7"/>
  <c r="T140" i="7"/>
  <c r="Q140" i="7"/>
  <c r="U140" i="7"/>
  <c r="S140" i="7"/>
  <c r="R140" i="7"/>
  <c r="L211" i="7"/>
  <c r="K211" i="7"/>
  <c r="T211" i="7"/>
  <c r="U211" i="7"/>
  <c r="S211" i="7"/>
  <c r="R211" i="7"/>
  <c r="Q211" i="7"/>
  <c r="R222" i="7"/>
  <c r="Q222" i="7"/>
  <c r="L222" i="7"/>
  <c r="K222" i="7"/>
  <c r="S222" i="7"/>
  <c r="U222" i="7"/>
  <c r="T222" i="7"/>
  <c r="W231" i="7"/>
  <c r="Q240" i="7"/>
  <c r="L240" i="7"/>
  <c r="K240" i="7"/>
  <c r="T240" i="7"/>
  <c r="S240" i="7"/>
  <c r="U240" i="7"/>
  <c r="R240" i="7"/>
  <c r="I262" i="7"/>
  <c r="T52" i="7"/>
  <c r="S52" i="7"/>
  <c r="R52" i="7"/>
  <c r="Q52" i="7"/>
  <c r="L52" i="7"/>
  <c r="K52" i="7"/>
  <c r="U52" i="7"/>
  <c r="I60" i="7"/>
  <c r="K74" i="7"/>
  <c r="T74" i="7"/>
  <c r="U74" i="7"/>
  <c r="R74" i="7"/>
  <c r="S74" i="7"/>
  <c r="Q74" i="7"/>
  <c r="L74" i="7"/>
  <c r="I112" i="7"/>
  <c r="W156" i="7"/>
  <c r="R183" i="7"/>
  <c r="Q183" i="7"/>
  <c r="K183" i="7"/>
  <c r="U183" i="7" s="1"/>
  <c r="I22" i="7"/>
  <c r="U174" i="7"/>
  <c r="T174" i="7"/>
  <c r="S174" i="7"/>
  <c r="R174" i="7"/>
  <c r="L174" i="7"/>
  <c r="K174" i="7"/>
  <c r="Q174" i="7"/>
  <c r="Q194" i="7"/>
  <c r="T194" i="7"/>
  <c r="K194" i="7"/>
  <c r="U194" i="7"/>
  <c r="R194" i="7"/>
  <c r="S194" i="7"/>
  <c r="L194" i="7"/>
  <c r="Q199" i="7"/>
  <c r="L199" i="7"/>
  <c r="K199" i="7"/>
  <c r="S199" i="7"/>
  <c r="T199" i="7"/>
  <c r="U199" i="7"/>
  <c r="R199" i="7"/>
  <c r="U232" i="7"/>
  <c r="T232" i="7"/>
  <c r="S232" i="7"/>
  <c r="R232" i="7"/>
  <c r="Q232" i="7"/>
  <c r="L232" i="7"/>
  <c r="K232" i="7"/>
  <c r="K280" i="7"/>
  <c r="R280" i="7"/>
  <c r="Q280" i="7"/>
  <c r="U280" i="7"/>
  <c r="T280" i="7"/>
  <c r="S280" i="7"/>
  <c r="L280" i="7"/>
  <c r="L284" i="7"/>
  <c r="R284" i="7"/>
  <c r="U284" i="7"/>
  <c r="T284" i="7"/>
  <c r="S284" i="7"/>
  <c r="Q284" i="7"/>
  <c r="K284" i="7"/>
  <c r="Q53" i="7"/>
  <c r="L53" i="7"/>
  <c r="K53" i="7"/>
  <c r="U53" i="7" s="1"/>
  <c r="R53" i="7"/>
  <c r="T53" i="7"/>
  <c r="S53" i="7"/>
  <c r="T228" i="7"/>
  <c r="S228" i="7"/>
  <c r="R228" i="7"/>
  <c r="Q228" i="7"/>
  <c r="L228" i="7"/>
  <c r="K228" i="7"/>
  <c r="U228" i="7"/>
  <c r="T18" i="7"/>
  <c r="K18" i="7"/>
  <c r="L18" i="7"/>
  <c r="U18" i="7"/>
  <c r="S18" i="7"/>
  <c r="R18" i="7"/>
  <c r="Q18" i="7"/>
  <c r="U180" i="7"/>
  <c r="T180" i="7"/>
  <c r="S180" i="7"/>
  <c r="R180" i="7"/>
  <c r="Q180" i="7"/>
  <c r="L180" i="7"/>
  <c r="K180" i="7"/>
  <c r="Q252" i="7"/>
  <c r="L252" i="7"/>
  <c r="U252" i="7"/>
  <c r="T252" i="7"/>
  <c r="K252" i="7"/>
  <c r="R252" i="7"/>
  <c r="S252" i="7"/>
  <c r="S121" i="7"/>
  <c r="R121" i="7"/>
  <c r="Q121" i="7"/>
  <c r="L121" i="7"/>
  <c r="K121" i="7"/>
  <c r="T121" i="7"/>
  <c r="U121" i="7"/>
  <c r="U12" i="7"/>
  <c r="K12" i="7"/>
  <c r="L12" i="7"/>
  <c r="T12" i="7"/>
  <c r="S12" i="7"/>
  <c r="R12" i="7"/>
  <c r="Q12" i="7"/>
  <c r="Q17" i="7"/>
  <c r="L17" i="7"/>
  <c r="K17" i="7"/>
  <c r="S17" i="7"/>
  <c r="U17" i="7"/>
  <c r="T17" i="7"/>
  <c r="R17" i="7"/>
  <c r="K47" i="7"/>
  <c r="T47" i="7"/>
  <c r="R47" i="7"/>
  <c r="U47" i="7"/>
  <c r="S47" i="7"/>
  <c r="L47" i="7"/>
  <c r="Q47" i="7"/>
  <c r="T85" i="7"/>
  <c r="S85" i="7"/>
  <c r="R85" i="7"/>
  <c r="Q85" i="7"/>
  <c r="L85" i="7"/>
  <c r="K85" i="7"/>
  <c r="U85" i="7"/>
  <c r="R90" i="7"/>
  <c r="L90" i="7"/>
  <c r="U90" i="7"/>
  <c r="K90" i="7"/>
  <c r="S90" i="7"/>
  <c r="T90" i="7"/>
  <c r="Q90" i="7"/>
  <c r="L107" i="7"/>
  <c r="K107" i="7"/>
  <c r="Q107" i="7"/>
  <c r="U107" i="7"/>
  <c r="T107" i="7"/>
  <c r="S107" i="7"/>
  <c r="R107" i="7"/>
  <c r="U116" i="7"/>
  <c r="L116" i="7"/>
  <c r="T116" i="7"/>
  <c r="S116" i="7"/>
  <c r="R116" i="7"/>
  <c r="Q116" i="7"/>
  <c r="K116" i="7"/>
  <c r="Q127" i="7"/>
  <c r="L127" i="7"/>
  <c r="K127" i="7"/>
  <c r="U127" i="7"/>
  <c r="T127" i="7"/>
  <c r="S127" i="7"/>
  <c r="R127" i="7"/>
  <c r="Q148" i="7"/>
  <c r="L148" i="7"/>
  <c r="K148" i="7"/>
  <c r="U148" i="7" s="1"/>
  <c r="S148" i="7"/>
  <c r="T148" i="7"/>
  <c r="R148" i="7"/>
  <c r="R157" i="7"/>
  <c r="Q157" i="7"/>
  <c r="L157" i="7"/>
  <c r="K157" i="7"/>
  <c r="U157" i="7"/>
  <c r="T157" i="7"/>
  <c r="S157" i="7"/>
  <c r="S244" i="7"/>
  <c r="U244" i="7"/>
  <c r="Q244" i="7"/>
  <c r="T244" i="7"/>
  <c r="L244" i="7"/>
  <c r="R244" i="7"/>
  <c r="K244" i="7"/>
  <c r="R255" i="7"/>
  <c r="Q255" i="7"/>
  <c r="L255" i="7"/>
  <c r="K255" i="7"/>
  <c r="U255" i="7"/>
  <c r="T255" i="7"/>
  <c r="S255" i="7"/>
  <c r="S270" i="7"/>
  <c r="R270" i="7"/>
  <c r="Q270" i="7"/>
  <c r="L270" i="7"/>
  <c r="K270" i="7"/>
  <c r="U270" i="7"/>
  <c r="T270" i="7"/>
  <c r="L102" i="7"/>
  <c r="U102" i="7"/>
  <c r="T102" i="7"/>
  <c r="K102" i="7"/>
  <c r="S102" i="7"/>
  <c r="R102" i="7"/>
  <c r="Q102" i="7"/>
  <c r="U120" i="7"/>
  <c r="K120" i="7"/>
  <c r="T120" i="7"/>
  <c r="S120" i="7"/>
  <c r="R120" i="7"/>
  <c r="Q120" i="7"/>
  <c r="L120" i="7"/>
  <c r="U276" i="7"/>
  <c r="T276" i="7"/>
  <c r="S276" i="7"/>
  <c r="R276" i="7"/>
  <c r="Q276" i="7"/>
  <c r="L276" i="7"/>
  <c r="K276" i="7"/>
  <c r="Q48" i="7"/>
  <c r="S48" i="7"/>
  <c r="R48" i="7"/>
  <c r="L48" i="7"/>
  <c r="K48" i="7"/>
  <c r="U48" i="7"/>
  <c r="T48" i="7"/>
  <c r="R14" i="7"/>
  <c r="Q14" i="7"/>
  <c r="L14" i="7"/>
  <c r="K14" i="7"/>
  <c r="T14" i="7"/>
  <c r="U14" i="7"/>
  <c r="S14" i="7"/>
  <c r="R45" i="7"/>
  <c r="S45" i="7"/>
  <c r="K45" i="7"/>
  <c r="U45" i="7"/>
  <c r="T45" i="7"/>
  <c r="Q45" i="7"/>
  <c r="L45" i="7"/>
  <c r="R80" i="7"/>
  <c r="Q80" i="7"/>
  <c r="L80" i="7"/>
  <c r="K80" i="7"/>
  <c r="U80" i="7"/>
  <c r="T80" i="7"/>
  <c r="S80" i="7"/>
  <c r="Q167" i="7"/>
  <c r="U167" i="7"/>
  <c r="R167" i="7"/>
  <c r="K167" i="7"/>
  <c r="T167" i="7"/>
  <c r="L167" i="7"/>
  <c r="S167" i="7"/>
  <c r="U189" i="7"/>
  <c r="T189" i="7"/>
  <c r="S189" i="7"/>
  <c r="R189" i="7"/>
  <c r="Q189" i="7"/>
  <c r="K189" i="7"/>
  <c r="L189" i="7"/>
  <c r="S214" i="7"/>
  <c r="R214" i="7"/>
  <c r="Q214" i="7"/>
  <c r="L214" i="7"/>
  <c r="K214" i="7"/>
  <c r="U214" i="7" s="1"/>
  <c r="U221" i="7"/>
  <c r="T221" i="7"/>
  <c r="Q221" i="7"/>
  <c r="S221" i="7"/>
  <c r="R221" i="7"/>
  <c r="L221" i="7"/>
  <c r="K221" i="7"/>
  <c r="L239" i="7"/>
  <c r="Q250" i="7"/>
  <c r="T250" i="7"/>
  <c r="S250" i="7"/>
  <c r="R250" i="7"/>
  <c r="L250" i="7"/>
  <c r="K250" i="7"/>
  <c r="U250" i="7"/>
  <c r="T37" i="7"/>
  <c r="S37" i="7"/>
  <c r="R37" i="7"/>
  <c r="Q37" i="7"/>
  <c r="L37" i="7"/>
  <c r="K37" i="7"/>
  <c r="U37" i="7"/>
  <c r="K26" i="7"/>
  <c r="Q26" i="7"/>
  <c r="R26" i="7"/>
  <c r="U26" i="7"/>
  <c r="L26" i="7"/>
  <c r="T26" i="7"/>
  <c r="S26" i="7"/>
  <c r="S42" i="7"/>
  <c r="U42" i="7"/>
  <c r="T42" i="7"/>
  <c r="L42" i="7"/>
  <c r="K42" i="7"/>
  <c r="R42" i="7"/>
  <c r="Q42" i="7"/>
  <c r="V47" i="7"/>
  <c r="L78" i="7"/>
  <c r="T78" i="7"/>
  <c r="R78" i="7"/>
  <c r="U78" i="7"/>
  <c r="S78" i="7"/>
  <c r="Q78" i="7"/>
  <c r="K78" i="7"/>
  <c r="G153" i="7"/>
  <c r="I165" i="7"/>
  <c r="Q237" i="7"/>
  <c r="L237" i="7"/>
  <c r="K237" i="7"/>
  <c r="T237" i="7"/>
  <c r="S237" i="7"/>
  <c r="R237" i="7"/>
  <c r="U237" i="7"/>
  <c r="I161" i="7"/>
  <c r="V137" i="7"/>
  <c r="W110" i="7"/>
  <c r="V109" i="7"/>
  <c r="W107" i="7"/>
  <c r="W68" i="7"/>
  <c r="W67" i="7"/>
  <c r="W47" i="7"/>
  <c r="W44" i="7"/>
  <c r="W45" i="7"/>
  <c r="V43" i="7"/>
  <c r="W106" i="7"/>
  <c r="V199" i="7"/>
  <c r="V176" i="7"/>
  <c r="W229" i="7"/>
  <c r="V19" i="7"/>
  <c r="V200" i="7"/>
  <c r="V14" i="7"/>
  <c r="V16" i="7"/>
  <c r="V42" i="7"/>
  <c r="W46" i="7"/>
  <c r="W65" i="7"/>
  <c r="V90" i="7"/>
  <c r="W177" i="7"/>
  <c r="W108" i="7"/>
  <c r="V18" i="7"/>
  <c r="W51" i="7"/>
  <c r="W234" i="7"/>
  <c r="V234" i="7"/>
  <c r="W48" i="7"/>
  <c r="W92" i="7"/>
  <c r="W20" i="7"/>
  <c r="W50" i="7"/>
  <c r="W69" i="7"/>
  <c r="G169" i="7"/>
  <c r="W11" i="7"/>
  <c r="V138" i="7"/>
  <c r="W155" i="7"/>
  <c r="V155" i="7"/>
  <c r="V227" i="7"/>
  <c r="W227" i="7"/>
  <c r="V201" i="7"/>
  <c r="W201" i="7"/>
  <c r="W12" i="7"/>
  <c r="W13" i="7"/>
  <c r="V50" i="7"/>
  <c r="G88" i="7"/>
  <c r="V66" i="7"/>
  <c r="V52" i="7"/>
  <c r="G197" i="7"/>
  <c r="G225" i="7"/>
  <c r="G40" i="7"/>
  <c r="W17" i="7"/>
  <c r="I153" i="7"/>
  <c r="G271" i="7"/>
  <c r="V174" i="7"/>
  <c r="W174" i="7"/>
  <c r="I204" i="7"/>
  <c r="W232" i="7"/>
  <c r="V232" i="7"/>
  <c r="I126" i="7"/>
  <c r="I162" i="7"/>
  <c r="W178" i="7"/>
  <c r="V228" i="7"/>
  <c r="I261" i="7"/>
  <c r="I190" i="7"/>
  <c r="I266" i="7"/>
  <c r="G290" i="7"/>
  <c r="AG43" i="5"/>
  <c r="AG31" i="5"/>
  <c r="AG28" i="5"/>
  <c r="AG44" i="5"/>
  <c r="AG27" i="5"/>
  <c r="AG32" i="5"/>
  <c r="AG39" i="5"/>
  <c r="D58" i="1"/>
  <c r="D59" i="1"/>
  <c r="D42" i="1"/>
  <c r="D43" i="1"/>
  <c r="H78" i="1"/>
  <c r="G78" i="1"/>
  <c r="G63" i="1"/>
  <c r="G64" i="1"/>
  <c r="G65" i="1"/>
  <c r="G66" i="1"/>
  <c r="G67" i="1"/>
  <c r="G68" i="1"/>
  <c r="G69" i="1"/>
  <c r="G70" i="1"/>
  <c r="G71" i="1"/>
  <c r="G72" i="1"/>
  <c r="Q179" i="7" l="1"/>
  <c r="T283" i="7"/>
  <c r="K283" i="7"/>
  <c r="T113" i="7"/>
  <c r="T95" i="7"/>
  <c r="R283" i="7"/>
  <c r="K113" i="7"/>
  <c r="U113" i="7" s="1"/>
  <c r="S283" i="7"/>
  <c r="R182" i="7"/>
  <c r="R208" i="7"/>
  <c r="L79" i="7"/>
  <c r="S208" i="7"/>
  <c r="Q79" i="7"/>
  <c r="L283" i="7"/>
  <c r="Q283" i="7" s="1"/>
  <c r="U118" i="7"/>
  <c r="K82" i="7"/>
  <c r="U82" i="7" s="1"/>
  <c r="K239" i="7"/>
  <c r="U239" i="7" s="1"/>
  <c r="T77" i="7"/>
  <c r="K246" i="7"/>
  <c r="U246" i="7" s="1"/>
  <c r="R118" i="7"/>
  <c r="T179" i="7"/>
  <c r="Q82" i="7"/>
  <c r="Q118" i="7"/>
  <c r="R239" i="7"/>
  <c r="L77" i="7"/>
  <c r="S118" i="7"/>
  <c r="L179" i="7"/>
  <c r="R82" i="7"/>
  <c r="U21" i="7"/>
  <c r="T246" i="7"/>
  <c r="L82" i="7"/>
  <c r="S82" i="7" s="1"/>
  <c r="S77" i="7"/>
  <c r="R179" i="7"/>
  <c r="T82" i="7"/>
  <c r="L21" i="7"/>
  <c r="S21" i="7" s="1"/>
  <c r="Q246" i="7"/>
  <c r="Q239" i="7"/>
  <c r="S239" i="7"/>
  <c r="L208" i="7"/>
  <c r="I63" i="7"/>
  <c r="Q63" i="7" s="1"/>
  <c r="L267" i="7"/>
  <c r="K208" i="7"/>
  <c r="U208" i="7" s="1"/>
  <c r="Q95" i="7"/>
  <c r="K79" i="7"/>
  <c r="U79" i="7" s="1"/>
  <c r="R267" i="7"/>
  <c r="Q208" i="7"/>
  <c r="R95" i="7"/>
  <c r="K267" i="7"/>
  <c r="U267" i="7" s="1"/>
  <c r="S79" i="7"/>
  <c r="K95" i="7"/>
  <c r="U95" i="7" s="1"/>
  <c r="T79" i="7"/>
  <c r="L59" i="7"/>
  <c r="Q59" i="7"/>
  <c r="K132" i="7"/>
  <c r="U132" i="7" s="1"/>
  <c r="Q132" i="7"/>
  <c r="S220" i="7"/>
  <c r="T267" i="7"/>
  <c r="S59" i="7"/>
  <c r="L132" i="7"/>
  <c r="T220" i="7"/>
  <c r="K129" i="7"/>
  <c r="U129" i="7" s="1"/>
  <c r="R132" i="7"/>
  <c r="K220" i="7"/>
  <c r="U220" i="7" s="1"/>
  <c r="R59" i="7"/>
  <c r="S132" i="7"/>
  <c r="Q220" i="7"/>
  <c r="Q267" i="7"/>
  <c r="T59" i="7"/>
  <c r="L129" i="7"/>
  <c r="Q129" i="7"/>
  <c r="L220" i="7"/>
  <c r="R129" i="7"/>
  <c r="K285" i="7"/>
  <c r="U285" i="7" s="1"/>
  <c r="R246" i="7"/>
  <c r="K257" i="7"/>
  <c r="U257" i="7" s="1"/>
  <c r="S246" i="7"/>
  <c r="L257" i="7"/>
  <c r="Q35" i="7"/>
  <c r="S257" i="7"/>
  <c r="S35" i="7"/>
  <c r="T257" i="7"/>
  <c r="R35" i="7"/>
  <c r="S182" i="7"/>
  <c r="L183" i="7"/>
  <c r="T24" i="7"/>
  <c r="K35" i="7"/>
  <c r="U35" i="7" s="1"/>
  <c r="T182" i="7"/>
  <c r="L98" i="7"/>
  <c r="L35" i="7"/>
  <c r="Q98" i="7"/>
  <c r="K24" i="7"/>
  <c r="U24" i="7" s="1"/>
  <c r="K115" i="7"/>
  <c r="U115" i="7" s="1"/>
  <c r="R98" i="7"/>
  <c r="R257" i="7"/>
  <c r="S183" i="7"/>
  <c r="S98" i="7"/>
  <c r="Q24" i="7"/>
  <c r="Q115" i="7"/>
  <c r="K98" i="7"/>
  <c r="U98" i="7" s="1"/>
  <c r="L273" i="7"/>
  <c r="R24" i="7"/>
  <c r="R115" i="7"/>
  <c r="I104" i="7"/>
  <c r="U104" i="7" s="1"/>
  <c r="L115" i="7"/>
  <c r="S24" i="7"/>
  <c r="S115" i="7"/>
  <c r="T139" i="7"/>
  <c r="Q113" i="7"/>
  <c r="T115" i="7"/>
  <c r="K139" i="7"/>
  <c r="U139" i="7" s="1"/>
  <c r="R113" i="7"/>
  <c r="L139" i="7"/>
  <c r="L153" i="7" s="1"/>
  <c r="I290" i="7"/>
  <c r="L113" i="7"/>
  <c r="R63" i="7"/>
  <c r="U63" i="7"/>
  <c r="T63" i="7"/>
  <c r="S63" i="7"/>
  <c r="L265" i="7"/>
  <c r="T265" i="7"/>
  <c r="S265" i="7"/>
  <c r="R265" i="7"/>
  <c r="Q265" i="7"/>
  <c r="K265" i="7"/>
  <c r="U265" i="7" s="1"/>
  <c r="Q206" i="7"/>
  <c r="S206" i="7"/>
  <c r="T206" i="7"/>
  <c r="R206" i="7"/>
  <c r="L206" i="7"/>
  <c r="K206" i="7"/>
  <c r="U206" i="7" s="1"/>
  <c r="S34" i="7"/>
  <c r="T34" i="7"/>
  <c r="R34" i="7"/>
  <c r="Q34" i="7"/>
  <c r="L34" i="7"/>
  <c r="K34" i="7"/>
  <c r="U34" i="7" s="1"/>
  <c r="T165" i="7"/>
  <c r="S165" i="7"/>
  <c r="R165" i="7"/>
  <c r="Q165" i="7"/>
  <c r="K165" i="7"/>
  <c r="U165" i="7" s="1"/>
  <c r="L165" i="7"/>
  <c r="T266" i="7"/>
  <c r="S266" i="7"/>
  <c r="R266" i="7"/>
  <c r="Q266" i="7"/>
  <c r="L266" i="7"/>
  <c r="K266" i="7"/>
  <c r="U266" i="7" s="1"/>
  <c r="S128" i="7"/>
  <c r="R128" i="7"/>
  <c r="T128" i="7"/>
  <c r="K128" i="7"/>
  <c r="U128" i="7" s="1"/>
  <c r="Q128" i="7"/>
  <c r="L128" i="7"/>
  <c r="L81" i="7"/>
  <c r="L88" i="7" s="1"/>
  <c r="T81" i="7"/>
  <c r="S81" i="7"/>
  <c r="K81" i="7"/>
  <c r="U81" i="7" s="1"/>
  <c r="R81" i="7"/>
  <c r="Q81" i="7"/>
  <c r="S58" i="7"/>
  <c r="R58" i="7"/>
  <c r="Q58" i="7"/>
  <c r="L58" i="7"/>
  <c r="K58" i="7"/>
  <c r="U58" i="7" s="1"/>
  <c r="T58" i="7"/>
  <c r="Q56" i="7"/>
  <c r="T56" i="7"/>
  <c r="S56" i="7"/>
  <c r="R56" i="7"/>
  <c r="L56" i="7"/>
  <c r="K56" i="7"/>
  <c r="U56" i="7" s="1"/>
  <c r="T282" i="7"/>
  <c r="S282" i="7"/>
  <c r="R282" i="7"/>
  <c r="Q282" i="7"/>
  <c r="L282" i="7"/>
  <c r="L290" i="7" s="1"/>
  <c r="K282" i="7"/>
  <c r="U282" i="7" s="1"/>
  <c r="L117" i="7"/>
  <c r="R117" i="7"/>
  <c r="T117" i="7"/>
  <c r="S117" i="7"/>
  <c r="Q117" i="7"/>
  <c r="K117" i="7"/>
  <c r="U117" i="7" s="1"/>
  <c r="Q261" i="7"/>
  <c r="L261" i="7"/>
  <c r="K261" i="7"/>
  <c r="U261" i="7" s="1"/>
  <c r="T261" i="7"/>
  <c r="S261" i="7"/>
  <c r="R261" i="7"/>
  <c r="T162" i="7"/>
  <c r="S162" i="7"/>
  <c r="R162" i="7"/>
  <c r="Q162" i="7"/>
  <c r="L162" i="7"/>
  <c r="K162" i="7"/>
  <c r="U162" i="7" s="1"/>
  <c r="K54" i="7"/>
  <c r="R54" i="7"/>
  <c r="S54" i="7"/>
  <c r="T54" i="7"/>
  <c r="Q54" i="7"/>
  <c r="L54" i="7"/>
  <c r="K36" i="7"/>
  <c r="U36" i="7" s="1"/>
  <c r="R36" i="7"/>
  <c r="Q36" i="7"/>
  <c r="T36" i="7"/>
  <c r="L36" i="7"/>
  <c r="S36" i="7"/>
  <c r="R185" i="7"/>
  <c r="T185" i="7"/>
  <c r="Q185" i="7"/>
  <c r="L185" i="7"/>
  <c r="K185" i="7"/>
  <c r="U185" i="7" s="1"/>
  <c r="S185" i="7"/>
  <c r="S55" i="7"/>
  <c r="R55" i="7"/>
  <c r="Q55" i="7"/>
  <c r="L55" i="7"/>
  <c r="K55" i="7"/>
  <c r="U55" i="7" s="1"/>
  <c r="T55" i="7"/>
  <c r="K184" i="7"/>
  <c r="U184" i="7" s="1"/>
  <c r="R184" i="7"/>
  <c r="T184" i="7"/>
  <c r="S184" i="7"/>
  <c r="Q184" i="7"/>
  <c r="L184" i="7"/>
  <c r="I135" i="7"/>
  <c r="T126" i="7"/>
  <c r="S126" i="7"/>
  <c r="Q126" i="7"/>
  <c r="R126" i="7"/>
  <c r="L126" i="7"/>
  <c r="K126" i="7"/>
  <c r="U126" i="7" s="1"/>
  <c r="L262" i="7"/>
  <c r="S262" i="7"/>
  <c r="T262" i="7"/>
  <c r="Q262" i="7"/>
  <c r="R262" i="7"/>
  <c r="K262" i="7"/>
  <c r="U262" i="7" s="1"/>
  <c r="Q160" i="7"/>
  <c r="L160" i="7"/>
  <c r="K160" i="7"/>
  <c r="U160" i="7" s="1"/>
  <c r="T160" i="7"/>
  <c r="S160" i="7"/>
  <c r="R160" i="7"/>
  <c r="T204" i="7"/>
  <c r="S204" i="7"/>
  <c r="R204" i="7"/>
  <c r="Q204" i="7"/>
  <c r="L204" i="7"/>
  <c r="K204" i="7"/>
  <c r="U204" i="7" s="1"/>
  <c r="S161" i="7"/>
  <c r="K161" i="7"/>
  <c r="T161" i="7"/>
  <c r="R161" i="7"/>
  <c r="Q161" i="7"/>
  <c r="L161" i="7"/>
  <c r="U161" i="7"/>
  <c r="T192" i="7"/>
  <c r="S192" i="7"/>
  <c r="R192" i="7"/>
  <c r="Q192" i="7"/>
  <c r="L192" i="7"/>
  <c r="K192" i="7"/>
  <c r="U192" i="7" s="1"/>
  <c r="R22" i="7"/>
  <c r="T22" i="7"/>
  <c r="Q22" i="7"/>
  <c r="L22" i="7"/>
  <c r="S22" i="7" s="1"/>
  <c r="K22" i="7"/>
  <c r="U22" i="7" s="1"/>
  <c r="K256" i="7"/>
  <c r="U256" i="7" s="1"/>
  <c r="S256" i="7"/>
  <c r="R256" i="7"/>
  <c r="T256" i="7"/>
  <c r="Q256" i="7"/>
  <c r="L256" i="7"/>
  <c r="T112" i="7"/>
  <c r="S112" i="7"/>
  <c r="R112" i="7"/>
  <c r="Q112" i="7"/>
  <c r="L112" i="7"/>
  <c r="K112" i="7"/>
  <c r="U112" i="7" s="1"/>
  <c r="T158" i="7"/>
  <c r="S158" i="7"/>
  <c r="K158" i="7"/>
  <c r="U158" i="7" s="1"/>
  <c r="R158" i="7"/>
  <c r="Q158" i="7"/>
  <c r="L158" i="7"/>
  <c r="K60" i="7"/>
  <c r="U60" i="7" s="1"/>
  <c r="T60" i="7"/>
  <c r="R60" i="7"/>
  <c r="S60" i="7"/>
  <c r="L60" i="7"/>
  <c r="Q60" i="7"/>
  <c r="K190" i="7"/>
  <c r="S190" i="7"/>
  <c r="Q190" i="7"/>
  <c r="U190" i="7"/>
  <c r="T190" i="7"/>
  <c r="R190" i="7"/>
  <c r="L190" i="7"/>
  <c r="Q96" i="7"/>
  <c r="R96" i="7"/>
  <c r="T96" i="7"/>
  <c r="S96" i="7"/>
  <c r="L96" i="7"/>
  <c r="K96" i="7"/>
  <c r="U153" i="7"/>
  <c r="T153" i="7"/>
  <c r="S153" i="7"/>
  <c r="R153" i="7"/>
  <c r="Q153" i="7"/>
  <c r="I88" i="7"/>
  <c r="I40" i="7"/>
  <c r="S101" i="7"/>
  <c r="T101" i="7"/>
  <c r="L101" i="7"/>
  <c r="R101" i="7"/>
  <c r="Q101" i="7"/>
  <c r="K101" i="7"/>
  <c r="U101" i="7" s="1"/>
  <c r="F8" i="7"/>
  <c r="K273" i="7"/>
  <c r="I197" i="7"/>
  <c r="I271" i="7"/>
  <c r="I169" i="7"/>
  <c r="I225" i="7"/>
  <c r="G8" i="7"/>
  <c r="F7" i="7"/>
  <c r="O129" i="5"/>
  <c r="O128" i="5"/>
  <c r="O135" i="5"/>
  <c r="O134" i="5"/>
  <c r="O133" i="5"/>
  <c r="O132" i="5"/>
  <c r="O131" i="5"/>
  <c r="O130" i="5"/>
  <c r="O127" i="5"/>
  <c r="O126" i="5"/>
  <c r="O125" i="5"/>
  <c r="O124" i="5"/>
  <c r="O123" i="5"/>
  <c r="O122" i="5"/>
  <c r="O121" i="5"/>
  <c r="O120" i="5"/>
  <c r="O119" i="5"/>
  <c r="O118" i="5"/>
  <c r="O117" i="5"/>
  <c r="O116" i="5"/>
  <c r="O115" i="5"/>
  <c r="O114" i="5"/>
  <c r="O113" i="5"/>
  <c r="O112" i="5"/>
  <c r="O111" i="5"/>
  <c r="O110" i="5"/>
  <c r="O109" i="5"/>
  <c r="O108" i="5"/>
  <c r="O107" i="5"/>
  <c r="O106" i="5"/>
  <c r="O105" i="5"/>
  <c r="O104" i="5"/>
  <c r="O103" i="5"/>
  <c r="O102" i="5"/>
  <c r="O101" i="5"/>
  <c r="O100" i="5"/>
  <c r="O99" i="5"/>
  <c r="O98" i="5"/>
  <c r="O97" i="5"/>
  <c r="O96" i="5"/>
  <c r="O95" i="5"/>
  <c r="O94" i="5"/>
  <c r="O93" i="5"/>
  <c r="O92" i="5"/>
  <c r="O91" i="5"/>
  <c r="O90" i="5"/>
  <c r="O89" i="5"/>
  <c r="O88" i="5"/>
  <c r="O87" i="5"/>
  <c r="O86" i="5"/>
  <c r="O85" i="5"/>
  <c r="O84" i="5"/>
  <c r="O83" i="5"/>
  <c r="O82" i="5"/>
  <c r="O81" i="5"/>
  <c r="O80" i="5"/>
  <c r="O79" i="5"/>
  <c r="O78" i="5"/>
  <c r="O77" i="5"/>
  <c r="O76" i="5"/>
  <c r="O75" i="5"/>
  <c r="O74" i="5"/>
  <c r="O73" i="5"/>
  <c r="O72" i="5"/>
  <c r="O71" i="5"/>
  <c r="O70" i="5"/>
  <c r="O69" i="5"/>
  <c r="O68" i="5"/>
  <c r="O67" i="5"/>
  <c r="O66" i="5"/>
  <c r="O65" i="5"/>
  <c r="O64" i="5"/>
  <c r="O63" i="5"/>
  <c r="O62" i="5"/>
  <c r="O61" i="5"/>
  <c r="O60" i="5"/>
  <c r="O59" i="5"/>
  <c r="O58" i="5"/>
  <c r="O57" i="5"/>
  <c r="O56" i="5"/>
  <c r="O55" i="5"/>
  <c r="O54" i="5"/>
  <c r="O53" i="5"/>
  <c r="O52" i="5"/>
  <c r="O51" i="5"/>
  <c r="O50" i="5"/>
  <c r="O49" i="5"/>
  <c r="O48" i="5"/>
  <c r="O47" i="5"/>
  <c r="O26" i="5"/>
  <c r="O25" i="5"/>
  <c r="O24" i="5"/>
  <c r="O23" i="5"/>
  <c r="O22" i="5"/>
  <c r="O21" i="5"/>
  <c r="O20" i="5"/>
  <c r="O19" i="5"/>
  <c r="O18" i="5"/>
  <c r="O17" i="5"/>
  <c r="O16" i="5"/>
  <c r="O15" i="5"/>
  <c r="O11" i="5"/>
  <c r="O14" i="5"/>
  <c r="O13" i="5"/>
  <c r="O12" i="5"/>
  <c r="O10" i="5"/>
  <c r="O9" i="5"/>
  <c r="O8" i="5"/>
  <c r="O7" i="5"/>
  <c r="T47" i="4"/>
  <c r="T46" i="4"/>
  <c r="T45" i="4"/>
  <c r="T44" i="4"/>
  <c r="T43" i="4"/>
  <c r="T42" i="4"/>
  <c r="T41" i="4"/>
  <c r="T40" i="4"/>
  <c r="T39" i="4"/>
  <c r="T38" i="4"/>
  <c r="T37" i="4"/>
  <c r="T36" i="4"/>
  <c r="T35" i="4"/>
  <c r="T34" i="4"/>
  <c r="T33" i="4"/>
  <c r="T32" i="4"/>
  <c r="T31" i="4"/>
  <c r="T30" i="4"/>
  <c r="T29" i="4"/>
  <c r="T28" i="4"/>
  <c r="T27" i="4"/>
  <c r="T26" i="4"/>
  <c r="T25" i="4"/>
  <c r="T24" i="4"/>
  <c r="T23" i="4"/>
  <c r="T22" i="4"/>
  <c r="T21" i="4"/>
  <c r="T20" i="4"/>
  <c r="T19" i="4"/>
  <c r="T18" i="4"/>
  <c r="T17" i="4"/>
  <c r="T16" i="4"/>
  <c r="T15" i="4"/>
  <c r="T14" i="4"/>
  <c r="T13" i="4"/>
  <c r="T12" i="4"/>
  <c r="T11" i="4"/>
  <c r="T10" i="4"/>
  <c r="T9" i="4"/>
  <c r="T8" i="4"/>
  <c r="N252" i="3"/>
  <c r="N251" i="3"/>
  <c r="N250" i="3"/>
  <c r="N249" i="3"/>
  <c r="N248" i="3"/>
  <c r="N247" i="3"/>
  <c r="N246" i="3"/>
  <c r="N245" i="3"/>
  <c r="N244" i="3"/>
  <c r="N243" i="3"/>
  <c r="N242" i="3"/>
  <c r="N241" i="3"/>
  <c r="N240" i="3"/>
  <c r="N239" i="3"/>
  <c r="N238" i="3"/>
  <c r="N237" i="3"/>
  <c r="N236" i="3"/>
  <c r="N235" i="3"/>
  <c r="N234" i="3"/>
  <c r="N233" i="3"/>
  <c r="N232" i="3"/>
  <c r="N231" i="3"/>
  <c r="N230" i="3"/>
  <c r="N229" i="3"/>
  <c r="N228" i="3"/>
  <c r="N227" i="3"/>
  <c r="N226" i="3"/>
  <c r="N225" i="3"/>
  <c r="N224" i="3"/>
  <c r="N223" i="3"/>
  <c r="N222" i="3"/>
  <c r="N221" i="3"/>
  <c r="N220" i="3"/>
  <c r="N219" i="3"/>
  <c r="N218" i="3"/>
  <c r="N217" i="3"/>
  <c r="N216" i="3"/>
  <c r="N215" i="3"/>
  <c r="N214" i="3"/>
  <c r="N213" i="3"/>
  <c r="N212" i="3"/>
  <c r="N211" i="3"/>
  <c r="N210" i="3"/>
  <c r="N209" i="3"/>
  <c r="N208" i="3"/>
  <c r="N207" i="3"/>
  <c r="N206" i="3"/>
  <c r="N205" i="3"/>
  <c r="N204" i="3"/>
  <c r="N203" i="3"/>
  <c r="N202" i="3"/>
  <c r="N201" i="3"/>
  <c r="N200" i="3"/>
  <c r="N199" i="3"/>
  <c r="N198" i="3"/>
  <c r="N197" i="3"/>
  <c r="N196" i="3"/>
  <c r="N195" i="3"/>
  <c r="N194" i="3"/>
  <c r="N193" i="3"/>
  <c r="N192" i="3"/>
  <c r="N191" i="3"/>
  <c r="N190" i="3"/>
  <c r="N189" i="3"/>
  <c r="N188" i="3"/>
  <c r="N187" i="3"/>
  <c r="N186" i="3"/>
  <c r="N185" i="3"/>
  <c r="N184" i="3"/>
  <c r="N183" i="3"/>
  <c r="N182" i="3"/>
  <c r="N181" i="3"/>
  <c r="N180" i="3"/>
  <c r="N179" i="3"/>
  <c r="N176" i="3"/>
  <c r="N175" i="3"/>
  <c r="N174" i="3"/>
  <c r="N173" i="3"/>
  <c r="N172" i="3"/>
  <c r="N171" i="3"/>
  <c r="N170" i="3"/>
  <c r="N169" i="3"/>
  <c r="N168" i="3"/>
  <c r="N167" i="3"/>
  <c r="N166" i="3"/>
  <c r="N165" i="3"/>
  <c r="N164" i="3"/>
  <c r="N163" i="3"/>
  <c r="N162" i="3"/>
  <c r="N161" i="3"/>
  <c r="N160" i="3"/>
  <c r="N159" i="3"/>
  <c r="N158" i="3"/>
  <c r="N157" i="3"/>
  <c r="N156" i="3"/>
  <c r="N155" i="3"/>
  <c r="N154" i="3"/>
  <c r="N153" i="3"/>
  <c r="N152" i="3"/>
  <c r="N151" i="3"/>
  <c r="N150" i="3"/>
  <c r="N149" i="3"/>
  <c r="N148" i="3"/>
  <c r="N147" i="3"/>
  <c r="N146" i="3"/>
  <c r="N145" i="3"/>
  <c r="N144" i="3"/>
  <c r="N143" i="3"/>
  <c r="N142" i="3"/>
  <c r="N141" i="3"/>
  <c r="N140" i="3"/>
  <c r="N139" i="3"/>
  <c r="N138" i="3"/>
  <c r="N137" i="3"/>
  <c r="N136" i="3"/>
  <c r="N135" i="3"/>
  <c r="N134" i="3"/>
  <c r="N133" i="3"/>
  <c r="N132" i="3"/>
  <c r="N131" i="3"/>
  <c r="N130" i="3"/>
  <c r="N129" i="3"/>
  <c r="N128" i="3"/>
  <c r="N127" i="3"/>
  <c r="N126" i="3"/>
  <c r="N125" i="3"/>
  <c r="N124" i="3"/>
  <c r="N123" i="3"/>
  <c r="N122" i="3"/>
  <c r="N121" i="3"/>
  <c r="N120" i="3"/>
  <c r="N119" i="3"/>
  <c r="N118" i="3"/>
  <c r="N117" i="3"/>
  <c r="N116" i="3"/>
  <c r="N115" i="3"/>
  <c r="N114" i="3"/>
  <c r="N113" i="3"/>
  <c r="N112" i="3"/>
  <c r="N111" i="3"/>
  <c r="N110" i="3"/>
  <c r="N109" i="3"/>
  <c r="N108" i="3"/>
  <c r="N107" i="3"/>
  <c r="N106" i="3"/>
  <c r="N105" i="3"/>
  <c r="N104" i="3"/>
  <c r="N103" i="3"/>
  <c r="N102" i="3"/>
  <c r="N101" i="3"/>
  <c r="N100" i="3"/>
  <c r="N99" i="3"/>
  <c r="N98" i="3"/>
  <c r="N97" i="3"/>
  <c r="N96" i="3"/>
  <c r="N95" i="3"/>
  <c r="N94" i="3"/>
  <c r="N93" i="3"/>
  <c r="N92" i="3"/>
  <c r="N91" i="3"/>
  <c r="N90" i="3"/>
  <c r="N89" i="3"/>
  <c r="N88" i="3"/>
  <c r="N87" i="3"/>
  <c r="N86" i="3"/>
  <c r="N85" i="3"/>
  <c r="N84" i="3"/>
  <c r="N83" i="3"/>
  <c r="N82" i="3"/>
  <c r="N81" i="3"/>
  <c r="N80" i="3"/>
  <c r="N79" i="3"/>
  <c r="N78" i="3"/>
  <c r="N77" i="3"/>
  <c r="N76" i="3"/>
  <c r="N75" i="3"/>
  <c r="N74" i="3"/>
  <c r="N73" i="3"/>
  <c r="N72" i="3"/>
  <c r="N71" i="3"/>
  <c r="N70" i="3"/>
  <c r="N69" i="3"/>
  <c r="N68" i="3"/>
  <c r="N67" i="3"/>
  <c r="N66" i="3"/>
  <c r="N65" i="3"/>
  <c r="N64" i="3"/>
  <c r="N63" i="3"/>
  <c r="N62" i="3"/>
  <c r="N61" i="3"/>
  <c r="N60" i="3"/>
  <c r="N59" i="3"/>
  <c r="N58" i="3"/>
  <c r="N57" i="3"/>
  <c r="N56" i="3"/>
  <c r="N55" i="3"/>
  <c r="N54" i="3"/>
  <c r="N53" i="3"/>
  <c r="N52" i="3"/>
  <c r="N51" i="3"/>
  <c r="N50" i="3"/>
  <c r="N49" i="3"/>
  <c r="N48" i="3"/>
  <c r="N47" i="3"/>
  <c r="N46" i="3"/>
  <c r="N45" i="3"/>
  <c r="N44" i="3"/>
  <c r="N43" i="3"/>
  <c r="N42" i="3"/>
  <c r="N41" i="3"/>
  <c r="N40" i="3"/>
  <c r="N39" i="3"/>
  <c r="N38" i="3"/>
  <c r="N37" i="3"/>
  <c r="N36" i="3"/>
  <c r="N35" i="3"/>
  <c r="N34" i="3"/>
  <c r="N33" i="3"/>
  <c r="N32" i="3"/>
  <c r="N29" i="3"/>
  <c r="N28" i="3"/>
  <c r="N27" i="3"/>
  <c r="N26" i="3"/>
  <c r="N25" i="3"/>
  <c r="N24" i="3"/>
  <c r="N23" i="3"/>
  <c r="N22" i="3"/>
  <c r="N21" i="3"/>
  <c r="N20" i="3"/>
  <c r="N19" i="3"/>
  <c r="N18" i="3"/>
  <c r="N17" i="3"/>
  <c r="N16" i="3"/>
  <c r="N15" i="3"/>
  <c r="N14" i="3"/>
  <c r="N13" i="3"/>
  <c r="N12" i="3"/>
  <c r="N11" i="3"/>
  <c r="N10" i="3"/>
  <c r="N9" i="3"/>
  <c r="N8" i="3"/>
  <c r="S202" i="2"/>
  <c r="S201" i="2"/>
  <c r="S200" i="2"/>
  <c r="S199" i="2"/>
  <c r="S198" i="2"/>
  <c r="S197" i="2"/>
  <c r="S196" i="2"/>
  <c r="S195" i="2"/>
  <c r="S194" i="2"/>
  <c r="S193" i="2"/>
  <c r="S192" i="2"/>
  <c r="S191" i="2"/>
  <c r="S190" i="2"/>
  <c r="S189" i="2"/>
  <c r="S188" i="2"/>
  <c r="S187" i="2"/>
  <c r="S186" i="2"/>
  <c r="S185" i="2"/>
  <c r="S184" i="2"/>
  <c r="S183" i="2"/>
  <c r="S182" i="2"/>
  <c r="S181" i="2"/>
  <c r="S180" i="2"/>
  <c r="S179" i="2"/>
  <c r="S178" i="2"/>
  <c r="S177" i="2"/>
  <c r="S176" i="2"/>
  <c r="S175" i="2"/>
  <c r="S174" i="2"/>
  <c r="S173" i="2"/>
  <c r="S172" i="2"/>
  <c r="S171" i="2"/>
  <c r="S170" i="2"/>
  <c r="S169" i="2"/>
  <c r="S168" i="2"/>
  <c r="S167" i="2"/>
  <c r="S166" i="2"/>
  <c r="S165" i="2"/>
  <c r="S164" i="2"/>
  <c r="S163" i="2"/>
  <c r="S162" i="2"/>
  <c r="S161" i="2"/>
  <c r="S160" i="2"/>
  <c r="S159" i="2"/>
  <c r="S158" i="2"/>
  <c r="S157" i="2"/>
  <c r="S156" i="2"/>
  <c r="S155" i="2"/>
  <c r="S154" i="2"/>
  <c r="S153" i="2"/>
  <c r="S152" i="2"/>
  <c r="S151" i="2"/>
  <c r="S150" i="2"/>
  <c r="S149" i="2"/>
  <c r="S148" i="2"/>
  <c r="S147" i="2"/>
  <c r="S146" i="2"/>
  <c r="S145" i="2"/>
  <c r="S144" i="2"/>
  <c r="S143" i="2"/>
  <c r="S142" i="2"/>
  <c r="S141" i="2"/>
  <c r="S140" i="2"/>
  <c r="S136" i="2"/>
  <c r="S135" i="2"/>
  <c r="S134" i="2"/>
  <c r="S133" i="2"/>
  <c r="S132" i="2"/>
  <c r="S131" i="2"/>
  <c r="S130" i="2"/>
  <c r="S129" i="2"/>
  <c r="S128" i="2"/>
  <c r="S127" i="2"/>
  <c r="S126" i="2"/>
  <c r="S125" i="2"/>
  <c r="S124" i="2"/>
  <c r="S123" i="2"/>
  <c r="S122" i="2"/>
  <c r="S121" i="2"/>
  <c r="S120" i="2"/>
  <c r="S119" i="2"/>
  <c r="S118" i="2"/>
  <c r="S117" i="2"/>
  <c r="S113" i="2"/>
  <c r="S112" i="2"/>
  <c r="S111" i="2"/>
  <c r="S110" i="2"/>
  <c r="S109" i="2"/>
  <c r="S108" i="2"/>
  <c r="S107" i="2"/>
  <c r="S106" i="2"/>
  <c r="S105" i="2"/>
  <c r="S104" i="2"/>
  <c r="S103" i="2"/>
  <c r="S102" i="2"/>
  <c r="S101" i="2"/>
  <c r="S100" i="2"/>
  <c r="S99" i="2"/>
  <c r="S98" i="2"/>
  <c r="S97" i="2"/>
  <c r="S96" i="2"/>
  <c r="S95" i="2"/>
  <c r="S94" i="2"/>
  <c r="S51"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115" i="1"/>
  <c r="S114" i="1"/>
  <c r="S113" i="1"/>
  <c r="S112" i="1"/>
  <c r="S111" i="1"/>
  <c r="S110" i="1"/>
  <c r="S109" i="1"/>
  <c r="S108" i="1"/>
  <c r="S107" i="1"/>
  <c r="S106" i="1"/>
  <c r="S105" i="1"/>
  <c r="S104" i="1"/>
  <c r="S103"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6" i="1"/>
  <c r="S55" i="1"/>
  <c r="S54" i="1"/>
  <c r="S53" i="1"/>
  <c r="S52" i="1"/>
  <c r="S51" i="1"/>
  <c r="S50" i="1"/>
  <c r="S49" i="1"/>
  <c r="S48" i="1"/>
  <c r="S47" i="1"/>
  <c r="S46" i="1"/>
  <c r="S45" i="1"/>
  <c r="S44"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I115" i="1"/>
  <c r="G115" i="1"/>
  <c r="I114" i="1"/>
  <c r="G114" i="1"/>
  <c r="I113" i="1"/>
  <c r="G113" i="1"/>
  <c r="I112" i="1"/>
  <c r="G112" i="1"/>
  <c r="I111" i="1"/>
  <c r="G111" i="1"/>
  <c r="I110" i="1"/>
  <c r="G110" i="1"/>
  <c r="I109" i="1"/>
  <c r="G109" i="1"/>
  <c r="I108" i="1"/>
  <c r="G108" i="1"/>
  <c r="I107" i="1"/>
  <c r="G107" i="1"/>
  <c r="I106" i="1"/>
  <c r="G106" i="1"/>
  <c r="H105" i="1"/>
  <c r="F105" i="1"/>
  <c r="E105" i="1"/>
  <c r="H98" i="1"/>
  <c r="F98" i="1"/>
  <c r="H97" i="1"/>
  <c r="F97" i="1"/>
  <c r="H96" i="1"/>
  <c r="F96" i="1"/>
  <c r="H95" i="1"/>
  <c r="F95" i="1"/>
  <c r="H94" i="1"/>
  <c r="F94" i="1"/>
  <c r="H93" i="1"/>
  <c r="F93" i="1"/>
  <c r="H92" i="1"/>
  <c r="F92" i="1"/>
  <c r="H91" i="1"/>
  <c r="F91" i="1"/>
  <c r="H90" i="1"/>
  <c r="F90" i="1"/>
  <c r="H89" i="1"/>
  <c r="F89" i="1"/>
  <c r="G88" i="1"/>
  <c r="E88" i="1"/>
  <c r="H85" i="1"/>
  <c r="G85" i="1"/>
  <c r="H84" i="1"/>
  <c r="G84" i="1"/>
  <c r="H83" i="1"/>
  <c r="G83" i="1"/>
  <c r="H82" i="1"/>
  <c r="G82" i="1"/>
  <c r="H81" i="1"/>
  <c r="G81" i="1"/>
  <c r="H80" i="1"/>
  <c r="G80" i="1"/>
  <c r="H79" i="1"/>
  <c r="G79" i="1"/>
  <c r="H77" i="1"/>
  <c r="G77" i="1"/>
  <c r="H76" i="1"/>
  <c r="G76" i="1"/>
  <c r="F75" i="1"/>
  <c r="E75" i="1"/>
  <c r="F62" i="1"/>
  <c r="E62" i="1"/>
  <c r="M45" i="1"/>
  <c r="L45" i="1"/>
  <c r="K45" i="1"/>
  <c r="J45" i="1"/>
  <c r="I45" i="1"/>
  <c r="H45" i="1"/>
  <c r="G45" i="1"/>
  <c r="F45" i="1"/>
  <c r="E45" i="1"/>
  <c r="F39" i="1"/>
  <c r="F38" i="1"/>
  <c r="F37" i="1"/>
  <c r="F36" i="1"/>
  <c r="F35" i="1"/>
  <c r="F34" i="1"/>
  <c r="F33" i="1"/>
  <c r="F32" i="1"/>
  <c r="F31" i="1"/>
  <c r="F30" i="1"/>
  <c r="P29" i="1"/>
  <c r="O29" i="1"/>
  <c r="N29" i="1"/>
  <c r="M29" i="1"/>
  <c r="L29" i="1"/>
  <c r="K29" i="1"/>
  <c r="J29" i="1"/>
  <c r="I29" i="1"/>
  <c r="H29" i="1"/>
  <c r="G29" i="1"/>
  <c r="E29" i="1"/>
  <c r="J26" i="1"/>
  <c r="F26" i="1"/>
  <c r="J25" i="1"/>
  <c r="F25" i="1"/>
  <c r="J24" i="1"/>
  <c r="F24" i="1"/>
  <c r="J23" i="1"/>
  <c r="F23" i="1"/>
  <c r="M22" i="1"/>
  <c r="I22" i="1"/>
  <c r="E22" i="1"/>
  <c r="H18" i="1"/>
  <c r="G18" i="1"/>
  <c r="H17" i="1"/>
  <c r="G17" i="1"/>
  <c r="H16" i="1"/>
  <c r="G16" i="1"/>
  <c r="H15" i="1"/>
  <c r="G15" i="1"/>
  <c r="H14" i="1"/>
  <c r="G14" i="1"/>
  <c r="H13" i="1"/>
  <c r="G13" i="1"/>
  <c r="H12" i="1"/>
  <c r="G12" i="1"/>
  <c r="H11" i="1"/>
  <c r="G11" i="1"/>
  <c r="H10" i="1"/>
  <c r="G10" i="1"/>
  <c r="H9" i="1"/>
  <c r="G9" i="1"/>
  <c r="F8" i="1"/>
  <c r="E8" i="1"/>
  <c r="E194" i="6"/>
  <c r="G194" i="6" s="1" a="1"/>
  <c r="G194" i="6" s="1"/>
  <c r="E193" i="6"/>
  <c r="G193" i="6" s="1" a="1"/>
  <c r="G193" i="6" s="1"/>
  <c r="E192" i="6"/>
  <c r="G192" i="6" s="1" a="1"/>
  <c r="G192" i="6" s="1"/>
  <c r="E191" i="6"/>
  <c r="G191" i="6" s="1" a="1"/>
  <c r="G191" i="6" s="1"/>
  <c r="B136" i="6"/>
  <c r="B135" i="6"/>
  <c r="B134" i="6"/>
  <c r="B133" i="6"/>
  <c r="B132" i="6"/>
  <c r="B131" i="6"/>
  <c r="B130" i="6"/>
  <c r="B129" i="6"/>
  <c r="B128" i="6"/>
  <c r="B127" i="6"/>
  <c r="B124" i="6"/>
  <c r="B123" i="6"/>
  <c r="B122" i="6"/>
  <c r="B121" i="6"/>
  <c r="B120" i="6"/>
  <c r="B119" i="6"/>
  <c r="O118" i="6"/>
  <c r="P118" i="6" s="1"/>
  <c r="M118" i="6"/>
  <c r="N118" i="6" s="1"/>
  <c r="B118" i="6"/>
  <c r="O117" i="6"/>
  <c r="P117" i="6" s="1"/>
  <c r="M117" i="6"/>
  <c r="B117" i="6"/>
  <c r="O116" i="6"/>
  <c r="P116" i="6" s="1"/>
  <c r="M116" i="6"/>
  <c r="N116" i="6" s="1"/>
  <c r="O115" i="6"/>
  <c r="P115" i="6" s="1"/>
  <c r="M115" i="6"/>
  <c r="O114" i="6"/>
  <c r="P114" i="6" s="1"/>
  <c r="M114" i="6"/>
  <c r="O113" i="6"/>
  <c r="P113" i="6" s="1"/>
  <c r="M113" i="6"/>
  <c r="O112" i="6"/>
  <c r="P112" i="6" s="1"/>
  <c r="M112" i="6"/>
  <c r="N112" i="6" s="1"/>
  <c r="O111" i="6"/>
  <c r="P111" i="6" s="1"/>
  <c r="M111" i="6"/>
  <c r="N111" i="6" s="1"/>
  <c r="O110" i="6"/>
  <c r="P110" i="6" s="1"/>
  <c r="M110" i="6"/>
  <c r="O109" i="6"/>
  <c r="P109" i="6" s="1"/>
  <c r="M109" i="6"/>
  <c r="N109" i="6" s="1"/>
  <c r="Q108" i="6"/>
  <c r="L52" i="6"/>
  <c r="L51" i="6"/>
  <c r="L50" i="6"/>
  <c r="L49" i="6"/>
  <c r="L48" i="6"/>
  <c r="L47" i="6"/>
  <c r="L46" i="6"/>
  <c r="L45" i="6"/>
  <c r="L44" i="6"/>
  <c r="L43" i="6"/>
  <c r="L42" i="6"/>
  <c r="L41" i="6"/>
  <c r="L40" i="6"/>
  <c r="L39" i="6"/>
  <c r="L38" i="6"/>
  <c r="L37" i="6"/>
  <c r="L36" i="6"/>
  <c r="L35" i="6"/>
  <c r="L28" i="6"/>
  <c r="L27" i="6"/>
  <c r="L26" i="6"/>
  <c r="L25" i="6"/>
  <c r="L24" i="6"/>
  <c r="L23" i="6"/>
  <c r="L22" i="6"/>
  <c r="L21" i="6"/>
  <c r="L20" i="6"/>
  <c r="L19" i="6"/>
  <c r="L18" i="6"/>
  <c r="L17" i="6"/>
  <c r="L16" i="6"/>
  <c r="L15" i="6"/>
  <c r="L14" i="6"/>
  <c r="L13" i="6"/>
  <c r="L12" i="6"/>
  <c r="L11" i="6"/>
  <c r="A2" i="5"/>
  <c r="AD7" i="5"/>
  <c r="AE7" i="5"/>
  <c r="AF7" i="5"/>
  <c r="AD8" i="5"/>
  <c r="AE8" i="5"/>
  <c r="AF8" i="5"/>
  <c r="AD9" i="5"/>
  <c r="AE9" i="5"/>
  <c r="AF9" i="5" s="1"/>
  <c r="AG9" i="5" s="1"/>
  <c r="AD10" i="5"/>
  <c r="AE10" i="5"/>
  <c r="AF10" i="5" s="1"/>
  <c r="AG10" i="5" s="1"/>
  <c r="AD11" i="5"/>
  <c r="AE11" i="5"/>
  <c r="AF11" i="5"/>
  <c r="AD12" i="5"/>
  <c r="AE12" i="5"/>
  <c r="AF12" i="5"/>
  <c r="AD13" i="5"/>
  <c r="AE13" i="5"/>
  <c r="AF13" i="5" s="1"/>
  <c r="AG13" i="5" s="1"/>
  <c r="AD14" i="5"/>
  <c r="AE14" i="5"/>
  <c r="AF14" i="5" s="1"/>
  <c r="AG14" i="5" s="1"/>
  <c r="AD15" i="5"/>
  <c r="AE15" i="5"/>
  <c r="AF15" i="5"/>
  <c r="AD16" i="5"/>
  <c r="AE16" i="5"/>
  <c r="AF16" i="5"/>
  <c r="AD17" i="5"/>
  <c r="AE17" i="5"/>
  <c r="AF17" i="5" s="1"/>
  <c r="AG17" i="5" s="1"/>
  <c r="AD18" i="5"/>
  <c r="AE18" i="5"/>
  <c r="AF18" i="5" s="1"/>
  <c r="AG18" i="5" s="1"/>
  <c r="AD19" i="5"/>
  <c r="AE19" i="5"/>
  <c r="AF19" i="5"/>
  <c r="AD20" i="5"/>
  <c r="AE20" i="5"/>
  <c r="AF20" i="5"/>
  <c r="AD21" i="5"/>
  <c r="AE21" i="5"/>
  <c r="AF21" i="5" s="1"/>
  <c r="AG21" i="5" s="1"/>
  <c r="AD22" i="5"/>
  <c r="AE22" i="5"/>
  <c r="AF22" i="5" s="1"/>
  <c r="AG22" i="5" s="1"/>
  <c r="AD23" i="5"/>
  <c r="AE23" i="5"/>
  <c r="AF23" i="5"/>
  <c r="AD24" i="5"/>
  <c r="AE24" i="5"/>
  <c r="AF24" i="5"/>
  <c r="AD25" i="5"/>
  <c r="AE25" i="5"/>
  <c r="AF25" i="5" s="1"/>
  <c r="AG25" i="5" s="1"/>
  <c r="AD26" i="5"/>
  <c r="AE26" i="5"/>
  <c r="AF26" i="5" s="1"/>
  <c r="AG26" i="5" s="1"/>
  <c r="AD47" i="5"/>
  <c r="AE47" i="5"/>
  <c r="AF47" i="5"/>
  <c r="AD48" i="5"/>
  <c r="AE48" i="5"/>
  <c r="AF48" i="5"/>
  <c r="AG48" i="5" s="1"/>
  <c r="AD49" i="5"/>
  <c r="AE49" i="5"/>
  <c r="AF49" i="5" s="1"/>
  <c r="AG49" i="5" s="1"/>
  <c r="AD50" i="5"/>
  <c r="AE50" i="5"/>
  <c r="AF50" i="5" s="1"/>
  <c r="AG50" i="5" s="1"/>
  <c r="AD51" i="5"/>
  <c r="AE51" i="5"/>
  <c r="AF51" i="5"/>
  <c r="AD52" i="5"/>
  <c r="AE52" i="5"/>
  <c r="AF52" i="5"/>
  <c r="AD53" i="5"/>
  <c r="AE53" i="5"/>
  <c r="AF53" i="5" s="1"/>
  <c r="AG53" i="5" s="1"/>
  <c r="AD54" i="5"/>
  <c r="AE54" i="5"/>
  <c r="AF54" i="5" s="1"/>
  <c r="AG54" i="5" s="1"/>
  <c r="AD55" i="5"/>
  <c r="AE55" i="5"/>
  <c r="AF55" i="5"/>
  <c r="AD56" i="5"/>
  <c r="AE56" i="5"/>
  <c r="AF56" i="5"/>
  <c r="AD57" i="5"/>
  <c r="AE57" i="5"/>
  <c r="AF57" i="5" s="1"/>
  <c r="AG57" i="5" s="1"/>
  <c r="AD58" i="5"/>
  <c r="AE58" i="5"/>
  <c r="AF58" i="5" s="1"/>
  <c r="AG58" i="5" s="1"/>
  <c r="AD59" i="5"/>
  <c r="AE59" i="5"/>
  <c r="AF59" i="5"/>
  <c r="AD60" i="5"/>
  <c r="AE60" i="5"/>
  <c r="AF60" i="5"/>
  <c r="AD61" i="5"/>
  <c r="AE61" i="5"/>
  <c r="AF61" i="5" s="1"/>
  <c r="AG61" i="5" s="1"/>
  <c r="AD62" i="5"/>
  <c r="AE62" i="5"/>
  <c r="AF62" i="5" s="1"/>
  <c r="AG62" i="5" s="1"/>
  <c r="AD63" i="5"/>
  <c r="AE63" i="5"/>
  <c r="AF63" i="5"/>
  <c r="AD64" i="5"/>
  <c r="AE64" i="5"/>
  <c r="AF64" i="5"/>
  <c r="AD65" i="5"/>
  <c r="AE65" i="5"/>
  <c r="AF65" i="5" s="1"/>
  <c r="AG65" i="5" s="1"/>
  <c r="AD66" i="5"/>
  <c r="AE66" i="5"/>
  <c r="AF66" i="5" s="1"/>
  <c r="AG66" i="5" s="1"/>
  <c r="AD67" i="5"/>
  <c r="AE67" i="5"/>
  <c r="AF67" i="5"/>
  <c r="AD68" i="5"/>
  <c r="AE68" i="5"/>
  <c r="AF68" i="5"/>
  <c r="AD69" i="5"/>
  <c r="AE69" i="5"/>
  <c r="AF69" i="5" s="1"/>
  <c r="AG69" i="5" s="1"/>
  <c r="AD70" i="5"/>
  <c r="AE70" i="5"/>
  <c r="AF70" i="5" s="1"/>
  <c r="AG70" i="5" s="1"/>
  <c r="AD71" i="5"/>
  <c r="AE71" i="5"/>
  <c r="AF71" i="5"/>
  <c r="AD72" i="5"/>
  <c r="AE72" i="5"/>
  <c r="AF72" i="5"/>
  <c r="AD73" i="5"/>
  <c r="AE73" i="5"/>
  <c r="AF73" i="5" s="1"/>
  <c r="AG73" i="5" s="1"/>
  <c r="AD74" i="5"/>
  <c r="AE74" i="5"/>
  <c r="AF74" i="5" s="1"/>
  <c r="AG74" i="5" s="1"/>
  <c r="AD75" i="5"/>
  <c r="AE75" i="5"/>
  <c r="AF75" i="5"/>
  <c r="AD76" i="5"/>
  <c r="AE76" i="5"/>
  <c r="AF76" i="5"/>
  <c r="AD77" i="5"/>
  <c r="AE77" i="5"/>
  <c r="AF77" i="5" s="1"/>
  <c r="AG77" i="5" s="1"/>
  <c r="AD78" i="5"/>
  <c r="AE78" i="5"/>
  <c r="AF78" i="5" s="1"/>
  <c r="AG78" i="5" s="1"/>
  <c r="AD79" i="5"/>
  <c r="AE79" i="5"/>
  <c r="AF79" i="5"/>
  <c r="AD80" i="5"/>
  <c r="AE80" i="5"/>
  <c r="AF80" i="5"/>
  <c r="AD81" i="5"/>
  <c r="AE81" i="5"/>
  <c r="AF81" i="5" s="1"/>
  <c r="AG81" i="5" s="1"/>
  <c r="AD82" i="5"/>
  <c r="AE82" i="5"/>
  <c r="AF82" i="5" s="1"/>
  <c r="AG82" i="5" s="1"/>
  <c r="AD83" i="5"/>
  <c r="AE83" i="5"/>
  <c r="AF83" i="5"/>
  <c r="AD84" i="5"/>
  <c r="AE84" i="5"/>
  <c r="AF84" i="5"/>
  <c r="AD85" i="5"/>
  <c r="AE85" i="5"/>
  <c r="AF85" i="5" s="1"/>
  <c r="AG85" i="5" s="1"/>
  <c r="AD86" i="5"/>
  <c r="AE86" i="5"/>
  <c r="AF86" i="5" s="1"/>
  <c r="AG86" i="5" s="1"/>
  <c r="AD87" i="5"/>
  <c r="AE87" i="5"/>
  <c r="AF87" i="5"/>
  <c r="AD88" i="5"/>
  <c r="AE88" i="5"/>
  <c r="AF88" i="5"/>
  <c r="AD89" i="5"/>
  <c r="AE89" i="5"/>
  <c r="AF89" i="5" s="1"/>
  <c r="AG89" i="5" s="1"/>
  <c r="AD90" i="5"/>
  <c r="AE90" i="5"/>
  <c r="AF90" i="5" s="1"/>
  <c r="AG90" i="5" s="1"/>
  <c r="AD91" i="5"/>
  <c r="AE91" i="5"/>
  <c r="AF91" i="5"/>
  <c r="AD92" i="5"/>
  <c r="AE92" i="5"/>
  <c r="AF92" i="5"/>
  <c r="AD93" i="5"/>
  <c r="AE93" i="5"/>
  <c r="AF93" i="5" s="1"/>
  <c r="AG93" i="5" s="1"/>
  <c r="AD94" i="5"/>
  <c r="AE94" i="5"/>
  <c r="AF94" i="5" s="1"/>
  <c r="AG94" i="5" s="1"/>
  <c r="AD95" i="5"/>
  <c r="AE95" i="5"/>
  <c r="AF95" i="5"/>
  <c r="AD96" i="5"/>
  <c r="AE96" i="5"/>
  <c r="AF96" i="5"/>
  <c r="AG96" i="5" s="1"/>
  <c r="AD97" i="5"/>
  <c r="AE97" i="5"/>
  <c r="AF97" i="5" s="1"/>
  <c r="AG97" i="5" s="1"/>
  <c r="AD98" i="5"/>
  <c r="AE98" i="5"/>
  <c r="AF98" i="5" s="1"/>
  <c r="AG98" i="5" s="1"/>
  <c r="H275" i="5"/>
  <c r="G123" i="5" s="1"/>
  <c r="I275" i="5"/>
  <c r="H276" i="5"/>
  <c r="I276" i="5"/>
  <c r="H277" i="5"/>
  <c r="I277" i="5"/>
  <c r="H278" i="5"/>
  <c r="I278" i="5"/>
  <c r="H279" i="5"/>
  <c r="I279" i="5"/>
  <c r="H280" i="5"/>
  <c r="I280" i="5"/>
  <c r="H281" i="5"/>
  <c r="I281" i="5"/>
  <c r="H282" i="5"/>
  <c r="I282" i="5"/>
  <c r="H283" i="5"/>
  <c r="I283" i="5"/>
  <c r="H284" i="5"/>
  <c r="I284" i="5"/>
  <c r="H285" i="5"/>
  <c r="I285" i="5"/>
  <c r="H286" i="5"/>
  <c r="I286" i="5"/>
  <c r="A2" i="4"/>
  <c r="C5" i="4"/>
  <c r="I6" i="4"/>
  <c r="J6"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A2" i="3"/>
  <c r="H7" i="3"/>
  <c r="H8" i="3"/>
  <c r="H9" i="3"/>
  <c r="H10" i="3"/>
  <c r="H11" i="3"/>
  <c r="H12" i="3"/>
  <c r="H13" i="3"/>
  <c r="H14" i="3"/>
  <c r="H15" i="3"/>
  <c r="H16" i="3"/>
  <c r="H17" i="3"/>
  <c r="H18" i="3"/>
  <c r="H19" i="3"/>
  <c r="H20" i="3"/>
  <c r="H21" i="3"/>
  <c r="G22" i="3"/>
  <c r="H22" i="3"/>
  <c r="I22" i="3"/>
  <c r="J22" i="3"/>
  <c r="G23" i="3"/>
  <c r="H23" i="3"/>
  <c r="I23" i="3"/>
  <c r="J23" i="3"/>
  <c r="G24" i="3"/>
  <c r="H24" i="3"/>
  <c r="I24" i="3"/>
  <c r="J24" i="3"/>
  <c r="G25" i="3"/>
  <c r="H25" i="3"/>
  <c r="I25" i="3"/>
  <c r="J25" i="3"/>
  <c r="G26" i="3"/>
  <c r="H26" i="3"/>
  <c r="I26" i="3"/>
  <c r="J26" i="3"/>
  <c r="G27" i="3"/>
  <c r="H27" i="3"/>
  <c r="I27" i="3"/>
  <c r="J27" i="3"/>
  <c r="G28" i="3"/>
  <c r="H28" i="3"/>
  <c r="I28" i="3"/>
  <c r="J28" i="3"/>
  <c r="G29" i="3"/>
  <c r="H29" i="3"/>
  <c r="I29" i="3"/>
  <c r="J29" i="3"/>
  <c r="H32" i="3"/>
  <c r="I32" i="3"/>
  <c r="G12" i="3" s="1"/>
  <c r="H33" i="3"/>
  <c r="I33" i="3"/>
  <c r="H34" i="3"/>
  <c r="I34" i="3"/>
  <c r="H35" i="3"/>
  <c r="I35" i="3"/>
  <c r="G13" i="3" s="1"/>
  <c r="H36" i="3"/>
  <c r="I36" i="3"/>
  <c r="G9" i="3" s="1"/>
  <c r="H37" i="3"/>
  <c r="I37" i="3"/>
  <c r="H38" i="3"/>
  <c r="I38" i="3"/>
  <c r="G7" i="3" s="1"/>
  <c r="H39" i="3"/>
  <c r="I39" i="3"/>
  <c r="H40" i="3"/>
  <c r="I40" i="3"/>
  <c r="G11" i="3" s="1"/>
  <c r="H41" i="3"/>
  <c r="I41" i="3"/>
  <c r="H42" i="3"/>
  <c r="I42" i="3"/>
  <c r="H43" i="3"/>
  <c r="I43" i="3"/>
  <c r="G15" i="3" s="1"/>
  <c r="H44" i="3"/>
  <c r="I44" i="3"/>
  <c r="H45" i="3"/>
  <c r="I45" i="3"/>
  <c r="H46" i="3"/>
  <c r="I46" i="3"/>
  <c r="H47" i="3"/>
  <c r="I47" i="3"/>
  <c r="G18" i="3" s="1"/>
  <c r="H48" i="3"/>
  <c r="I48" i="3"/>
  <c r="H49" i="3"/>
  <c r="I49" i="3"/>
  <c r="G19" i="3" s="1"/>
  <c r="H50" i="3"/>
  <c r="I50" i="3"/>
  <c r="H51" i="3"/>
  <c r="I51" i="3"/>
  <c r="H52" i="3"/>
  <c r="I52" i="3"/>
  <c r="H53" i="3"/>
  <c r="I53" i="3"/>
  <c r="H54" i="3"/>
  <c r="I54" i="3"/>
  <c r="H55" i="3"/>
  <c r="I55" i="3"/>
  <c r="H56" i="3"/>
  <c r="I56" i="3"/>
  <c r="G17" i="3" s="1"/>
  <c r="H57" i="3"/>
  <c r="I57" i="3"/>
  <c r="H58" i="3"/>
  <c r="I58" i="3"/>
  <c r="H59" i="3"/>
  <c r="I59" i="3"/>
  <c r="H60" i="3"/>
  <c r="I60" i="3"/>
  <c r="G10" i="3" s="1"/>
  <c r="H61" i="3"/>
  <c r="I61" i="3"/>
  <c r="H62" i="3"/>
  <c r="I62" i="3"/>
  <c r="H63" i="3"/>
  <c r="I63" i="3"/>
  <c r="H64" i="3"/>
  <c r="I64" i="3"/>
  <c r="H65" i="3"/>
  <c r="I65" i="3"/>
  <c r="H66" i="3"/>
  <c r="I66" i="3"/>
  <c r="H67" i="3"/>
  <c r="I67" i="3"/>
  <c r="H68" i="3"/>
  <c r="I68" i="3"/>
  <c r="H69" i="3"/>
  <c r="I69" i="3"/>
  <c r="G20" i="3" s="1"/>
  <c r="H70" i="3"/>
  <c r="I70" i="3"/>
  <c r="H71" i="3"/>
  <c r="I71" i="3"/>
  <c r="H72" i="3"/>
  <c r="I72" i="3"/>
  <c r="H73" i="3"/>
  <c r="I73" i="3"/>
  <c r="H74" i="3"/>
  <c r="I74" i="3"/>
  <c r="H75" i="3"/>
  <c r="I75" i="3"/>
  <c r="G21" i="3" s="1"/>
  <c r="H76" i="3"/>
  <c r="I76" i="3"/>
  <c r="H77" i="3"/>
  <c r="I77" i="3"/>
  <c r="H78" i="3"/>
  <c r="I78" i="3"/>
  <c r="H79" i="3"/>
  <c r="I79" i="3"/>
  <c r="H80" i="3"/>
  <c r="I80" i="3"/>
  <c r="H81" i="3"/>
  <c r="I81" i="3"/>
  <c r="H82" i="3"/>
  <c r="I82" i="3"/>
  <c r="H83" i="3"/>
  <c r="I83" i="3"/>
  <c r="G8" i="3" s="1"/>
  <c r="H84" i="3"/>
  <c r="I84" i="3"/>
  <c r="H85" i="3"/>
  <c r="I85" i="3"/>
  <c r="H86" i="3"/>
  <c r="I86" i="3"/>
  <c r="H87" i="3"/>
  <c r="I87" i="3"/>
  <c r="G14" i="3" s="1"/>
  <c r="H88" i="3"/>
  <c r="I88" i="3"/>
  <c r="H89" i="3"/>
  <c r="I89" i="3"/>
  <c r="H90" i="3"/>
  <c r="I90" i="3"/>
  <c r="H91" i="3"/>
  <c r="I91" i="3"/>
  <c r="H92" i="3"/>
  <c r="I92" i="3"/>
  <c r="H93" i="3"/>
  <c r="I93" i="3"/>
  <c r="H94" i="3"/>
  <c r="I94" i="3"/>
  <c r="H95" i="3"/>
  <c r="I95" i="3"/>
  <c r="H96" i="3"/>
  <c r="I96" i="3"/>
  <c r="H97" i="3"/>
  <c r="I97" i="3"/>
  <c r="H98" i="3"/>
  <c r="I98" i="3"/>
  <c r="H99" i="3"/>
  <c r="I99" i="3"/>
  <c r="H100" i="3"/>
  <c r="I100" i="3"/>
  <c r="H101" i="3"/>
  <c r="I101" i="3"/>
  <c r="H102" i="3"/>
  <c r="I102" i="3"/>
  <c r="H103" i="3"/>
  <c r="I103" i="3"/>
  <c r="H104" i="3"/>
  <c r="I104" i="3"/>
  <c r="H105" i="3"/>
  <c r="I105" i="3"/>
  <c r="H106" i="3"/>
  <c r="I106" i="3"/>
  <c r="H107" i="3"/>
  <c r="I107" i="3"/>
  <c r="H108" i="3"/>
  <c r="I108" i="3"/>
  <c r="H109" i="3"/>
  <c r="I109" i="3"/>
  <c r="H110" i="3"/>
  <c r="I110" i="3"/>
  <c r="H111" i="3"/>
  <c r="I111" i="3"/>
  <c r="H112" i="3"/>
  <c r="I112" i="3"/>
  <c r="H113" i="3"/>
  <c r="I113" i="3"/>
  <c r="H114" i="3"/>
  <c r="I114" i="3"/>
  <c r="H115" i="3"/>
  <c r="I115" i="3"/>
  <c r="H116" i="3"/>
  <c r="I116" i="3"/>
  <c r="H117" i="3"/>
  <c r="I117" i="3"/>
  <c r="H118" i="3"/>
  <c r="I118" i="3"/>
  <c r="H119" i="3"/>
  <c r="I119" i="3"/>
  <c r="H120" i="3"/>
  <c r="I120" i="3"/>
  <c r="H121" i="3"/>
  <c r="I121" i="3"/>
  <c r="H122" i="3"/>
  <c r="I122" i="3"/>
  <c r="H123" i="3"/>
  <c r="I123" i="3"/>
  <c r="H124" i="3"/>
  <c r="I124" i="3"/>
  <c r="H125" i="3"/>
  <c r="I125" i="3"/>
  <c r="H126" i="3"/>
  <c r="I126" i="3"/>
  <c r="H127" i="3"/>
  <c r="I127" i="3"/>
  <c r="H128" i="3"/>
  <c r="I128" i="3"/>
  <c r="H129" i="3"/>
  <c r="I129" i="3"/>
  <c r="H130" i="3"/>
  <c r="I130" i="3"/>
  <c r="H131" i="3"/>
  <c r="I131" i="3"/>
  <c r="H132" i="3"/>
  <c r="I132" i="3"/>
  <c r="G16" i="3" s="1"/>
  <c r="H133" i="3"/>
  <c r="I133" i="3"/>
  <c r="H134" i="3"/>
  <c r="I134" i="3"/>
  <c r="H135" i="3"/>
  <c r="I135" i="3"/>
  <c r="H136" i="3"/>
  <c r="I136" i="3"/>
  <c r="H137" i="3"/>
  <c r="I137" i="3"/>
  <c r="H138" i="3"/>
  <c r="I138" i="3"/>
  <c r="H139" i="3"/>
  <c r="I139" i="3"/>
  <c r="H140" i="3"/>
  <c r="I140" i="3"/>
  <c r="H141" i="3"/>
  <c r="I141" i="3"/>
  <c r="H142" i="3"/>
  <c r="I142" i="3"/>
  <c r="H143" i="3"/>
  <c r="I143" i="3"/>
  <c r="H144" i="3"/>
  <c r="I144" i="3"/>
  <c r="H145" i="3"/>
  <c r="I145" i="3"/>
  <c r="H146" i="3"/>
  <c r="I146" i="3"/>
  <c r="H147" i="3"/>
  <c r="I147" i="3"/>
  <c r="H148" i="3"/>
  <c r="I148" i="3"/>
  <c r="H149" i="3"/>
  <c r="I149" i="3"/>
  <c r="H150" i="3"/>
  <c r="I150" i="3"/>
  <c r="H151" i="3"/>
  <c r="I151" i="3"/>
  <c r="H152" i="3"/>
  <c r="I152" i="3"/>
  <c r="H153" i="3"/>
  <c r="I153" i="3"/>
  <c r="H154" i="3"/>
  <c r="I154" i="3"/>
  <c r="H155" i="3"/>
  <c r="I155" i="3"/>
  <c r="H156" i="3"/>
  <c r="I156" i="3"/>
  <c r="H157" i="3"/>
  <c r="I157" i="3"/>
  <c r="H158" i="3"/>
  <c r="I158" i="3"/>
  <c r="H159" i="3"/>
  <c r="I159" i="3"/>
  <c r="H160" i="3"/>
  <c r="I160" i="3"/>
  <c r="H161" i="3"/>
  <c r="I161" i="3"/>
  <c r="H162" i="3"/>
  <c r="I162" i="3"/>
  <c r="H163" i="3"/>
  <c r="I163" i="3"/>
  <c r="H164" i="3"/>
  <c r="I164" i="3"/>
  <c r="H165" i="3"/>
  <c r="I165" i="3"/>
  <c r="H166" i="3"/>
  <c r="I166" i="3"/>
  <c r="H167" i="3"/>
  <c r="I167" i="3"/>
  <c r="H168" i="3"/>
  <c r="I168" i="3"/>
  <c r="H169" i="3"/>
  <c r="I169" i="3"/>
  <c r="H170" i="3"/>
  <c r="I170" i="3"/>
  <c r="H171" i="3"/>
  <c r="I171" i="3"/>
  <c r="H172" i="3"/>
  <c r="I172" i="3"/>
  <c r="H173" i="3"/>
  <c r="I173" i="3"/>
  <c r="H174" i="3"/>
  <c r="I174" i="3"/>
  <c r="H175" i="3"/>
  <c r="I175" i="3"/>
  <c r="H176" i="3"/>
  <c r="I176" i="3"/>
  <c r="G181" i="3"/>
  <c r="F184" i="3"/>
  <c r="F185" i="3"/>
  <c r="G185" i="3" s="1"/>
  <c r="F186" i="3"/>
  <c r="G186" i="3" s="1"/>
  <c r="F187" i="3"/>
  <c r="G187" i="3" s="1"/>
  <c r="F188" i="3"/>
  <c r="G188" i="3" s="1"/>
  <c r="F189" i="3"/>
  <c r="G189" i="3" s="1"/>
  <c r="F190" i="3"/>
  <c r="G190" i="3" s="1"/>
  <c r="F191" i="3"/>
  <c r="G191" i="3" s="1"/>
  <c r="F192" i="3"/>
  <c r="G192" i="3" s="1"/>
  <c r="F193" i="3"/>
  <c r="G193" i="3" s="1"/>
  <c r="F194" i="3"/>
  <c r="G194" i="3" s="1"/>
  <c r="F195" i="3"/>
  <c r="G195" i="3" s="1"/>
  <c r="F196" i="3"/>
  <c r="G196" i="3" s="1"/>
  <c r="F197" i="3"/>
  <c r="G197" i="3" s="1"/>
  <c r="F198" i="3"/>
  <c r="G198" i="3" s="1"/>
  <c r="F199" i="3"/>
  <c r="G199" i="3" s="1"/>
  <c r="F200" i="3"/>
  <c r="G200" i="3" s="1"/>
  <c r="F201" i="3"/>
  <c r="G201" i="3" s="1"/>
  <c r="F202" i="3"/>
  <c r="G202" i="3" s="1"/>
  <c r="F203" i="3"/>
  <c r="G203" i="3" s="1"/>
  <c r="F204" i="3"/>
  <c r="G204" i="3" s="1"/>
  <c r="F205" i="3"/>
  <c r="G205" i="3" s="1"/>
  <c r="F206" i="3"/>
  <c r="G206" i="3" s="1"/>
  <c r="F207" i="3"/>
  <c r="G207" i="3" s="1"/>
  <c r="F208" i="3"/>
  <c r="G208" i="3" s="1"/>
  <c r="F209" i="3"/>
  <c r="G209" i="3" s="1"/>
  <c r="F210" i="3"/>
  <c r="G210" i="3" s="1"/>
  <c r="F211" i="3"/>
  <c r="G211" i="3" s="1"/>
  <c r="F212" i="3"/>
  <c r="G212" i="3" s="1"/>
  <c r="F213" i="3"/>
  <c r="G213" i="3" s="1"/>
  <c r="F214" i="3"/>
  <c r="G214" i="3" s="1"/>
  <c r="F215" i="3"/>
  <c r="G215" i="3" s="1"/>
  <c r="F216" i="3"/>
  <c r="G216" i="3" s="1"/>
  <c r="F217" i="3"/>
  <c r="G217" i="3" s="1"/>
  <c r="F218" i="3"/>
  <c r="G218" i="3" s="1"/>
  <c r="F219" i="3"/>
  <c r="G219" i="3" s="1"/>
  <c r="F220" i="3"/>
  <c r="G220" i="3" s="1"/>
  <c r="F221" i="3"/>
  <c r="G221" i="3" s="1"/>
  <c r="F222" i="3"/>
  <c r="G222" i="3" s="1"/>
  <c r="F223" i="3"/>
  <c r="G223" i="3" s="1"/>
  <c r="F224" i="3"/>
  <c r="G224" i="3" s="1"/>
  <c r="F225" i="3"/>
  <c r="G225" i="3" s="1"/>
  <c r="F226" i="3"/>
  <c r="G226" i="3" s="1"/>
  <c r="F227" i="3"/>
  <c r="G227" i="3" s="1"/>
  <c r="F228" i="3"/>
  <c r="G228" i="3" s="1"/>
  <c r="F229" i="3"/>
  <c r="G229" i="3" s="1"/>
  <c r="F230" i="3"/>
  <c r="G230" i="3" s="1"/>
  <c r="F231" i="3"/>
  <c r="G231" i="3" s="1"/>
  <c r="F232" i="3"/>
  <c r="G232" i="3" s="1"/>
  <c r="F233" i="3"/>
  <c r="G233" i="3" s="1"/>
  <c r="F234" i="3"/>
  <c r="G234" i="3" s="1"/>
  <c r="F235" i="3"/>
  <c r="G235" i="3" s="1"/>
  <c r="F236" i="3"/>
  <c r="G236" i="3" s="1"/>
  <c r="F237" i="3"/>
  <c r="G237" i="3" s="1"/>
  <c r="F238" i="3"/>
  <c r="G238" i="3" s="1"/>
  <c r="F239" i="3"/>
  <c r="G239" i="3" s="1"/>
  <c r="F240" i="3"/>
  <c r="G240" i="3" s="1"/>
  <c r="F241" i="3"/>
  <c r="G241" i="3" s="1"/>
  <c r="F242" i="3"/>
  <c r="G242" i="3" s="1"/>
  <c r="F243" i="3"/>
  <c r="G243" i="3" s="1"/>
  <c r="F244" i="3"/>
  <c r="G244" i="3" s="1"/>
  <c r="F245" i="3"/>
  <c r="G245" i="3" s="1"/>
  <c r="F246" i="3"/>
  <c r="G246" i="3" s="1"/>
  <c r="F247" i="3"/>
  <c r="G247" i="3" s="1"/>
  <c r="F248" i="3"/>
  <c r="G248" i="3" s="1"/>
  <c r="F249" i="3"/>
  <c r="G249" i="3" s="1"/>
  <c r="F250" i="3"/>
  <c r="G250" i="3" s="1"/>
  <c r="F251" i="3"/>
  <c r="G251" i="3" s="1"/>
  <c r="E20" i="1"/>
  <c r="I20" i="1"/>
  <c r="M20" i="1"/>
  <c r="C29" i="1"/>
  <c r="S100" i="1"/>
  <c r="S101" i="1"/>
  <c r="S102" i="1"/>
  <c r="C45" i="1"/>
  <c r="D45" i="1"/>
  <c r="S57" i="1"/>
  <c r="S58" i="1"/>
  <c r="S59" i="1"/>
  <c r="C62" i="1"/>
  <c r="D62" i="1"/>
  <c r="C75" i="1"/>
  <c r="D75" i="1"/>
  <c r="C88" i="1"/>
  <c r="D88" i="1"/>
  <c r="C105" i="1"/>
  <c r="D105" i="1"/>
  <c r="L225" i="7" l="1"/>
  <c r="K153" i="7"/>
  <c r="L197" i="7"/>
  <c r="L63" i="7"/>
  <c r="Q104" i="7"/>
  <c r="K63" i="7"/>
  <c r="T104" i="7"/>
  <c r="K40" i="7"/>
  <c r="S104" i="7"/>
  <c r="R104" i="7"/>
  <c r="L169" i="7"/>
  <c r="L104" i="7"/>
  <c r="L40" i="7"/>
  <c r="K104" i="7"/>
  <c r="L135" i="7"/>
  <c r="U54" i="7"/>
  <c r="K197" i="7"/>
  <c r="S225" i="7"/>
  <c r="R225" i="7"/>
  <c r="Q225" i="7"/>
  <c r="U225" i="7"/>
  <c r="T225" i="7"/>
  <c r="K290" i="7"/>
  <c r="K88" i="7"/>
  <c r="U169" i="7"/>
  <c r="T169" i="7"/>
  <c r="S169" i="7"/>
  <c r="R169" i="7"/>
  <c r="Q169" i="7"/>
  <c r="U96" i="7"/>
  <c r="U135" i="7"/>
  <c r="T135" i="7"/>
  <c r="R135" i="7"/>
  <c r="S135" i="7"/>
  <c r="Q135" i="7"/>
  <c r="K135" i="7"/>
  <c r="R197" i="7"/>
  <c r="Q197" i="7"/>
  <c r="U197" i="7"/>
  <c r="T197" i="7"/>
  <c r="S197" i="7"/>
  <c r="U40" i="7"/>
  <c r="T40" i="7"/>
  <c r="S40" i="7"/>
  <c r="R40" i="7"/>
  <c r="Q40" i="7"/>
  <c r="R271" i="7"/>
  <c r="T271" i="7"/>
  <c r="S271" i="7"/>
  <c r="Q271" i="7"/>
  <c r="U271" i="7"/>
  <c r="U88" i="7"/>
  <c r="T88" i="7"/>
  <c r="S88" i="7"/>
  <c r="R88" i="7"/>
  <c r="Q88" i="7"/>
  <c r="L271" i="7"/>
  <c r="K225" i="7"/>
  <c r="K271" i="7"/>
  <c r="K169" i="7"/>
  <c r="I8" i="7"/>
  <c r="E181" i="3"/>
  <c r="F191" i="6" s="1"/>
  <c r="G184" i="3"/>
  <c r="J10" i="3"/>
  <c r="AG83" i="5"/>
  <c r="AG80" i="5"/>
  <c r="AG55" i="5"/>
  <c r="AG15" i="5"/>
  <c r="AG23" i="5"/>
  <c r="AG84" i="5"/>
  <c r="AG47" i="5"/>
  <c r="AG56" i="5"/>
  <c r="AG11" i="5"/>
  <c r="J18" i="3"/>
  <c r="I11" i="3"/>
  <c r="J15" i="3"/>
  <c r="J11" i="3"/>
  <c r="I16" i="3"/>
  <c r="I20" i="3"/>
  <c r="J14" i="3"/>
  <c r="I19" i="3"/>
  <c r="I10" i="3"/>
  <c r="I18" i="3"/>
  <c r="I14" i="3"/>
  <c r="J17" i="3"/>
  <c r="J13" i="3"/>
  <c r="J9" i="3"/>
  <c r="I21" i="3"/>
  <c r="I9" i="3"/>
  <c r="I13" i="3"/>
  <c r="J21" i="3"/>
  <c r="I17" i="3"/>
  <c r="J20" i="3"/>
  <c r="J16" i="3"/>
  <c r="J12" i="3"/>
  <c r="I12" i="3"/>
  <c r="J19" i="3"/>
  <c r="I15" i="3"/>
  <c r="F192" i="6"/>
  <c r="F193" i="6"/>
  <c r="F194" i="6"/>
  <c r="H181" i="3"/>
  <c r="AG51" i="5"/>
  <c r="AG24" i="5"/>
  <c r="AG95" i="5"/>
  <c r="AG76" i="5"/>
  <c r="G126" i="5"/>
  <c r="AG87" i="5"/>
  <c r="AG75" i="5"/>
  <c r="N115" i="6"/>
  <c r="Q115" i="6" s="1"/>
  <c r="Q118" i="6"/>
  <c r="Q112" i="6"/>
  <c r="Q111" i="6"/>
  <c r="Q109" i="6"/>
  <c r="N113" i="6"/>
  <c r="Q113" i="6" s="1"/>
  <c r="N110" i="6"/>
  <c r="Q110" i="6" s="1"/>
  <c r="Q116" i="6"/>
  <c r="N114" i="6"/>
  <c r="Q114" i="6" s="1"/>
  <c r="N117" i="6"/>
  <c r="Q117" i="6" s="1"/>
  <c r="J8" i="3"/>
  <c r="I8" i="3"/>
  <c r="I7" i="3"/>
  <c r="J7" i="3"/>
  <c r="S41" i="1"/>
  <c r="S42" i="1"/>
  <c r="S43" i="1"/>
  <c r="G116" i="5"/>
  <c r="AG59" i="5"/>
  <c r="G122" i="5"/>
  <c r="G119" i="5"/>
  <c r="AG92" i="5"/>
  <c r="AG64" i="5"/>
  <c r="AG16" i="5"/>
  <c r="G117" i="5"/>
  <c r="AG91" i="5"/>
  <c r="AG63" i="5"/>
  <c r="AG52" i="5"/>
  <c r="AG79" i="5"/>
  <c r="AG68" i="5"/>
  <c r="AG20" i="5"/>
  <c r="AG8" i="5"/>
  <c r="AG67" i="5"/>
  <c r="AG19" i="5"/>
  <c r="AG72" i="5"/>
  <c r="AG7" i="5"/>
  <c r="G125" i="5"/>
  <c r="AG88" i="5"/>
  <c r="G124" i="5"/>
  <c r="AG71" i="5"/>
  <c r="AG60" i="5"/>
  <c r="AG12" i="5"/>
  <c r="G121" i="5"/>
  <c r="G120" i="5"/>
  <c r="G118" i="5"/>
  <c r="G115" i="5"/>
  <c r="G114" i="5"/>
  <c r="G113" i="5"/>
  <c r="G112" i="5"/>
  <c r="G127" i="5"/>
  <c r="I6" i="7" l="1"/>
  <c r="I7" i="7"/>
  <c r="I5" i="7"/>
  <c r="I2" i="7"/>
  <c r="I4" i="7"/>
  <c r="AH5" i="5"/>
  <c r="I50" i="5" s="1"/>
  <c r="Q119" i="6"/>
  <c r="I79" i="5" l="1"/>
  <c r="I85" i="5"/>
  <c r="I14" i="5"/>
  <c r="G84" i="5"/>
  <c r="I93" i="5"/>
  <c r="I22" i="5"/>
  <c r="G98" i="5"/>
  <c r="I71" i="5"/>
  <c r="I63" i="5"/>
  <c r="I68" i="5"/>
  <c r="I52" i="5"/>
  <c r="G76" i="5"/>
  <c r="G68" i="5"/>
  <c r="G52" i="5"/>
  <c r="I25" i="5"/>
  <c r="G65" i="5"/>
  <c r="I77" i="5"/>
  <c r="I69" i="5"/>
  <c r="G21" i="5"/>
  <c r="G60" i="5"/>
  <c r="I53" i="5"/>
  <c r="I17" i="5"/>
  <c r="I80" i="5"/>
  <c r="I42" i="5"/>
  <c r="G33" i="5"/>
  <c r="G42" i="5"/>
  <c r="I35" i="5"/>
  <c r="I30" i="5"/>
  <c r="I44" i="5"/>
  <c r="G35" i="5"/>
  <c r="I28" i="5"/>
  <c r="G37" i="5"/>
  <c r="G44" i="5"/>
  <c r="I37" i="5"/>
  <c r="G28" i="5"/>
  <c r="I46" i="5"/>
  <c r="G46" i="5"/>
  <c r="I39" i="5"/>
  <c r="G30" i="5"/>
  <c r="G39" i="5"/>
  <c r="I32" i="5"/>
  <c r="I41" i="5"/>
  <c r="G32" i="5"/>
  <c r="G43" i="5"/>
  <c r="G27" i="5"/>
  <c r="G41" i="5"/>
  <c r="I34" i="5"/>
  <c r="I43" i="5"/>
  <c r="G34" i="5"/>
  <c r="I27" i="5"/>
  <c r="I36" i="5"/>
  <c r="I45" i="5"/>
  <c r="G36" i="5"/>
  <c r="I29" i="5"/>
  <c r="G45" i="5"/>
  <c r="I38" i="5"/>
  <c r="G29" i="5"/>
  <c r="G38" i="5"/>
  <c r="I31" i="5"/>
  <c r="I40" i="5"/>
  <c r="G31" i="5"/>
  <c r="G40" i="5"/>
  <c r="I33" i="5"/>
  <c r="G94" i="5"/>
  <c r="G86" i="5"/>
  <c r="G70" i="5"/>
  <c r="G50" i="5"/>
  <c r="G57" i="5"/>
  <c r="I10" i="5"/>
  <c r="G78" i="5"/>
  <c r="G62" i="5"/>
  <c r="I60" i="5"/>
  <c r="G54" i="5"/>
  <c r="G26" i="5"/>
  <c r="G24" i="5"/>
  <c r="G79" i="5"/>
  <c r="I13" i="5"/>
  <c r="G18" i="5"/>
  <c r="G83" i="5"/>
  <c r="I9" i="5"/>
  <c r="G93" i="5"/>
  <c r="I21" i="5"/>
  <c r="I90" i="5"/>
  <c r="I82" i="5"/>
  <c r="I74" i="5"/>
  <c r="G63" i="5"/>
  <c r="G89" i="5"/>
  <c r="G67" i="5"/>
  <c r="G8" i="5"/>
  <c r="I19" i="5"/>
  <c r="G71" i="5"/>
  <c r="I66" i="5"/>
  <c r="G55" i="5"/>
  <c r="G81" i="5"/>
  <c r="G15" i="5"/>
  <c r="I55" i="5"/>
  <c r="I47" i="5"/>
  <c r="G77" i="5"/>
  <c r="G97" i="5"/>
  <c r="I58" i="5"/>
  <c r="G19" i="5"/>
  <c r="G73" i="5"/>
  <c r="G75" i="5"/>
  <c r="G59" i="5"/>
  <c r="G51" i="5"/>
  <c r="I61" i="5"/>
  <c r="G66" i="5"/>
  <c r="G92" i="5"/>
  <c r="G49" i="5"/>
  <c r="G23" i="5"/>
  <c r="I72" i="5"/>
  <c r="I64" i="5"/>
  <c r="G10" i="5"/>
  <c r="I56" i="5"/>
  <c r="G85" i="5"/>
  <c r="G58" i="5"/>
  <c r="G47" i="5"/>
  <c r="G16" i="5"/>
  <c r="G13" i="5"/>
  <c r="I67" i="5"/>
  <c r="I48" i="5"/>
  <c r="I94" i="5"/>
  <c r="I20" i="5"/>
  <c r="G25" i="5"/>
  <c r="G22" i="5"/>
  <c r="G11" i="5"/>
  <c r="I97" i="5"/>
  <c r="I86" i="5"/>
  <c r="I23" i="5"/>
  <c r="I12" i="5"/>
  <c r="I51" i="5"/>
  <c r="G17" i="5"/>
  <c r="G14" i="5"/>
  <c r="I92" i="5"/>
  <c r="I89" i="5"/>
  <c r="I54" i="5"/>
  <c r="I15" i="5"/>
  <c r="G96" i="5"/>
  <c r="G9" i="5"/>
  <c r="I95" i="5"/>
  <c r="I84" i="5"/>
  <c r="I81" i="5"/>
  <c r="I26" i="5"/>
  <c r="I7" i="5"/>
  <c r="G88" i="5"/>
  <c r="I98" i="5"/>
  <c r="I87" i="5"/>
  <c r="I76" i="5"/>
  <c r="I73" i="5"/>
  <c r="I18" i="5"/>
  <c r="G91" i="5"/>
  <c r="G80" i="5"/>
  <c r="G72" i="5"/>
  <c r="G64" i="5"/>
  <c r="G56" i="5"/>
  <c r="G48" i="5"/>
  <c r="G90" i="5"/>
  <c r="I11" i="5"/>
  <c r="I24" i="5"/>
  <c r="I65" i="5"/>
  <c r="I78" i="5"/>
  <c r="I91" i="5"/>
  <c r="G7" i="5"/>
  <c r="G20" i="5"/>
  <c r="G61" i="5"/>
  <c r="G82" i="5"/>
  <c r="G95" i="5"/>
  <c r="I16" i="5"/>
  <c r="I57" i="5"/>
  <c r="I70" i="5"/>
  <c r="I83" i="5"/>
  <c r="I96" i="5"/>
  <c r="G12" i="5"/>
  <c r="G69" i="5"/>
  <c r="G53" i="5"/>
  <c r="G74" i="5"/>
  <c r="G87" i="5"/>
  <c r="I8" i="5"/>
  <c r="I49" i="5"/>
  <c r="I62" i="5"/>
  <c r="I75" i="5"/>
  <c r="I88" i="5"/>
  <c r="I59" i="5"/>
  <c r="J85" i="1"/>
  <c r="J84" i="1"/>
  <c r="J83" i="1"/>
  <c r="J82" i="1"/>
  <c r="J81" i="1"/>
  <c r="J80" i="1"/>
  <c r="J79" i="1"/>
  <c r="J78" i="1"/>
  <c r="J77" i="1"/>
  <c r="J7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<sst xmlns="http://schemas.openxmlformats.org/spreadsheetml/2006/main" count="4863" uniqueCount="1531">
  <si>
    <t>Tolerance</t>
  </si>
  <si>
    <t>Outcome</t>
  </si>
  <si>
    <t>Nitrogen dioxide
(ppb)</t>
  </si>
  <si>
    <t>Ozone 
(ppb)</t>
  </si>
  <si>
    <t>Carbon Monoxide
(ppm)</t>
  </si>
  <si>
    <t>A05 Enhanced Air Quality - Part 3</t>
  </si>
  <si>
    <t>N/A</t>
  </si>
  <si>
    <t>Trip Blank</t>
  </si>
  <si>
    <t>Field Blank</t>
  </si>
  <si>
    <r>
      <rPr>
        <b/>
        <sz val="14"/>
        <color rgb="FFFF0000"/>
        <rFont val="Calibri"/>
        <family val="2"/>
        <scheme val="minor"/>
      </rPr>
      <t>Decimal Guidance</t>
    </r>
    <r>
      <rPr>
        <sz val="14"/>
        <color rgb="FFFF0000"/>
        <rFont val="Calibri"/>
        <family val="2"/>
        <scheme val="minor"/>
      </rPr>
      <t>: two decimal places should be shown</t>
    </r>
  </si>
  <si>
    <t>Tolerance Applied</t>
  </si>
  <si>
    <t>Tolerance
Applied</t>
  </si>
  <si>
    <t>Benzene
Tolerance</t>
  </si>
  <si>
    <t>Benzene
(ug/m3)</t>
  </si>
  <si>
    <t>Formaldehyde
(ppb)</t>
  </si>
  <si>
    <t>A05 Enhanced Air Quality - Part 2</t>
  </si>
  <si>
    <t>(1 or 2)</t>
  </si>
  <si>
    <t>PM10
Tier 1/Tier 2</t>
  </si>
  <si>
    <t>PM 2.5
Tier 1/Tier 2</t>
  </si>
  <si>
    <t>Tier</t>
  </si>
  <si>
    <t>PM10 
(ug/m3)</t>
  </si>
  <si>
    <t>PM2.5 
(ug/m3)</t>
  </si>
  <si>
    <t>A05 Enhanced Air Quality - Part 1</t>
  </si>
  <si>
    <t>A01 Fundamental Air Quality - Part 3</t>
  </si>
  <si>
    <t>High flow</t>
  </si>
  <si>
    <t>No</t>
  </si>
  <si>
    <t>VOC Tolerance
Applied</t>
  </si>
  <si>
    <t>Xylene
(m, o, p)
(ug/m3)</t>
  </si>
  <si>
    <t>Vinyl acetate 
(ug/m3)
108-05-4</t>
  </si>
  <si>
    <t>Trichloroethylene
(ug/m3)
79-01-6</t>
  </si>
  <si>
    <t>Toluene
 (ug/m3)
108-88-3</t>
  </si>
  <si>
    <t>Tetrachloroethene
(ug/m3)
127-18-4</t>
  </si>
  <si>
    <t>Styrene
(ug/m3)
100-42-5</t>
  </si>
  <si>
    <t>Methyl tert-butyl ether
(ug/m3)
1634-04-4</t>
  </si>
  <si>
    <t>Methylene chloride
(ug/m3)
75-09-2</t>
  </si>
  <si>
    <t>Methyl chloroform
(ug/m3)
71-55-6</t>
  </si>
  <si>
    <t>Field Blank 1</t>
  </si>
  <si>
    <t>Location Name</t>
  </si>
  <si>
    <t>Isopropyl Alcohol 
(ug/m3)
67-63-0</t>
  </si>
  <si>
    <t>Hexane (n-)
(ug/m3)
110-54-3</t>
  </si>
  <si>
    <t>Ethyl benzene 
(ug/m3)
100-41-4</t>
  </si>
  <si>
    <t>Dichloro ethylene(1,1)
(ug/m3)
75-35-4</t>
  </si>
  <si>
    <t>Dichloro benzene(1,4)
(ug/m3)
106-46-7</t>
  </si>
  <si>
    <t>Chloroform 
(ug/m3)
67-66-3</t>
  </si>
  <si>
    <t>Chloro benzene
(ug/m3)
108-90-7</t>
  </si>
  <si>
    <t>Carbon tetrachloride
 (ug/m3)
56-23-5</t>
  </si>
  <si>
    <t>Carbon disulfide 
(ug/m3)
75-15-0</t>
  </si>
  <si>
    <t>Benzene
(ug/m3)
71-43-2</t>
  </si>
  <si>
    <t xml:space="preserve">A01 Fundamental Air Quality - Part 2 </t>
  </si>
  <si>
    <t>Measurement</t>
  </si>
  <si>
    <t>Commercial Kitchen Spaces</t>
  </si>
  <si>
    <t>PM10</t>
  </si>
  <si>
    <t>PM2.5</t>
  </si>
  <si>
    <t>All Spaces Except Commercial Kitchen Spaces</t>
  </si>
  <si>
    <t>A01 Fundamental Air Quality - Part 1</t>
  </si>
  <si>
    <t>AIR</t>
  </si>
  <si>
    <t>HideNoneApplicableRowsBySelecting?</t>
  </si>
  <si>
    <t>Submittal Tips and Notes</t>
  </si>
  <si>
    <t>Fixture type</t>
  </si>
  <si>
    <t>Room type</t>
  </si>
  <si>
    <t>Floor</t>
  </si>
  <si>
    <t>Total Dissolved Solids
(mg/L)</t>
  </si>
  <si>
    <t>Zinc
(mg/L)</t>
  </si>
  <si>
    <t>Iron 
(mg/L)</t>
  </si>
  <si>
    <t>Sulfates 
(mg/L)</t>
  </si>
  <si>
    <t>Sodium
(mg/L)</t>
  </si>
  <si>
    <t>Manganese
(mg/L)</t>
  </si>
  <si>
    <t>Fluoride
(mg/L)</t>
  </si>
  <si>
    <t>Chloride
(mg/L)</t>
  </si>
  <si>
    <t>Aluminum
(mg/L)</t>
  </si>
  <si>
    <t>W04 Enhanced Water Quality - Part 1</t>
  </si>
  <si>
    <t>NA</t>
  </si>
  <si>
    <t>Chloramine
(mg/L)</t>
  </si>
  <si>
    <t>Total Chlorine
(mg/L)</t>
  </si>
  <si>
    <t>Nitrate as N 
(mg/L)</t>
  </si>
  <si>
    <t>W02 Water Contaminants - Part 6</t>
  </si>
  <si>
    <t xml:space="preserve">W02 Water Contaminants -  Part 5 </t>
  </si>
  <si>
    <t>2,4-dichlorophenoxyacetic acid (mg/L)</t>
  </si>
  <si>
    <t>Simazine 
(mg/L)</t>
  </si>
  <si>
    <t>Atrazine 
(mg/L)</t>
  </si>
  <si>
    <t>Total Haloacetic Acid
(mg/L)</t>
  </si>
  <si>
    <t>Total Trihalo methanes
(mg/L)</t>
  </si>
  <si>
    <t>W02 Water Contaminants -  Part 4</t>
  </si>
  <si>
    <t xml:space="preserve">W02  Water Contaminants -  Part 3 </t>
  </si>
  <si>
    <t>Tetrachloroethylene 
(mg/L)</t>
  </si>
  <si>
    <t>Toluene 
(mg/L)</t>
  </si>
  <si>
    <t>Vinyl Chloride 
(mg/L)</t>
  </si>
  <si>
    <t>Ethylbenzene 
(mg/L)</t>
  </si>
  <si>
    <t>Benzene 
(mg/L)</t>
  </si>
  <si>
    <t>Styrene 
(mg/L)</t>
  </si>
  <si>
    <t xml:space="preserve">W02 Water Contaminants - Part 2 </t>
  </si>
  <si>
    <t>Chromium
(mg/L)</t>
  </si>
  <si>
    <t>Cadmium
(mg/L)</t>
  </si>
  <si>
    <t>Copper 
(mg/L)</t>
  </si>
  <si>
    <t>Nickel 
(mg/L)</t>
  </si>
  <si>
    <t>Mercury 
(mg/L)</t>
  </si>
  <si>
    <t>Antimony 
(mg/L)</t>
  </si>
  <si>
    <t>Arsenic 
(mg/L)</t>
  </si>
  <si>
    <t>Lead
(mg/L)</t>
  </si>
  <si>
    <t xml:space="preserve">W02 Water Contaminants - Part 1 </t>
  </si>
  <si>
    <t>Must Be Not Detected (ND)</t>
  </si>
  <si>
    <t>Less than or equal 1</t>
  </si>
  <si>
    <t>Total coliforms</t>
  </si>
  <si>
    <t>W01.1: Verify Meet Sediment Thresholds and Part 2: Meet Microorganisms Thresholds</t>
  </si>
  <si>
    <t>WATER</t>
  </si>
  <si>
    <t>For projects with spaces without working planes that require measurement, use a separate sheet to calculate the median EML from the four directions and entered manually into the EML-Circadian sheet. See the PV Guidebook for further instructions on the alternative measurement methodology.</t>
  </si>
  <si>
    <t>Tolerance is manual at this time</t>
  </si>
  <si>
    <t>Notes</t>
  </si>
  <si>
    <t>Half Threshold (EML)</t>
  </si>
  <si>
    <t>EML with Tolerance Applied</t>
  </si>
  <si>
    <t>Nighttime Testing Results (EML)</t>
  </si>
  <si>
    <t>Location / Description</t>
  </si>
  <si>
    <t>Measurement Point</t>
  </si>
  <si>
    <t>Note the L05.1 check is manual at this time</t>
  </si>
  <si>
    <t>Detailed Measurement Data</t>
  </si>
  <si>
    <t>Select the project target in Cell D181</t>
  </si>
  <si>
    <t>Point Threshold</t>
  </si>
  <si>
    <t>Half Target Outcome</t>
  </si>
  <si>
    <t>Points Achieved in L05</t>
  </si>
  <si>
    <t>Performance Verification Results (EML)</t>
  </si>
  <si>
    <t>L03 Circadian Lighting Design - Part 1</t>
  </si>
  <si>
    <t>Note that a Location Outcome can be NOT MET but project still pass as long as the value is &gt; 1/2 the value and the average of the task/space type &gt; target level</t>
  </si>
  <si>
    <t>Average Illuminance per Space Use
(lux)</t>
  </si>
  <si>
    <t xml:space="preserve">Illuminance is at least half the target level </t>
  </si>
  <si>
    <t>Task/Space Type</t>
  </si>
  <si>
    <t>Work Plane / Location / Description</t>
  </si>
  <si>
    <t>Measurement Number</t>
  </si>
  <si>
    <t xml:space="preserve">Task/Space Type will auto-populate in a drop down menu once input into cells E8-E30. Select appropriate task/space type from drop down for each measurement point. </t>
  </si>
  <si>
    <t>Do not insert below this row, or delete this row, formulas will become offset.</t>
  </si>
  <si>
    <t>Ambient lighting maintains average target level for each task type
AND
The lowest light level of each target type is at least half of the target level</t>
  </si>
  <si>
    <t>Part 1</t>
  </si>
  <si>
    <t>Target Illuminance Values and Task/space Use Types are established by the project team. See documentation under L02</t>
  </si>
  <si>
    <t xml:space="preserve"> Outcome</t>
  </si>
  <si>
    <t>At least 3 samples per Task/Space Use</t>
  </si>
  <si>
    <t>Task/Space Use Type</t>
  </si>
  <si>
    <t>Requirement</t>
  </si>
  <si>
    <t>L02 Visual Lighting Design -  Part 1</t>
  </si>
  <si>
    <t>LIGHT</t>
  </si>
  <si>
    <t>%</t>
  </si>
  <si>
    <t>Outcome
T07.1</t>
  </si>
  <si>
    <t>Outcome
T02.1</t>
  </si>
  <si>
    <t>Outcome
T01.1</t>
  </si>
  <si>
    <t>PPD 
(%)</t>
  </si>
  <si>
    <t>PMV</t>
  </si>
  <si>
    <t>Relative Humidity</t>
  </si>
  <si>
    <t>Units</t>
  </si>
  <si>
    <t>Seated, Standing, or Kitchen</t>
  </si>
  <si>
    <t>Clothing Value</t>
  </si>
  <si>
    <t>Metabolic 
Rate</t>
  </si>
  <si>
    <t>THERMAL COMFORT</t>
  </si>
  <si>
    <t>Open offices, libraries, cafeterias, corridors/hallways</t>
  </si>
  <si>
    <t>Enclosed offices and quiet zones</t>
  </si>
  <si>
    <t>Max</t>
  </si>
  <si>
    <t>Min</t>
  </si>
  <si>
    <t>S05 List</t>
  </si>
  <si>
    <t>1.0 to 1.8</t>
  </si>
  <si>
    <t>&gt; 570 m³ [20,000 ft³]</t>
  </si>
  <si>
    <t>Fitness facilities</t>
  </si>
  <si>
    <t>0.8 to 1.1</t>
  </si>
  <si>
    <t>Between 280 m³ [10,000 ft³] and 570m³ [20,000 ft³]</t>
  </si>
  <si>
    <t>0.7 to 0.8</t>
  </si>
  <si>
    <t>&lt; 280 m³ [10,000 ft³]</t>
  </si>
  <si>
    <t>1.0 to 1.4</t>
  </si>
  <si>
    <t>Music rehearsal spaces</t>
  </si>
  <si>
    <t>≤ 1.1</t>
  </si>
  <si>
    <t>0.7 to 1.3</t>
  </si>
  <si>
    <t>Lecture halls</t>
  </si>
  <si>
    <t>0.6 to 0.9</t>
  </si>
  <si>
    <t>≤ 0.7</t>
  </si>
  <si>
    <t>0.6 to 1.0</t>
  </si>
  <si>
    <t>Classrooms</t>
  </si>
  <si>
    <t>0.5 to 0.8</t>
  </si>
  <si>
    <t>≤ 0.6</t>
  </si>
  <si>
    <t>Conference rooms</t>
  </si>
  <si>
    <t>Threshold</t>
  </si>
  <si>
    <t>Combined</t>
  </si>
  <si>
    <t>Unique Size</t>
  </si>
  <si>
    <t>Size</t>
  </si>
  <si>
    <t>Room Type</t>
  </si>
  <si>
    <t>Room Types</t>
  </si>
  <si>
    <t>S04 List</t>
  </si>
  <si>
    <t>Residential Sleeping Nighttime</t>
  </si>
  <si>
    <t>Classroom</t>
  </si>
  <si>
    <t>Conference Room</t>
  </si>
  <si>
    <t>Residential Daytime</t>
  </si>
  <si>
    <t>Enclosed Offices</t>
  </si>
  <si>
    <t>Dining Areas</t>
  </si>
  <si>
    <t>Open Offices</t>
  </si>
  <si>
    <t>Lmax dBC</t>
  </si>
  <si>
    <t>Valid Space Types</t>
  </si>
  <si>
    <t>Lmax dBA</t>
  </si>
  <si>
    <t>Leq dBC</t>
  </si>
  <si>
    <t>Leq dBA</t>
  </si>
  <si>
    <t>Threshold by type</t>
  </si>
  <si>
    <t>A</t>
  </si>
  <si>
    <t>Points Threshold</t>
  </si>
  <si>
    <r>
      <t>Max SPL (L</t>
    </r>
    <r>
      <rPr>
        <vertAlign val="subscript"/>
        <sz val="11"/>
        <color theme="1"/>
        <rFont val="Calibri"/>
        <family val="2"/>
        <scheme val="minor"/>
      </rPr>
      <t>Max</t>
    </r>
    <r>
      <rPr>
        <sz val="10"/>
        <color rgb="FF000000"/>
        <rFont val="Calibri"/>
        <family val="2"/>
        <scheme val="minor"/>
      </rPr>
      <t>)</t>
    </r>
  </si>
  <si>
    <r>
      <t>Average SPL (L</t>
    </r>
    <r>
      <rPr>
        <vertAlign val="subscript"/>
        <sz val="11"/>
        <color theme="1"/>
        <rFont val="Calibri"/>
        <family val="2"/>
        <scheme val="minor"/>
      </rPr>
      <t>eq</t>
    </r>
    <r>
      <rPr>
        <sz val="10"/>
        <color rgb="FF000000"/>
        <rFont val="Calibri"/>
        <family val="2"/>
        <scheme val="minor"/>
      </rPr>
      <t>)</t>
    </r>
  </si>
  <si>
    <r>
      <t>Average SPL (L</t>
    </r>
    <r>
      <rPr>
        <vertAlign val="subscript"/>
        <sz val="11"/>
        <color theme="1"/>
        <rFont val="Calibri"/>
        <family val="2"/>
        <scheme val="minor"/>
      </rPr>
      <t>eq</t>
    </r>
    <r>
      <rPr>
        <sz val="10"/>
        <color rgb="FF000000"/>
        <rFont val="Calibri"/>
        <family val="2"/>
        <scheme val="minor"/>
      </rPr>
      <t>)</t>
    </r>
    <r>
      <rPr>
        <vertAlign val="superscript"/>
        <sz val="11"/>
        <color theme="1"/>
        <rFont val="Calibri"/>
        <family val="2"/>
        <scheme val="minor"/>
      </rPr>
      <t> </t>
    </r>
  </si>
  <si>
    <t>Residential Sleeping (Nighttime)</t>
  </si>
  <si>
    <t>Classrooms,</t>
  </si>
  <si>
    <t>Points</t>
  </si>
  <si>
    <t>Conference Rooms,</t>
  </si>
  <si>
    <t>Open Workspaces,</t>
  </si>
  <si>
    <t>Sound Pressure Level (SPL) </t>
  </si>
  <si>
    <t>Data Calculations below, do not modify!</t>
  </si>
  <si>
    <t>Test Result 
(dB)</t>
  </si>
  <si>
    <t>WELL Building Standard  Maximum Threshold
 (dB)</t>
  </si>
  <si>
    <t>WELL Building Standard  Minimum Threshold
 (dB)</t>
  </si>
  <si>
    <t>Space Type</t>
  </si>
  <si>
    <t>S05 Sound Masking</t>
  </si>
  <si>
    <t>Test Result
 (seconds)</t>
  </si>
  <si>
    <t>WELL Building Standard  Maximum Threshold (seconds)</t>
  </si>
  <si>
    <t>Room Size (if applicable)</t>
  </si>
  <si>
    <t>S04 Sound Absorption - Part 1</t>
  </si>
  <si>
    <t>Sound Pressure Level</t>
  </si>
  <si>
    <t>List the appropriate thresholds from the WELL Building Standard</t>
  </si>
  <si>
    <r>
      <rPr>
        <b/>
        <sz val="11"/>
        <color rgb="FFFF0000"/>
        <rFont val="Calibri"/>
        <family val="2"/>
        <scheme val="minor"/>
      </rPr>
      <t>Decimal Guidance</t>
    </r>
    <r>
      <rPr>
        <sz val="11"/>
        <color rgb="FFFF0000"/>
        <rFont val="Calibri"/>
        <family val="2"/>
        <scheme val="minor"/>
      </rPr>
      <t>: use one decimal place</t>
    </r>
  </si>
  <si>
    <t>Test Result 
(SPP)</t>
  </si>
  <si>
    <t>WELL Building Standard  Minimum Threshold
 (SPP)</t>
  </si>
  <si>
    <t>Measurement Type</t>
  </si>
  <si>
    <t>Source Room</t>
  </si>
  <si>
    <t>Receiving Room</t>
  </si>
  <si>
    <t>S03 Sound Barriers - Part 1</t>
  </si>
  <si>
    <t>Lmax dBC</t>
    <phoneticPr fontId="0" type="noConversion"/>
  </si>
  <si>
    <t>Lmax dBA</t>
    <phoneticPr fontId="0" type="noConversion"/>
  </si>
  <si>
    <t>Leq dBC</t>
    <phoneticPr fontId="0" type="noConversion"/>
  </si>
  <si>
    <t>Leq dBA</t>
    <phoneticPr fontId="0" type="noConversion"/>
  </si>
  <si>
    <t>Real Max with 1 point rule</t>
  </si>
  <si>
    <t>1 Point N/A record if not met</t>
  </si>
  <si>
    <t>Max Points
W/tolerance</t>
  </si>
  <si>
    <t>Max
Points</t>
  </si>
  <si>
    <t>No Tolerance</t>
  </si>
  <si>
    <t>Test Result</t>
  </si>
  <si>
    <t>WELL Building Standard  Maximum Threshold (dB)
Points Achieved</t>
  </si>
  <si>
    <t>Measurement Type
(slow weighted)</t>
  </si>
  <si>
    <t>Measurement or Floor #</t>
  </si>
  <si>
    <t>Max eq Points</t>
  </si>
  <si>
    <t>Max Points possible</t>
  </si>
  <si>
    <t>SOUND</t>
  </si>
  <si>
    <t>HelperColumn</t>
  </si>
  <si>
    <t>CallingSheet</t>
  </si>
  <si>
    <t>Part</t>
  </si>
  <si>
    <t>Parameter</t>
  </si>
  <si>
    <t>ParameterInfo</t>
  </si>
  <si>
    <t>Value1</t>
  </si>
  <si>
    <t>Value2</t>
  </si>
  <si>
    <t>Value3</t>
  </si>
  <si>
    <t>Value4</t>
  </si>
  <si>
    <t>WELLProgram</t>
  </si>
  <si>
    <t>ProgramType</t>
  </si>
  <si>
    <t>1-Project Information</t>
  </si>
  <si>
    <t>ProjectType</t>
  </si>
  <si>
    <t>Core</t>
  </si>
  <si>
    <t>v2</t>
  </si>
  <si>
    <t>Owner Occupied/Interiors</t>
  </si>
  <si>
    <t>v2 Pilot</t>
  </si>
  <si>
    <t>v2pPart</t>
  </si>
  <si>
    <t>v2pName</t>
  </si>
  <si>
    <t>v2gPart</t>
  </si>
  <si>
    <t>PartOption</t>
  </si>
  <si>
    <t>v2gName</t>
  </si>
  <si>
    <t>A01.1</t>
  </si>
  <si>
    <t>Meet Thresholds for Particulate Matter</t>
  </si>
  <si>
    <t>Meet Thresholds for Particulate Matter, Option 1</t>
  </si>
  <si>
    <t>ProjectTypes</t>
  </si>
  <si>
    <t>Type</t>
  </si>
  <si>
    <t>A01.2</t>
  </si>
  <si>
    <t>Meet Thresholds for Organic Gases</t>
  </si>
  <si>
    <t>A01.3</t>
  </si>
  <si>
    <t>Meet Thresholds for Inorganic Gases</t>
  </si>
  <si>
    <t>Interiors/Owner Occupied</t>
  </si>
  <si>
    <t>Interior</t>
  </si>
  <si>
    <t>A05.1</t>
  </si>
  <si>
    <t>Meet Enhanced Thresholds for Particulate Matter</t>
  </si>
  <si>
    <t>A05.2</t>
  </si>
  <si>
    <t>Meet Enhanced Thresholds for Organic Gases</t>
  </si>
  <si>
    <t>ConstructionType</t>
  </si>
  <si>
    <t>Column1</t>
  </si>
  <si>
    <t>A05.3</t>
  </si>
  <si>
    <t>Meet Enhanced Thresholds for Inorganic Gases</t>
  </si>
  <si>
    <t>New</t>
  </si>
  <si>
    <t>W01.1</t>
  </si>
  <si>
    <t>Meet Sediment Thresholds</t>
  </si>
  <si>
    <t>Verify Water Quality Indicators</t>
  </si>
  <si>
    <t>Existing Space (No Renovations)</t>
  </si>
  <si>
    <t>W02.1</t>
  </si>
  <si>
    <t>Meet Dissolved Metal Thresholds</t>
  </si>
  <si>
    <t>Meet Chemical Thresholds</t>
  </si>
  <si>
    <t>Existing Space</t>
  </si>
  <si>
    <t>W02.2</t>
  </si>
  <si>
    <t>Meet Organic Pollutant Thresholds</t>
  </si>
  <si>
    <t>Meet Thresholds for Organics and Pesticides</t>
  </si>
  <si>
    <t>W02.3</t>
  </si>
  <si>
    <t>Meet Disinfectant Byproducts Thresholds</t>
  </si>
  <si>
    <t>W04.1</t>
  </si>
  <si>
    <t>Meet Thresholds for Drinking Water Taste</t>
  </si>
  <si>
    <t>ProjectUse</t>
  </si>
  <si>
    <t>Column2</t>
  </si>
  <si>
    <t>W02.4</t>
  </si>
  <si>
    <t>Meet Herbicide and Pesticide Thresholds</t>
  </si>
  <si>
    <t>L02.1</t>
  </si>
  <si>
    <t>Provide Visual Acuity</t>
  </si>
  <si>
    <t>Office Spaces</t>
  </si>
  <si>
    <t>W02.5</t>
  </si>
  <si>
    <t>Meet Fertilizer Thresholds</t>
  </si>
  <si>
    <t>L03.1</t>
  </si>
  <si>
    <t>Meet Lighting for Day-Active People</t>
  </si>
  <si>
    <t>Retail</t>
  </si>
  <si>
    <t>Yes</t>
  </si>
  <si>
    <t>Not implemented</t>
  </si>
  <si>
    <t>W02.6</t>
  </si>
  <si>
    <t>Meet Public Water Additive Thresholds</t>
  </si>
  <si>
    <t>T01.1</t>
  </si>
  <si>
    <t>Provide Acceptable Thermal Environment</t>
  </si>
  <si>
    <t>Healthcare</t>
  </si>
  <si>
    <t>W02.7</t>
  </si>
  <si>
    <t>Monitor Water Contaminant Parameters</t>
  </si>
  <si>
    <t>T07.1</t>
  </si>
  <si>
    <t>Manage Relative Humidity</t>
  </si>
  <si>
    <t>Airport</t>
  </si>
  <si>
    <t xml:space="preserve">Meet Drinking Water Taste Properties </t>
  </si>
  <si>
    <t>S02.1</t>
  </si>
  <si>
    <t>Limit Background Noise Levels</t>
  </si>
  <si>
    <t>Industrial</t>
  </si>
  <si>
    <t>Light Levels for Visual Acuity</t>
  </si>
  <si>
    <t>S03.2</t>
  </si>
  <si>
    <t>Option 1</t>
  </si>
  <si>
    <t>Achieve Sound Isolation At Walls, Option 1: NIC</t>
  </si>
  <si>
    <t>Hospitality</t>
  </si>
  <si>
    <t>Lighting for the Circadian System</t>
  </si>
  <si>
    <t>Option 2</t>
  </si>
  <si>
    <t>Achieve Sound Isolation At Walls, Option 2: Speech Privacy</t>
  </si>
  <si>
    <t>Education</t>
  </si>
  <si>
    <t>Support Thermal Environment</t>
  </si>
  <si>
    <t>S04.1</t>
  </si>
  <si>
    <t>Achieve Reverberation Time Thresholds</t>
  </si>
  <si>
    <t>Higher Education</t>
  </si>
  <si>
    <t>T02.1</t>
  </si>
  <si>
    <t>Enhance Thermal Environment</t>
  </si>
  <si>
    <t>Fitness</t>
  </si>
  <si>
    <t>Coworking</t>
  </si>
  <si>
    <t>S03.1</t>
  </si>
  <si>
    <t>Ensure Adequate Wall Construction</t>
  </si>
  <si>
    <t>Meet Thresholds for Reverberation Time</t>
  </si>
  <si>
    <t>Light v2g Option 2</t>
  </si>
  <si>
    <t>S05.1</t>
  </si>
  <si>
    <t>Implement Sound Masking</t>
  </si>
  <si>
    <t>WPRPart</t>
  </si>
  <si>
    <t>WPRName</t>
  </si>
  <si>
    <t>Space</t>
  </si>
  <si>
    <t>fc</t>
  </si>
  <si>
    <t>Lux</t>
  </si>
  <si>
    <t>PA1</t>
  </si>
  <si>
    <t>Offices</t>
  </si>
  <si>
    <t>PA3</t>
  </si>
  <si>
    <t>PA5</t>
  </si>
  <si>
    <t>Circulation Areas</t>
  </si>
  <si>
    <t>PA2</t>
  </si>
  <si>
    <t>Storage Spaces</t>
  </si>
  <si>
    <t>PA4</t>
  </si>
  <si>
    <t>PA6</t>
  </si>
  <si>
    <t>Lounges</t>
  </si>
  <si>
    <t>PW1</t>
  </si>
  <si>
    <t>Restrooms</t>
  </si>
  <si>
    <t>PW2</t>
  </si>
  <si>
    <t>PW3</t>
  </si>
  <si>
    <t>PW4</t>
  </si>
  <si>
    <t>Air Labs mapping for version attempted</t>
  </si>
  <si>
    <t>PL1</t>
  </si>
  <si>
    <t>v2 pilot</t>
  </si>
  <si>
    <t>PL2</t>
  </si>
  <si>
    <t>Lighting for Day-Active People</t>
  </si>
  <si>
    <t>Formaldehyde</t>
  </si>
  <si>
    <t>Acetaldehyde</t>
  </si>
  <si>
    <t>PT1</t>
  </si>
  <si>
    <t>Benzene</t>
  </si>
  <si>
    <t>PT2</t>
  </si>
  <si>
    <t>Carbon disulfide</t>
  </si>
  <si>
    <t>PS1</t>
  </si>
  <si>
    <t>Carbon tetrachloride</t>
  </si>
  <si>
    <t>PS2</t>
  </si>
  <si>
    <t>Chloro benzene</t>
  </si>
  <si>
    <t>Naphthalene</t>
  </si>
  <si>
    <t>Chloroform</t>
  </si>
  <si>
    <t>Toluene</t>
  </si>
  <si>
    <t>PS3</t>
  </si>
  <si>
    <t>Dichloro benzene(1,4)</t>
  </si>
  <si>
    <t>Dichloro ethylene(1,1)</t>
  </si>
  <si>
    <t>Ethyl benzene</t>
  </si>
  <si>
    <t>Hexane (n-)</t>
  </si>
  <si>
    <t>Isopropyl Alcohol</t>
  </si>
  <si>
    <t>Methyl chloroform</t>
  </si>
  <si>
    <t>Methylene chloride</t>
  </si>
  <si>
    <t>Methyl tert-butyl ether</t>
  </si>
  <si>
    <t>Styrene</t>
  </si>
  <si>
    <t>Tetrachloroethene</t>
  </si>
  <si>
    <t>Trichloroethylene</t>
  </si>
  <si>
    <t>Vinyl acetate</t>
  </si>
  <si>
    <t>Xylene</t>
  </si>
  <si>
    <t>v2g to WPR part mapping</t>
  </si>
  <si>
    <t>Number</t>
  </si>
  <si>
    <t>A01.1: Meet Thresholds for Particulate Matter, Option 1</t>
  </si>
  <si>
    <t>PA1: Meet Thresholds for Particulate Matter</t>
  </si>
  <si>
    <t>A01.2: Meet Thresholds for Organic Gases</t>
  </si>
  <si>
    <t>PA3: Meet Thresholds for Organic Gases</t>
  </si>
  <si>
    <t>A01.3: Meet Thresholds for Inorganic Gases</t>
  </si>
  <si>
    <t>PA5: Meet Thresholds for Inorganic Gases</t>
  </si>
  <si>
    <t>A05.1: Meet Enhanced Thresholds for Particulate Matter</t>
  </si>
  <si>
    <t>PA2: Meet Enhanced Thresholds for Particulate Matter</t>
  </si>
  <si>
    <t>A05.2: Meet Enhanced Thresholds for Organic Gases</t>
  </si>
  <si>
    <t>PA4: Meet Enhanced Thresholds for Organic Gases</t>
  </si>
  <si>
    <t>A05.3: Meet Enhanced Thresholds for Inorganic Gases</t>
  </si>
  <si>
    <t>PA6: Meet Enhanced Thresholds for Inorganic Gases</t>
  </si>
  <si>
    <t>W01.1: Verify Water Quality Indicators</t>
  </si>
  <si>
    <t>PW1: Verify Water Quality Indicators</t>
  </si>
  <si>
    <t>W02.1: Meet Chemical Thresholds</t>
  </si>
  <si>
    <t>PW2: Meet Chemical Thresholds</t>
  </si>
  <si>
    <t>W02.2: Meet Thresholds for Organics and Pesticides</t>
  </si>
  <si>
    <t>PW3: Meet Thresholds for Organics and Pesticides</t>
  </si>
  <si>
    <t>W04.1: Meet Thresholds for Drinking Water Taste</t>
  </si>
  <si>
    <t>PW4: Meet Thresholds for Drinking Water Taste</t>
  </si>
  <si>
    <t>L02.1: Provide Visual Acuity</t>
  </si>
  <si>
    <t>PL1: Provide Visual Acuity</t>
  </si>
  <si>
    <t>L03.1: Meet Lighting for Day-Active People</t>
  </si>
  <si>
    <t>PL2: Lighting for Day-Active People</t>
  </si>
  <si>
    <t>T01.1: Provide Acceptable Thermal Environment</t>
  </si>
  <si>
    <t>PT1: Provide Acceptable Thermal Environment</t>
  </si>
  <si>
    <t>T07.1: Manage Relative Humidity</t>
  </si>
  <si>
    <t>PT2: Manage Relative Humidity</t>
  </si>
  <si>
    <t>S02.1: Limit Background Noise Levels</t>
  </si>
  <si>
    <t>PS1: Limit Background Noise Levels</t>
  </si>
  <si>
    <t>S03.2,O1</t>
  </si>
  <si>
    <t>PS2,O1</t>
  </si>
  <si>
    <t>S03.2: Achieve Sound Isolation At Walls, Option 1: NIC</t>
  </si>
  <si>
    <t>PS2: Achieve Sound Isolation At Walls, Option 1: NIC</t>
  </si>
  <si>
    <t>S03.2,O2</t>
  </si>
  <si>
    <t>PS2,O2</t>
  </si>
  <si>
    <t>S03.2: Achieve Sound Isolation At Walls, Option 2: Speech Privacy</t>
  </si>
  <si>
    <t>PS2: Achieve Sound Isolation At Walls, Option 2: Speech Privacy</t>
  </si>
  <si>
    <t>S04.1: Achieve Reverberation Time Thresholds</t>
  </si>
  <si>
    <t>PS3: Achieve Reverberation Time Thresholds</t>
  </si>
  <si>
    <t>v2gAirThresholds</t>
  </si>
  <si>
    <t>MustbeInOrder</t>
  </si>
  <si>
    <t>Feature</t>
  </si>
  <si>
    <t>Contaminant</t>
  </si>
  <si>
    <t>Percent Tolerance</t>
  </si>
  <si>
    <t>2nd units max</t>
  </si>
  <si>
    <t>2nd units</t>
  </si>
  <si>
    <t>PM2_5Tier2</t>
  </si>
  <si>
    <t>PM2_5Tier1</t>
  </si>
  <si>
    <t>PM10Tier2</t>
  </si>
  <si>
    <t>PM10Tier1</t>
  </si>
  <si>
    <t>ug/m3</t>
  </si>
  <si>
    <t>PM2.5-Kitchen</t>
  </si>
  <si>
    <t>Acrylonitrile</t>
  </si>
  <si>
    <t>Caprolactam</t>
  </si>
  <si>
    <t>Min Overall</t>
  </si>
  <si>
    <t>v2pA05PM_Tiers</t>
  </si>
  <si>
    <t>Carbon Monoxide</t>
  </si>
  <si>
    <t>ppm</t>
  </si>
  <si>
    <t>mg/m3</t>
  </si>
  <si>
    <t>Ozone</t>
  </si>
  <si>
    <t>ppb</t>
  </si>
  <si>
    <t>Carbon Monoxide-Kitchen</t>
  </si>
  <si>
    <t>Ozone-Kitchen</t>
  </si>
  <si>
    <t>Nitrogen Dioxide</t>
  </si>
  <si>
    <t>2 Of these</t>
  </si>
  <si>
    <t>Display</t>
  </si>
  <si>
    <t>Limits</t>
  </si>
  <si>
    <t>Aldrin and Dieldrin</t>
  </si>
  <si>
    <t>mg/L</t>
  </si>
  <si>
    <t>Atrazine</t>
  </si>
  <si>
    <t>Carbofuran</t>
  </si>
  <si>
    <t>Chlordane</t>
  </si>
  <si>
    <t>2,4-Dichlorophenoxyacetic acid (2,4-D)</t>
  </si>
  <si>
    <t>Dichlorodiphenyltrichloroethane (DDT)</t>
  </si>
  <si>
    <t>Lindane</t>
  </si>
  <si>
    <t>Pentachlorophenol (PCP)</t>
  </si>
  <si>
    <t>3 of these</t>
  </si>
  <si>
    <t>Benzo[a]pyrene</t>
  </si>
  <si>
    <t>1,2-Dichloroethane</t>
  </si>
  <si>
    <t>Tetrachloroethene (Tetrachloroethylene)</t>
  </si>
  <si>
    <t>Trichloroethene (Trichloroethylene)</t>
  </si>
  <si>
    <t>2,4,6-Trichlorophenol</t>
  </si>
  <si>
    <t>Vinyl Chloride</t>
  </si>
  <si>
    <t>Xylenes (o-, m- and p-)</t>
  </si>
  <si>
    <t>DropDownList</t>
  </si>
  <si>
    <t>Thresholds</t>
  </si>
  <si>
    <t>PointsCore</t>
  </si>
  <si>
    <t>Attempting</t>
  </si>
  <si>
    <t>WithTolerance</t>
  </si>
  <si>
    <t>Points Available</t>
  </si>
  <si>
    <t>Electric light only
150 EML</t>
  </si>
  <si>
    <t>v2pAirThresholds</t>
  </si>
  <si>
    <t>Formaldehyde-Kitchen</t>
  </si>
  <si>
    <t>EMLThresholdsv2p</t>
  </si>
  <si>
    <t xml:space="preserve">Electric light only
240 EML </t>
  </si>
  <si>
    <t>Electric light and daylighting
120 EML with electric lighting and at least 2 points in Feature L05: Enhanced Daylight Access</t>
  </si>
  <si>
    <t>Electric light and daylighting
180 EML with electric lighting and at least 2 points in Feature L05: Enhanced Daylight Access</t>
  </si>
  <si>
    <t>Show</t>
  </si>
  <si>
    <t>Decimal Guidance: show two significant decimal places.</t>
  </si>
  <si>
    <t>S02 Background Noise Part 1</t>
  </si>
  <si>
    <r>
      <rPr>
        <i/>
        <sz val="14"/>
        <color rgb="FFFF0000"/>
        <rFont val="Calibri"/>
        <family val="2"/>
        <scheme val="minor"/>
      </rPr>
      <t xml:space="preserve">
Coliforms/E-coli- </t>
    </r>
    <r>
      <rPr>
        <sz val="14"/>
        <color rgb="FFFF0000"/>
        <rFont val="Calibri"/>
        <family val="2"/>
        <scheme val="minor"/>
      </rPr>
      <t xml:space="preserve">Use ND if lab reports as Not Detected or &lt;1
</t>
    </r>
    <r>
      <rPr>
        <i/>
        <sz val="14"/>
        <color rgb="FFFF0000"/>
        <rFont val="Calibri"/>
        <family val="2"/>
        <scheme val="minor"/>
      </rPr>
      <t xml:space="preserve">Water contaminants - </t>
    </r>
    <r>
      <rPr>
        <sz val="14"/>
        <color rgb="FFFF0000"/>
        <rFont val="Calibri"/>
        <family val="2"/>
        <scheme val="minor"/>
      </rPr>
      <t>include all significant digits in the decimal places, with a minimum of 2 decimal places. Remove any trailing zeros.</t>
    </r>
    <r>
      <rPr>
        <i/>
        <sz val="14"/>
        <color rgb="FFFF0000"/>
        <rFont val="Calibri"/>
        <family val="2"/>
        <scheme val="minor"/>
      </rPr>
      <t xml:space="preserve">
Chlorine/ Chloramine - </t>
    </r>
    <r>
      <rPr>
        <sz val="14"/>
        <color rgb="FFFF0000"/>
        <rFont val="Calibri"/>
        <family val="2"/>
        <scheme val="minor"/>
      </rPr>
      <t>Max 2 decimal places
All laboratory results that are Limit of Detection (LOD) should be reported using the &lt; of the LOD, for example: Arsenic with an LOD of 0.005 should be reported as &lt; 0.005 and not LOD or ND or 0 or 0.005. This is to clearly indicate that the laboratory limit was the limiting factor.
Hide unused rows by filtering column S with Show check and Hide unchecked.</t>
    </r>
  </si>
  <si>
    <t>Hide unused rows by filtering column N with Show check and Hide unchecked.</t>
  </si>
  <si>
    <t>Hide unused rows by filtering column T with Show check and Hide unchecked.</t>
  </si>
  <si>
    <t>Hide unused rows by filtering column O with Show check and Hide unchecked.</t>
  </si>
  <si>
    <t>Ensure to use the Metabolic rates and Clothing values provided in the design documentation by the project team. Do not use the on-site observed metabolic rates or clothing values if they were provided by the PTA.
1 decimal place unless met/clo is specificed to 2 decimals by the project team, then use 2 for clo and/or met.</t>
  </si>
  <si>
    <t>Use 1 Decimal</t>
  </si>
  <si>
    <t>Use 1 decimal</t>
  </si>
  <si>
    <r>
      <t xml:space="preserve">
High flow (for applicable methods) should be reported. Low flow is only substituted when the High flow exceeds the tube capacity (breakthrough event).
</t>
    </r>
    <r>
      <rPr>
        <b/>
        <sz val="14"/>
        <color rgb="FFFF0000"/>
        <rFont val="Calibri"/>
        <family val="2"/>
        <scheme val="minor"/>
      </rPr>
      <t xml:space="preserve">
Font Guidance</t>
    </r>
    <r>
      <rPr>
        <sz val="14"/>
        <color rgb="FFFF0000"/>
        <rFont val="Calibri"/>
        <family val="2"/>
        <scheme val="minor"/>
      </rPr>
      <t xml:space="preserve">: 
Outcome text remains black (i.e. MET/NOT MET)
Hide unused rows by filtering column S with Show check and Hide unchecked.
</t>
    </r>
    <r>
      <rPr>
        <b/>
        <sz val="14"/>
        <color rgb="FFFF0000"/>
        <rFont val="Calibri"/>
        <family val="2"/>
        <scheme val="minor"/>
      </rPr>
      <t>Decimal Guidance</t>
    </r>
    <r>
      <rPr>
        <sz val="14"/>
        <color rgb="FFFF0000"/>
        <rFont val="Calibri"/>
        <family val="2"/>
        <scheme val="minor"/>
      </rPr>
      <t xml:space="preserve">: 1 decimal place.
</t>
    </r>
  </si>
  <si>
    <r>
      <rPr>
        <b/>
        <sz val="11"/>
        <color rgb="FFFF0000"/>
        <rFont val="Calibri"/>
        <family val="2"/>
        <scheme val="minor"/>
      </rPr>
      <t>Decimal Guidance</t>
    </r>
    <r>
      <rPr>
        <sz val="11"/>
        <color rgb="FFFF0000"/>
        <rFont val="Calibri"/>
        <family val="2"/>
        <scheme val="minor"/>
      </rPr>
      <t xml:space="preserve">: use one decimal place except for S04.1 which needs 2.
</t>
    </r>
    <r>
      <rPr>
        <b/>
        <sz val="11"/>
        <color rgb="FFFF0000"/>
        <rFont val="Calibri"/>
        <family val="2"/>
        <scheme val="minor"/>
      </rPr>
      <t>Do not delete rows</t>
    </r>
    <r>
      <rPr>
        <sz val="11"/>
        <color rgb="FFFF0000"/>
        <rFont val="Calibri"/>
        <family val="2"/>
        <scheme val="minor"/>
      </rPr>
      <t xml:space="preserve"> 
To add locations copy all 4 rows and insert above or below another set</t>
    </r>
  </si>
  <si>
    <t>Turbidity
(NTU/FTU/FNU)</t>
  </si>
  <si>
    <t>Xylenes (m/p/o)
(mg/L)</t>
  </si>
  <si>
    <t>Target Illuminance
(lux)</t>
  </si>
  <si>
    <t>Average Illuminance per Task/Space Use
(lux)</t>
  </si>
  <si>
    <t>Minimum Illuminance per Task/Space Use
(lux)</t>
  </si>
  <si>
    <t>AverageHeader</t>
  </si>
  <si>
    <t>MinimumHeader</t>
  </si>
  <si>
    <t>Average Illuminance per Task/Space Use
(fc)</t>
  </si>
  <si>
    <t>Minimum Illuminance per Task/Space Use
(fc)</t>
  </si>
  <si>
    <t>Light_v2_Part1OverviewDropdowns</t>
  </si>
  <si>
    <t>Light_v2_Part1DataDropdowns</t>
  </si>
  <si>
    <t>IllumRe</t>
  </si>
  <si>
    <t>HalfT</t>
  </si>
  <si>
    <t>Illuminance Result
(lux)</t>
  </si>
  <si>
    <t>Illuminance Result
(fc)</t>
  </si>
  <si>
    <t>Half target
(lux)</t>
  </si>
  <si>
    <t>Half target
(fc)</t>
  </si>
  <si>
    <t>TargetIllum</t>
  </si>
  <si>
    <t>Target Illuminance
(fc)</t>
  </si>
  <si>
    <t>2202025410 - Accenture - Assago Milanofiori U1</t>
  </si>
  <si>
    <t>A-FI1-1</t>
  </si>
  <si>
    <t>A-F00-01</t>
  </si>
  <si>
    <t>A-F00-02</t>
  </si>
  <si>
    <t>A-F00-03</t>
  </si>
  <si>
    <t>A-F02-01</t>
  </si>
  <si>
    <t>A-F03-01</t>
  </si>
  <si>
    <t>A-F05-01</t>
  </si>
  <si>
    <t>A-F07-01</t>
  </si>
  <si>
    <t>A-F08-01</t>
  </si>
  <si>
    <t>A-F11-01</t>
  </si>
  <si>
    <t>&lt;1</t>
  </si>
  <si>
    <t>F00</t>
  </si>
  <si>
    <t>Lounge Area</t>
  </si>
  <si>
    <t>Faucet</t>
  </si>
  <si>
    <t>ND</t>
  </si>
  <si>
    <t>FI1</t>
  </si>
  <si>
    <t>Dressroom</t>
  </si>
  <si>
    <t>Shower</t>
  </si>
  <si>
    <t>F05</t>
  </si>
  <si>
    <t>Restroom</t>
  </si>
  <si>
    <t>F11</t>
  </si>
  <si>
    <t>Infirmary Restroom</t>
  </si>
  <si>
    <t>F10</t>
  </si>
  <si>
    <t>Break area</t>
  </si>
  <si>
    <t>&lt;0,015</t>
  </si>
  <si>
    <t>Enclosed office (+Infirmary) / Focus Room</t>
  </si>
  <si>
    <t>Open space offices</t>
  </si>
  <si>
    <t>Meeting / Conference Rooms</t>
  </si>
  <si>
    <t>Phone booth</t>
  </si>
  <si>
    <t>Corridor</t>
  </si>
  <si>
    <t>Lobby</t>
  </si>
  <si>
    <t>Stairs</t>
  </si>
  <si>
    <t>Copy room</t>
  </si>
  <si>
    <t>Outdoor illumination</t>
  </si>
  <si>
    <t>Parking</t>
  </si>
  <si>
    <t>Training Room / Core learning space</t>
  </si>
  <si>
    <t>Break room / Lounge</t>
  </si>
  <si>
    <t>Restooms</t>
  </si>
  <si>
    <t>Storage</t>
  </si>
  <si>
    <t>Auditorium</t>
  </si>
  <si>
    <t>L-00-01-Lobby</t>
  </si>
  <si>
    <t>L-00-02-Lobby</t>
  </si>
  <si>
    <t>L-00-03-Lobby</t>
  </si>
  <si>
    <t>L-00-04-Stairs</t>
  </si>
  <si>
    <t>L-00-05-Meeting room</t>
  </si>
  <si>
    <t>L-00-06-Meeting room</t>
  </si>
  <si>
    <t>L-00-07-Enclosed office (Control room)</t>
  </si>
  <si>
    <t>L-00-08-Enclosed office (Control room)</t>
  </si>
  <si>
    <t>L-00-09-Ciculation</t>
  </si>
  <si>
    <t>L-00-10-Ciculation</t>
  </si>
  <si>
    <t>L-00-11-Stairs</t>
  </si>
  <si>
    <t>L-00-12-Terrace</t>
  </si>
  <si>
    <t>L-00-13-Terrace</t>
  </si>
  <si>
    <t>L-00-14-Terrace</t>
  </si>
  <si>
    <t>L-00-15-Stairs</t>
  </si>
  <si>
    <t>L-00-16-Lounge area (bar)</t>
  </si>
  <si>
    <t>L-00-17-Lounge area (bar)</t>
  </si>
  <si>
    <t>L-00-18-Restroom</t>
  </si>
  <si>
    <t>L-00-19-Restroom</t>
  </si>
  <si>
    <t>L-00-20-Lounge area</t>
  </si>
  <si>
    <t>L-00-21-Lounge area</t>
  </si>
  <si>
    <t>L-00-22-Lounge area</t>
  </si>
  <si>
    <t>L-00-23-Corridor (foyer area training)</t>
  </si>
  <si>
    <t>L-00-24-Circulation</t>
  </si>
  <si>
    <t>L-00-25-Training room</t>
  </si>
  <si>
    <t>L-00-26-Training room</t>
  </si>
  <si>
    <t>L-00-27-Training room</t>
  </si>
  <si>
    <t>L-00-28-Training room</t>
  </si>
  <si>
    <t>L-00-29-Phone booth</t>
  </si>
  <si>
    <t>L-00-30-Training room</t>
  </si>
  <si>
    <t>L-00-31-Restroom</t>
  </si>
  <si>
    <t>L-00-32-Restroom</t>
  </si>
  <si>
    <t>L-00-33-Training room</t>
  </si>
  <si>
    <t>L-00-34-Phone booth</t>
  </si>
  <si>
    <t>L-00-35-Phone booth</t>
  </si>
  <si>
    <t>L-00-36-Ciculation</t>
  </si>
  <si>
    <t>L-00-37-Training room</t>
  </si>
  <si>
    <t>L-00-38-Storage room</t>
  </si>
  <si>
    <t>L-00-39-Training room</t>
  </si>
  <si>
    <t>L-00-40-Training room</t>
  </si>
  <si>
    <t>L-00-41-Storage room</t>
  </si>
  <si>
    <t>L-00-42-Training room</t>
  </si>
  <si>
    <t>L-00-43-Ciculation</t>
  </si>
  <si>
    <t>L-00-44-Auditorium</t>
  </si>
  <si>
    <t>L-00-45-Auditorium</t>
  </si>
  <si>
    <t>L-00-46-Auditorium</t>
  </si>
  <si>
    <t>L-00-47-Enclosed office (Direction room)</t>
  </si>
  <si>
    <t>L-00-48-Storage room</t>
  </si>
  <si>
    <t>L-00-49-Training room</t>
  </si>
  <si>
    <t>L-00-50-Meeting room</t>
  </si>
  <si>
    <t>L-07-01-Stairs</t>
  </si>
  <si>
    <t>L-07-02-Open Space</t>
  </si>
  <si>
    <t>L-07-03-Focus Room</t>
  </si>
  <si>
    <t>L-07-04-Focus Room</t>
  </si>
  <si>
    <t>L-07-05-Open Space</t>
  </si>
  <si>
    <t>L-07-06-Copy room</t>
  </si>
  <si>
    <t>L-07-07-Open Space</t>
  </si>
  <si>
    <t xml:space="preserve">L-07-08-Conference room + Other spaces </t>
  </si>
  <si>
    <t>L-07-09-Circulation</t>
  </si>
  <si>
    <t>L-07-10-Storage room</t>
  </si>
  <si>
    <t>L-07-11-Classroom (Co-Innovation room)</t>
  </si>
  <si>
    <t>L-07-12-Conference room</t>
  </si>
  <si>
    <t>L-07-13-Classroom (Design…)</t>
  </si>
  <si>
    <t>L-07-14-Classroom (Design…)</t>
  </si>
  <si>
    <t>L-07-15-Classroom (Design…)</t>
  </si>
  <si>
    <t>L-07-16-Open space (markers lab)</t>
  </si>
  <si>
    <t>L-07-17-Circulation</t>
  </si>
  <si>
    <t>L-07-18-Focus room</t>
  </si>
  <si>
    <t>L-07-19-Open Space</t>
  </si>
  <si>
    <t>L-07-20-Open Space</t>
  </si>
  <si>
    <t xml:space="preserve">L-07-21-Conference room </t>
  </si>
  <si>
    <t xml:space="preserve">L-07-22-Conference room </t>
  </si>
  <si>
    <t xml:space="preserve">L-07-23-Conference room </t>
  </si>
  <si>
    <t>L-07-24-Open Space</t>
  </si>
  <si>
    <t>L-07-25-Copy room</t>
  </si>
  <si>
    <t>L-07-26-Copy room</t>
  </si>
  <si>
    <t>L-07-27-Phone booth</t>
  </si>
  <si>
    <t>L-07-28-Open Space</t>
  </si>
  <si>
    <t>L-07-29-Restooms</t>
  </si>
  <si>
    <t>L-07-30-Restrooms</t>
  </si>
  <si>
    <t>L-07-31-Open Space</t>
  </si>
  <si>
    <t>L-07-32-Phone booth</t>
  </si>
  <si>
    <t>L-07-33-Conference room</t>
  </si>
  <si>
    <t>L-07-34-Stairs</t>
  </si>
  <si>
    <t>L-07-35-Open Space</t>
  </si>
  <si>
    <t>L-07-36-Circulation</t>
  </si>
  <si>
    <t>L-07-37-Meeting room</t>
  </si>
  <si>
    <t>L-07-38-Focus room/Closed office</t>
  </si>
  <si>
    <t>L-07-39-Focus room/Closed office</t>
  </si>
  <si>
    <t>L-07-40-Phone booth</t>
  </si>
  <si>
    <t>L-07-41-Open Space</t>
  </si>
  <si>
    <t>L-07-42-Storage room</t>
  </si>
  <si>
    <t>L-07-43-Breakroom</t>
  </si>
  <si>
    <t>L-07-44-Breakroom</t>
  </si>
  <si>
    <t>L-07-45-Breakroom</t>
  </si>
  <si>
    <t>L-07-46-Storage room (cleaning)</t>
  </si>
  <si>
    <t>L-07-47-Stairs</t>
  </si>
  <si>
    <t xml:space="preserve">L-07-48-Restroom </t>
  </si>
  <si>
    <t xml:space="preserve">L-07-49-Restroom </t>
  </si>
  <si>
    <t xml:space="preserve">L-07-50-Restroom </t>
  </si>
  <si>
    <t>L-(-1)-01-Garage</t>
  </si>
  <si>
    <t>L-(-1)-02-Garage</t>
  </si>
  <si>
    <t>L-(-1)-03-Garage</t>
  </si>
  <si>
    <t>T.FI1.01 - INFIRMARY</t>
  </si>
  <si>
    <t>Standing</t>
  </si>
  <si>
    <t>C</t>
  </si>
  <si>
    <t>T.F00.01 - LOBBY</t>
  </si>
  <si>
    <t>T.F00.02 - AUDITORIUM</t>
  </si>
  <si>
    <t>Seated</t>
  </si>
  <si>
    <t>T.F00.03 - TRAINING ROOM</t>
  </si>
  <si>
    <t>T.F00.04 - LOUNGE AREA</t>
  </si>
  <si>
    <t>T.F00.05 - MEETING ROOM</t>
  </si>
  <si>
    <t>T.F02.01 - FOCUS ROOM</t>
  </si>
  <si>
    <t>T.F02.02 - OPEN SPACE</t>
  </si>
  <si>
    <t>T.F03.01 - MEETING ROOM</t>
  </si>
  <si>
    <t>T.F04.01 - OPEN SPACE</t>
  </si>
  <si>
    <t>T.F04.02 - FOCUS ROOM</t>
  </si>
  <si>
    <t>T.F05.01 - OPEN SPACE</t>
  </si>
  <si>
    <t>T.F06.01 - MEETING ROOM</t>
  </si>
  <si>
    <t>T.F06.02 -FOCUS ROOM</t>
  </si>
  <si>
    <t>T.F07.01 - OPEN SPACE</t>
  </si>
  <si>
    <t>T.F07.02 - INFORMAL AREA</t>
  </si>
  <si>
    <t>T.F08.01 -FOCUS ROOM</t>
  </si>
  <si>
    <t>T.F08.02 - MEETING ROOM</t>
  </si>
  <si>
    <t>T.F09.01 - FOCUS ROOM</t>
  </si>
  <si>
    <t>T.F10.01 -OPEN SPACE</t>
  </si>
  <si>
    <t>T.F10.02 - INFORMAL AREA</t>
  </si>
  <si>
    <t>T.F11.01 -MEETING ROOM</t>
  </si>
  <si>
    <t>T.F11.02 -FOCUS ROOM</t>
  </si>
  <si>
    <t>S02-FI1-01-Infirmary</t>
  </si>
  <si>
    <t>S02-F00-01-Auditorium</t>
  </si>
  <si>
    <t>S02-F00-03-Lounge Area</t>
  </si>
  <si>
    <t>S02-F00-04-Training room</t>
  </si>
  <si>
    <t>S02-F02-01-Focus room</t>
  </si>
  <si>
    <t>S02-F02-02-Meeting room</t>
  </si>
  <si>
    <t>S02-F02-03-Open space</t>
  </si>
  <si>
    <t>S02-F03-01-Focus room</t>
  </si>
  <si>
    <t>S02-F03-02-Meeting room</t>
  </si>
  <si>
    <t>S02-F05-01-Focus room</t>
  </si>
  <si>
    <t>S02-F05-02-Meeting room</t>
  </si>
  <si>
    <t>S02-F05-03-Open space</t>
  </si>
  <si>
    <t>S02-F07-01-Focus room</t>
  </si>
  <si>
    <t>S02-F07-02-Meeting room</t>
  </si>
  <si>
    <t>S02-F07-03-Open space</t>
  </si>
  <si>
    <t>S02-F09-01-Focus room</t>
  </si>
  <si>
    <t>S02-F09-02-Meeting room</t>
  </si>
  <si>
    <t>S02-F09-03-Open space</t>
  </si>
  <si>
    <t>S02-F11-01-Focus room</t>
  </si>
  <si>
    <t>S02-F11-02-Meeting room</t>
  </si>
  <si>
    <t>S02-F11-03-Open space</t>
  </si>
  <si>
    <t>&lt;0.0005</t>
  </si>
  <si>
    <t>&lt;0.00001</t>
  </si>
  <si>
    <t>&lt;0.0001</t>
  </si>
  <si>
    <t>&lt;0.001</t>
  </si>
  <si>
    <t>&lt;0.0002</t>
  </si>
  <si>
    <t>&lt;0.005</t>
  </si>
  <si>
    <t>&lt;0.015</t>
  </si>
  <si>
    <t>&lt;0.01</t>
  </si>
  <si>
    <t xml:space="preserve">The WELL Building Standard v2.0 pilot (Q4 2020)  </t>
  </si>
  <si>
    <t>Last updated 2021/03/05</t>
  </si>
  <si>
    <t>Preliminary Performance Review</t>
  </si>
  <si>
    <t>Pending Documentation</t>
  </si>
  <si>
    <t xml:space="preserve">Review phase drives additional options. </t>
  </si>
  <si>
    <t>Pending Documentation &amp; On-Site</t>
  </si>
  <si>
    <t>Ensure to fill this out first.</t>
  </si>
  <si>
    <t>Anticipated, Pending On-Site</t>
  </si>
  <si>
    <t>Total Points Attempted</t>
  </si>
  <si>
    <t>P/O</t>
  </si>
  <si>
    <t>Concept</t>
  </si>
  <si>
    <t>Scorecard Points</t>
  </si>
  <si>
    <t>Pursuing</t>
  </si>
  <si>
    <t>Attempted</t>
  </si>
  <si>
    <t>Status</t>
  </si>
  <si>
    <t>Not Ant/Not Ach</t>
  </si>
  <si>
    <t>On-Site</t>
  </si>
  <si>
    <t>Pending Doc</t>
  </si>
  <si>
    <t>Pending doc/On-site</t>
  </si>
  <si>
    <t>Anticipated/achieved</t>
  </si>
  <si>
    <t>Precondition pending</t>
  </si>
  <si>
    <t>Preconditions Pend On-Site Only</t>
  </si>
  <si>
    <t>P</t>
  </si>
  <si>
    <t>A01. Fundamental Air Quality</t>
  </si>
  <si>
    <t>A01.1 Meet Thresholds for Particulate Matter</t>
  </si>
  <si>
    <t>A01.2 Meet Thresholds for Organic Gases</t>
  </si>
  <si>
    <t>A01.3 Meet Thresholds for Inorganic Gases</t>
  </si>
  <si>
    <t>A01.4 Meet Radon Threshold</t>
  </si>
  <si>
    <t>A01.5 Monitor Fundamental Air Parameters</t>
  </si>
  <si>
    <t>A02. Smoke-Free Environment</t>
  </si>
  <si>
    <t>A02.1 Prohibit Indoor Smoking</t>
  </si>
  <si>
    <t>A02.2 Prohibit Outdoor Smoking</t>
  </si>
  <si>
    <t>A03. Ventilation Effectiveness</t>
  </si>
  <si>
    <t>A03.1 Ensure Adequate Ventilation</t>
  </si>
  <si>
    <t>A03.2 Conduct System Balancing</t>
  </si>
  <si>
    <t>A04. Construction Pollution Management</t>
  </si>
  <si>
    <t>A04.1 Mitigate Construction Pollution</t>
  </si>
  <si>
    <t>O</t>
  </si>
  <si>
    <t>A05. Enhanced Air Quality</t>
  </si>
  <si>
    <t>A05.1 / 2 Points Meet Enhanced Thresholds for Particulate Matter</t>
  </si>
  <si>
    <t>A05.2 / 1 Point Meet Enhanced Thresholds for Organic Gases</t>
  </si>
  <si>
    <t>A05.3 / 1 Point Meet Enhanced Thresholds for Inorganic Gases</t>
  </si>
  <si>
    <t>A06. Enhanced Ventilation</t>
  </si>
  <si>
    <t>A06.1 / 3 Points Increase Outdoor Air Supply</t>
  </si>
  <si>
    <t>A06.2 / 3 Points Implement Demand-Controlled Ventilation</t>
  </si>
  <si>
    <t>A06.3 / 1 Point Implement Displacement Ventilation</t>
  </si>
  <si>
    <t>A06.4 / 3 Points Implement Advanced Air Distribution</t>
  </si>
  <si>
    <t>A07. Operable Windows</t>
  </si>
  <si>
    <t>A07.1 / 1 Point Provide Operable Windows</t>
  </si>
  <si>
    <t>A07.2 / 1 Point Manage Window Use</t>
  </si>
  <si>
    <t>A07.3 / 1 Point Apply Universal Design to Windows</t>
  </si>
  <si>
    <t>A08. Air Quality Monitoring and Awareness</t>
  </si>
  <si>
    <t>A08.1 / 1 Point Implement Indoor Air Monitors</t>
  </si>
  <si>
    <t>A08.2 / 1 Point Promote Air Quality Awareness</t>
  </si>
  <si>
    <t>A09. Pollution Infiltration Management</t>
  </si>
  <si>
    <t>A09.1 / 1 Point Design Healthy Envelope and Entryways</t>
  </si>
  <si>
    <t>A10. Combustion Minimization</t>
  </si>
  <si>
    <t>A10.1 / 1 Point Manage Combustion</t>
  </si>
  <si>
    <t>A11. Source Separation</t>
  </si>
  <si>
    <t>A11.1 / 1 Point Manage Pollution and Exhaust</t>
  </si>
  <si>
    <t>A12. Air Filtration</t>
  </si>
  <si>
    <t>A12.1 / 1 Point Implement Particle Filtration</t>
  </si>
  <si>
    <t>A13. Active VOC Control</t>
  </si>
  <si>
    <t>A13.1 / 1 Point Implement Carbon Filtration</t>
  </si>
  <si>
    <t>A14. Microbe and Mold Control</t>
  </si>
  <si>
    <t>A14.1 / 1 Point Implement Ultraviolet Air Treatment</t>
  </si>
  <si>
    <t>A14.2 / 1 Point Manage Condensation and Mold</t>
  </si>
  <si>
    <t>W01. Fundamental Water Quality</t>
  </si>
  <si>
    <t>W01.1 Meet Sediment Thresholds</t>
  </si>
  <si>
    <t>W01.2 Meet Microorganisms Thresholds</t>
  </si>
  <si>
    <t>W01.3 Monitor Fundamental Water Parameters</t>
  </si>
  <si>
    <t>W02. Water Contaminants</t>
  </si>
  <si>
    <t>W02.1 Meet Dissolved Metal Thresholds</t>
  </si>
  <si>
    <t>W02.2 Meet Organic Pollutant Thresholds</t>
  </si>
  <si>
    <t>W02.3 Meet Disinfectant Byproducts Thresholds</t>
  </si>
  <si>
    <t>W02.4 Meet Herbicide and Pesticide Thresholds</t>
  </si>
  <si>
    <t>W02.5 Meet Fertilizer Thresholds</t>
  </si>
  <si>
    <t>W02.6 Meet Public Water Additive Thresholds</t>
  </si>
  <si>
    <t>W02.7 Monitor Water Contaminant Parameters</t>
  </si>
  <si>
    <t>W03. Legionella Control</t>
  </si>
  <si>
    <t>W03.1 Implement Legionella Management Plan</t>
  </si>
  <si>
    <t>W04. Enhanced Water Quality</t>
  </si>
  <si>
    <t>W04.1 / 1 Point Meet Drinking Water Taste Properties</t>
  </si>
  <si>
    <t>W05. Water Quality Consistency</t>
  </si>
  <si>
    <t>W05.1 / 1 Point Test and Display Water Quality</t>
  </si>
  <si>
    <t>W05.2 / 1 Point Filter Drinking Water</t>
  </si>
  <si>
    <t>W06. Drinking Water Promotion</t>
  </si>
  <si>
    <t>W06.1 / 1 Point Ensure Drinking Water Access</t>
  </si>
  <si>
    <t>W07. Moisture Management</t>
  </si>
  <si>
    <t>W07.1 / 1 Point Manage Exterior Liquid Water</t>
  </si>
  <si>
    <t>W07.2 / 1 Point Isolate Moisture-sensitive Materials</t>
  </si>
  <si>
    <t>W07.3 / 1 Point Manage Interior Liquid Water</t>
  </si>
  <si>
    <t>W08. Handwashing</t>
  </si>
  <si>
    <t>W08.1 / 1 Point Provide Adequate Sink</t>
  </si>
  <si>
    <t>W08.2 / 1 Point Provide Handwashing Support</t>
  </si>
  <si>
    <t>W09 Hidden</t>
  </si>
  <si>
    <t>W09. β -  Onsite Non-Potable Water Reuse</t>
  </si>
  <si>
    <t>W09.1 / 1 Point Implement Safety Plan for Non-Potable Water Capture and Reuse</t>
  </si>
  <si>
    <t>NOURISHMENT</t>
  </si>
  <si>
    <t>N01. Fruits and Vegetables</t>
  </si>
  <si>
    <t>N01.1 Ensure Fruit and Vegetable Availability</t>
  </si>
  <si>
    <t>N01.2 Promote Fruit and Vegetable Visibility</t>
  </si>
  <si>
    <t>N02. Nutritional Transparency</t>
  </si>
  <si>
    <t>N02.1 Provide Nutritional Information</t>
  </si>
  <si>
    <t>N02.2 Implement Ingredient Labeling</t>
  </si>
  <si>
    <t>N02.3 Implement Refined Ingredient Labeling</t>
  </si>
  <si>
    <t>N03. Refined Ingredients</t>
  </si>
  <si>
    <t>N03.1 / 1 Point Limit Total Sugars</t>
  </si>
  <si>
    <t>N03.2 / 1 Point Promote Whole Grains</t>
  </si>
  <si>
    <t>N03.3 / 1 Point Manage Oils</t>
  </si>
  <si>
    <t>N04. Food Advertising</t>
  </si>
  <si>
    <t>N04.1 / 1 Point Promote Healthy Nutritional Messaging</t>
  </si>
  <si>
    <t>N04.2 / 1 Point Implement Healthy Menu Design</t>
  </si>
  <si>
    <t>N05. Artificial Ingredients</t>
  </si>
  <si>
    <t>N05.1 / 1 Point Restrict Artificial Ingredients</t>
  </si>
  <si>
    <t>N06. Portion Sizes</t>
  </si>
  <si>
    <t>N06.1 / 1 Point Promote Healthy Portions</t>
  </si>
  <si>
    <t>N07. Nutrition Education</t>
  </si>
  <si>
    <t>N07.1 / 1 Point Provide Nutrition Education</t>
  </si>
  <si>
    <t>N08. Mindful Eating</t>
  </si>
  <si>
    <t>N08.1 / 1 Point Include Designated Eating Space</t>
  </si>
  <si>
    <t>N08.2 / 1 Point Provide Daily Meal Breaks</t>
  </si>
  <si>
    <t>N09. Special Diets</t>
  </si>
  <si>
    <t>N09.1 / 1 Point Manage Allergies and Alternatives</t>
  </si>
  <si>
    <t>N09.2 / 1 Point Implement Enhanced Ingredient Labeling</t>
  </si>
  <si>
    <t>N10. Food Preparation</t>
  </si>
  <si>
    <t>N10.1 / 1 Point Provide Meal Support</t>
  </si>
  <si>
    <t>N11. Responsible Food Sourcing</t>
  </si>
  <si>
    <t>N11.1 / 1 Point Implement Responsible Sourcing</t>
  </si>
  <si>
    <t>N12. Food Production</t>
  </si>
  <si>
    <t>N12.1 / 1 Point Provide Gardening Space</t>
  </si>
  <si>
    <t>N12.2 / 1 Point Provide Planting Support</t>
  </si>
  <si>
    <t>N13. Local Food Environment</t>
  </si>
  <si>
    <t>N13.1 / 1 Point Ensure Food Access</t>
  </si>
  <si>
    <t>N14 Hidden</t>
  </si>
  <si>
    <t>N14. β - Red and Processed Meats</t>
  </si>
  <si>
    <t>N14.1 / 1 Point Limit Red and Processed Meats</t>
  </si>
  <si>
    <t>L01. Light Exposure and Education</t>
  </si>
  <si>
    <t>L01.1 Ensure Indoor Light Exposure</t>
  </si>
  <si>
    <t>L01.2 Promote Lighting Education</t>
  </si>
  <si>
    <t>L02. Visual Lighting Design</t>
  </si>
  <si>
    <t>L02.1 Light Levels for Visual Acuity</t>
  </si>
  <si>
    <t>L03. Circadian Lighting Design</t>
  </si>
  <si>
    <t>L03.1 / 3 Points Lighting for the Circadian System</t>
  </si>
  <si>
    <t>L04. Glare Control</t>
  </si>
  <si>
    <t>L04.1 / 2 Points Control Solar Glare</t>
  </si>
  <si>
    <t>L04.2 / 2 Points Manage Glare from Electric Lighting</t>
  </si>
  <si>
    <t>L05. Enhanced Daylight Access</t>
  </si>
  <si>
    <t>L05.1 / 1 Point Implement Enhanced Daylight Plan</t>
  </si>
  <si>
    <t>L05.2 / 2 Points Implement Enhanced Daylight Simulation</t>
  </si>
  <si>
    <t>L05.3 / 1 Point Ensure Views</t>
  </si>
  <si>
    <t>L06. Visual Balance</t>
  </si>
  <si>
    <t>L06.1 / 1 Point Manage Brightness</t>
  </si>
  <si>
    <t>L07. Electric Light Quality</t>
  </si>
  <si>
    <t>L07.1 / 1 Point Ensure Color Rendering Quality</t>
  </si>
  <si>
    <t>L07.2 / 1 Point Manage Flicker</t>
  </si>
  <si>
    <t>L08. Occupant Control of Lighting Environments</t>
  </si>
  <si>
    <t>L08.1 / 1 Point Enhance Occupant Controllability</t>
  </si>
  <si>
    <t>L08.2 / 1 Point Provide Supplemental Lighting</t>
  </si>
  <si>
    <t>MOVEMENT</t>
  </si>
  <si>
    <t>V01. Active Buildings and Communities</t>
  </si>
  <si>
    <t>V01.1 Design Active Buildings and Communities</t>
  </si>
  <si>
    <t>V02. Visual and Physical Ergonomics</t>
  </si>
  <si>
    <t>V02.1 Support Visual Ergonomics</t>
  </si>
  <si>
    <t>V02.2 Ensure Desk Height Flexibility</t>
  </si>
  <si>
    <t>V02.3 Ensure Seat Flexibility</t>
  </si>
  <si>
    <t>V02.4 Provide Standing Support</t>
  </si>
  <si>
    <t>V02.5 Provide Ergonomics Education</t>
  </si>
  <si>
    <t>V03. Movement Network and Circulation</t>
  </si>
  <si>
    <t>V03.1 / 1 Point Design Aesthetic Circulation Networks</t>
  </si>
  <si>
    <t>V03.2 / 1 Point Integrate Point-of-Decision Signage</t>
  </si>
  <si>
    <t>V03.3 / 1 Point Promote Visible Stairs</t>
  </si>
  <si>
    <t>V04. Active Commuter and Occupant Support</t>
  </si>
  <si>
    <t>V04.1 / 2 Points Provide Bicycle Storage</t>
  </si>
  <si>
    <t>V04.2 / 2 Points Provide Facilities for Active Occupants</t>
  </si>
  <si>
    <t>V05. Site Planning and Selection</t>
  </si>
  <si>
    <t>V05.1 / 2 Points Select Sites with Diverse Uses</t>
  </si>
  <si>
    <t>V05.2 / 2 Points Select Sites with Access to Mass Transit</t>
  </si>
  <si>
    <t>V05.3 / 2 Points Select Sites with Pedestrian Friendly Streets</t>
  </si>
  <si>
    <t>V05.4 / 2 Points Select Sites with Bike Friendly Streets</t>
  </si>
  <si>
    <t>V06. Physical Activity Opportunities</t>
  </si>
  <si>
    <t>V06.1 / 2 Points Implement Activity Programs for Employees</t>
  </si>
  <si>
    <t>V06.2 / 2 Points Implement Activity Programs for Students</t>
  </si>
  <si>
    <t>V07. Active Furnishings</t>
  </si>
  <si>
    <t>V07.1 / 2 Points Provide Active Workstations</t>
  </si>
  <si>
    <t>V08. Physical Activity Spaces and Equipment</t>
  </si>
  <si>
    <t>V08.1 / 1 Point Provide Dedicated Activity Spaces</t>
  </si>
  <si>
    <t>V08.2 / 1 Point Provide Physical Activity Equipment</t>
  </si>
  <si>
    <t>V08.3 / 1 Point Provide Off-Site Activity Spaces</t>
  </si>
  <si>
    <t>V09. Exterior Active Design</t>
  </si>
  <si>
    <t>V09.1 / 1 Point Integrate Active Façades</t>
  </si>
  <si>
    <t>V09.2 / 1 Point Provide On-Site Pedestrian Destinations</t>
  </si>
  <si>
    <t>V10. Enhanced Ergonomics</t>
  </si>
  <si>
    <t>V10.1 / 1 Point Utilize Ergonomic Consultation</t>
  </si>
  <si>
    <t>V10.2/3 Hidden</t>
  </si>
  <si>
    <t>V10.2 ß / 1 Point Commit to Ergonomic Improvement</t>
  </si>
  <si>
    <t>V10.3 ß / 1 Point Support Remote Work Ergonomics</t>
  </si>
  <si>
    <t>V11. Physical Activity Promotion</t>
  </si>
  <si>
    <t>V11.1 / 1 Point Promote Physical Activity</t>
  </si>
  <si>
    <t>V11.2 / 1 Point Promote Participation Awareness</t>
  </si>
  <si>
    <t>V12. Self-Monitoring</t>
  </si>
  <si>
    <t>V12.1 / 1 Point Provide Self-Monitoring Tools</t>
  </si>
  <si>
    <t>T01. Thermal Performance</t>
  </si>
  <si>
    <t>T01.1 Support Thermal Environment</t>
  </si>
  <si>
    <t>T01.2 Monitor Thermal Parameters</t>
  </si>
  <si>
    <t>T02. Enhanced Thermal Performance</t>
  </si>
  <si>
    <t>T02.1 / 1 Point Enhance Thermal Environment</t>
  </si>
  <si>
    <t>T02.2 / 3 Points Achieve Thermal Comfort</t>
  </si>
  <si>
    <t>T03. Thermal Zoning</t>
  </si>
  <si>
    <t>T03.1 / 2 Points Ensure Thermostat Control</t>
  </si>
  <si>
    <t>T03.2 / 1 Point Promote Free Address</t>
  </si>
  <si>
    <t>T04. Individual Thermal Control</t>
  </si>
  <si>
    <t>T04.1 / 3 Points Ensure Personal Thermal Comfort</t>
  </si>
  <si>
    <t>T04.2 / 1 Point Facilitate Thermal Adaptation</t>
  </si>
  <si>
    <t>T05. Radiant Thermal Comfort</t>
  </si>
  <si>
    <t>T05.1 / 1 Point Implement Radiant Systems</t>
  </si>
  <si>
    <t>T05.2 / 1 Point Implement Dedicated Outdoor Air Systems</t>
  </si>
  <si>
    <t>T06. Thermal Comfort Monitoring</t>
  </si>
  <si>
    <t>T06.1 / 1 Point Monitor Thermal Environment</t>
  </si>
  <si>
    <t>T07. Humidity Control</t>
  </si>
  <si>
    <t>T07.1 / 1 Point Manage Relative Humidity</t>
  </si>
  <si>
    <t>T08/T09 Hidden</t>
  </si>
  <si>
    <t>T08. β - Enhanced Operable Windows</t>
  </si>
  <si>
    <t>T08.1 / 1 Point Enhanced Operable Windows</t>
  </si>
  <si>
    <t>T09. β - Outdoor Thermal Comfort</t>
  </si>
  <si>
    <t>T09.1 / 1 Point Manage Outdoor Heat</t>
  </si>
  <si>
    <t>T09.2 / 1 Point Avoid Excessive Wind</t>
  </si>
  <si>
    <t>T09.3 / 1 Point Support Outdoor Nature Access</t>
  </si>
  <si>
    <t>S01. Sound Mapping</t>
  </si>
  <si>
    <t>S01.1 Manage Background Noise Level</t>
  </si>
  <si>
    <t>S01.2 Manage Acoustical Privacy</t>
  </si>
  <si>
    <t>S01.3 Label Acoustic Zones</t>
  </si>
  <si>
    <t>S02. Maximum Noise Levels</t>
  </si>
  <si>
    <t>S02.1 / 3 Points Limit Background Noise Levels</t>
  </si>
  <si>
    <t>S03. Sound Barriers</t>
  </si>
  <si>
    <t>S03.1 / 2 Points Ensure Adequate Wall Construction</t>
  </si>
  <si>
    <t>S03.2 / 1 Point Ensure Proper Door Specifications</t>
  </si>
  <si>
    <t>S04. Sound Absorption</t>
  </si>
  <si>
    <t>S04.1 / 1 Point Meet Thresholds for Reverberation Time</t>
  </si>
  <si>
    <t>S04.2 / 1 Point Implement Sound Reducing Ceilings</t>
  </si>
  <si>
    <t>S04.3 / 1 Point Implement Sound Reducing Vertical Surfaces</t>
  </si>
  <si>
    <t>S05. Sound Masking</t>
  </si>
  <si>
    <t>S05.1 / 2 Points Implement Sound Masking</t>
  </si>
  <si>
    <t>S06/S07 Hidden</t>
  </si>
  <si>
    <t>S06. β - Impact Noise Management</t>
  </si>
  <si>
    <t>S06.1 / 1 Point Specify Impact Noise Reducing Flooring</t>
  </si>
  <si>
    <t xml:space="preserve">S06.2 / 2 Points Meet Thresholds for Impact Noise Rating </t>
  </si>
  <si>
    <t>S07. β - Enhanced Audio Devices</t>
  </si>
  <si>
    <t>S07.1 / 1 Point Provide Enhanced Speech Intelligibility</t>
  </si>
  <si>
    <t>S07.2 / 1 Point Prioritize Audio Devices and Policies</t>
  </si>
  <si>
    <t>MATERIALS</t>
  </si>
  <si>
    <t>X01. Fundamental Material Precautions</t>
  </si>
  <si>
    <t>X01.1 Restrict Asbestos</t>
  </si>
  <si>
    <t>X01.2 Limit Mercury</t>
  </si>
  <si>
    <t>X01.3 Restrict Lead</t>
  </si>
  <si>
    <t>X02. Hazardous Material Abatement</t>
  </si>
  <si>
    <t>X02.1 Manage Asbestos Hazards</t>
  </si>
  <si>
    <t>X02.2 Manage Lead Hazards</t>
  </si>
  <si>
    <t>X02.3 Manage Polychlorinated Biphenyl (PCB) Hazards</t>
  </si>
  <si>
    <t>X03. Outdoor Structures</t>
  </si>
  <si>
    <t>X03.1 Ensure Acceptable Structures</t>
  </si>
  <si>
    <t>X03.2 Manage Exterior Paint and Soil</t>
  </si>
  <si>
    <t>X04. Waste Management</t>
  </si>
  <si>
    <t>X04.1 / 1 Point Manage Hazardous Waste</t>
  </si>
  <si>
    <t>X05. In-Place Management</t>
  </si>
  <si>
    <t>X05.1 / 2 Points Manage Hazardous Materials</t>
  </si>
  <si>
    <t>X06. Site Remediation</t>
  </si>
  <si>
    <t>X06.1 / 2 Points Implement Site Assessment and Cleanup</t>
  </si>
  <si>
    <t>X07. Pesticide Use</t>
  </si>
  <si>
    <t>X07.1 / 1 Point Manage Pesticides</t>
  </si>
  <si>
    <t>X08. Hazardous Material Reduction</t>
  </si>
  <si>
    <t>X08.1 / 1 Point Limit Hazardous Materials</t>
  </si>
  <si>
    <t>X09. Cleaning Products and Protocol</t>
  </si>
  <si>
    <t>X09.1 / 1 Point Ensure Acceptable Cleaning Ingredients</t>
  </si>
  <si>
    <t>X09.2 / 1 Point Implement Acceptable Cleaning Practices</t>
  </si>
  <si>
    <t>X10. Volatile Compound Reduction</t>
  </si>
  <si>
    <t>X10.1 / 2 Points Manage Volatile Organic Compounds</t>
  </si>
  <si>
    <t>X10.2 / 1 Point Manage Semi-Volatile Organic Compounds (SVOCs)</t>
  </si>
  <si>
    <t>X10.3 / 1 Point Purchase Compliant Products</t>
  </si>
  <si>
    <t>X11. Long-Term Emission Control</t>
  </si>
  <si>
    <t>X11.1 / 2 Points Manage Furniture and Furnishings Emissions</t>
  </si>
  <si>
    <t>X11.2 / 1 Point Manage Flooring and Insulation Emissions</t>
  </si>
  <si>
    <t>X12. Short-Term Emission Control</t>
  </si>
  <si>
    <t>X12.1 / 3 Points Manage Product Emissions: Adhesives, Sealants, Paints and Coatings</t>
  </si>
  <si>
    <t>X12.2 / 2 Points Manage Product Content: Adhesives, Sealants, Paints and Coatings</t>
  </si>
  <si>
    <t>X13. Enhanced Material Precaution</t>
  </si>
  <si>
    <t>X13.1 / 2 Points Select Optimized Materials</t>
  </si>
  <si>
    <t>X14. Material Transparency</t>
  </si>
  <si>
    <t>X14.1 / 2 Points Promote Ingredient Disclosure</t>
  </si>
  <si>
    <t>X15 Hidden</t>
  </si>
  <si>
    <t>X15. β - Contact Reduction</t>
  </si>
  <si>
    <t>X15.1 / 1 Point Reduce Respiratory Particle Exposure</t>
  </si>
  <si>
    <t>X15.2 / 1 Point Address Surface Hand Touch</t>
  </si>
  <si>
    <t>MIND</t>
  </si>
  <si>
    <t>M01. Mental Health Promotion</t>
  </si>
  <si>
    <t>M01.1 Commit to Mental Health Promotion</t>
  </si>
  <si>
    <t>M01.2 Promote Mental Health Literacy</t>
  </si>
  <si>
    <t>M02. Access to Nature</t>
  </si>
  <si>
    <t>M02.1 / 1 Point Provide Access to Nature</t>
  </si>
  <si>
    <t>M03. Mental Health Support</t>
  </si>
  <si>
    <t>M03.1 / 1 Point Provide Mental Health Screening</t>
  </si>
  <si>
    <t>M03.2 / 1 Point Provide Mental Health Coverage</t>
  </si>
  <si>
    <t>M03.3 / 1 Point Provide Workplace Support</t>
  </si>
  <si>
    <t>M03.4 Hidden</t>
  </si>
  <si>
    <t>M03.4 β / 1 Point Support Mental Health Recovery</t>
  </si>
  <si>
    <t>M04. Mental Health Education</t>
  </si>
  <si>
    <t>M04.1 / 1 Point Offer Mental Health Education</t>
  </si>
  <si>
    <t>M04.2 / 1 Point Offer Mental Health Education for Managers</t>
  </si>
  <si>
    <t>M05. Stress Support</t>
  </si>
  <si>
    <t>M05.1 / 1 Point Develop Stress Management Plan</t>
  </si>
  <si>
    <t>M05.2 / 1 Point Support Stress Management Programs</t>
  </si>
  <si>
    <t>M06. Restorative Opportunities</t>
  </si>
  <si>
    <t>M06.1 / 1 Point Provide Micro- and Macro-Breaks</t>
  </si>
  <si>
    <t>M07. Restorative Spaces</t>
  </si>
  <si>
    <t>M07.1 / 1 Point Provide Restorative Indoor Spaces</t>
  </si>
  <si>
    <t>M07.2 / 1 Point Provide Restorative Outdoor Spaces</t>
  </si>
  <si>
    <t>M08. Restorative Programming</t>
  </si>
  <si>
    <t>M08.1 / 1 Point Provide Restorative Programming</t>
  </si>
  <si>
    <t>M09. Enhanced Access to Nature</t>
  </si>
  <si>
    <t>M09.1 / 1 Point Provide Enhanced Access to Nature</t>
  </si>
  <si>
    <t>M10. Focus Support</t>
  </si>
  <si>
    <t>M10.1 / 1 Point Assess Work Environment</t>
  </si>
  <si>
    <t>M10.2 / 1 Point Integrate Space Management</t>
  </si>
  <si>
    <t>M11. Sleep Support</t>
  </si>
  <si>
    <t>M11.1 / 1 Point Provide Workplace Sleep Support</t>
  </si>
  <si>
    <t>M11.2 / 1 Point Provide Non-Workplace Sleep Support</t>
  </si>
  <si>
    <t>M12. Business Travel</t>
  </si>
  <si>
    <t>M12.1 / 1 Point Provide Business Travel Support</t>
  </si>
  <si>
    <t>M13. Tobacco Prevention and Cessation</t>
  </si>
  <si>
    <t>M13.1 / 1 Point Promote Tobacco Prevention</t>
  </si>
  <si>
    <t>M13.2 / 2 Points Support Tobacco Cessation</t>
  </si>
  <si>
    <t>M14. Substance Use Education and Services</t>
  </si>
  <si>
    <t>M14.1 / 1 Point Promote Substance Abuse Prevention and Education</t>
  </si>
  <si>
    <t>M14.2 / 2 Points Provide Access to Substance Use Services</t>
  </si>
  <si>
    <t>M15. Opioid Emergency Response Plan</t>
  </si>
  <si>
    <t>M15.1 / 3 Points Provide Opioid Emergency Response Kits and Training</t>
  </si>
  <si>
    <t>COMMUNITY</t>
  </si>
  <si>
    <t>C01. Health and Wellness Awareness</t>
  </si>
  <si>
    <t>C01.1 Provide WELL Feature Guide</t>
  </si>
  <si>
    <t>C01.2 Promote Health and Wellness Education</t>
  </si>
  <si>
    <t>C02. Integrative Design</t>
  </si>
  <si>
    <t>C02.1 Facilitate Stakeholder Charrette</t>
  </si>
  <si>
    <t>C02.2 Integrate Beauty and Design</t>
  </si>
  <si>
    <t>C02.3 Promote Health-Oriented Mission</t>
  </si>
  <si>
    <t>C02.4 Facilitate Stakeholder Orientation</t>
  </si>
  <si>
    <t>C03. Occupant Survey</t>
  </si>
  <si>
    <t>C03.1 Select Project Survey</t>
  </si>
  <si>
    <t>C03.2 Administer Survey and Report Results</t>
  </si>
  <si>
    <t>C04. Enhanced Occupant Survey</t>
  </si>
  <si>
    <t>C04.1 / 1 Point Select Enhanced Survey</t>
  </si>
  <si>
    <t>C04.2 / 1 Point Administer Pre-Occupancy Survey and Report Results</t>
  </si>
  <si>
    <t>C04.3 / 1 Point Monitor Survey Responses</t>
  </si>
  <si>
    <t>C04.4 / 1 Point Facilitate Interviews and Focus Groups</t>
  </si>
  <si>
    <t>C05. Health Services and Benefits</t>
  </si>
  <si>
    <t>C05.1 / 2 Points Promote Health Benefits</t>
  </si>
  <si>
    <t>C05.2 / 1 Point Offer On-Demand Health Services</t>
  </si>
  <si>
    <t>C06. Health Promotion</t>
  </si>
  <si>
    <t>C06.1 / 2 Points Promote Culture of Health</t>
  </si>
  <si>
    <t>C06.2 / 1 Point Offer Health Risk Assessments</t>
  </si>
  <si>
    <t>C07. Community Immunity</t>
  </si>
  <si>
    <t>C07.1 / 1 Point Promote Seasonal Flu Prevention</t>
  </si>
  <si>
    <t>C07.2 / 1 Point Implement Immunization Schedule</t>
  </si>
  <si>
    <t>C08. New Parent Support</t>
  </si>
  <si>
    <t>C08.1 / 3 Points Offer New Parent Leave</t>
  </si>
  <si>
    <t>C08.2 / 1 Point Promote Workplace Support</t>
  </si>
  <si>
    <t>C09. New Mother Support</t>
  </si>
  <si>
    <t>C09.1 / 1 Point Offer Workplace Breastfeeding Support</t>
  </si>
  <si>
    <t>C09.2 / 2 Points Design Lactation Room</t>
  </si>
  <si>
    <t>C09.3 / 1 Point Promote Breastfeeding Education and Support</t>
  </si>
  <si>
    <t>C10. Family Support</t>
  </si>
  <si>
    <t>C10.1 / 1 Point Offer Childcare Support</t>
  </si>
  <si>
    <t>C10.2 / 1 Point Offer Eldercare Support</t>
  </si>
  <si>
    <t>C10.3 / 1 Point Offer Family Leave</t>
  </si>
  <si>
    <t>C10.4 / 1 Point Offer Bereavement Support</t>
  </si>
  <si>
    <t>C11. Civic Engagement</t>
  </si>
  <si>
    <t>C11.1 / 1 Point Promote Civic Engagement</t>
  </si>
  <si>
    <t>C12. Organizational Transparency</t>
  </si>
  <si>
    <t>C12.1 / 2 Points Promote Equity Program Participation</t>
  </si>
  <si>
    <t>C13. Accessibility and Universal Design</t>
  </si>
  <si>
    <t>C13.1 / 1 Point Ensure Essential Accessibility</t>
  </si>
  <si>
    <t>C13.2 / 2 Points Integrate Universal Design</t>
  </si>
  <si>
    <t>C14. Bathroom Accommodations</t>
  </si>
  <si>
    <t>C14.1 / 1 Point Provide Essential Accommodations</t>
  </si>
  <si>
    <t>C14.2 / 1 Point Provide Single-User Bathrooms</t>
  </si>
  <si>
    <t>C14.3 / 1 Point Provide Family Bathrooms</t>
  </si>
  <si>
    <t>C15. Emergency Preparedness</t>
  </si>
  <si>
    <t>C15.1 / 1 Point Develop Emergency Preparedness Plan</t>
  </si>
  <si>
    <t>C15.2 / 2 Points Promote Emergency Resources</t>
  </si>
  <si>
    <t>C16. Community Access and Engagement</t>
  </si>
  <si>
    <t>C16.1 / 1 Point Provide Community Space</t>
  </si>
  <si>
    <t>C17/C18/C19/C20 Hidden</t>
  </si>
  <si>
    <t>C17.  β  - Housing Equity</t>
  </si>
  <si>
    <t>C17.1 / 2 Points Unit Allocation</t>
  </si>
  <si>
    <t>C18.  β  - Emergency Resilience and Recovery</t>
  </si>
  <si>
    <t>C18.1 / 1 Point Promote Business Continuity</t>
  </si>
  <si>
    <t>C18.2 / 1 Point Support Emergency Resilience</t>
  </si>
  <si>
    <t>C18.3 / 1 Point Facilitate Healthy Re-Entry</t>
  </si>
  <si>
    <t>C19.  β  - Responsible Labor Practices</t>
  </si>
  <si>
    <t>C19.1 / 1 Point Disclose Labor Practices</t>
  </si>
  <si>
    <t>C20. β - Support for Victims of Domestic Violence</t>
  </si>
  <si>
    <t>C20.1 / 2 Points Support Victims of Domestic Violence</t>
  </si>
  <si>
    <t>INNOVATIONS</t>
  </si>
  <si>
    <t>I01. Innovate WELL</t>
  </si>
  <si>
    <t>I01.1 / 10 Points Propose Innovations</t>
  </si>
  <si>
    <t>I02. WELL Accredited Professional (WELL AP)</t>
  </si>
  <si>
    <t>I02.1 / 1 Point WELL AP</t>
  </si>
  <si>
    <t>I03. Educate WELL</t>
  </si>
  <si>
    <t>I03.1 / 1 Point Offer WELL Educational Tours</t>
  </si>
  <si>
    <t>I04. Gateways to Wellness</t>
  </si>
  <si>
    <t>I04.1 / 1 Point Complete Health and Wellness Program</t>
  </si>
  <si>
    <t>I05. Green Building Rating Systems</t>
  </si>
  <si>
    <t>I05.1 / 5 Points Achieve Sustainable Building Certification</t>
  </si>
  <si>
    <t>I06. β - Carbon Disclosure and Reduction</t>
  </si>
  <si>
    <t>I06.1 / 2 Points Carbon Inventory</t>
  </si>
  <si>
    <t>I06.2 / 3 Points Carbon Reduction Goal</t>
  </si>
  <si>
    <t>I06.3 / 3 Points Carbon Reduction</t>
  </si>
  <si>
    <t>I06.4 / 2 Points Carbon Neutral</t>
  </si>
  <si>
    <t>Hide these columns before printing to PDF</t>
  </si>
  <si>
    <t xml:space="preserve"> Points Attempted</t>
  </si>
  <si>
    <t>Review Comment</t>
  </si>
  <si>
    <t xml:space="preserve">General Project Observations: 
</t>
  </si>
  <si>
    <t>Status and TA
MISMATCH</t>
  </si>
  <si>
    <t>PV and Status MISMATCH</t>
  </si>
  <si>
    <t>Anticipated/PV MISMATCH</t>
  </si>
  <si>
    <t>Not Attempted and Comment MISMATCH</t>
  </si>
  <si>
    <t>TA Match</t>
  </si>
  <si>
    <t>TA Status</t>
  </si>
  <si>
    <t>PV Match</t>
  </si>
  <si>
    <t>PV Status</t>
  </si>
  <si>
    <t>Special Rule Flags</t>
  </si>
  <si>
    <t xml:space="preserve">Air General Observations: </t>
  </si>
  <si>
    <t>A01.1
Meet Thresholds for Particulate Matter</t>
  </si>
  <si>
    <t>Required</t>
  </si>
  <si>
    <t>A01.2
Meet Thresholds for Organic Gases</t>
  </si>
  <si>
    <t>A01.3
Meet Thresholds for Inorganic Gases</t>
  </si>
  <si>
    <t>A01.4
Meet Radon Threshold</t>
  </si>
  <si>
    <r>
      <t xml:space="preserve">PRELIMINARY DOCUMENTATION REVIEW:
</t>
    </r>
    <r>
      <rPr>
        <sz val="12"/>
        <color rgb="FF000000"/>
        <rFont val="Arial"/>
        <family val="2"/>
      </rPr>
      <t xml:space="preserve">Documentation has been provided. 
</t>
    </r>
  </si>
  <si>
    <t>A01.5
Monitor Fundamental Air Parameters</t>
  </si>
  <si>
    <r>
      <t xml:space="preserve">PRELIMINARY DOCUMENTATION REVIEW:
</t>
    </r>
    <r>
      <rPr>
        <sz val="12"/>
        <color rgb="FF000000"/>
        <rFont val="Arial"/>
        <family val="2"/>
      </rPr>
      <t xml:space="preserve">Documentation has been provided. 
Note the following.
I. Ensure that air testing records will be provided through WELL Online annually.
</t>
    </r>
  </si>
  <si>
    <t>A02.1
Prohibit Indoor Smoking</t>
  </si>
  <si>
    <t>A02.2
Prohibit Outdoor Smoking</t>
  </si>
  <si>
    <t>A03.1
Ensure Adequate Ventilation</t>
  </si>
  <si>
    <t>A03.2
Conduct System Balancing for All Spaces</t>
  </si>
  <si>
    <t>A04.1
Mitigate Construction Pollution</t>
  </si>
  <si>
    <t>A05.1 / 2 Points 
Meet Enhanced Thresholds for Particulate Matter</t>
  </si>
  <si>
    <t>A05.2 / 1 Point 
Meet Enhanced Thresholds for Organic Gases</t>
  </si>
  <si>
    <t>Not Attempted</t>
  </si>
  <si>
    <r>
      <rPr>
        <b/>
        <sz val="12"/>
        <color rgb="FF000000"/>
        <rFont val="Arial"/>
        <family val="2"/>
      </rPr>
      <t>PRELIMINARY DOCUMENTATION REVIEW:</t>
    </r>
    <r>
      <rPr>
        <sz val="12"/>
        <color rgb="FF000000"/>
        <rFont val="Arial"/>
        <family val="2"/>
      </rPr>
      <t xml:space="preserve">
This part has not been attempted.
</t>
    </r>
  </si>
  <si>
    <t>A05.3 / 1 Point 
Meet Enhanced Thresholds for Inorganic Gases</t>
  </si>
  <si>
    <t>A06.1 / 3 Points 
Increase Outdoor Air Supply</t>
  </si>
  <si>
    <t>A06.2 / 3 Points 
Implement Demand-Controlled Ventilation</t>
  </si>
  <si>
    <t>A06.3 / 1 Point 
Implement Displacement Ventilation</t>
  </si>
  <si>
    <t>A06.4 / 3 Points 
Implement Advanced Air Distribution</t>
  </si>
  <si>
    <t>A07.1 / 1 Point 
Provide Operable Windows</t>
  </si>
  <si>
    <t>A07.2 / 1 Point 
Manage Window Use</t>
  </si>
  <si>
    <t>A07.3 / 1 Point 
Apply Universal Design to Windows</t>
  </si>
  <si>
    <t>A08.1 / 1 Point 
Implement Indoor Air Monitors</t>
  </si>
  <si>
    <t>A08.2 / 1 Point 
Promote Air Quality Awareness</t>
  </si>
  <si>
    <t>A09.1 / 1 Point 
Design Healthy Envelope and Entryways</t>
  </si>
  <si>
    <t>A10.1 / 1 Point 
Manage Combustion</t>
  </si>
  <si>
    <t>A11.1 / 1 Point 
Manage Pollution and Exhaust</t>
  </si>
  <si>
    <t>A12.1 / 1 Point 
Implement Particle Filtration</t>
  </si>
  <si>
    <t>A13.1 / 1 Point 
Implement Carbon Filtration</t>
  </si>
  <si>
    <t>A14.1 / 1 Point 
Implement Ultraviolet Air Treatment</t>
  </si>
  <si>
    <t>A14.2 / 1 Point 
Manage Condensation and Mold</t>
  </si>
  <si>
    <r>
      <t xml:space="preserve">PRELIMINARY DOCUMENTATION REVIEW:
</t>
    </r>
    <r>
      <rPr>
        <sz val="12"/>
        <color rgb="FF000000"/>
        <rFont val="Arial"/>
        <family val="2"/>
      </rPr>
      <t xml:space="preserve">Documentation has been provided. 
Note the following.
I. Ensure that maintenance and/or replacement records for the ultraviolet device will be provided through WELL Online annually.
</t>
    </r>
  </si>
  <si>
    <t xml:space="preserve">Water General Observations: </t>
  </si>
  <si>
    <t>W01.1
Meet Sediment Thresholds</t>
  </si>
  <si>
    <t>W01.2
Meet Microorganisms Thresholds</t>
  </si>
  <si>
    <t>W01.3
Monitor Fundamental Water Parameters</t>
  </si>
  <si>
    <t>W02.1
Meet Dissolved Metal Thresholds</t>
  </si>
  <si>
    <t>W02.2
Meet Organic Pollutant Thresholds</t>
  </si>
  <si>
    <t>W02.3
Meet Disinfectant Byproducts Thresholds</t>
  </si>
  <si>
    <t>W02.4
Meet Herbicide and Pesticide Thresholds</t>
  </si>
  <si>
    <t>W02.5
Meet Fertilizer Thresholds</t>
  </si>
  <si>
    <t>W02.6
Meet Public Water Additive Thresholds</t>
  </si>
  <si>
    <t>W02.7
Monitor Water Contaminant Parameters</t>
  </si>
  <si>
    <t>W03.1
Implement Legionella Management Plan</t>
  </si>
  <si>
    <r>
      <rPr>
        <b/>
        <sz val="12"/>
        <color rgb="FF000000"/>
        <rFont val="Arial"/>
        <family val="2"/>
      </rPr>
      <t>PRELIMINARY DOCUMENTATION REVIEW:</t>
    </r>
    <r>
      <rPr>
        <sz val="12"/>
        <color rgb="FF000000"/>
        <rFont val="Arial"/>
        <family val="2"/>
      </rPr>
      <t xml:space="preserve">
Documentation has been provided. 
</t>
    </r>
  </si>
  <si>
    <t>W04.1 / 1 Point 
Meet Drinking Water Taste Properties</t>
  </si>
  <si>
    <t>W05.1 / 1 Point 
Test and Display Water Quality</t>
  </si>
  <si>
    <t>W05.2 / 1 Point 
Filter Drinking Water</t>
  </si>
  <si>
    <t>W06.1 / 1 Point 
Ensure Drinking Water Access</t>
  </si>
  <si>
    <t>W07.1 / 1 Point 
Manage Exterior Liquid Water</t>
  </si>
  <si>
    <t>W07.2 / 1 Point 
Isolate Moisture-sensitive Materials</t>
  </si>
  <si>
    <t>W07.3 / 1 Point 
Manage Interior Liquid Water</t>
  </si>
  <si>
    <t>W08.1 / 1 Point 
Provide Adequate Sink</t>
  </si>
  <si>
    <t>W08.2 / 1 Point 
Provide Handwashing Support</t>
  </si>
  <si>
    <t>W09. β - Onsite Non-Potable Water Reuse</t>
  </si>
  <si>
    <t xml:space="preserve">W09.1 / 1 Point
Implement Safety Plan for Non-Potable Water Capture and Reuse
</t>
  </si>
  <si>
    <t xml:space="preserve">Nourishment General Observations: </t>
  </si>
  <si>
    <t>N01.1
Ensure Fruit and Vegetable Availability</t>
  </si>
  <si>
    <t>N01.2
Promote Fruit and Vegetable Visibility</t>
  </si>
  <si>
    <t>N02.1
Provide Nutritional Information</t>
  </si>
  <si>
    <t>N02.2
Implement Ingredient Labeling</t>
  </si>
  <si>
    <t>N02.3
Implement Refined Ingredient Labeling</t>
  </si>
  <si>
    <t>N03.1 / 1 Point 
Limit Total Sugars</t>
  </si>
  <si>
    <t>N03.2 / 1 Point 
Promote Whole Grains</t>
  </si>
  <si>
    <t>N03.3 / 1 Point 
Manage Oils</t>
  </si>
  <si>
    <t>N04.1 / 1 Point 
Promote Healthy Nutritional Messaging</t>
  </si>
  <si>
    <t>N04.2 / 1 Point 
Implement Healthy Menu Design</t>
  </si>
  <si>
    <t>N05.1 / 1 Point 
Restrict Artificial Ingredients</t>
  </si>
  <si>
    <t>N06.1 / 1 Point 
Promote Healthy Portions</t>
  </si>
  <si>
    <t>N07.1 / 1 Point 
Provide Nutrition Education</t>
  </si>
  <si>
    <t>N08.1 / 1 Point 
Include Designated Eating Space</t>
  </si>
  <si>
    <t>N08.2 / 1 Point 
Provide Daily Meal Breaks</t>
  </si>
  <si>
    <t>N09.1 / 1 Point 
Manage Allergies and Alternatives</t>
  </si>
  <si>
    <t>N09.2 / 1 Point 
Implement Enhanced Ingredient Labeling</t>
  </si>
  <si>
    <t>N10.1 / 1 Point 
Provide Meal Support</t>
  </si>
  <si>
    <t>N11.1 / 1 Point 
Implement Responsible Sourcing</t>
  </si>
  <si>
    <t>N12.1 / 1 Point 
Provide Gardening Space</t>
  </si>
  <si>
    <t>N12.2 / 1 Point 
Provide Planting Support</t>
  </si>
  <si>
    <t>N13.1 / 1 Point 
Ensure Food Access</t>
  </si>
  <si>
    <t>N14.1 / 1 Point
Limit Red and Processed Meats</t>
  </si>
  <si>
    <t xml:space="preserve">Light General Observations: </t>
  </si>
  <si>
    <t>L01.1
Ensure Indoor Light Exposure</t>
  </si>
  <si>
    <t>L01.2
Promote Lighting Education</t>
  </si>
  <si>
    <r>
      <rPr>
        <b/>
        <sz val="12"/>
        <color rgb="FF000000"/>
        <rFont val="Arial"/>
        <family val="2"/>
      </rPr>
      <t xml:space="preserve">FINAL DOCUMENTATION REVIEW:
</t>
    </r>
    <r>
      <rPr>
        <sz val="12"/>
        <color rgb="FF000000"/>
        <rFont val="Arial"/>
        <family val="2"/>
      </rPr>
      <t>Additional documentation has been provided.</t>
    </r>
    <r>
      <rPr>
        <b/>
        <sz val="12"/>
        <color rgb="FF000000"/>
        <rFont val="Arial"/>
        <family val="2"/>
      </rPr>
      <t xml:space="preserve">
PRELIMINARY DOCUMENTATION REVIEW:</t>
    </r>
    <r>
      <rPr>
        <sz val="12"/>
        <color rgb="FF000000"/>
        <rFont val="Arial"/>
        <family val="2"/>
      </rPr>
      <t xml:space="preserve">
Documentation has been provided. However, to demonstrate compliance, the following must be addressed.
COMMENTS TO BE ADDRESSED
1. While educational materials have been provided, it is unclear which second requirement has been met. Provide a revised narrative to demonstrate compliance with the requirements for Part 2a or 2b.
</t>
    </r>
  </si>
  <si>
    <t>L02.1
Light Levels for Visual Acuity</t>
  </si>
  <si>
    <t>L03.1 / 3 Points 
Lighting for the Circadian System</t>
  </si>
  <si>
    <t>L04.1 / 2 Points 
Control Solar Glare</t>
  </si>
  <si>
    <t>L04.2 / 2 Points 
Manage Glare from Electric Lighting</t>
  </si>
  <si>
    <t>L05.1 / 1 Point 
Implement Enhanced Daylight Plan</t>
  </si>
  <si>
    <t>L05.2 / 2 Points 
Implement Enhanced Daylight Simulation</t>
  </si>
  <si>
    <t>L05.3 / 1 Point 
Ensure Views</t>
  </si>
  <si>
    <t>L06.1 / 1 Point 
Manage Brightness</t>
  </si>
  <si>
    <t>L07.1 / 1 Point 
Ensure Color Rendering Quality</t>
  </si>
  <si>
    <t>L07.2 / 1 Point 
Manage Flicker</t>
  </si>
  <si>
    <t>L08.1 / 1 Point 
Enhance Occupant Controllability</t>
  </si>
  <si>
    <t>L08.2 / 1 Point 
Provide Supplemental Lighting</t>
  </si>
  <si>
    <t xml:space="preserve">Movement General Observations: </t>
  </si>
  <si>
    <t>V01.1
Design Active Buildings and Communities</t>
  </si>
  <si>
    <r>
      <rPr>
        <b/>
        <sz val="12"/>
        <color rgb="FF000000"/>
        <rFont val="Arial"/>
        <family val="2"/>
      </rPr>
      <t>PRELIMINARY DOCUMENTATION REVIEW:</t>
    </r>
    <r>
      <rPr>
        <sz val="12"/>
        <color rgb="FF000000"/>
        <rFont val="Arial"/>
        <family val="2"/>
      </rPr>
      <t xml:space="preserve">
This part has no required documentation. 
Note the following.
I. This feature is dependent on achieving at least one point under Feature V03: Movement Network and Circulation, Feature V04: Active Commuter and Occupant Support, Feature V05: Site Planning and Selection, Feature V08: Physical Activity Spaces and Equipment, or Feature V09: Exterior Active Design.
</t>
    </r>
  </si>
  <si>
    <t>V02.1
Support Visual Ergonomics</t>
  </si>
  <si>
    <t>V02.2
Ensure Desk Height Flexibility</t>
  </si>
  <si>
    <t>V02.3
Ensure Seat Flexibility</t>
  </si>
  <si>
    <t>V02.4
Provide Standing Support</t>
  </si>
  <si>
    <t>V02.5
Provide Ergonomics Education</t>
  </si>
  <si>
    <t>V03.1 / 1 Point 
Design Aesthetic Circulation Networks</t>
  </si>
  <si>
    <t>V03.2 / 1 Point 
Integrate Point-of-Decision Signage</t>
  </si>
  <si>
    <t>V03.3 / 1 Point 
Promote Visible Stairs</t>
  </si>
  <si>
    <t>V04.1 / 2 Points 
Provide Bicycle Storage</t>
  </si>
  <si>
    <t>V04.2 / 2 Points 
Provide Facilities for Active Occupants</t>
  </si>
  <si>
    <t>V05.1 / 2 Points 
Select Sites with Diverse Uses</t>
  </si>
  <si>
    <t>V05.2 / 2 Points 
Select Sites with Access to Mass Transit</t>
  </si>
  <si>
    <r>
      <rPr>
        <b/>
        <sz val="12"/>
        <color rgb="FF000000"/>
        <rFont val="Arial"/>
        <family val="2"/>
      </rPr>
      <t>PRELIMINARY DOCUMENTATION REVIEW:</t>
    </r>
    <r>
      <rPr>
        <sz val="12"/>
        <color rgb="FF000000"/>
        <rFont val="Arial"/>
        <family val="2"/>
      </rPr>
      <t xml:space="preserve">
Documentation has been provided. 
Note the following.
I. Due to point limits for this feature, only one point may be earned for this part. If both parts are achieved, only one point will be reflected at the Performance Review phase for this part. 
</t>
    </r>
  </si>
  <si>
    <t>V05.3 / 2 Points 
Select Sites with Pedestrian Friendly Streets</t>
  </si>
  <si>
    <t>V05.4 / 2 Points 
Select Sites with Bike Friendly Streets</t>
  </si>
  <si>
    <t>V06.1 / 2 Points 
Implement Activity Programs for Employees</t>
  </si>
  <si>
    <t>V06.2 / 2 Points 
Implement Activity Programs for Students</t>
  </si>
  <si>
    <t>V07.1 / 2 Points 
Provide Active Workstations</t>
  </si>
  <si>
    <t>V08.1 / 1 Point 
Provide Dedicated Activity Spaces</t>
  </si>
  <si>
    <t>V08.2 / 1 Point 
Provide Physical Activity Equipment</t>
  </si>
  <si>
    <t>V08.3 / 1 Point 
Provide Off-Site Activity Spaces</t>
  </si>
  <si>
    <r>
      <rPr>
        <b/>
        <sz val="12"/>
        <color rgb="FF000000"/>
        <rFont val="Arial"/>
        <family val="2"/>
      </rPr>
      <t>FINAL DOCUMENTATION REVIEW:</t>
    </r>
    <r>
      <rPr>
        <sz val="12"/>
        <color rgb="FF000000"/>
        <rFont val="Arial"/>
        <family val="2"/>
      </rPr>
      <t xml:space="preserve">
This part was submitted for initial review during the Final Documentation Review. Documentation has been provided.
</t>
    </r>
    <r>
      <rPr>
        <b/>
        <sz val="12"/>
        <color rgb="FF000000"/>
        <rFont val="Arial"/>
        <family val="2"/>
      </rPr>
      <t>PRELIMINARY DOCUMENTATION REVIEW:</t>
    </r>
    <r>
      <rPr>
        <sz val="12"/>
        <color rgb="FF000000"/>
        <rFont val="Arial"/>
        <family val="2"/>
      </rPr>
      <t xml:space="preserve">
This part has not been attempted.
</t>
    </r>
  </si>
  <si>
    <t>V09.1 / 1 Point 
Integrate Active Façades</t>
  </si>
  <si>
    <t>V09.2 / 1 Point 
Provide On-Site Pedestrian Destinations</t>
  </si>
  <si>
    <t>V10.1 / 1 Point 
Utilize Ergonomic Consultation</t>
  </si>
  <si>
    <t>V10.2 ß / 1 Point 
Commit to Ergonomic Improvement</t>
  </si>
  <si>
    <t>V10.3 ß / 1 Point
Support Remote Work Ergonomics</t>
  </si>
  <si>
    <t>V11.1 / 1 Point 
Promote Physical Activity</t>
  </si>
  <si>
    <t>V11.2 / 1 Point 
Promote Participation Awareness</t>
  </si>
  <si>
    <t>V12.1 / 1 Point 
Provide Self-Monitoring Tools</t>
  </si>
  <si>
    <t xml:space="preserve">Thermal Comfort General Observations: </t>
  </si>
  <si>
    <t>T01.1
Support Thermal Environment</t>
  </si>
  <si>
    <t>T01.2
Monitor Thermal Parameters</t>
  </si>
  <si>
    <r>
      <rPr>
        <b/>
        <sz val="12"/>
        <color rgb="FF000000"/>
        <rFont val="Arial"/>
        <family val="2"/>
      </rPr>
      <t>PRELIMINARY DOCUMENTATION REVIEW:</t>
    </r>
    <r>
      <rPr>
        <sz val="12"/>
        <color rgb="FF000000"/>
        <rFont val="Arial"/>
        <family val="2"/>
      </rPr>
      <t xml:space="preserve">
Documentation has been provided. 
Note the following.
I. Ensure thermal parameters are monitored at intervals no less than twice a year (once in winter and once in summer season), and results are annually submitted through WELL Online. 
</t>
    </r>
  </si>
  <si>
    <t>T02.1 / 1 Point 
Enhance Thermal Environment</t>
  </si>
  <si>
    <t>T02.2 / 3 Points 
Achieve Thermal Comfort</t>
  </si>
  <si>
    <t>Withdrawn</t>
  </si>
  <si>
    <r>
      <rPr>
        <b/>
        <sz val="12"/>
        <color rgb="FF000000"/>
        <rFont val="Arial"/>
        <family val="2"/>
      </rPr>
      <t xml:space="preserve">FINAL DOCUMENTATION REVIEW:
</t>
    </r>
    <r>
      <rPr>
        <sz val="12"/>
        <color rgb="FF000000"/>
        <rFont val="Arial"/>
        <family val="2"/>
      </rPr>
      <t xml:space="preserve">This part has been withdrawn.
</t>
    </r>
    <r>
      <rPr>
        <b/>
        <sz val="12"/>
        <color rgb="FF000000"/>
        <rFont val="Arial"/>
        <family val="2"/>
      </rPr>
      <t xml:space="preserve">
PRELIMINARY DOCUMENTATION REVIEW:</t>
    </r>
    <r>
      <rPr>
        <sz val="12"/>
        <color rgb="FF000000"/>
        <rFont val="Arial"/>
        <family val="2"/>
      </rPr>
      <t xml:space="preserve">
Documentation has been provided. However, to demonstrate compliance, the following must be addressed.
COMMENTS TO BE ADDRESSED
1. While a sample survey has been provided, it is unclear if a survey was conducted once six months had passed after the occupants moved into the space. Provide the survey results and satisfaction calculation to demonstrate compliance with the requirements for Parts 2b and 2d.
Note the following.
I. Ensure the survey will be administered at least twice a year; including once in June, July, or August and once in December, January, or February.
II. Due to point limits for this feature, only two points may be earned for this part. If all parts are achieved, only two points will be reflected at the Performance Review phase for this part.
</t>
    </r>
  </si>
  <si>
    <t>T03.1 / 2 Points 
Ensure Thermostat Control</t>
  </si>
  <si>
    <t>T03.2 / 1 Point 
Promote Free Address</t>
  </si>
  <si>
    <t>T04.1 / 3 Points 
Ensure Personal Thermal Comfort</t>
  </si>
  <si>
    <t>T04.2 / 1 Point 
Facilitate Thermal Adaptation</t>
  </si>
  <si>
    <t>T05.1 / 1 Point 
Implement Radiant Systems</t>
  </si>
  <si>
    <t>T05.2 / 1 Point 
Implement Dedicated Outdoor Air Systems</t>
  </si>
  <si>
    <t>T06.1 / 1 Point 
Monitor Thermal Environment</t>
  </si>
  <si>
    <t>T07.1 / 1 Point 
Manage Relative Humidity</t>
  </si>
  <si>
    <t>T09/T09 Hidden</t>
  </si>
  <si>
    <t>T08.1 / 1 Point
Enhanced Operable Windows</t>
  </si>
  <si>
    <t>T09.1 / 1 Point
 Manage Outdoor Heat</t>
  </si>
  <si>
    <t>T09.2 / 1 Point
Avoid Excessive Wind</t>
  </si>
  <si>
    <t>T09.3 / 1 Point
Support Outdoor Nature Access</t>
  </si>
  <si>
    <t xml:space="preserve">Sound General Observations: </t>
  </si>
  <si>
    <t>S01.1
Manage Background Noise Level</t>
  </si>
  <si>
    <r>
      <rPr>
        <b/>
        <sz val="12"/>
        <color rgb="FF000000"/>
        <rFont val="Arial"/>
        <family val="2"/>
      </rPr>
      <t xml:space="preserve">FINAL DOCUMENTATION REVIEW:
</t>
    </r>
    <r>
      <rPr>
        <sz val="12"/>
        <color rgb="FF000000"/>
        <rFont val="Arial"/>
        <family val="2"/>
      </rPr>
      <t xml:space="preserve">Additional documentation has been provided.
</t>
    </r>
    <r>
      <rPr>
        <b/>
        <sz val="12"/>
        <color rgb="FF000000"/>
        <rFont val="Arial"/>
        <family val="2"/>
      </rPr>
      <t xml:space="preserve">
PRELIMINARY DOCUMENTATION REVIEW:</t>
    </r>
    <r>
      <rPr>
        <sz val="12"/>
        <color rgb="FF000000"/>
        <rFont val="Arial"/>
        <family val="2"/>
      </rPr>
      <t xml:space="preserve">
Documentation has been provided. However, to demonstrate compliance, the following must be addressed.
COMMENTS TO BE ADDRESSED
1. While a narrative has been provided, it appears to addressed non-leased spaces. Provide a project-specific narrative addressing the requirements for this part.
</t>
    </r>
  </si>
  <si>
    <t>S01.2
Manage Acoustical Privacy</t>
  </si>
  <si>
    <t>S01.3
Label Acoustic Zones</t>
  </si>
  <si>
    <t>S02.1 / 3 Points 
Limit Background Noise Levels</t>
  </si>
  <si>
    <t>S03.1 / 2 Points 
Ensure Adequate Wall Construction</t>
  </si>
  <si>
    <t>S03.2 / 1 Point 
Ensure Proper Door Specifications</t>
  </si>
  <si>
    <t>S04.1 / 1 Point 
Meet Thresholds for Reverberation Time</t>
  </si>
  <si>
    <t>S04.2 / 1 Point 
Implement Sound Reducing Ceilings</t>
  </si>
  <si>
    <r>
      <rPr>
        <b/>
        <sz val="12"/>
        <color rgb="FF000000"/>
        <rFont val="Arial"/>
        <family val="2"/>
      </rPr>
      <t xml:space="preserve">FINAL DOCUMENTATION REVIEW:
</t>
    </r>
    <r>
      <rPr>
        <sz val="12"/>
        <color rgb="FF000000"/>
        <rFont val="Arial"/>
        <family val="2"/>
      </rPr>
      <t xml:space="preserve">Additional documentation has been provided.
</t>
    </r>
    <r>
      <rPr>
        <b/>
        <sz val="12"/>
        <color rgb="FF000000"/>
        <rFont val="Arial"/>
        <family val="2"/>
      </rPr>
      <t xml:space="preserve">
PRELIMINARY DOCUMENTATION REVIEW:</t>
    </r>
    <r>
      <rPr>
        <sz val="12"/>
        <color rgb="FF000000"/>
        <rFont val="Arial"/>
        <family val="2"/>
      </rPr>
      <t xml:space="preserve">
Documentation has not been provided. To demonstrate compliance, the following must be addressed.
COMMENTS TO BE ADDRESSED
1. The project checklist indicates that this part has been attempted, but design specifications have not been provided. Confirm whether the project team intends to pursue this part. Additionally, provide design specifications to demonstrate compliance with the requirements for this part.
</t>
    </r>
  </si>
  <si>
    <t>S04.3 / 1 Point 
Implement Sound Reducing Vertical Surfaces</t>
  </si>
  <si>
    <t>S05.1 / 2 Points 
Implement Sound Masking</t>
  </si>
  <si>
    <t>S06.1 / 1 Point 
Specify Impact Noise Reducing Flooring</t>
  </si>
  <si>
    <t xml:space="preserve">S06.2 / 2 Points 
Meet Thresholds for Impact Noise Rating </t>
  </si>
  <si>
    <t>S07.1 / 1 Point
Provide Enhanced Speech Intelligibility</t>
  </si>
  <si>
    <t>S07.2 / 1
Point Prioritize Audio Devices and Policies</t>
  </si>
  <si>
    <t xml:space="preserve">Materials General Observations: </t>
  </si>
  <si>
    <t>X01.1
Restrict Asbestos</t>
  </si>
  <si>
    <t>X01.2
Limit Mercury</t>
  </si>
  <si>
    <t>X01.3
Restrict Lead</t>
  </si>
  <si>
    <t>X02.1
Manage Asbestos Hazards</t>
  </si>
  <si>
    <t>X02.2
Manage Lead Hazards</t>
  </si>
  <si>
    <t>X02.3
Manage Polychlorinated Biphenyl (PCB) Hazards</t>
  </si>
  <si>
    <t>X03.1
Ensure Acceptable Structures</t>
  </si>
  <si>
    <t>X03.2
Manage Exterior Paint and Soil</t>
  </si>
  <si>
    <t>X04.1 / 1 Point 
Manage Hazardous Waste</t>
  </si>
  <si>
    <t>X05.1 / 2 Points 
Manage Hazardous Materials</t>
  </si>
  <si>
    <t>X06.1 / 2 Points 
Implement Site Assessment and Cleanup</t>
  </si>
  <si>
    <t>X07.1 / 1 Point 
Manage Pesticides</t>
  </si>
  <si>
    <r>
      <rPr>
        <b/>
        <sz val="12"/>
        <color rgb="FF000000"/>
        <rFont val="Arial"/>
        <family val="2"/>
      </rPr>
      <t xml:space="preserve">FINAL DOCUMENTATION REVIEW:
</t>
    </r>
    <r>
      <rPr>
        <sz val="12"/>
        <color rgb="FF000000"/>
        <rFont val="Arial"/>
        <family val="2"/>
      </rPr>
      <t xml:space="preserve">Additional documentation has been provided.
</t>
    </r>
    <r>
      <rPr>
        <b/>
        <sz val="12"/>
        <color rgb="FF000000"/>
        <rFont val="Arial"/>
        <family val="2"/>
      </rPr>
      <t xml:space="preserve">
PRELIMINARY DOCUMENTATION REVIEW:</t>
    </r>
    <r>
      <rPr>
        <sz val="12"/>
        <color rgb="FF000000"/>
        <rFont val="Arial"/>
        <family val="2"/>
      </rPr>
      <t xml:space="preserve">
Documentation has been provided. However, to demonstrate compliance, the following must be addressed.
COMMENTS TO BE ADDRESSED
1. While an operations schedule template has been provided, a pest management plan is also required. Provide a project-specific pest management plan describing how each section has been met to demonstrate compliance with the requirements of this part.
</t>
    </r>
  </si>
  <si>
    <t>X08.1 / 1 Point 
Limit Hazardous Materials</t>
  </si>
  <si>
    <t>X09.1 / 1 Point 
Ensure Acceptable Cleaning Ingredients</t>
  </si>
  <si>
    <t>X09.2 / 1 Point 
Implement Acceptable Cleaning Practices</t>
  </si>
  <si>
    <t>X10.1 / 2 Points 
Manage Volatile Organic Compounds</t>
  </si>
  <si>
    <t>X10.2 / 1 Point 
Manage Semi-Volatile Organic Compounds (SVOCs)</t>
  </si>
  <si>
    <t>X10.3 / 1 Point 
Purchase Compliant Products</t>
  </si>
  <si>
    <t>X11.1 / 2 Points 
Manage Furniture and Furnishings Emissions</t>
  </si>
  <si>
    <t>X11.2 / 1 Point 
Manage Flooring and Insulation Emissions</t>
  </si>
  <si>
    <t>X12.1 / 3 Points 
Manage Product Emissions: Adhesives, Sealants, Paints and Coatings</t>
  </si>
  <si>
    <t>X12.2 / 2 Points 
Manage Product Content: Adhesives, Sealants, Paints and Coatings</t>
  </si>
  <si>
    <t>X13.1 / 2 Points 
Select Optimized Materials</t>
  </si>
  <si>
    <t>X14.1 / 2 Points 
Promote Ingredient Disclosure</t>
  </si>
  <si>
    <t>X15.1 / 1 Point
Reduce Respiratory Particle Exposure</t>
  </si>
  <si>
    <t>X15.2 / 1 Point
Address Surface Hand Touch</t>
  </si>
  <si>
    <r>
      <t xml:space="preserve">Mind General Observations: 
</t>
    </r>
    <r>
      <rPr>
        <sz val="12"/>
        <rFont val="Arial"/>
        <family val="2"/>
      </rPr>
      <t>The Mind Concept category is limited to twelve points. The project team has the option to unattempt any part within this Concept category. A published Alternative Adherence Path (AAP-00010) has been applied to I01: Innovate WELL for one point per part that has exceeded the Concept category point threshold.</t>
    </r>
  </si>
  <si>
    <t>M01.1
Commit to Mental Health Promotion</t>
  </si>
  <si>
    <t>M01.2
Promote Mental Health Literacy</t>
  </si>
  <si>
    <t>M02.1 / 1 Point 
Provide Access to Nature</t>
  </si>
  <si>
    <t>M03.1 / 1 Point 
Provide Mental Health Screening</t>
  </si>
  <si>
    <t>M03.2 / 1 Point 
Provide Mental Health Coverage</t>
  </si>
  <si>
    <t>M03.3 / 1 Point 
Provide Workplace Support</t>
  </si>
  <si>
    <t>M03.4 β / 1 Point
Support Mental Health Recovery</t>
  </si>
  <si>
    <t>M04.1 / 1 Point 
Offer Mental Health Education</t>
  </si>
  <si>
    <t>M04.2 / 1 Point 
Offer Mental Health Education for Managers</t>
  </si>
  <si>
    <t>M05.1 / 1 Point 
Develop Stress Management Plan</t>
  </si>
  <si>
    <t>M05.2 / 1 Point 
Support Stress Management Programs</t>
  </si>
  <si>
    <t>M06.1 / 1 Point 
Provide Micro- and Macro-Breaks</t>
  </si>
  <si>
    <t>M07.1 / 1 Point 
Provide Restorative Indoor Spaces</t>
  </si>
  <si>
    <t>M07.2 / 1 Point 
Provide Restorative Outdoor Spaces</t>
  </si>
  <si>
    <t>M08.1 / 1 Point 
Provide Restorative Programming</t>
  </si>
  <si>
    <t>M09.1 / 1 Point 
Provide Enhanced Access to Nature</t>
  </si>
  <si>
    <t>M10.1 / 1 Point 
Assess Work Environment</t>
  </si>
  <si>
    <t>M10.2 / 1 Point 
Integrate Space Management</t>
  </si>
  <si>
    <t>M11.1 / 1 Point 
Provide Workplace Sleep Support</t>
  </si>
  <si>
    <t>M11.2 / 1 Point 
Provide Non-Workplace Sleep Support</t>
  </si>
  <si>
    <t>M12.1 / 1 Point 
Provide Business Travel Support</t>
  </si>
  <si>
    <t>M13.1 / 1 Point 
Promote Tobacco Prevention</t>
  </si>
  <si>
    <t>M13.2 / 2 Points 
Support Tobacco Cessation</t>
  </si>
  <si>
    <t>M14.1 / 1 Point 
Promote Substance Abuse Prevention and Education</t>
  </si>
  <si>
    <t>M14.2 / 2 Points 
Provide Access to Substance Use Services</t>
  </si>
  <si>
    <t>M15.1 / 3 Points 
Provide Opioid Emergency Response Kits and Training</t>
  </si>
  <si>
    <r>
      <t xml:space="preserve">Community General Observations: 
</t>
    </r>
    <r>
      <rPr>
        <sz val="12"/>
        <rFont val="Arial"/>
        <family val="2"/>
      </rPr>
      <t>The Community Concept category is limited to twelve points. The project team has the option to unattempt any part within this Concept category. A published Alternative Adherence Path (AAP-00010) has been applied to I01: Innovate WELL for one point per part that has exceeded the Concept category point threshold.</t>
    </r>
  </si>
  <si>
    <t>C01.1
Provide WELL Feature Guide</t>
  </si>
  <si>
    <t>C01.2
Promote Health and Wellness Education</t>
  </si>
  <si>
    <t>C02.1
Facilitate Stakeholder Charrette</t>
  </si>
  <si>
    <t>C02.2
Integrate Beauty and Design</t>
  </si>
  <si>
    <t>C02.3
Promote Health-Oriented Mission</t>
  </si>
  <si>
    <t>C02.4
Facilitate Stakeholder Orientation</t>
  </si>
  <si>
    <t>C03.1
Select Project Survey</t>
  </si>
  <si>
    <r>
      <rPr>
        <b/>
        <sz val="12"/>
        <color rgb="FF000000"/>
        <rFont val="Arial"/>
        <family val="2"/>
      </rPr>
      <t xml:space="preserve">FINAL DOCUMENTATION REVIEW:
</t>
    </r>
    <r>
      <rPr>
        <sz val="12"/>
        <color rgb="FF000000"/>
        <rFont val="Arial"/>
        <family val="2"/>
      </rPr>
      <t xml:space="preserve">Additional documentation has been provided.
</t>
    </r>
    <r>
      <rPr>
        <b/>
        <sz val="12"/>
        <color rgb="FF000000"/>
        <rFont val="Arial"/>
        <family val="2"/>
      </rPr>
      <t xml:space="preserve">
PRELIMINARY DOCUMENTATION REVIEW:</t>
    </r>
    <r>
      <rPr>
        <sz val="12"/>
        <color rgb="FF000000"/>
        <rFont val="Arial"/>
        <family val="2"/>
      </rPr>
      <t xml:space="preserve">
Documentation has been provided. However, to demonstrate compliance, the following must be addressed.
COMMENTS TO BE ADDRESSED
1. While a sample survey has been provided, it is unclear if the survey content utilized one of the pre-approved IWBI third-party surveys. Provide a narrative indicating which third-party survey provider was utilized to demonstrate compliance with the requirements for Option 1. Alternatively, select Option 2 and resubmit this part.
</t>
    </r>
  </si>
  <si>
    <t>C03.2
Administer Survey and Report Results</t>
  </si>
  <si>
    <r>
      <rPr>
        <b/>
        <sz val="12"/>
        <color rgb="FF000000"/>
        <rFont val="Arial"/>
        <family val="2"/>
      </rPr>
      <t>PRELIMINARY DOCUMENTATION REVIEW:</t>
    </r>
    <r>
      <rPr>
        <sz val="12"/>
        <color rgb="FF000000"/>
        <rFont val="Arial"/>
        <family val="2"/>
      </rPr>
      <t xml:space="preserve">
Documentation has been provided. 
Note the following. 
I. Ensure that the survey results are submitted through WELL Online annually.
</t>
    </r>
  </si>
  <si>
    <t>C04.1 / 1 Point 
Select Enhanced Survey</t>
  </si>
  <si>
    <t>C04.2 / 1 Point 
Administer Pre-Occupancy Survey and Report Results</t>
  </si>
  <si>
    <t>C04.3 / 1 Point 
Monitor Survey Responses</t>
  </si>
  <si>
    <t>C04.4 / 1 Point 
Facilitate Interviews and Focus Groups</t>
  </si>
  <si>
    <t>C05.1 / 2 Points 
Promote Health Benefits</t>
  </si>
  <si>
    <t>C05.2 / 1 Point 
Offer On-Demand Health Services</t>
  </si>
  <si>
    <t>C06.1 / 2 Points 
Promote Culture of Health</t>
  </si>
  <si>
    <t>C06.2 / 1 Point 
Offer Health Risk Assessments</t>
  </si>
  <si>
    <t>C07.1 / 1 Point 
Promote Seasonal Flu Prevention</t>
  </si>
  <si>
    <t>C07.2 / 1 Point 
Implement Immunization Schedule</t>
  </si>
  <si>
    <t>C08.1 / 3 Points 
Offer New Parent Leave</t>
  </si>
  <si>
    <t>C08.2 / 1 Point 
Promote Workplace Support</t>
  </si>
  <si>
    <t>C09.1 / 1 Point 
Offer Workplace Breastfeeding Support</t>
  </si>
  <si>
    <t>C09.2 / 2 Points 
Design Lactation Room</t>
  </si>
  <si>
    <t>C09.3 / 1 Point 
Promote Breastfeeding Education and Support</t>
  </si>
  <si>
    <t>C10.1 / 1 Point 
Offer Childcare Support</t>
  </si>
  <si>
    <t>C10.2 / 1 Point 
Offer Eldercare Support</t>
  </si>
  <si>
    <t>C10.3 / 1 Point 
Offer Family Leave</t>
  </si>
  <si>
    <t>C10.4 / 1 Point 
Offer Bereavement Support</t>
  </si>
  <si>
    <t>C11.1 / 1 Point 
Promote Civic Engagement</t>
  </si>
  <si>
    <t>C12.1 / 2 Points 
Promote Equity Program Participation</t>
  </si>
  <si>
    <t>C13.1 / 1 Point 
Ensure Essential Accessibility</t>
  </si>
  <si>
    <t>C13.2 / 2 Points 
Integrate Universal Design</t>
  </si>
  <si>
    <t>C14.1 / 1 Point 
Provide Essential Accommodations</t>
  </si>
  <si>
    <t>C14.2 / 1 Point 
Provide Single-User Bathrooms</t>
  </si>
  <si>
    <t>C14.3 / 1 Point 
Provide Family Bathrooms</t>
  </si>
  <si>
    <t>C15.1 / 1 Point 
Develop Emergency Preparedness Plan</t>
  </si>
  <si>
    <r>
      <rPr>
        <b/>
        <sz val="12"/>
        <color rgb="FF000000"/>
        <rFont val="Arial"/>
        <family val="2"/>
      </rPr>
      <t xml:space="preserve">FINAL DOCUMENTATION REVIEW:
</t>
    </r>
    <r>
      <rPr>
        <sz val="12"/>
        <color rgb="FF000000"/>
        <rFont val="Arial"/>
        <family val="2"/>
      </rPr>
      <t xml:space="preserve">Additional documentation has been provided.
</t>
    </r>
    <r>
      <rPr>
        <b/>
        <sz val="12"/>
        <color rgb="FF000000"/>
        <rFont val="Arial"/>
        <family val="2"/>
      </rPr>
      <t xml:space="preserve">
PRELIMINARY DOCUMENTATION REVIEW:</t>
    </r>
    <r>
      <rPr>
        <sz val="12"/>
        <color rgb="FF000000"/>
        <rFont val="Arial"/>
        <family val="2"/>
      </rPr>
      <t xml:space="preserve">
Documentation has been provided. However, to demonstrate compliance, the following must be addressed.
COMMENTS TO BE ADDRESSED
1. While a policy has been provided, a project-specific emergency management plan is required to confirm compliance. Provide a project-specific emergency management plan describing how each section has been met to demonstrate compliance with the requirements of this part.
</t>
    </r>
  </si>
  <si>
    <t>C15.2 / 2 Points 
Promote Emergency Resources</t>
  </si>
  <si>
    <t>C16.1 / 1 Point 
Provide Community Space</t>
  </si>
  <si>
    <t>C17. β - Housing Equity</t>
  </si>
  <si>
    <t>C17.1 / 2 Points
Unit Allocation</t>
  </si>
  <si>
    <t>C18. β - Emergency Resilience and Recovery</t>
  </si>
  <si>
    <t>C18.1 / 1 Point
Promote Business Continuity</t>
  </si>
  <si>
    <t>C18.2 / 1 Point
Support Emergency Resilience</t>
  </si>
  <si>
    <t>C18.3 / 1 Point
Facilitate Healthy Re-Entry</t>
  </si>
  <si>
    <t>C19. β - Responsible Labor Practices</t>
  </si>
  <si>
    <t>C19.1 / 1 Point
Disclose Labor Practices</t>
  </si>
  <si>
    <t>C19.2 / 2 Points
Implement Responsible Labor Practices</t>
  </si>
  <si>
    <t>C20.1 / 2 Points
Support Victims of Domestic Violence</t>
  </si>
  <si>
    <r>
      <t xml:space="preserve">Innovations General Observations: 
</t>
    </r>
    <r>
      <rPr>
        <sz val="12"/>
        <rFont val="Arial"/>
        <family val="2"/>
      </rPr>
      <t xml:space="preserve">The Innovation Concept category is limited to ten points. The project team has the option to unattempt any part within this Concept category. Alternatively, if all parts are attempted, only ten points will be reflected for this category at the Final WELL Report phase regardless of additional points acquired from the published Alternative Adherence Path (AAP-00010). </t>
    </r>
  </si>
  <si>
    <t>I01.1 / 10 Points 
Propose Innovations</t>
  </si>
  <si>
    <t>When not attempted - use a Not Attempted status and put 'No' in column G with the standard not attempted review comment. There is no need to sum up the total I01 points in column F for cell F299. If any I01 Parts are attempted at any phase, the review comment in I299 state "Refer to review comments for each proposed Innovation below."</t>
  </si>
  <si>
    <r>
      <rPr>
        <b/>
        <sz val="12"/>
        <color rgb="FF000000"/>
        <rFont val="Arial"/>
        <family val="2"/>
      </rPr>
      <t>PRELIMINARY DOCUMENTATION REVIEW:</t>
    </r>
    <r>
      <rPr>
        <sz val="12"/>
        <color rgb="FF000000"/>
        <rFont val="Arial"/>
        <family val="2"/>
      </rPr>
      <t xml:space="preserve">
Documentation has been provided indicating more than twelve points are anticipated for the Mind Concept category. A published Alternative Adherence Path (AAP-00010) has been applied. However, to demonstrate compliance, the following must be addressed.
COMMENTS TO BE ADDRESSED
1. This part is dependent on achieving more than twelve points in the Mind Concept category. Refer to the comments within the Mind Concept category and resubmit this part. 
2. This part remains pending completion of the on-site assessment, as scoring is subject to change until the issuance of the Final WELL Report.
</t>
    </r>
  </si>
  <si>
    <t>Use a separate row for each Innovation proposed under I01 and ensure to fill in the points and status for each. Hide rows that are not used.</t>
  </si>
  <si>
    <r>
      <rPr>
        <b/>
        <sz val="12"/>
        <color rgb="FF000000"/>
        <rFont val="Arial"/>
        <family val="2"/>
      </rPr>
      <t>PRELIMINARY DOCUMENTATION REVIEW:</t>
    </r>
    <r>
      <rPr>
        <sz val="12"/>
        <color rgb="FF000000"/>
        <rFont val="Arial"/>
        <family val="2"/>
      </rPr>
      <t xml:space="preserve">
Documentation has been provided indicating more than twelve points are anticipated for the Community Concept category. A published Alternative Adherence Path (AAP-00010) has been applied. However, to demonstrate compliance, the following must be addressed.
COMMENTS TO BE ADDRESSED
1. This part is dependent on achieving more than twelve points in the Community Concept category. Refer to the comments within the Community Concept category and resubmit this part. 
2. This part remains pending completion of the on-site assessment, as scoring is subject to change until the issuance of the Final WELL Report.
</t>
    </r>
  </si>
  <si>
    <t>Ensure Innovation points are manually entered correctly. DO NOT 'copy/paste' from the downloaded scorecard as they will not align correctly in I01.</t>
  </si>
  <si>
    <t>I02.1 / 1 Point 
WELL AP</t>
  </si>
  <si>
    <t>I03.1 / 1 Point 
Offer WELL Educational Tours</t>
  </si>
  <si>
    <r>
      <rPr>
        <b/>
        <sz val="12"/>
        <rFont val="Arial"/>
        <family val="2"/>
      </rPr>
      <t xml:space="preserve">FINAL DOCUMENTATION REVIEW:
</t>
    </r>
    <r>
      <rPr>
        <sz val="12"/>
        <rFont val="Arial"/>
        <family val="2"/>
      </rPr>
      <t>Additional documentation has not been provided. 
In the event of an appeal, the following outstanding items must be addressed.
1. Address the Comments to be Addressed within the Preliminary Documentation Review comments.</t>
    </r>
    <r>
      <rPr>
        <b/>
        <sz val="12"/>
        <rFont val="Arial"/>
        <family val="2"/>
      </rPr>
      <t xml:space="preserve">
PRELIMINARY DOCUMENTATION REVIEW:</t>
    </r>
    <r>
      <rPr>
        <sz val="12"/>
        <rFont val="Arial"/>
        <family val="2"/>
      </rPr>
      <t xml:space="preserve">
Documentation has been provided. However, to demonstrate compliance, the following must be addressed.
COMMENTS TO BE ADDRESSED
1. While documentation has been provided, it is unclear if all of the part requirements have been addressed. Provide a revised narrative, highlighting and translating relevant sections into English, to demonstrate compliance with the requirements of this part.
2. While a narrative has been provided, it is unclear what the additional two WELL educational components have been implemented. Provide a narrative to demonstrate compliance with the requirements for Part 1b.
Note the following. 
I. Ensure that tour schedules and attendee lists will be provided through WELL Online annually.
</t>
    </r>
  </si>
  <si>
    <t>I04.1 / 1 Point 
Complete Health and Wellness Program</t>
  </si>
  <si>
    <t>I05.1 / 5 Points 
Achieve Sustainable Building Certification</t>
  </si>
  <si>
    <t>I06.1 / 2 Points
Carbon Inventory</t>
  </si>
  <si>
    <t>I06.2 / 3 Points
Carbon Reduction Goal</t>
  </si>
  <si>
    <t>I06.3 / 3 Points
Carbon Reduction</t>
  </si>
  <si>
    <t>I06.4 / 2 Points
Carbon Neutral</t>
  </si>
  <si>
    <t>Manually adjust points in column G, as needed to account for Feature level point caps
If a change is made, highlight the cell red for visibility during QC</t>
  </si>
  <si>
    <t>&lt;2.0</t>
  </si>
  <si>
    <t>&lt;1.6</t>
  </si>
  <si>
    <t>MET</t>
  </si>
  <si>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AAP 00093 has been applied, it is unclear if the Performance Testing Agent has provided evidence advocating that each laboratory seek ILAC Accreditation for each individual contaminant. Provide evidence (e.g. email or letter of request between the team and the laboratory), annotated in English, that demonstrates advocacy for ILAC accreditation.
Note the following.
I. For future projects, ensure relevant testing results have been translated into English.
</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</si>
  <si>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t>Achieved</t>
  </si>
  <si>
    <r>
      <rPr>
        <b/>
        <sz val="12"/>
        <color rgb="FF000000"/>
        <rFont val="Arial"/>
        <family val="2"/>
      </rPr>
      <t xml:space="preserve">PRELIMINARY PERFORMANCE REVIEW:
</t>
    </r>
    <r>
      <rPr>
        <sz val="12"/>
        <color rgb="FF000000"/>
        <rFont val="Arial"/>
        <family val="2"/>
      </rPr>
      <t xml:space="preserve">The on-site assessment results have been provided and confirm compliance.
</t>
    </r>
    <r>
      <rPr>
        <b/>
        <sz val="12"/>
        <color rgb="FF000000"/>
        <rFont val="Arial"/>
        <family val="2"/>
      </rPr>
      <t>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</si>
  <si>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and confirm compliance.
</t>
    </r>
    <r>
      <rPr>
        <b/>
        <sz val="12"/>
        <color rgb="FF000000"/>
        <rFont val="Arial"/>
        <family val="2"/>
      </rPr>
      <t xml:space="preserve">FINAL DOCUMENTATION REVIEW:
</t>
    </r>
    <r>
      <rPr>
        <sz val="12"/>
        <color rgb="FF000000"/>
        <rFont val="Arial"/>
        <family val="2"/>
      </rPr>
      <t xml:space="preserve">Additional documentation has been provided.
</t>
    </r>
    <r>
      <rPr>
        <b/>
        <sz val="12"/>
        <color rgb="FF000000"/>
        <rFont val="Arial"/>
        <family val="2"/>
      </rPr>
      <t xml:space="preserve">
PRELIMINARY DOCUMENTATION REVIEW:</t>
    </r>
    <r>
      <rPr>
        <sz val="12"/>
        <color rgb="FF000000"/>
        <rFont val="Arial"/>
        <family val="2"/>
      </rPr>
      <t xml:space="preserve">
Documentation has been provided. However, to demonstrate compliance, the following must be addressed.
COMMENTS TO BE ADDRESSED
1. While the Owner's Letter of Assurance has been provided indicating Part 1a is being pursued as one of the two required sections, a commissioning report is also required. Provide a commissioning report to demonstrate compliance with the requirements for Part 1a. Alternatively, provide a revised Owner's Letter of Assurance illustrating Part 1b and 1c are the only sections being pursued.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</si>
  <si>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and confirm compliance.
</t>
    </r>
    <r>
      <rPr>
        <b/>
        <sz val="12"/>
        <color rgb="FF000000"/>
        <rFont val="Arial"/>
        <family val="2"/>
      </rPr>
      <t>PRELIMINARY DOCUMENTATION REVIEW:</t>
    </r>
    <r>
      <rPr>
        <sz val="12"/>
        <color rgb="FF000000"/>
        <rFont val="Arial"/>
        <family val="2"/>
      </rPr>
      <t xml:space="preserve">
Documentation has been provided.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</si>
  <si>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and confirm compliance.
</t>
    </r>
    <r>
      <rPr>
        <b/>
        <sz val="12"/>
        <color rgb="FF000000"/>
        <rFont val="Arial"/>
        <family val="2"/>
      </rPr>
      <t>PRELIMINARY DOCUMENTATION REVIEW:</t>
    </r>
    <r>
      <rPr>
        <sz val="12"/>
        <color rgb="FF000000"/>
        <rFont val="Arial"/>
        <family val="2"/>
      </rPr>
      <t xml:space="preserve">
Documentation has been provided. 
Requirements of this part will be verified through on-site assessment during your Performance Verification.
Note the following.
I. Ensure that records of air filtration maintenance will be provided through WELL Online annually.
</t>
    </r>
  </si>
  <si>
    <r>
      <rPr>
        <b/>
        <sz val="12"/>
        <color rgb="FF000000"/>
        <rFont val="Arial"/>
        <family val="2"/>
      </rPr>
      <t xml:space="preserve">PRELIMINARY PERFORMANCE REVIEW:
</t>
    </r>
    <r>
      <rPr>
        <sz val="12"/>
        <color rgb="FF000000"/>
        <rFont val="Arial"/>
        <family val="2"/>
      </rPr>
      <t>The on-site assessment results have been provided and confirm compliance. See Appendix A for the performance testing data for this part.</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</si>
  <si>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and confirm compliance
</t>
    </r>
    <r>
      <rPr>
        <b/>
        <sz val="12"/>
        <color rgb="FF000000"/>
        <rFont val="Arial"/>
        <family val="2"/>
      </rPr>
      <t>PRELIMINARY DOCUMENTATION REVIEW:</t>
    </r>
    <r>
      <rPr>
        <sz val="12"/>
        <color rgb="FF000000"/>
        <rFont val="Arial"/>
        <family val="2"/>
      </rPr>
      <t xml:space="preserve">
This part has no required documentation. 
Note the following.
I. This part is dependent on achieving at least one point under Feature W05: Water Quality Consistency.
</t>
    </r>
  </si>
  <si>
    <r>
      <rPr>
        <b/>
        <sz val="12"/>
        <color rgb="FF000000"/>
        <rFont val="Arial"/>
        <family val="2"/>
      </rPr>
      <t xml:space="preserve">PRELIMINARY PERFORMANCE REVIEW:
</t>
    </r>
    <r>
      <rPr>
        <sz val="12"/>
        <color rgb="FF000000"/>
        <rFont val="Arial"/>
        <family val="2"/>
      </rPr>
      <t xml:space="preserve">The on-site assessment results have been provided and confirm compliance.
</t>
    </r>
    <r>
      <rPr>
        <b/>
        <sz val="12"/>
        <color rgb="FF000000"/>
        <rFont val="Arial"/>
        <family val="2"/>
      </rPr>
      <t>PRELIMINARY DOCUMENTATION REVIEW:</t>
    </r>
    <r>
      <rPr>
        <sz val="12"/>
        <color rgb="FF000000"/>
        <rFont val="Arial"/>
        <family val="2"/>
      </rPr>
      <t xml:space="preserve">
Documentation has been provided. 
Requirements of this part will be verified through on-site assessment during your Performance Verification.
Note the following.
I. Ensure that water testing records will be provided through WELL Online annually.
</t>
    </r>
  </si>
  <si>
    <r>
      <rPr>
        <b/>
        <sz val="12"/>
        <color rgb="FF000000"/>
        <rFont val="Arial"/>
        <family val="2"/>
      </rPr>
      <t xml:space="preserve">PRELIMINARY PERFORMANCE REVIEW:
</t>
    </r>
    <r>
      <rPr>
        <sz val="12"/>
        <color rgb="FF000000"/>
        <rFont val="Arial"/>
        <family val="2"/>
      </rPr>
      <t xml:space="preserve">The on-site assessment results have been provided and confirm compliance.
</t>
    </r>
    <r>
      <rPr>
        <b/>
        <sz val="12"/>
        <color rgb="FF000000"/>
        <rFont val="Arial"/>
        <family val="2"/>
      </rPr>
      <t>PRELIMINARY DOCUMENTATION REVIEW:</t>
    </r>
    <r>
      <rPr>
        <sz val="12"/>
        <color rgb="FF000000"/>
        <rFont val="Arial"/>
        <family val="2"/>
      </rPr>
      <t xml:space="preserve">
Documentation has been provided. 
Requirements of this part will be verified through on-site assessment during your Performance Verification.
Note the following.
I. Ensure that water treatment device maintenance records will be provided through WELL Online annually.
</t>
    </r>
  </si>
  <si>
    <r>
      <rPr>
        <b/>
        <sz val="12"/>
        <color rgb="FF000000"/>
        <rFont val="Arial"/>
        <family val="2"/>
      </rPr>
      <t>PRELIMINARY PERFORMANCE REVIEW:</t>
    </r>
    <r>
      <rPr>
        <sz val="12"/>
        <color rgb="FF000000"/>
        <rFont val="Arial"/>
        <family val="2"/>
      </rPr>
      <t xml:space="preserve">
The on-site assessment results have been provided and confirm compliance. See Appendix A for the performance testing data for this part.
</t>
    </r>
    <r>
      <rPr>
        <b/>
        <sz val="12"/>
        <color rgb="FF000000"/>
        <rFont val="Arial"/>
        <family val="2"/>
      </rPr>
      <t>PRELIMINARY DOCUMENTATION REVIEW:</t>
    </r>
    <r>
      <rPr>
        <sz val="12"/>
        <color rgb="FF000000"/>
        <rFont val="Arial"/>
        <family val="2"/>
      </rPr>
      <t xml:space="preserve">
Documentation has been provided.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</si>
  <si>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and confirm compliance.
</t>
    </r>
    <r>
      <rPr>
        <b/>
        <sz val="12"/>
        <color rgb="FF000000"/>
        <rFont val="Arial"/>
        <family val="2"/>
      </rPr>
      <t xml:space="preserve">
PRELIMINARY DOCUMENTATION REVIEW:</t>
    </r>
    <r>
      <rPr>
        <sz val="12"/>
        <color rgb="FF000000"/>
        <rFont val="Arial"/>
        <family val="2"/>
      </rPr>
      <t xml:space="preserve">
Documentation has been provided.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</si>
  <si>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and confirm compliance.
</t>
    </r>
    <r>
      <rPr>
        <b/>
        <sz val="12"/>
        <color rgb="FF000000"/>
        <rFont val="Arial"/>
        <family val="2"/>
      </rPr>
      <t>PRELIMINARY DOCUMENTATION REVIEW:</t>
    </r>
    <r>
      <rPr>
        <sz val="12"/>
        <color rgb="FF000000"/>
        <rFont val="Arial"/>
        <family val="2"/>
      </rPr>
      <t xml:space="preserve">
Option 1. Documentation has been provided.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</si>
  <si>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and confirm compliance. See Appendix A for the performance testing data for this part.
</t>
    </r>
    <r>
      <rPr>
        <b/>
        <sz val="12"/>
        <color rgb="FF000000"/>
        <rFont val="Arial"/>
        <family val="2"/>
      </rPr>
      <t>PRELIMINARY DOCUMENTATION REVIEW:</t>
    </r>
    <r>
      <rPr>
        <sz val="12"/>
        <color rgb="FF000000"/>
        <rFont val="Arial"/>
        <family val="2"/>
      </rPr>
      <t xml:space="preserve">
Option 1. Documentation has been provided.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</si>
  <si>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and confirm compliance. See Appendix A for the performance testing data for this part.
</t>
    </r>
    <r>
      <rPr>
        <b/>
        <sz val="12"/>
        <color rgb="FF000000"/>
        <rFont val="Arial"/>
        <family val="2"/>
      </rPr>
      <t>PRELIMINARY DOCUMENTATION REVIEW:</t>
    </r>
    <r>
      <rPr>
        <sz val="12"/>
        <color rgb="FF000000"/>
        <rFont val="Arial"/>
        <family val="2"/>
      </rPr>
      <t xml:space="preserve">
Documentation has been provided.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</si>
  <si>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 xml:space="preserve">The on-site assessment results have been provided and confirm compliance. See Appendix A for the performance testing data for this part.
</t>
    </r>
    <r>
      <rPr>
        <b/>
        <sz val="12"/>
        <color rgb="FF000000"/>
        <rFont val="Arial"/>
        <family val="2"/>
      </rPr>
      <t>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</si>
  <si>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 xml:space="preserve">PRELIMINARY PERFORMANCE REVIEW:
</t>
    </r>
    <r>
      <rPr>
        <sz val="12"/>
        <color rgb="FF000000"/>
        <rFont val="Arial"/>
        <family val="2"/>
      </rPr>
      <t>This part has been withdrawn.</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</si>
  <si>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t>Not Achieved</t>
  </si>
  <si>
    <t>Review Phase</t>
  </si>
  <si>
    <t>Anticipated Status</t>
  </si>
  <si>
    <t>Not Anticipated Status</t>
  </si>
  <si>
    <t>Pending Status</t>
  </si>
  <si>
    <t>The values to the left drive the headers for the Overview tab. No need to sort, if sorted, include all columns in the sort</t>
  </si>
  <si>
    <t>Pending Status Counts</t>
  </si>
  <si>
    <t>Not Anticipated/Not Achieved Status</t>
  </si>
  <si>
    <t>Pending Status Column</t>
  </si>
  <si>
    <t>Pending On-Site Counts</t>
  </si>
  <si>
    <t>REVIEW PHASE</t>
  </si>
  <si>
    <t>VALID STATUS</t>
  </si>
  <si>
    <t>Sort Order</t>
  </si>
  <si>
    <t>List of valid status options</t>
  </si>
  <si>
    <t>Data Validation List</t>
  </si>
  <si>
    <t>Appeal Review</t>
  </si>
  <si>
    <t>Pending</t>
  </si>
  <si>
    <t>Pending On-site Assessment</t>
  </si>
  <si>
    <r>
      <rPr>
        <b/>
        <sz val="9"/>
        <color rgb="FF000000"/>
        <rFont val="Arial"/>
        <family val="2"/>
      </rPr>
      <t xml:space="preserve">The values in Data Validation list are pulled from the List of Valid Status Options, that are driven off the combinations in REVIEW PHASE and VALID STATUS.
To change the sort, it has to be changed ONLY in the VALID STATUS columns. 
To add a VALID STATUS to a REVIEW PHASE, or remove. Delete the text, or add the new combination at the bottom then reset column L and M.  </t>
    </r>
    <r>
      <rPr>
        <b/>
        <sz val="10"/>
        <color rgb="FF000000"/>
        <rFont val="Arial"/>
        <family val="2"/>
      </rPr>
      <t xml:space="preserve">
</t>
    </r>
    <r>
      <rPr>
        <b/>
        <sz val="18"/>
        <color rgb="FF000000"/>
        <rFont val="Arial"/>
        <family val="2"/>
      </rPr>
      <t>Do not Insert or Delete cells/rows in the Lists Tab</t>
    </r>
  </si>
  <si>
    <t>Anticipated</t>
  </si>
  <si>
    <t>Curative Action Plan Review</t>
  </si>
  <si>
    <t>Not Anticipated</t>
  </si>
  <si>
    <t>Anticipated, Pending On-site Assessment</t>
  </si>
  <si>
    <t>Final Documentation Review</t>
  </si>
  <si>
    <t>Pending Documentation, Pending On-site Assessment</t>
  </si>
  <si>
    <t>Final Performance Review</t>
  </si>
  <si>
    <t>Not Applicable</t>
  </si>
  <si>
    <t>Final Precertification Review</t>
  </si>
  <si>
    <t>Pending Doc/On-site Counts</t>
  </si>
  <si>
    <t>Final WELL Report</t>
  </si>
  <si>
    <t>Preliminary Documentation Review</t>
  </si>
  <si>
    <t>Partially Anticipated</t>
  </si>
  <si>
    <t>Partially Achieved</t>
  </si>
  <si>
    <t>Preliminary Recertification Documentation Review</t>
  </si>
  <si>
    <t>Final Recertification Documentation Review</t>
  </si>
  <si>
    <t>The values above drive the counts in the overview tab for review phases for the anticipated/achieved sums</t>
  </si>
  <si>
    <t>The values above drive the counts for not anticipated/achieved sums on the overview</t>
  </si>
  <si>
    <t>The values above drive the counts for pending sums on the overview tab</t>
  </si>
  <si>
    <t>Preliminary Recertification Performance Review</t>
  </si>
  <si>
    <t>To Resort the status's by phase, update the numbering within each Phase, and then resort by Review Phase, then Sort Order.  This will automatically resort in the drop down in the Comments Tab.</t>
  </si>
  <si>
    <t>Final Recertification Performance Review</t>
  </si>
  <si>
    <t>Preliminary Precertification Review</t>
  </si>
  <si>
    <t>The list above is no longer referenced, but is left here to indicate all possible status's that can be used in a report</t>
  </si>
  <si>
    <t>The list to the left drives the review phase drop down on the Overview tab. The order here determines drop down order</t>
  </si>
  <si>
    <r>
      <rPr>
        <b/>
        <sz val="10"/>
        <color rgb="FF000000"/>
        <rFont val="Arial"/>
        <family val="2"/>
      </rPr>
      <t xml:space="preserve">Explanation of Column P Formula:
</t>
    </r>
    <r>
      <rPr>
        <sz val="10"/>
        <color rgb="FF000000"/>
        <rFont val="Arial"/>
        <family val="2"/>
      </rPr>
      <t xml:space="preserve">
For each row in Column P, the formula uses the ROW() function to keep track of where it is at against the INDEX() that returns the value based on that location.
Example:
The data set O1:O99 is what is passed to the INDEX(), and only non blanks are returned to it.
ROW(2:2) tells the INDEX to return row 2 from it’s data set (the 2nd row that is passed to the INDEX() without blanks).
Note: Row 1 in the O1:O99 array is “List of valid status options”, Row 2 would be “Anticipated” for a prelim doc since all the blanks are now gone.</t>
    </r>
  </si>
  <si>
    <t>[[Review Phase]]</t>
  </si>
  <si>
    <t>Innovation I01.1 Special Data validation</t>
  </si>
  <si>
    <t>I01.1 has special rules and thus status list</t>
  </si>
  <si>
    <r>
      <rPr>
        <b/>
        <sz val="12"/>
        <color rgb="FF000000"/>
        <rFont val="Arial"/>
        <family val="2"/>
      </rPr>
      <t xml:space="preserve">FINAL PERFORMANCE REVIEW:
</t>
    </r>
    <r>
      <rPr>
        <sz val="12"/>
        <color rgb="FF000000"/>
        <rFont val="Arial"/>
        <family val="2"/>
      </rPr>
      <t xml:space="preserve">The on-site assessment results have been provided and confirm compliance. See Appendix A for the performance testing data for this part.
</t>
    </r>
    <r>
      <rPr>
        <b/>
        <sz val="12"/>
        <color rgb="FF000000"/>
        <rFont val="Arial"/>
        <family val="2"/>
      </rPr>
      <t>PRELIMINARY PERFORMANCE REVIEW:</t>
    </r>
    <r>
      <rPr>
        <sz val="12"/>
        <color rgb="FF000000"/>
        <rFont val="Arial"/>
        <family val="2"/>
      </rPr>
      <t xml:space="preserve">
The on-site assessment results have been provided. See Appendix A for the performance testing data for this part. However, to demonstrate compliance, the following must be addressed.
COMMENTS TO BE ADDRESSED
1. While testing results have been provided, it appears the raw data values for PM2.5 and PM10 have been averaged instead of taking the median as required by the Performance Verification Guidebook. Provide revised calculations using the median of the raw data, excluding acclimation time, per the Performance Verification Guidebook.
</t>
    </r>
    <r>
      <rPr>
        <b/>
        <sz val="12"/>
        <color rgb="FF000000"/>
        <rFont val="Arial"/>
        <family val="2"/>
      </rPr>
      <t>PRELIMINARY DOCUMENTATION REVIEW:</t>
    </r>
    <r>
      <rPr>
        <sz val="12"/>
        <color rgb="FF000000"/>
        <rFont val="Arial"/>
        <family val="2"/>
      </rPr>
      <t xml:space="preserve">
Option 1. This part has no required documentation.
Requirements of this part will be verified through on-site assessment during your Performance Verification.
</t>
    </r>
  </si>
  <si>
    <r>
      <rPr>
        <b/>
        <sz val="12"/>
        <color rgb="FF000000"/>
        <rFont val="Arial"/>
        <family val="2"/>
      </rPr>
      <t xml:space="preserve">FINAL PERFORMANCE REVIEW:
</t>
    </r>
    <r>
      <rPr>
        <sz val="12"/>
        <color rgb="FF000000"/>
        <rFont val="Arial"/>
        <family val="2"/>
      </rPr>
      <t xml:space="preserve">The on-site assessment results have been provided and confirm compliance. See Appendix A for the performance testing data for this part.
</t>
    </r>
    <r>
      <rPr>
        <b/>
        <sz val="12"/>
        <color rgb="FF000000"/>
        <rFont val="Arial"/>
        <family val="2"/>
      </rPr>
      <t xml:space="preserve">PRELIMINARY PERFORMANCE REVIEW:
</t>
    </r>
    <r>
      <rPr>
        <sz val="12"/>
        <color rgb="FF000000"/>
        <rFont val="Arial"/>
        <family val="2"/>
      </rPr>
      <t xml:space="preserve">The on-site assessment results have been provided. See Appendix A for the performance testing data for this part. However, to demonstrate compliance, the following must be addressed.
COMMENTS TO BE ADDRESSED
1. While testing results have been provided, It is unclear if the median of the raw results for carbon monoxide and ozone have been included as the calculations have not been provided. Provide revised documentation that includes the calculations indicating the median of the raw data has been provided, excluding the acclimation time, per the Performance Verification Guidebook.
Note the following.
I. For future projects, ensure the lower reporting limit of the carbon monoxide sensor is included in the equipment specifications.
</t>
    </r>
    <r>
      <rPr>
        <b/>
        <sz val="12"/>
        <color rgb="FF000000"/>
        <rFont val="Arial"/>
        <family val="2"/>
      </rPr>
      <t>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</si>
  <si>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 xml:space="preserve">FINAL PERFORMANCE REVIEW:
</t>
    </r>
    <r>
      <rPr>
        <sz val="12"/>
        <color rgb="FF000000"/>
        <rFont val="Arial"/>
        <family val="2"/>
      </rPr>
      <t xml:space="preserve">The on-site assessment results have been provided and confirm compliance. See Appendix A for the performance testing data for this part.
</t>
    </r>
    <r>
      <rPr>
        <b/>
        <sz val="12"/>
        <color rgb="FF000000"/>
        <rFont val="Arial"/>
        <family val="2"/>
      </rPr>
      <t>PRELIMINARY PERFORMANCE REVIEW:</t>
    </r>
    <r>
      <rPr>
        <sz val="12"/>
        <color rgb="FF000000"/>
        <rFont val="Arial"/>
        <family val="2"/>
      </rPr>
      <t xml:space="preserve">
The on-site assessment results have been provided. See Appendix A for the performance testing data for this part. However, to demonstrate compliance, the following must be addressed.
COMMENTS TO BE ADDRESSED
1. While testing results have been provided, it appears the raw data values for PM2.5 and PM10 have been averaged instead of taking the median as required by the Performance Verification Guidebook. Provide revised calculations using the median of the raw data, excluding acclimation time, per the Performance Verification Guidebook. Alternatively, provide a narrative from the project team that they wish to withdraw this part.
</t>
    </r>
    <r>
      <rPr>
        <b/>
        <sz val="12"/>
        <color rgb="FF000000"/>
        <rFont val="Arial"/>
        <family val="2"/>
      </rPr>
      <t>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</si>
  <si>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 xml:space="preserve">FINAL PERFORMANCE REVIEW:
</t>
    </r>
    <r>
      <rPr>
        <sz val="12"/>
        <color rgb="FF000000"/>
        <rFont val="Arial"/>
        <family val="2"/>
      </rPr>
      <t xml:space="preserve">The on-site assessment results confirm achievement of this part. See Appendix A for the performance testing data for this part.
</t>
    </r>
  </si>
  <si>
    <r>
      <rPr>
        <b/>
        <sz val="12"/>
        <color rgb="FF000000"/>
        <rFont val="Arial"/>
        <family val="2"/>
      </rPr>
      <t xml:space="preserve">FINAL PERFORMANCE REVIEW:
</t>
    </r>
    <r>
      <rPr>
        <sz val="12"/>
        <color rgb="FF000000"/>
        <rFont val="Arial"/>
        <family val="2"/>
      </rPr>
      <t xml:space="preserve">The on-site assessment results confirm achievement of this part. See Appendix A for the performance testing data for this part. An approved Alternative Adherence Path (AAP 00093) has been applied to this part.
Note the following.
I. While the laboratory's comply with the accreditation requirements at the overall lab level, ensure to provide either accreditation for each analyte or provide the documentation (such as email) that shows the Performance Testing Agent requested the laboratory become accredited in the non-accredited analytes. The intent is not to ask laboratory's if they are accredited, but to ask laboratory's to become accredited.
</t>
    </r>
  </si>
  <si>
    <r>
      <rPr>
        <b/>
        <sz val="12"/>
        <color rgb="FF000000"/>
        <rFont val="Arial"/>
        <family val="2"/>
      </rPr>
      <t xml:space="preserve">FINAL PERFORMANCE REVIEW:
</t>
    </r>
    <r>
      <rPr>
        <sz val="12"/>
        <color rgb="FF000000"/>
        <rFont val="Arial"/>
        <family val="2"/>
      </rPr>
      <t xml:space="preserve">The on-site assessment results have been provided and confirm compliance. See Appendix A for the performance testing data for this part.
</t>
    </r>
    <r>
      <rPr>
        <b/>
        <sz val="12"/>
        <color rgb="FF000000"/>
        <rFont val="Arial"/>
        <family val="2"/>
      </rPr>
      <t xml:space="preserve">PRELIMINARY PERFORMANCE REVIEW:
</t>
    </r>
    <r>
      <rPr>
        <sz val="12"/>
        <color rgb="FF000000"/>
        <rFont val="Arial"/>
        <family val="2"/>
      </rPr>
      <t>The on-site assessment results have been provided. See Appendix A for the performance testing data for this part. However, to demonstrate compliance, the following must be addressed.
COMMENTS TO BE ADDRESSED
1. While AAP 00093 has been applied, it is unclear if the Performance Testing Agent has provided evidence advocating that each laboratory seek ILAC Accreditation for each individual contaminant. Provide evidence (e.g. email or letter of request between the team and the laboratory), annotated in English, that demonstrates advocacy for ILAC accreditation.</t>
    </r>
    <r>
      <rPr>
        <b/>
        <sz val="12"/>
        <color rgb="FF000000"/>
        <rFont val="Arial"/>
        <family val="2"/>
      </rPr>
      <t xml:space="preserve">
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</si>
  <si>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 xml:space="preserve">FINAL PERFORMANCE REVIEW:
</t>
    </r>
    <r>
      <rPr>
        <sz val="12"/>
        <color rgb="FF000000"/>
        <rFont val="Arial"/>
        <family val="2"/>
      </rPr>
      <t xml:space="preserve">The on-site assessment results have been provided and confirm compliance
</t>
    </r>
    <r>
      <rPr>
        <b/>
        <sz val="12"/>
        <color rgb="FF000000"/>
        <rFont val="Arial"/>
        <family val="2"/>
      </rPr>
      <t xml:space="preserve">PRELIMINARY PERFORMANCE REVIEW:
</t>
    </r>
    <r>
      <rPr>
        <sz val="12"/>
        <color rgb="FF000000"/>
        <rFont val="Arial"/>
        <family val="2"/>
      </rPr>
      <t xml:space="preserve">The on-site assessment results have been provided. However, to demonstrate compliance, the following must be addressed.
COMMENTS TO BE ADDRESSED
1. While photographs of hand soap have been provided, compliance cannot be confirmed as the ingredients in the embedded photographs are blurry. Provide high quality photographs clearly showing the soap ingredients to confirm compliance with the fragrance-free requirements of this part.
</t>
    </r>
    <r>
      <rPr>
        <b/>
        <sz val="12"/>
        <color rgb="FF000000"/>
        <rFont val="Arial"/>
        <family val="2"/>
      </rPr>
      <t>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</si>
  <si>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 xml:space="preserve">FINAL PERFORMANCE REVIEW:
</t>
    </r>
    <r>
      <rPr>
        <sz val="12"/>
        <color rgb="FF000000"/>
        <rFont val="Arial"/>
        <family val="2"/>
      </rPr>
      <t xml:space="preserve">The on-site assessment results have been provided and confirm compliance
</t>
    </r>
    <r>
      <rPr>
        <b/>
        <sz val="12"/>
        <color rgb="FF000000"/>
        <rFont val="Arial"/>
        <family val="2"/>
      </rPr>
      <t xml:space="preserve">PRELIMINARY PERFORMANCE REVIEW:
</t>
    </r>
    <r>
      <rPr>
        <sz val="12"/>
        <color rgb="FF000000"/>
        <rFont val="Arial"/>
        <family val="2"/>
      </rPr>
      <t xml:space="preserve">The on-site assessment results have been provided. However, to demonstrate compliance, the following must be addressed.
COMMENTS TO BE ADDRESSED
1. While photographs have been provided, it is unclear if reusable spoons, forks, and knives are provided as the photographs provided do not clearly show these requirements. Provide additional photographs to demonstrate compliance with the requirements for section 1.f. Alternatively, provide a narrative from the project team that they wish to withdraw this part.
</t>
    </r>
    <r>
      <rPr>
        <b/>
        <sz val="12"/>
        <color rgb="FF000000"/>
        <rFont val="Arial"/>
        <family val="2"/>
      </rPr>
      <t>PRELIMINARY DOCUMENTATION REVIEW:</t>
    </r>
    <r>
      <rPr>
        <sz val="12"/>
        <color rgb="FF000000"/>
        <rFont val="Arial"/>
        <family val="2"/>
      </rPr>
      <t xml:space="preserve">
Documentation has been provided. 
Requirements of this part will be verified through on-site assessment during your Performance Verification.
</t>
    </r>
  </si>
  <si>
    <t>This report reflects the results of the Performance Verification that occurred October 23rd - 25th, 2023.
Comments have been recorded for all attempted Preconditions and Optimizations reflecting the results of the Performance Verification site visit. Refer to the individual part comments for specific details.
Congratulations on Platinum Certification!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</si>
</sst>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_ "/>
    <numFmt numFmtId="167" formatCode="[$-409]mmmm\ d\,\ yyyy;@"/>
    <numFmt numFmtId="168" formatCode="0.0000"/>
    <numFmt numFmtId="169" formatCode="0.00000"/>
  </numFmts>
  <fonts count="89">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1"/>
      <name val="Arial"/>
      <family val="2"/>
    </font>
    <font>
      <sz val="14"/>
      <color rgb="FFFF0000"/>
      <name val="Calibri"/>
      <family val="2"/>
      <scheme val="minor"/>
    </font>
    <font>
      <b/>
      <sz val="11"/>
      <color theme="1"/>
      <name val="Arial"/>
      <family val="2"/>
    </font>
    <font>
      <sz val="11"/>
      <color rgb="FF000000"/>
      <name val="Calibri"/>
      <family val="2"/>
      <scheme val="minor"/>
    </font>
    <font>
      <sz val="11"/>
      <color rgb="FF000000"/>
      <name val="Arial"/>
      <family val="2"/>
    </font>
    <font>
      <b/>
      <sz val="16"/>
      <color theme="0"/>
      <name val="Calibri"/>
      <family val="2"/>
      <scheme val="minor"/>
    </font>
    <font>
      <i/>
      <sz val="11"/>
      <color rgb="FFFF0000"/>
      <name val="Arial"/>
      <family val="2"/>
    </font>
    <font>
      <i/>
      <sz val="11"/>
      <color theme="1"/>
      <name val="Calibri"/>
      <family val="2"/>
      <scheme val="minor"/>
    </font>
    <font>
      <b/>
      <sz val="14"/>
      <color rgb="FFFF0000"/>
      <name val="Calibri"/>
      <family val="2"/>
      <scheme val="minor"/>
    </font>
    <font>
      <i/>
      <sz val="14"/>
      <color rgb="FFFF0000"/>
      <name val="Calibri"/>
      <family val="2"/>
      <scheme val="minor"/>
    </font>
    <font>
      <i/>
      <sz val="11"/>
      <color theme="1"/>
      <name val="Arial"/>
      <family val="2"/>
    </font>
    <font>
      <i/>
      <sz val="12"/>
      <color rgb="FFFF0000"/>
      <name val="Calibri"/>
      <family val="2"/>
      <scheme val="minor"/>
    </font>
    <font>
      <b/>
      <sz val="12"/>
      <color theme="1"/>
      <name val="Calibri"/>
      <family val="2"/>
      <scheme val="minor"/>
    </font>
    <font>
      <b/>
      <sz val="14"/>
      <color theme="1"/>
      <name val="Calibri"/>
      <family val="2"/>
      <scheme val="minor"/>
    </font>
    <font>
      <b/>
      <sz val="24"/>
      <color theme="0"/>
      <name val="Calibri"/>
      <family val="2"/>
      <scheme val="minor"/>
    </font>
    <font>
      <b/>
      <sz val="11"/>
      <name val="Arial"/>
      <family val="2"/>
    </font>
    <font>
      <b/>
      <sz val="16"/>
      <color rgb="FFFF0000"/>
      <name val="Calibri"/>
      <family val="2"/>
      <scheme val="minor"/>
    </font>
    <font>
      <b/>
      <sz val="24"/>
      <color theme="1"/>
      <name val="Calibri"/>
      <family val="2"/>
      <scheme val="minor"/>
    </font>
    <font>
      <sz val="11"/>
      <color rgb="FF7030A0"/>
      <name val="Calibri"/>
      <family val="2"/>
      <scheme val="minor"/>
    </font>
    <font>
      <b/>
      <sz val="28"/>
      <color rgb="FFFF0000"/>
      <name val="Calibri"/>
      <family val="2"/>
      <scheme val="minor"/>
    </font>
    <font>
      <sz val="11"/>
      <name val="Calibri"/>
      <family val="2"/>
      <scheme val="minor"/>
    </font>
    <font>
      <b/>
      <sz val="11"/>
      <name val="Calibri"/>
      <family val="2"/>
      <scheme val="minor"/>
    </font>
    <font>
      <b/>
      <sz val="20"/>
      <color theme="0"/>
      <name val="Calibri"/>
      <family val="2"/>
      <scheme val="minor"/>
    </font>
    <font>
      <b/>
      <sz val="16"/>
      <color theme="1"/>
      <name val="Calibri"/>
      <family val="2"/>
      <scheme val="minor"/>
    </font>
    <font>
      <b/>
      <sz val="16"/>
      <color theme="1"/>
      <name val="Arial"/>
      <family val="2"/>
    </font>
    <font>
      <b/>
      <sz val="24"/>
      <color rgb="FFFF0000"/>
      <name val="Calibri"/>
      <family val="2"/>
      <scheme val="minor"/>
    </font>
    <font>
      <sz val="16"/>
      <color theme="1"/>
      <name val="Arial"/>
      <family val="2"/>
    </font>
    <font>
      <sz val="14"/>
      <color theme="1"/>
      <name val="Calibri"/>
      <family val="2"/>
      <scheme val="minor"/>
    </font>
    <font>
      <b/>
      <sz val="9"/>
      <color theme="1"/>
      <name val="Calibri"/>
      <family val="2"/>
      <scheme val="minor"/>
    </font>
    <font>
      <sz val="12"/>
      <color theme="1"/>
      <name val="Calibri"/>
      <family val="2"/>
      <scheme val="minor"/>
    </font>
    <font>
      <sz val="11"/>
      <name val="Arial"/>
      <family val="2"/>
    </font>
    <font>
      <b/>
      <sz val="11"/>
      <color rgb="FFFF0000"/>
      <name val="Calibri"/>
      <family val="2"/>
      <scheme val="minor"/>
    </font>
    <font>
      <b/>
      <sz val="10"/>
      <color theme="1"/>
      <name val="Arial"/>
      <family val="2"/>
    </font>
    <font>
      <vertAlign val="subscript"/>
      <sz val="11"/>
      <color theme="1"/>
      <name val="Calibri"/>
      <family val="2"/>
      <scheme val="minor"/>
    </font>
    <font>
      <sz val="10"/>
      <color rgb="FF000000"/>
      <name val="Calibri"/>
      <family val="2"/>
      <scheme val="minor"/>
    </font>
    <font>
      <vertAlign val="superscript"/>
      <sz val="11"/>
      <color theme="1"/>
      <name val="Calibri"/>
      <family val="2"/>
      <scheme val="minor"/>
    </font>
    <font>
      <b/>
      <sz val="36"/>
      <color rgb="FFFF0000"/>
      <name val="Calibri"/>
      <family val="2"/>
      <scheme val="minor"/>
    </font>
    <font>
      <sz val="10"/>
      <color rgb="FF000000"/>
      <name val="Arial"/>
      <family val="2"/>
    </font>
    <font>
      <sz val="9"/>
      <color rgb="FF000000"/>
      <name val="Arial"/>
      <family val="2"/>
    </font>
    <font>
      <sz val="12"/>
      <color rgb="FF000000"/>
      <name val="Arial"/>
      <family val="2"/>
    </font>
    <font>
      <b/>
      <sz val="36"/>
      <color rgb="FF000000"/>
      <name val="Arial"/>
      <family val="2"/>
    </font>
    <font>
      <sz val="22"/>
      <color rgb="FFFF0000"/>
      <name val="Arial"/>
      <family val="2"/>
    </font>
    <font>
      <b/>
      <sz val="22"/>
      <color rgb="FF000000"/>
      <name val="Arial"/>
      <family val="2"/>
    </font>
    <font>
      <b/>
      <sz val="48"/>
      <color rgb="FF000000"/>
      <name val="Arial"/>
      <family val="2"/>
    </font>
    <font>
      <b/>
      <sz val="28"/>
      <color rgb="FFFFFFFF"/>
      <name val="Arial"/>
      <family val="2"/>
    </font>
    <font>
      <b/>
      <sz val="20"/>
      <color rgb="FFFF0000"/>
      <name val="Arial"/>
      <family val="2"/>
    </font>
    <font>
      <b/>
      <sz val="24"/>
      <color rgb="FF000000"/>
      <name val="Arial"/>
      <family val="2"/>
    </font>
    <font>
      <b/>
      <sz val="20"/>
      <color rgb="FFFFFFFF"/>
      <name val="Arial"/>
      <family val="2"/>
    </font>
    <font>
      <b/>
      <sz val="22"/>
      <color rgb="FFFF0000"/>
      <name val="Arial"/>
      <family val="2"/>
    </font>
    <font>
      <b/>
      <sz val="26"/>
      <color rgb="FFFF0000"/>
      <name val="Arial"/>
      <family val="2"/>
    </font>
    <font>
      <b/>
      <sz val="20"/>
      <color rgb="FF000000"/>
      <name val="Arial"/>
      <family val="2"/>
    </font>
    <font>
      <sz val="16"/>
      <color rgb="FF000000"/>
      <name val="Arial"/>
      <family val="2"/>
    </font>
    <font>
      <b/>
      <sz val="16"/>
      <color rgb="FF000000"/>
      <name val="Arial"/>
      <family val="2"/>
    </font>
    <font>
      <b/>
      <sz val="12"/>
      <color rgb="FF000000"/>
      <name val="Arial"/>
      <family val="2"/>
    </font>
    <font>
      <sz val="14"/>
      <color rgb="FF000000"/>
      <name val="Arial"/>
      <family val="2"/>
    </font>
    <font>
      <u/>
      <sz val="26"/>
      <color rgb="FFFFFFFF"/>
      <name val="Arial"/>
      <family val="2"/>
    </font>
    <font>
      <b/>
      <sz val="14"/>
      <color rgb="FF000000"/>
      <name val="Arial"/>
      <family val="2"/>
    </font>
    <font>
      <sz val="12"/>
      <color rgb="FFFFFFFF"/>
      <name val="Arial"/>
      <family val="2"/>
    </font>
    <font>
      <b/>
      <sz val="12"/>
      <color rgb="FFFFFFFF"/>
      <name val="Arial"/>
      <family val="2"/>
    </font>
    <font>
      <sz val="10"/>
      <color rgb="FF000000"/>
      <name val="Arial"/>
      <family val="2"/>
    </font>
    <font>
      <b/>
      <sz val="18"/>
      <color rgb="FFFF0000"/>
      <name val="Arial"/>
      <family val="2"/>
    </font>
    <font>
      <sz val="16"/>
      <color rgb="FFFF0000"/>
      <name val="Arial"/>
      <family val="2"/>
    </font>
    <font>
      <u/>
      <sz val="24"/>
      <color rgb="FFFFFFFF"/>
      <name val="Arial"/>
      <family val="2"/>
    </font>
    <font>
      <u/>
      <sz val="16"/>
      <color rgb="FFFFFFFF"/>
      <name val="Arial"/>
      <family val="2"/>
    </font>
    <font>
      <b/>
      <sz val="9"/>
      <color rgb="FF000000"/>
      <name val="Arial"/>
      <family val="2"/>
    </font>
    <font>
      <b/>
      <sz val="9"/>
      <color rgb="FFFFFFFF"/>
      <name val="Arial"/>
      <family val="2"/>
    </font>
    <font>
      <sz val="12"/>
      <name val="Arial"/>
      <family val="2"/>
    </font>
    <font>
      <b/>
      <sz val="12"/>
      <color theme="4"/>
      <name val="Arial"/>
      <family val="2"/>
    </font>
    <font>
      <b/>
      <sz val="12"/>
      <color rgb="FFFF0000"/>
      <name val="Arial"/>
      <family val="2"/>
    </font>
    <font>
      <b/>
      <sz val="14"/>
      <name val="Arial"/>
      <family val="2"/>
    </font>
    <font>
      <u/>
      <sz val="20"/>
      <color rgb="FFFFFFFF"/>
      <name val="Arial"/>
      <family val="2"/>
    </font>
    <font>
      <b/>
      <sz val="12"/>
      <name val="Arial"/>
      <family val="2"/>
    </font>
    <font>
      <sz val="12"/>
      <color rgb="FFFF0000"/>
      <name val="Arial"/>
      <family val="2"/>
    </font>
    <font>
      <sz val="20"/>
      <color rgb="FFFFFFFF"/>
      <name val="Arial"/>
      <family val="2"/>
    </font>
    <font>
      <sz val="10"/>
      <name val="Arial"/>
      <family val="2"/>
    </font>
    <font>
      <b/>
      <sz val="16"/>
      <color rgb="FFFF0000"/>
      <name val="Arial"/>
      <family val="2"/>
    </font>
    <font>
      <sz val="10"/>
      <color rgb="FFFFFFFF"/>
      <name val="Arial"/>
      <family val="2"/>
    </font>
    <font>
      <b/>
      <sz val="12"/>
      <color rgb="FFC00000"/>
      <name val="Arial"/>
      <family val="2"/>
    </font>
    <font>
      <b/>
      <sz val="10"/>
      <color rgb="FF000000"/>
      <name val="Arial"/>
      <family val="2"/>
    </font>
    <font>
      <b/>
      <sz val="10"/>
      <name val="Arial"/>
      <family val="2"/>
    </font>
    <font>
      <sz val="10"/>
      <name val="Arial Unicode MS"/>
    </font>
    <font>
      <b/>
      <sz val="18"/>
      <color rgb="FF000000"/>
      <name val="Arial"/>
      <family val="2"/>
    </font>
    <font>
      <b/>
      <sz val="10"/>
      <color rgb="FF000000"/>
      <name val="Calibri"/>
      <family val="2"/>
      <scheme val="minor"/>
    </font>
    <font>
      <sz val="10"/>
      <color rgb="FF000000"/>
      <name val="Arial Unicode MS"/>
    </font>
  </fonts>
  <fills count="39">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
      <patternFill patternType="solid">
        <fgColor rgb="FF263D46"/>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rgb="FF1C6078"/>
        <bgColor indexed="64"/>
      </patternFill>
    </fill>
    <fill>
      <patternFill patternType="solid">
        <fgColor rgb="FF5F9EB4"/>
        <bgColor indexed="64"/>
      </patternFill>
    </fill>
    <fill>
      <patternFill patternType="solid">
        <fgColor theme="0"/>
        <bgColor indexed="64"/>
      </patternFill>
    </fill>
    <fill>
      <patternFill patternType="solid">
        <fgColor theme="0" tint="-4.9989318521683403E-2"/>
        <bgColor indexed="64"/>
      </patternFill>
    </fill>
    <fill>
      <patternFill patternType="solid">
        <fgColor rgb="FFAFDAA6"/>
        <bgColor indexed="64"/>
      </patternFill>
    </fill>
    <fill>
      <patternFill patternType="solid">
        <fgColor rgb="FF72AA7F"/>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3C9CB6"/>
        <bgColor indexed="64"/>
      </patternFill>
    </fill>
    <fill>
      <patternFill patternType="solid">
        <fgColor theme="4" tint="0.79998168889431442"/>
        <bgColor indexed="64"/>
      </patternFill>
    </fill>
    <fill>
      <patternFill patternType="solid">
        <fgColor rgb="FF44546A"/>
        <bgColor rgb="FF44546A"/>
      </patternFill>
    </fill>
    <fill>
      <patternFill patternType="solid">
        <fgColor rgb="FF263D46"/>
        <bgColor rgb="FF000000"/>
      </patternFill>
    </fill>
    <fill>
      <patternFill patternType="solid">
        <fgColor rgb="FFCCCCCC"/>
        <bgColor rgb="FF000000"/>
      </patternFill>
    </fill>
    <fill>
      <patternFill patternType="solid">
        <fgColor rgb="FF36627E"/>
        <bgColor rgb="FF000000"/>
      </patternFill>
    </fill>
    <fill>
      <patternFill patternType="solid">
        <fgColor rgb="FF437998"/>
        <bgColor rgb="FF000000"/>
      </patternFill>
    </fill>
    <fill>
      <patternFill patternType="solid">
        <fgColor rgb="FF5F9EB4"/>
        <bgColor rgb="FF000000"/>
      </patternFill>
    </fill>
    <fill>
      <patternFill patternType="solid">
        <fgColor rgb="FFA2D1D0"/>
        <bgColor rgb="FF000000"/>
      </patternFill>
    </fill>
    <fill>
      <patternFill patternType="solid">
        <fgColor rgb="FFAFDAA6"/>
        <bgColor rgb="FF000000"/>
      </patternFill>
    </fill>
    <fill>
      <patternFill patternType="solid">
        <fgColor rgb="FF72AA7F"/>
        <bgColor rgb="FF000000"/>
      </patternFill>
    </fill>
    <fill>
      <patternFill patternType="solid">
        <fgColor rgb="FF58937B"/>
        <bgColor rgb="FF000000"/>
      </patternFill>
    </fill>
    <fill>
      <patternFill patternType="solid">
        <fgColor rgb="FF3E665B"/>
        <bgColor rgb="FF000000"/>
      </patternFill>
    </fill>
    <fill>
      <patternFill patternType="solid">
        <fgColor rgb="FF2D433B"/>
        <bgColor rgb="FF000000"/>
      </patternFill>
    </fill>
    <fill>
      <patternFill patternType="solid">
        <fgColor rgb="FF58595B"/>
        <bgColor rgb="FF000000"/>
      </patternFill>
    </fill>
    <fill>
      <patternFill patternType="solid">
        <fgColor theme="8" tint="0.79998168889431442"/>
        <bgColor indexed="64"/>
      </patternFill>
    </fill>
    <fill>
      <patternFill patternType="solid">
        <fgColor theme="8" tint="0.79998168889431442"/>
        <bgColor rgb="FF44546A"/>
      </patternFill>
    </fill>
    <fill>
      <patternFill patternType="solid">
        <fgColor theme="4"/>
        <bgColor indexed="64"/>
      </patternFill>
    </fill>
    <fill>
      <patternFill patternType="solid">
        <fgColor theme="8" tint="0.79998168889431442"/>
        <bgColor rgb="FF000000"/>
      </patternFill>
    </fill>
    <fill>
      <patternFill patternType="solid">
        <fgColor rgb="FFFF0000"/>
        <bgColor indexed="64"/>
      </patternFill>
    </fill>
    <fill>
      <patternFill patternType="solid">
        <fgColor theme="6"/>
        <bgColor indexed="64"/>
      </patternFill>
    </fill>
    <fill>
      <patternFill patternType="solid">
        <fgColor rgb="FF92D050"/>
        <bgColor indexed="64"/>
      </patternFill>
    </fill>
    <fill>
      <patternFill patternType="solid">
        <fgColor theme="3" tint="0.79998168889431442"/>
        <bgColor indexed="64"/>
      </patternFill>
    </fill>
    <fill>
      <patternFill patternType="solid">
        <fgColor theme="6" tint="0.79998168889431442"/>
        <bgColor indexed="64"/>
      </patternFill>
    </fill>
  </fills>
  <borders count="129">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9"/>
      </left>
      <right/>
      <top style="thin">
        <color theme="9"/>
      </top>
      <bottom/>
      <diagonal/>
    </border>
    <border>
      <left/>
      <right/>
      <top style="thin">
        <color theme="9"/>
      </top>
      <bottom/>
      <diagonal/>
    </border>
    <border>
      <left style="thin">
        <color theme="9"/>
      </left>
      <right/>
      <top/>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diagonal/>
    </border>
    <border>
      <left/>
      <right style="thin">
        <color theme="9"/>
      </right>
      <top style="thin">
        <color theme="9"/>
      </top>
      <bottom style="thin">
        <color theme="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medium">
        <color auto="1"/>
      </left>
      <right style="thin">
        <color theme="0" tint="-0.14993743705557422"/>
      </right>
      <top style="medium">
        <color auto="1"/>
      </top>
      <bottom style="thin">
        <color theme="0" tint="-0.14993743705557422"/>
      </bottom>
      <diagonal/>
    </border>
    <border>
      <left style="thin">
        <color theme="0" tint="-0.14993743705557422"/>
      </left>
      <right style="thin">
        <color theme="0" tint="-0.14993743705557422"/>
      </right>
      <top style="medium">
        <color auto="1"/>
      </top>
      <bottom style="thin">
        <color theme="0" tint="-0.14993743705557422"/>
      </bottom>
      <diagonal/>
    </border>
    <border>
      <left style="thin">
        <color theme="0" tint="-0.14993743705557422"/>
      </left>
      <right/>
      <top style="medium">
        <color auto="1"/>
      </top>
      <bottom style="thin">
        <color theme="0" tint="-0.14993743705557422"/>
      </bottom>
      <diagonal/>
    </border>
    <border>
      <left style="thin">
        <color theme="0" tint="-0.14990691854609822"/>
      </left>
      <right style="medium">
        <color indexed="64"/>
      </right>
      <top style="medium">
        <color auto="1"/>
      </top>
      <bottom style="thin">
        <color theme="0" tint="-0.14990691854609822"/>
      </bottom>
      <diagonal/>
    </border>
    <border>
      <left style="medium">
        <color indexed="64"/>
      </left>
      <right style="medium">
        <color auto="1"/>
      </right>
      <top/>
      <bottom/>
      <diagonal/>
    </border>
    <border>
      <left style="medium">
        <color auto="1"/>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style="thin">
        <color theme="0" tint="-0.14990691854609822"/>
      </left>
      <right style="medium">
        <color indexed="64"/>
      </right>
      <top style="thin">
        <color theme="0" tint="-0.14990691854609822"/>
      </top>
      <bottom style="thin">
        <color theme="0" tint="-0.14990691854609822"/>
      </bottom>
      <diagonal/>
    </border>
    <border>
      <left style="medium">
        <color auto="1"/>
      </left>
      <right style="thin">
        <color theme="0" tint="-0.14993743705557422"/>
      </right>
      <top style="thin">
        <color theme="0" tint="-0.14993743705557422"/>
      </top>
      <bottom style="medium">
        <color auto="1"/>
      </bottom>
      <diagonal/>
    </border>
    <border>
      <left style="thin">
        <color theme="0" tint="-0.14993743705557422"/>
      </left>
      <right style="thin">
        <color theme="0" tint="-0.14993743705557422"/>
      </right>
      <top style="thin">
        <color theme="0" tint="-0.14993743705557422"/>
      </top>
      <bottom style="medium">
        <color auto="1"/>
      </bottom>
      <diagonal/>
    </border>
    <border>
      <left style="thin">
        <color theme="0" tint="-0.14993743705557422"/>
      </left>
      <right/>
      <top style="thin">
        <color theme="0" tint="-0.14993743705557422"/>
      </top>
      <bottom style="medium">
        <color auto="1"/>
      </bottom>
      <diagonal/>
    </border>
    <border>
      <left style="thin">
        <color theme="0" tint="-0.14990691854609822"/>
      </left>
      <right style="medium">
        <color indexed="64"/>
      </right>
      <top style="thin">
        <color theme="0" tint="-0.14990691854609822"/>
      </top>
      <bottom style="medium">
        <color auto="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auto="1"/>
      </left>
      <right style="thin">
        <color theme="0" tint="-0.14996795556505021"/>
      </right>
      <top style="medium">
        <color auto="1"/>
      </top>
      <bottom style="thin">
        <color theme="0" tint="-0.14996795556505021"/>
      </bottom>
      <diagonal/>
    </border>
    <border>
      <left style="thin">
        <color theme="0" tint="-0.14996795556505021"/>
      </left>
      <right style="thin">
        <color theme="0" tint="-0.14996795556505021"/>
      </right>
      <top style="medium">
        <color auto="1"/>
      </top>
      <bottom style="thin">
        <color theme="0" tint="-0.14996795556505021"/>
      </bottom>
      <diagonal/>
    </border>
    <border>
      <left style="medium">
        <color auto="1"/>
      </left>
      <right style="thin">
        <color theme="0" tint="-0.14996795556505021"/>
      </right>
      <top style="thin">
        <color theme="0" tint="-0.14996795556505021"/>
      </top>
      <bottom style="thin">
        <color theme="0" tint="-0.14996795556505021"/>
      </bottom>
      <diagonal/>
    </border>
    <border>
      <left style="medium">
        <color auto="1"/>
      </left>
      <right style="thin">
        <color theme="0" tint="-0.1498458815271462"/>
      </right>
      <top/>
      <bottom style="medium">
        <color auto="1"/>
      </bottom>
      <diagonal/>
    </border>
    <border>
      <left style="thin">
        <color theme="0" tint="-0.1498458815271462"/>
      </left>
      <right/>
      <top/>
      <bottom style="medium">
        <color auto="1"/>
      </bottom>
      <diagonal/>
    </border>
    <border>
      <left style="thin">
        <color theme="0" tint="-0.14996795556505021"/>
      </left>
      <right style="thin">
        <color theme="0" tint="-0.14996795556505021"/>
      </right>
      <top style="thin">
        <color theme="0" tint="-0.14996795556505021"/>
      </top>
      <bottom style="medium">
        <color auto="1"/>
      </bottom>
      <diagonal/>
    </border>
    <border>
      <left style="thin">
        <color theme="0" tint="-0.14996795556505021"/>
      </left>
      <right style="thin">
        <color theme="0" tint="-0.14996795556505021"/>
      </right>
      <top/>
      <bottom style="medium">
        <color auto="1"/>
      </bottom>
      <diagonal/>
    </border>
    <border>
      <left style="thin">
        <color theme="0" tint="-0.14993743705557422"/>
      </left>
      <right/>
      <top/>
      <bottom style="medium">
        <color auto="1"/>
      </bottom>
      <diagonal/>
    </border>
    <border>
      <left style="thin">
        <color theme="0" tint="-0.14990691854609822"/>
      </left>
      <right style="medium">
        <color indexed="64"/>
      </right>
      <top/>
      <bottom style="medium">
        <color auto="1"/>
      </bottom>
      <diagonal/>
    </border>
    <border>
      <left style="medium">
        <color auto="1"/>
      </left>
      <right style="thin">
        <color theme="0" tint="-0.14996795556505021"/>
      </right>
      <top style="thin">
        <color theme="0" tint="-0.14996795556505021"/>
      </top>
      <bottom style="medium">
        <color auto="1"/>
      </bottom>
      <diagonal/>
    </border>
    <border>
      <left style="medium">
        <color auto="1"/>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medium">
        <color auto="1"/>
      </left>
      <right style="thin">
        <color theme="0" tint="-0.14996795556505021"/>
      </right>
      <top/>
      <bottom/>
      <diagonal/>
    </border>
    <border>
      <left style="thin">
        <color theme="0" tint="-0.14996795556505021"/>
      </left>
      <right style="thin">
        <color theme="0" tint="-0.14996795556505021"/>
      </right>
      <top/>
      <bottom/>
      <diagonal/>
    </border>
    <border>
      <left style="medium">
        <color auto="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medium">
        <color auto="1"/>
      </left>
      <right style="thin">
        <color theme="0" tint="-0.14996795556505021"/>
      </right>
      <top/>
      <bottom style="medium">
        <color auto="1"/>
      </bottom>
      <diagonal/>
    </border>
    <border>
      <left style="thin">
        <color theme="0" tint="-0.14996795556505021"/>
      </left>
      <right style="medium">
        <color indexed="64"/>
      </right>
      <top style="medium">
        <color auto="1"/>
      </top>
      <bottom style="thin">
        <color theme="0" tint="-0.14996795556505021"/>
      </bottom>
      <diagonal/>
    </border>
    <border>
      <left style="thin">
        <color theme="0" tint="-0.14996795556505021"/>
      </left>
      <right style="medium">
        <color indexed="64"/>
      </right>
      <top style="thin">
        <color theme="0" tint="-0.14996795556505021"/>
      </top>
      <bottom style="thin">
        <color theme="0" tint="-0.14996795556505021"/>
      </bottom>
      <diagonal/>
    </border>
    <border>
      <left style="thin">
        <color theme="0" tint="-0.14996795556505021"/>
      </left>
      <right style="medium">
        <color indexed="64"/>
      </right>
      <top/>
      <bottom style="thin">
        <color theme="0" tint="-0.14996795556505021"/>
      </bottom>
      <diagonal/>
    </border>
    <border>
      <left style="thin">
        <color theme="0" tint="-0.14996795556505021"/>
      </left>
      <right style="medium">
        <color indexed="64"/>
      </right>
      <top style="thin">
        <color theme="0" tint="-0.14996795556505021"/>
      </top>
      <bottom style="medium">
        <color auto="1"/>
      </bottom>
      <diagonal/>
    </border>
    <border>
      <left style="thin">
        <color theme="0" tint="-0.14996795556505021"/>
      </left>
      <right style="thin">
        <color theme="0" tint="-0.14996795556505021"/>
      </right>
      <top style="medium">
        <color auto="1"/>
      </top>
      <bottom/>
      <diagonal/>
    </border>
    <border>
      <left style="thin">
        <color theme="0" tint="-0.14996795556505021"/>
      </left>
      <right style="thin">
        <color theme="0" tint="-0.14996795556505021"/>
      </right>
      <top style="thin">
        <color theme="0" tint="-0.14996795556505021"/>
      </top>
      <bottom style="thin">
        <color theme="0" tint="-0.14993743705557422"/>
      </bottom>
      <diagonal/>
    </border>
    <border>
      <left style="thin">
        <color theme="0" tint="-0.14996795556505021"/>
      </left>
      <right style="thin">
        <color theme="0" tint="-0.14996795556505021"/>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3743705557422"/>
      </top>
      <bottom style="thin">
        <color theme="0" tint="-0.14996795556505021"/>
      </bottom>
      <diagonal/>
    </border>
    <border>
      <left style="thin">
        <color theme="0" tint="-0.14993743705557422"/>
      </left>
      <right/>
      <top/>
      <bottom style="thin">
        <color theme="0" tint="-0.14993743705557422"/>
      </bottom>
      <diagonal/>
    </border>
    <border>
      <left style="thin">
        <color theme="0" tint="-0.14990691854609822"/>
      </left>
      <right style="medium">
        <color indexed="64"/>
      </right>
      <top/>
      <bottom style="thin">
        <color theme="0" tint="-0.14990691854609822"/>
      </bottom>
      <diagonal/>
    </border>
    <border>
      <left style="thin">
        <color theme="0" tint="-0.14993743705557422"/>
      </left>
      <right style="medium">
        <color auto="1"/>
      </right>
      <top style="medium">
        <color auto="1"/>
      </top>
      <bottom style="thin">
        <color theme="0" tint="-0.14990691854609822"/>
      </bottom>
      <diagonal/>
    </border>
    <border>
      <left style="medium">
        <color auto="1"/>
      </left>
      <right style="thin">
        <color theme="0" tint="-0.14993743705557422"/>
      </right>
      <top/>
      <bottom style="thin">
        <color theme="0" tint="-0.14993743705557422"/>
      </bottom>
      <diagonal/>
    </border>
    <border>
      <left style="thin">
        <color theme="0" tint="-0.14993743705557422"/>
      </left>
      <right style="thin">
        <color theme="0" tint="-0.14993743705557422"/>
      </right>
      <top/>
      <bottom style="thin">
        <color theme="0" tint="-0.14993743705557422"/>
      </bottom>
      <diagonal/>
    </border>
    <border>
      <left style="medium">
        <color auto="1"/>
      </left>
      <right style="thin">
        <color theme="0" tint="-0.14993743705557422"/>
      </right>
      <top style="thin">
        <color theme="0" tint="-0.14993743705557422"/>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6795556505021"/>
      </bottom>
      <diagonal/>
    </border>
    <border>
      <left style="thin">
        <color theme="0" tint="-0.14993743705557422"/>
      </left>
      <right/>
      <top style="thin">
        <color theme="0" tint="-0.14993743705557422"/>
      </top>
      <bottom style="thin">
        <color theme="0" tint="-0.14996795556505021"/>
      </bottom>
      <diagonal/>
    </border>
    <border>
      <left style="thin">
        <color theme="0" tint="-0.14990691854609822"/>
      </left>
      <right style="medium">
        <color indexed="64"/>
      </right>
      <top style="thin">
        <color theme="0" tint="-0.14990691854609822"/>
      </top>
      <bottom style="thin">
        <color theme="0" tint="-0.14996795556505021"/>
      </bottom>
      <diagonal/>
    </border>
    <border>
      <left style="medium">
        <color auto="1"/>
      </left>
      <right style="thin">
        <color theme="0" tint="-0.14993743705557422"/>
      </right>
      <top/>
      <bottom style="dashed">
        <color theme="0" tint="-0.14996795556505021"/>
      </bottom>
      <diagonal/>
    </border>
    <border>
      <left style="thin">
        <color theme="0" tint="-0.14993743705557422"/>
      </left>
      <right style="thin">
        <color theme="0" tint="-0.14993743705557422"/>
      </right>
      <top/>
      <bottom style="dashed">
        <color theme="0" tint="-0.14996795556505021"/>
      </bottom>
      <diagonal/>
    </border>
    <border>
      <left style="thin">
        <color theme="0" tint="-0.14993743705557422"/>
      </left>
      <right/>
      <top/>
      <bottom style="dashed">
        <color theme="0" tint="-0.14996795556505021"/>
      </bottom>
      <diagonal/>
    </border>
    <border>
      <left style="thin">
        <color theme="0" tint="-0.14990691854609822"/>
      </left>
      <right style="medium">
        <color indexed="64"/>
      </right>
      <top/>
      <bottom style="dashed">
        <color theme="0" tint="-0.14996795556505021"/>
      </bottom>
      <diagonal/>
    </border>
    <border>
      <left style="medium">
        <color auto="1"/>
      </left>
      <right style="thin">
        <color theme="0" tint="-0.14993743705557422"/>
      </right>
      <top style="dashed">
        <color theme="0" tint="-0.14996795556505021"/>
      </top>
      <bottom style="dashed">
        <color theme="0" tint="-0.14996795556505021"/>
      </bottom>
      <diagonal/>
    </border>
    <border>
      <left style="thin">
        <color theme="0" tint="-0.14993743705557422"/>
      </left>
      <right style="thin">
        <color theme="0" tint="-0.14993743705557422"/>
      </right>
      <top style="dashed">
        <color theme="0" tint="-0.14996795556505021"/>
      </top>
      <bottom style="dashed">
        <color theme="0" tint="-0.14996795556505021"/>
      </bottom>
      <diagonal/>
    </border>
    <border>
      <left style="thin">
        <color theme="0" tint="-0.14993743705557422"/>
      </left>
      <right/>
      <top style="dashed">
        <color theme="0" tint="-0.14996795556505021"/>
      </top>
      <bottom style="dashed">
        <color theme="0" tint="-0.14996795556505021"/>
      </bottom>
      <diagonal/>
    </border>
    <border>
      <left style="thin">
        <color theme="0" tint="-0.14990691854609822"/>
      </left>
      <right style="medium">
        <color indexed="64"/>
      </right>
      <top style="dashed">
        <color theme="0" tint="-0.14996795556505021"/>
      </top>
      <bottom style="dashed">
        <color theme="0" tint="-0.14996795556505021"/>
      </bottom>
      <diagonal/>
    </border>
    <border>
      <left style="medium">
        <color auto="1"/>
      </left>
      <right style="thin">
        <color theme="0" tint="-0.14993743705557422"/>
      </right>
      <top style="dashed">
        <color theme="0" tint="-0.14996795556505021"/>
      </top>
      <bottom/>
      <diagonal/>
    </border>
    <border>
      <left style="thin">
        <color theme="0" tint="-0.14993743705557422"/>
      </left>
      <right style="thin">
        <color theme="0" tint="-0.14993743705557422"/>
      </right>
      <top style="dashed">
        <color theme="0" tint="-0.14996795556505021"/>
      </top>
      <bottom/>
      <diagonal/>
    </border>
    <border>
      <left style="thin">
        <color theme="0" tint="-0.14993743705557422"/>
      </left>
      <right/>
      <top style="dashed">
        <color theme="0" tint="-0.14996795556505021"/>
      </top>
      <bottom/>
      <diagonal/>
    </border>
    <border>
      <left style="thin">
        <color theme="0" tint="-0.14990691854609822"/>
      </left>
      <right style="medium">
        <color indexed="64"/>
      </right>
      <top style="dashed">
        <color theme="0" tint="-0.14996795556505021"/>
      </top>
      <bottom/>
      <diagonal/>
    </border>
    <border>
      <left/>
      <right/>
      <top style="thick">
        <color auto="1"/>
      </top>
      <bottom style="medium">
        <color indexed="64"/>
      </bottom>
      <diagonal/>
    </border>
    <border>
      <left/>
      <right style="medium">
        <color indexed="64"/>
      </right>
      <top style="thick">
        <color auto="1"/>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theme="6"/>
      </left>
      <right/>
      <top/>
      <bottom/>
      <diagonal/>
    </border>
    <border>
      <left style="thin">
        <color theme="6"/>
      </left>
      <right/>
      <top style="thin">
        <color theme="6"/>
      </top>
      <bottom style="thin">
        <color theme="6"/>
      </bottom>
      <diagonal/>
    </border>
    <border>
      <left/>
      <right/>
      <top style="thin">
        <color theme="6"/>
      </top>
      <bottom style="thin">
        <color theme="6"/>
      </bottom>
      <diagonal/>
    </border>
    <border>
      <left style="thin">
        <color indexed="64"/>
      </left>
      <right style="medium">
        <color indexed="64"/>
      </right>
      <top/>
      <bottom style="thin">
        <color indexed="64"/>
      </bottom>
      <diagonal/>
    </border>
  </borders>
  <cellStyleXfs count="8">
    <xf numFmtId="0" fontId="0" fillId="0" borderId="0"/>
    <xf numFmtId="0" fontId="1" fillId="0" borderId="0"/>
    <xf numFmtId="9" fontId="34" fillId="0" borderId="0" applyFont="0" applyFill="0" applyBorder="0" applyAlignment="0" applyProtection="0"/>
    <xf numFmtId="0" fontId="1" fillId="0" borderId="0"/>
    <xf numFmtId="0" fontId="42" fillId="0" borderId="0"/>
    <xf numFmtId="0" fontId="64" fillId="0" borderId="0"/>
    <xf numFmtId="0" fontId="64" fillId="0" borderId="0"/>
    <xf numFmtId="0" fontId="1" fillId="0" borderId="0"/>
  </cellStyleXfs>
  <cellXfs count="1042">
    <xf numFmtId="0" fontId="0" fillId="0" borderId="0" xfId="0"/>
    <xf numFmtId="0" fontId="5" fillId="0" borderId="0" xfId="1" applyFont="1"/>
    <xf numFmtId="0" fontId="6" fillId="0" borderId="0" xfId="0" applyFont="1" applyAlignment="1">
      <alignment horizontal="left" vertical="center" wrapText="1"/>
    </xf>
    <xf numFmtId="0" fontId="5" fillId="0" borderId="0" xfId="1" applyFont="1" applyAlignment="1">
      <alignment horizontal="center" vertical="center"/>
    </xf>
    <xf numFmtId="0" fontId="5" fillId="0" borderId="0" xfId="1" applyFont="1" applyAlignment="1">
      <alignment horizontal="left" vertical="center"/>
    </xf>
    <xf numFmtId="0" fontId="7" fillId="0" borderId="0" xfId="1" applyFont="1"/>
    <xf numFmtId="0" fontId="0" fillId="0" borderId="3" xfId="1" applyFont="1" applyBorder="1" applyAlignment="1">
      <alignment horizontal="center" vertical="center"/>
    </xf>
    <xf numFmtId="2" fontId="1" fillId="2" borderId="3" xfId="1" applyNumberFormat="1" applyFill="1" applyBorder="1" applyAlignment="1">
      <alignment horizontal="center" vertical="center"/>
    </xf>
    <xf numFmtId="164" fontId="1" fillId="0" borderId="3" xfId="1" applyNumberFormat="1" applyBorder="1" applyAlignment="1">
      <alignment horizontal="center" vertical="center"/>
    </xf>
    <xf numFmtId="2" fontId="1" fillId="3" borderId="3" xfId="1" applyNumberFormat="1" applyFill="1" applyBorder="1" applyAlignment="1">
      <alignment horizontal="center" vertical="center"/>
    </xf>
    <xf numFmtId="0" fontId="1" fillId="3" borderId="3" xfId="1" applyFill="1" applyBorder="1" applyAlignment="1">
      <alignment horizontal="center" vertical="center"/>
    </xf>
    <xf numFmtId="0" fontId="4" fillId="4" borderId="6" xfId="1" applyFont="1" applyFill="1" applyBorder="1" applyAlignment="1">
      <alignment horizontal="center" vertical="center"/>
    </xf>
    <xf numFmtId="0" fontId="4" fillId="2" borderId="3" xfId="1" applyFont="1" applyFill="1" applyBorder="1" applyAlignment="1">
      <alignment horizontal="center" vertical="center" wrapText="1"/>
    </xf>
    <xf numFmtId="0" fontId="4" fillId="2" borderId="3" xfId="1" applyFont="1" applyFill="1" applyBorder="1" applyAlignment="1">
      <alignment horizontal="center" vertical="center"/>
    </xf>
    <xf numFmtId="1" fontId="4" fillId="2" borderId="3" xfId="1" applyNumberFormat="1" applyFont="1" applyFill="1" applyBorder="1" applyAlignment="1">
      <alignment horizontal="center" vertical="center"/>
    </xf>
    <xf numFmtId="0" fontId="4" fillId="2" borderId="3" xfId="1" applyFont="1" applyFill="1" applyBorder="1" applyAlignment="1">
      <alignment horizontal="left" vertical="center"/>
    </xf>
    <xf numFmtId="0" fontId="1" fillId="2" borderId="3" xfId="1" applyFill="1" applyBorder="1" applyAlignment="1">
      <alignment horizontal="center" vertical="center"/>
    </xf>
    <xf numFmtId="2" fontId="1" fillId="2" borderId="3" xfId="1" applyNumberFormat="1" applyFill="1" applyBorder="1" applyAlignment="1" applyProtection="1">
      <alignment horizontal="center" vertical="center"/>
      <protection locked="0"/>
    </xf>
    <xf numFmtId="164" fontId="1" fillId="3" borderId="3" xfId="1" applyNumberFormat="1" applyFill="1" applyBorder="1" applyAlignment="1" applyProtection="1">
      <alignment vertical="center"/>
      <protection locked="0"/>
    </xf>
    <xf numFmtId="0" fontId="1" fillId="2" borderId="3" xfId="1" applyFill="1" applyBorder="1" applyAlignment="1" applyProtection="1">
      <alignment horizontal="left" vertical="center"/>
      <protection locked="0"/>
    </xf>
    <xf numFmtId="0" fontId="13" fillId="0" borderId="0" xfId="0" applyFont="1" applyAlignment="1">
      <alignment horizontal="left" vertical="center" wrapText="1"/>
    </xf>
    <xf numFmtId="164" fontId="4" fillId="2" borderId="3" xfId="1" applyNumberFormat="1" applyFont="1" applyFill="1" applyBorder="1" applyAlignment="1">
      <alignment horizontal="center" vertical="center"/>
    </xf>
    <xf numFmtId="1" fontId="1" fillId="3" borderId="3" xfId="1" applyNumberFormat="1" applyFill="1" applyBorder="1" applyAlignment="1">
      <alignment horizontal="center" vertical="center"/>
    </xf>
    <xf numFmtId="164" fontId="1" fillId="3" borderId="3" xfId="1" applyNumberFormat="1" applyFill="1" applyBorder="1" applyAlignment="1">
      <alignment horizontal="center" vertical="center"/>
    </xf>
    <xf numFmtId="0" fontId="14" fillId="0" borderId="0" xfId="0" applyFont="1" applyAlignment="1">
      <alignment horizontal="left" vertical="center" wrapText="1"/>
    </xf>
    <xf numFmtId="1" fontId="4" fillId="2" borderId="3" xfId="1" quotePrefix="1" applyNumberFormat="1" applyFont="1" applyFill="1" applyBorder="1" applyAlignment="1">
      <alignment horizontal="center" vertical="center" wrapText="1"/>
    </xf>
    <xf numFmtId="0" fontId="4" fillId="3" borderId="3" xfId="1" applyFont="1" applyFill="1" applyBorder="1" applyAlignment="1">
      <alignment horizontal="center" vertical="center" wrapText="1"/>
    </xf>
    <xf numFmtId="0" fontId="4" fillId="2" borderId="10" xfId="1" applyFont="1" applyFill="1" applyBorder="1" applyAlignment="1">
      <alignment horizontal="center" vertical="center" wrapText="1"/>
    </xf>
    <xf numFmtId="0" fontId="1" fillId="2" borderId="5" xfId="1" applyFill="1" applyBorder="1"/>
    <xf numFmtId="0" fontId="1" fillId="2" borderId="7" xfId="1" applyFill="1" applyBorder="1"/>
    <xf numFmtId="0" fontId="1" fillId="2" borderId="8" xfId="1" applyFill="1" applyBorder="1"/>
    <xf numFmtId="0" fontId="4" fillId="2" borderId="8" xfId="1" applyFont="1" applyFill="1" applyBorder="1" applyAlignment="1">
      <alignment horizontal="left" vertical="center"/>
    </xf>
    <xf numFmtId="0" fontId="1" fillId="2" borderId="13" xfId="1" applyFill="1" applyBorder="1" applyAlignment="1">
      <alignment horizontal="center" vertical="center"/>
    </xf>
    <xf numFmtId="164" fontId="1" fillId="3" borderId="3" xfId="1" applyNumberFormat="1" applyFill="1" applyBorder="1" applyAlignment="1" applyProtection="1">
      <alignment horizontal="center" vertical="center"/>
      <protection locked="0"/>
    </xf>
    <xf numFmtId="0" fontId="1" fillId="3" borderId="3" xfId="1" applyFill="1" applyBorder="1" applyAlignment="1" applyProtection="1">
      <alignment horizontal="left" vertical="center"/>
      <protection locked="0"/>
    </xf>
    <xf numFmtId="0" fontId="16" fillId="0" borderId="0" xfId="0" applyFont="1" applyAlignment="1">
      <alignment horizontal="left" vertical="center" wrapText="1"/>
    </xf>
    <xf numFmtId="164" fontId="0" fillId="3" borderId="3" xfId="1" applyNumberFormat="1" applyFont="1" applyFill="1" applyBorder="1" applyAlignment="1">
      <alignment horizontal="center" vertical="center"/>
    </xf>
    <xf numFmtId="0" fontId="1" fillId="3" borderId="3" xfId="1" applyFill="1" applyBorder="1" applyAlignment="1" applyProtection="1">
      <alignment horizontal="center" vertical="center"/>
      <protection locked="0"/>
    </xf>
    <xf numFmtId="0" fontId="0" fillId="3" borderId="3" xfId="1" applyFont="1" applyFill="1" applyBorder="1" applyAlignment="1">
      <alignment horizontal="center" vertical="center"/>
    </xf>
    <xf numFmtId="0" fontId="6" fillId="0" borderId="0" xfId="0" applyFont="1" applyAlignment="1">
      <alignment horizontal="left" vertical="top" wrapText="1"/>
    </xf>
    <xf numFmtId="0" fontId="4" fillId="2" borderId="11" xfId="1" applyFont="1" applyFill="1" applyBorder="1" applyAlignment="1">
      <alignment horizontal="center" vertical="center"/>
    </xf>
    <xf numFmtId="0" fontId="0" fillId="2" borderId="12" xfId="1" applyFont="1" applyFill="1" applyBorder="1" applyAlignment="1">
      <alignment horizontal="center" vertical="center"/>
    </xf>
    <xf numFmtId="1" fontId="4" fillId="2" borderId="3" xfId="1" applyNumberFormat="1" applyFont="1" applyFill="1" applyBorder="1" applyAlignment="1">
      <alignment horizontal="center" vertical="center" wrapText="1"/>
    </xf>
    <xf numFmtId="0" fontId="1" fillId="3" borderId="6" xfId="1" applyFill="1" applyBorder="1" applyAlignment="1">
      <alignment horizontal="center" vertical="center"/>
    </xf>
    <xf numFmtId="0" fontId="5" fillId="0" borderId="0" xfId="1" applyFont="1" applyAlignment="1">
      <alignment horizontal="left"/>
    </xf>
    <xf numFmtId="0" fontId="1" fillId="3" borderId="8" xfId="1" applyFill="1" applyBorder="1" applyAlignment="1">
      <alignment horizontal="center" vertical="center"/>
    </xf>
    <xf numFmtId="0" fontId="1" fillId="3" borderId="13" xfId="1" applyFill="1" applyBorder="1" applyAlignment="1">
      <alignment horizontal="center" vertical="center"/>
    </xf>
    <xf numFmtId="0" fontId="4" fillId="2" borderId="1" xfId="1" applyFont="1" applyFill="1" applyBorder="1" applyAlignment="1">
      <alignment horizontal="center" vertical="center"/>
    </xf>
    <xf numFmtId="0" fontId="1" fillId="2" borderId="4" xfId="1" applyFill="1" applyBorder="1" applyAlignment="1">
      <alignment horizontal="center" vertical="center"/>
    </xf>
    <xf numFmtId="0" fontId="4" fillId="2" borderId="7" xfId="1" applyFont="1" applyFill="1" applyBorder="1" applyAlignment="1">
      <alignment horizontal="center" vertical="center"/>
    </xf>
    <xf numFmtId="0" fontId="6" fillId="0" borderId="0" xfId="0" applyFont="1" applyAlignment="1">
      <alignment horizontal="left" wrapText="1"/>
    </xf>
    <xf numFmtId="0" fontId="1" fillId="0" borderId="0" xfId="1"/>
    <xf numFmtId="0" fontId="1" fillId="0" borderId="0" xfId="1" applyAlignment="1">
      <alignment horizontal="center" vertical="center"/>
    </xf>
    <xf numFmtId="0" fontId="1" fillId="0" borderId="0" xfId="1" applyAlignment="1">
      <alignment horizontal="left" vertical="center"/>
    </xf>
    <xf numFmtId="0" fontId="21" fillId="0" borderId="0" xfId="0" applyFont="1" applyAlignment="1">
      <alignment horizontal="center" vertical="center" wrapText="1"/>
    </xf>
    <xf numFmtId="0" fontId="23" fillId="0" borderId="0" xfId="0" applyFont="1" applyAlignment="1">
      <alignment horizontal="center" vertical="center" wrapText="1"/>
    </xf>
    <xf numFmtId="0" fontId="6" fillId="0" borderId="0" xfId="0" applyFont="1"/>
    <xf numFmtId="0" fontId="6" fillId="0" borderId="0" xfId="0" applyFont="1" applyAlignment="1">
      <alignment vertical="center"/>
    </xf>
    <xf numFmtId="2" fontId="4" fillId="0" borderId="3" xfId="1" applyNumberFormat="1" applyFont="1" applyBorder="1" applyAlignment="1" applyProtection="1">
      <alignment horizontal="center" vertical="center" wrapText="1"/>
      <protection locked="0"/>
    </xf>
    <xf numFmtId="2" fontId="4" fillId="3" borderId="3" xfId="1" applyNumberFormat="1" applyFont="1" applyFill="1" applyBorder="1" applyAlignment="1">
      <alignment horizontal="center" vertical="center" wrapText="1"/>
    </xf>
    <xf numFmtId="0" fontId="10" fillId="7" borderId="6" xfId="0" applyFont="1" applyFill="1" applyBorder="1" applyAlignment="1">
      <alignment vertical="center"/>
    </xf>
    <xf numFmtId="1" fontId="25" fillId="0" borderId="3" xfId="1" applyNumberFormat="1" applyFont="1" applyBorder="1" applyAlignment="1" applyProtection="1">
      <alignment horizontal="center" vertical="center"/>
      <protection locked="0"/>
    </xf>
    <xf numFmtId="0" fontId="4" fillId="3" borderId="3" xfId="1" applyFont="1" applyFill="1" applyBorder="1" applyAlignment="1">
      <alignment horizontal="center" vertical="center"/>
    </xf>
    <xf numFmtId="2" fontId="0" fillId="0" borderId="3" xfId="1" applyNumberFormat="1" applyFont="1" applyBorder="1" applyAlignment="1" applyProtection="1">
      <alignment horizontal="center" vertical="center"/>
      <protection locked="0"/>
    </xf>
    <xf numFmtId="0" fontId="4" fillId="3" borderId="9" xfId="1" applyFont="1" applyFill="1" applyBorder="1" applyAlignment="1">
      <alignment horizontal="center" vertical="center" wrapText="1"/>
    </xf>
    <xf numFmtId="0" fontId="10" fillId="7" borderId="11" xfId="0" applyFont="1" applyFill="1" applyBorder="1" applyAlignment="1">
      <alignment vertical="center" wrapText="1"/>
    </xf>
    <xf numFmtId="0" fontId="0" fillId="0" borderId="3" xfId="1" applyFont="1" applyBorder="1" applyAlignment="1" applyProtection="1">
      <alignment horizontal="center" vertical="center" wrapText="1"/>
      <protection locked="0"/>
    </xf>
    <xf numFmtId="0" fontId="0" fillId="3" borderId="3" xfId="1" applyFont="1" applyFill="1" applyBorder="1" applyAlignment="1">
      <alignment horizontal="center" vertical="center" wrapText="1"/>
    </xf>
    <xf numFmtId="0" fontId="26" fillId="3" borderId="3" xfId="1" applyFont="1" applyFill="1" applyBorder="1" applyAlignment="1">
      <alignment horizontal="center" vertical="center" wrapText="1"/>
    </xf>
    <xf numFmtId="0" fontId="26" fillId="3" borderId="9" xfId="1" applyFont="1" applyFill="1" applyBorder="1" applyAlignment="1">
      <alignment horizontal="center" vertical="center" wrapText="1"/>
    </xf>
    <xf numFmtId="0" fontId="0" fillId="0" borderId="0" xfId="0" applyAlignment="1">
      <alignment vertical="center"/>
    </xf>
    <xf numFmtId="0" fontId="1" fillId="0" borderId="3" xfId="1" applyBorder="1" applyAlignment="1" applyProtection="1">
      <alignment horizontal="left" vertical="center" wrapText="1"/>
      <protection locked="0"/>
    </xf>
    <xf numFmtId="164" fontId="4" fillId="3" borderId="3" xfId="1" applyNumberFormat="1" applyFont="1" applyFill="1" applyBorder="1" applyAlignment="1">
      <alignment horizontal="center" vertical="center" wrapText="1"/>
    </xf>
    <xf numFmtId="165" fontId="4" fillId="3" borderId="3" xfId="1" applyNumberFormat="1" applyFont="1" applyFill="1" applyBorder="1" applyAlignment="1">
      <alignment horizontal="center" vertical="center" wrapText="1"/>
    </xf>
    <xf numFmtId="0" fontId="1" fillId="0" borderId="3" xfId="1" applyBorder="1" applyAlignment="1" applyProtection="1">
      <alignment horizontal="center" vertical="center" wrapText="1"/>
      <protection locked="0"/>
    </xf>
    <xf numFmtId="0" fontId="21" fillId="0" borderId="0" xfId="0" applyFont="1"/>
    <xf numFmtId="0" fontId="4" fillId="0" borderId="0" xfId="0" applyFont="1"/>
    <xf numFmtId="0" fontId="28" fillId="0" borderId="0" xfId="1" applyFont="1" applyAlignment="1">
      <alignment vertical="center"/>
    </xf>
    <xf numFmtId="0" fontId="29" fillId="0" borderId="0" xfId="1" applyFont="1" applyAlignment="1">
      <alignment vertical="center"/>
    </xf>
    <xf numFmtId="0" fontId="31" fillId="0" borderId="0" xfId="1" applyFont="1" applyAlignment="1">
      <alignment horizontal="left"/>
    </xf>
    <xf numFmtId="0" fontId="32" fillId="0" borderId="0" xfId="0" applyFont="1" applyAlignment="1">
      <alignment horizontal="left"/>
    </xf>
    <xf numFmtId="0" fontId="1" fillId="0" borderId="8" xfId="1" applyBorder="1"/>
    <xf numFmtId="0" fontId="0" fillId="0" borderId="3" xfId="1" applyFont="1" applyBorder="1" applyAlignment="1" applyProtection="1">
      <alignment horizontal="left" vertical="center" wrapText="1"/>
      <protection locked="0"/>
    </xf>
    <xf numFmtId="0" fontId="6" fillId="0" borderId="0" xfId="0" applyFont="1" applyAlignment="1">
      <alignment horizontal="left"/>
    </xf>
    <xf numFmtId="0" fontId="6" fillId="0" borderId="0" xfId="0" applyFont="1" applyAlignment="1">
      <alignment wrapText="1"/>
    </xf>
    <xf numFmtId="0" fontId="1" fillId="0" borderId="3" xfId="1" applyBorder="1" applyAlignment="1" applyProtection="1">
      <alignment horizontal="center" vertical="center"/>
      <protection locked="0"/>
    </xf>
    <xf numFmtId="0" fontId="4" fillId="0" borderId="3" xfId="1" applyFont="1" applyBorder="1" applyAlignment="1" applyProtection="1">
      <alignment horizontal="center" vertical="center"/>
      <protection locked="0"/>
    </xf>
    <xf numFmtId="0" fontId="25" fillId="0" borderId="3" xfId="1" applyFont="1" applyBorder="1" applyAlignment="1" applyProtection="1">
      <alignment horizontal="center" vertical="center"/>
      <protection locked="0"/>
    </xf>
    <xf numFmtId="0" fontId="6" fillId="0" borderId="0" xfId="0" applyFont="1" applyAlignment="1">
      <alignment vertical="center" wrapText="1"/>
    </xf>
    <xf numFmtId="2" fontId="25" fillId="2" borderId="3" xfId="1" applyNumberFormat="1" applyFont="1" applyFill="1" applyBorder="1" applyAlignment="1">
      <alignment horizontal="center" vertical="center"/>
    </xf>
    <xf numFmtId="2" fontId="1" fillId="9" borderId="3" xfId="1" applyNumberFormat="1" applyFill="1" applyBorder="1" applyAlignment="1" applyProtection="1">
      <alignment horizontal="center" vertical="center" wrapText="1"/>
      <protection locked="0"/>
    </xf>
    <xf numFmtId="0" fontId="32" fillId="0" borderId="0" xfId="0" applyFont="1" applyAlignment="1">
      <alignment horizontal="left" wrapText="1"/>
    </xf>
    <xf numFmtId="0" fontId="1" fillId="9" borderId="3" xfId="1" applyFill="1" applyBorder="1" applyAlignment="1" applyProtection="1">
      <alignment horizontal="left" vertical="center" wrapText="1"/>
      <protection locked="0"/>
    </xf>
    <xf numFmtId="0" fontId="4" fillId="9" borderId="3" xfId="1" applyFont="1" applyFill="1" applyBorder="1" applyAlignment="1" applyProtection="1">
      <alignment horizontal="center" vertical="center" wrapText="1"/>
      <protection locked="0"/>
    </xf>
    <xf numFmtId="0" fontId="4" fillId="10" borderId="3" xfId="1" applyFont="1" applyFill="1" applyBorder="1" applyAlignment="1">
      <alignment horizontal="center" vertical="center" wrapText="1"/>
    </xf>
    <xf numFmtId="0" fontId="6" fillId="0" borderId="0" xfId="1" applyFont="1" applyAlignment="1">
      <alignment horizontal="left" vertical="center" wrapText="1"/>
    </xf>
    <xf numFmtId="2" fontId="14" fillId="0" borderId="0" xfId="1" applyNumberFormat="1" applyFont="1" applyAlignment="1">
      <alignment vertical="center" wrapText="1"/>
    </xf>
    <xf numFmtId="0" fontId="21" fillId="0" borderId="0" xfId="0" applyFont="1" applyAlignment="1">
      <alignment horizontal="left" vertical="center"/>
    </xf>
    <xf numFmtId="0" fontId="0" fillId="0" borderId="0" xfId="0" applyAlignment="1">
      <alignment horizontal="left" vertical="top"/>
    </xf>
    <xf numFmtId="9" fontId="35" fillId="0" borderId="3" xfId="2" applyFont="1" applyFill="1" applyBorder="1" applyAlignment="1" applyProtection="1">
      <alignment horizontal="center" vertical="center" wrapText="1"/>
      <protection locked="0"/>
    </xf>
    <xf numFmtId="0" fontId="25" fillId="0" borderId="3" xfId="1" applyFont="1" applyBorder="1" applyAlignment="1" applyProtection="1">
      <alignment horizontal="center" vertical="center" wrapText="1"/>
      <protection locked="0"/>
    </xf>
    <xf numFmtId="164" fontId="35" fillId="3" borderId="3" xfId="1" applyNumberFormat="1" applyFont="1" applyFill="1" applyBorder="1" applyAlignment="1">
      <alignment horizontal="center" vertical="center"/>
    </xf>
    <xf numFmtId="164" fontId="35" fillId="0" borderId="3" xfId="1" applyNumberFormat="1" applyFont="1" applyBorder="1" applyAlignment="1">
      <alignment horizontal="center" vertical="center"/>
    </xf>
    <xf numFmtId="164" fontId="25" fillId="3" borderId="3" xfId="1" applyNumberFormat="1" applyFont="1" applyFill="1" applyBorder="1" applyAlignment="1">
      <alignment horizontal="center" vertical="center" wrapText="1"/>
    </xf>
    <xf numFmtId="0" fontId="25" fillId="0" borderId="3" xfId="1" applyFont="1" applyBorder="1" applyAlignment="1">
      <alignment horizontal="center" vertical="center"/>
    </xf>
    <xf numFmtId="0" fontId="25" fillId="0" borderId="3" xfId="1" applyFont="1" applyBorder="1" applyAlignment="1">
      <alignment horizontal="center" vertical="center" wrapText="1"/>
    </xf>
    <xf numFmtId="0" fontId="25" fillId="3" borderId="3" xfId="1" applyFont="1" applyFill="1" applyBorder="1" applyAlignment="1">
      <alignment horizontal="center" vertical="center" wrapText="1"/>
    </xf>
    <xf numFmtId="0" fontId="12" fillId="0" borderId="0" xfId="0" applyFont="1"/>
    <xf numFmtId="0" fontId="26" fillId="0" borderId="3" xfId="1" applyFont="1" applyBorder="1" applyAlignment="1" applyProtection="1">
      <alignment horizontal="center" vertical="center" wrapText="1"/>
      <protection locked="0"/>
    </xf>
    <xf numFmtId="0" fontId="37" fillId="2" borderId="3" xfId="1" applyFont="1" applyFill="1" applyBorder="1" applyAlignment="1">
      <alignment horizontal="center" vertical="center" wrapText="1"/>
    </xf>
    <xf numFmtId="0" fontId="7" fillId="2" borderId="3" xfId="1" applyFont="1" applyFill="1" applyBorder="1" applyAlignment="1">
      <alignment horizontal="center" vertical="center" wrapText="1"/>
    </xf>
    <xf numFmtId="0" fontId="3" fillId="0" borderId="0" xfId="0" applyFont="1" applyAlignment="1">
      <alignment horizontal="left" vertical="top" wrapText="1"/>
    </xf>
    <xf numFmtId="0" fontId="21" fillId="0" borderId="0" xfId="0" applyFont="1" applyAlignment="1">
      <alignment horizontal="left" vertical="top"/>
    </xf>
    <xf numFmtId="0" fontId="1" fillId="0" borderId="0" xfId="0" applyFont="1"/>
    <xf numFmtId="0" fontId="1" fillId="0" borderId="3" xfId="1" applyBorder="1" applyAlignment="1">
      <alignment horizontal="left"/>
    </xf>
    <xf numFmtId="0" fontId="1" fillId="0" borderId="3" xfId="1" applyBorder="1"/>
    <xf numFmtId="0" fontId="0" fillId="0" borderId="3" xfId="1" applyFont="1" applyBorder="1"/>
    <xf numFmtId="0" fontId="0" fillId="0" borderId="3" xfId="0" applyBorder="1"/>
    <xf numFmtId="0" fontId="4" fillId="0" borderId="3" xfId="0" applyFont="1" applyBorder="1"/>
    <xf numFmtId="0" fontId="0" fillId="0" borderId="16" xfId="0" applyBorder="1"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0" fontId="1" fillId="0" borderId="3" xfId="0" applyFont="1" applyBorder="1"/>
    <xf numFmtId="0" fontId="0" fillId="0" borderId="19" xfId="0" applyBorder="1" applyAlignment="1">
      <alignment vertical="center" wrapText="1"/>
    </xf>
    <xf numFmtId="0" fontId="4" fillId="0" borderId="3" xfId="1" applyFont="1" applyBorder="1"/>
    <xf numFmtId="0" fontId="1" fillId="0" borderId="16" xfId="1" applyBorder="1" applyAlignment="1">
      <alignment vertical="center" wrapText="1"/>
    </xf>
    <xf numFmtId="0" fontId="4" fillId="0" borderId="0" xfId="1" applyFont="1"/>
    <xf numFmtId="0" fontId="1" fillId="0" borderId="0" xfId="1" applyAlignment="1">
      <alignment vertical="center" wrapText="1"/>
    </xf>
    <xf numFmtId="0" fontId="1" fillId="0" borderId="0" xfId="1" applyAlignment="1">
      <alignment horizontal="center" vertical="center" wrapText="1"/>
    </xf>
    <xf numFmtId="0" fontId="1" fillId="0" borderId="0" xfId="1" applyAlignment="1">
      <alignment horizontal="center"/>
    </xf>
    <xf numFmtId="0" fontId="1" fillId="0" borderId="16" xfId="1" applyBorder="1" applyAlignment="1">
      <alignment horizontal="center" vertical="center" wrapText="1"/>
    </xf>
    <xf numFmtId="0" fontId="1" fillId="0" borderId="0" xfId="1" applyAlignment="1">
      <alignment horizontal="right" vertical="center" wrapText="1"/>
    </xf>
    <xf numFmtId="0" fontId="4" fillId="0" borderId="21" xfId="1" applyFont="1" applyBorder="1" applyAlignment="1">
      <alignment vertical="center"/>
    </xf>
    <xf numFmtId="0" fontId="4" fillId="0" borderId="20" xfId="1" applyFont="1" applyBorder="1" applyAlignment="1">
      <alignment vertical="center"/>
    </xf>
    <xf numFmtId="0" fontId="4" fillId="0" borderId="22" xfId="1" applyFont="1" applyBorder="1" applyAlignment="1">
      <alignment vertical="center"/>
    </xf>
    <xf numFmtId="0" fontId="4" fillId="0" borderId="23" xfId="1" applyFont="1" applyBorder="1" applyAlignment="1">
      <alignment vertical="center"/>
    </xf>
    <xf numFmtId="0" fontId="4" fillId="0" borderId="17" xfId="1" applyFont="1" applyBorder="1" applyAlignment="1">
      <alignment horizontal="right" vertical="center"/>
    </xf>
    <xf numFmtId="0" fontId="4" fillId="0" borderId="17" xfId="1" applyFont="1" applyBorder="1" applyAlignment="1">
      <alignment vertical="center"/>
    </xf>
    <xf numFmtId="0" fontId="4" fillId="0" borderId="18" xfId="1" applyFont="1" applyBorder="1" applyAlignment="1">
      <alignment vertical="center"/>
    </xf>
    <xf numFmtId="0" fontId="4" fillId="0" borderId="24" xfId="1" applyFont="1" applyBorder="1" applyAlignment="1">
      <alignment vertical="center"/>
    </xf>
    <xf numFmtId="0" fontId="1" fillId="0" borderId="0" xfId="1" applyAlignment="1">
      <alignment horizontal="left"/>
    </xf>
    <xf numFmtId="0" fontId="0" fillId="0" borderId="0" xfId="1" applyFont="1"/>
    <xf numFmtId="0" fontId="41" fillId="0" borderId="0" xfId="1" applyFont="1" applyAlignment="1">
      <alignment horizontal="center" vertical="center"/>
    </xf>
    <xf numFmtId="0" fontId="4" fillId="0" borderId="3" xfId="3" applyFont="1" applyBorder="1" applyAlignment="1" applyProtection="1">
      <alignment horizontal="center" vertical="center" wrapText="1"/>
      <protection locked="0"/>
    </xf>
    <xf numFmtId="0" fontId="1" fillId="0" borderId="3" xfId="3" applyBorder="1" applyAlignment="1" applyProtection="1">
      <alignment horizontal="center" vertical="center" wrapText="1"/>
      <protection locked="0"/>
    </xf>
    <xf numFmtId="1" fontId="1" fillId="2" borderId="3" xfId="3" applyNumberFormat="1" applyFill="1" applyBorder="1" applyAlignment="1" applyProtection="1">
      <alignment horizontal="center" vertical="center"/>
      <protection locked="0"/>
    </xf>
    <xf numFmtId="0" fontId="25" fillId="0" borderId="3" xfId="3" applyFont="1" applyBorder="1" applyAlignment="1" applyProtection="1">
      <alignment horizontal="center" vertical="center" wrapText="1"/>
      <protection locked="0"/>
    </xf>
    <xf numFmtId="0" fontId="1" fillId="3" borderId="3" xfId="3" applyFill="1" applyBorder="1" applyAlignment="1">
      <alignment horizontal="center" vertical="center" wrapText="1"/>
    </xf>
    <xf numFmtId="0" fontId="25" fillId="3" borderId="3" xfId="3" applyFont="1" applyFill="1" applyBorder="1" applyAlignment="1">
      <alignment horizontal="center" vertical="center" wrapText="1"/>
    </xf>
    <xf numFmtId="0" fontId="0" fillId="0" borderId="3" xfId="3" applyFont="1" applyBorder="1" applyAlignment="1" applyProtection="1">
      <alignment horizontal="center" vertical="center" wrapText="1"/>
      <protection locked="0"/>
    </xf>
    <xf numFmtId="0" fontId="4" fillId="2" borderId="3" xfId="3" applyFont="1" applyFill="1" applyBorder="1" applyAlignment="1">
      <alignment horizontal="center" vertical="center" wrapText="1"/>
    </xf>
    <xf numFmtId="2" fontId="4" fillId="2" borderId="3" xfId="3" applyNumberFormat="1" applyFont="1" applyFill="1" applyBorder="1" applyAlignment="1">
      <alignment horizontal="center" vertical="center" wrapText="1"/>
    </xf>
    <xf numFmtId="0" fontId="36" fillId="0" borderId="3" xfId="3" applyFont="1" applyBorder="1" applyAlignment="1" applyProtection="1">
      <alignment horizontal="center" vertical="center" wrapText="1"/>
      <protection locked="0"/>
    </xf>
    <xf numFmtId="2" fontId="25" fillId="3" borderId="3" xfId="3" applyNumberFormat="1" applyFont="1" applyFill="1" applyBorder="1" applyAlignment="1">
      <alignment horizontal="center" vertical="center" wrapText="1"/>
    </xf>
    <xf numFmtId="0" fontId="1" fillId="0" borderId="3" xfId="3" applyBorder="1" applyAlignment="1" applyProtection="1">
      <alignment horizontal="center" vertical="center"/>
      <protection locked="0"/>
    </xf>
    <xf numFmtId="0" fontId="26" fillId="0" borderId="3" xfId="3" applyFont="1" applyBorder="1" applyAlignment="1" applyProtection="1">
      <alignment horizontal="center" vertical="center" wrapText="1"/>
      <protection locked="0"/>
    </xf>
    <xf numFmtId="1" fontId="25" fillId="0" borderId="3" xfId="3" applyNumberFormat="1" applyFont="1" applyBorder="1" applyAlignment="1" applyProtection="1">
      <alignment horizontal="center" vertical="center" wrapText="1"/>
      <protection locked="0"/>
    </xf>
    <xf numFmtId="0" fontId="1" fillId="2" borderId="3" xfId="3" applyFill="1" applyBorder="1" applyAlignment="1">
      <alignment horizontal="center" vertical="center"/>
    </xf>
    <xf numFmtId="166" fontId="25" fillId="9" borderId="3" xfId="1" applyNumberFormat="1" applyFont="1" applyFill="1" applyBorder="1" applyAlignment="1" applyProtection="1">
      <alignment horizontal="center" vertical="center"/>
      <protection locked="0"/>
    </xf>
    <xf numFmtId="164" fontId="1" fillId="9" borderId="3" xfId="3" applyNumberFormat="1" applyFill="1" applyBorder="1" applyAlignment="1" applyProtection="1">
      <alignment horizontal="center" vertical="center" wrapText="1"/>
      <protection locked="0"/>
    </xf>
    <xf numFmtId="0" fontId="4" fillId="0" borderId="0" xfId="1" applyFont="1" applyAlignment="1">
      <alignment horizontal="center" vertical="center"/>
    </xf>
    <xf numFmtId="0" fontId="0" fillId="2" borderId="3" xfId="3" applyFont="1" applyFill="1" applyBorder="1" applyAlignment="1">
      <alignment horizontal="center" vertical="center" wrapText="1"/>
    </xf>
    <xf numFmtId="0" fontId="3" fillId="0" borderId="0" xfId="1" applyFont="1"/>
    <xf numFmtId="0" fontId="2" fillId="13" borderId="25" xfId="0" applyFont="1" applyFill="1" applyBorder="1"/>
    <xf numFmtId="0" fontId="2" fillId="13" borderId="26" xfId="0" applyFont="1" applyFill="1" applyBorder="1"/>
    <xf numFmtId="0" fontId="2" fillId="13" borderId="27" xfId="0" applyFont="1" applyFill="1" applyBorder="1"/>
    <xf numFmtId="0" fontId="2" fillId="13" borderId="0" xfId="0" applyFont="1" applyFill="1"/>
    <xf numFmtId="0" fontId="0" fillId="14" borderId="26" xfId="0" applyFill="1" applyBorder="1"/>
    <xf numFmtId="0" fontId="0" fillId="14" borderId="28" xfId="0" applyFill="1" applyBorder="1"/>
    <xf numFmtId="0" fontId="0" fillId="0" borderId="26" xfId="0" applyBorder="1"/>
    <xf numFmtId="0" fontId="0" fillId="0" borderId="28" xfId="0" applyBorder="1"/>
    <xf numFmtId="0" fontId="4" fillId="0" borderId="29" xfId="0" applyFont="1" applyBorder="1"/>
    <xf numFmtId="0" fontId="0" fillId="0" borderId="30" xfId="0" applyBorder="1"/>
    <xf numFmtId="0" fontId="0" fillId="15" borderId="0" xfId="0" applyFill="1"/>
    <xf numFmtId="0" fontId="4" fillId="0" borderId="31" xfId="0" applyFont="1" applyBorder="1"/>
    <xf numFmtId="0" fontId="4" fillId="0" borderId="32" xfId="0" applyFont="1" applyBorder="1"/>
    <xf numFmtId="0" fontId="0" fillId="0" borderId="33" xfId="0" applyBorder="1"/>
    <xf numFmtId="0" fontId="0" fillId="0" borderId="34" xfId="0" applyBorder="1"/>
    <xf numFmtId="0" fontId="4" fillId="15" borderId="0" xfId="0" applyFont="1" applyFill="1"/>
    <xf numFmtId="0" fontId="4" fillId="16" borderId="0" xfId="0" applyFont="1" applyFill="1"/>
    <xf numFmtId="0" fontId="0" fillId="0" borderId="35" xfId="0" applyBorder="1"/>
    <xf numFmtId="0" fontId="0" fillId="0" borderId="36" xfId="0" applyBorder="1"/>
    <xf numFmtId="0" fontId="0" fillId="0" borderId="37" xfId="0" applyBorder="1"/>
    <xf numFmtId="0" fontId="0" fillId="0" borderId="38" xfId="0" applyBorder="1"/>
    <xf numFmtId="0" fontId="0" fillId="0" borderId="5" xfId="1" applyFont="1" applyBorder="1" applyAlignment="1">
      <alignment horizontal="center" vertical="center" wrapText="1"/>
    </xf>
    <xf numFmtId="0" fontId="0" fillId="0" borderId="14" xfId="1" applyFont="1" applyBorder="1" applyAlignment="1">
      <alignment horizontal="center" vertical="center" wrapText="1"/>
    </xf>
    <xf numFmtId="0" fontId="0" fillId="0" borderId="6" xfId="1" applyFont="1" applyBorder="1" applyAlignment="1">
      <alignment horizontal="center" vertical="center" wrapText="1"/>
    </xf>
    <xf numFmtId="0" fontId="0" fillId="0" borderId="39" xfId="1" applyFont="1" applyBorder="1" applyAlignment="1">
      <alignment horizontal="center" vertical="center"/>
    </xf>
    <xf numFmtId="0" fontId="0" fillId="0" borderId="0" xfId="0" applyAlignment="1">
      <alignment horizontal="center"/>
    </xf>
    <xf numFmtId="0" fontId="4" fillId="0" borderId="11" xfId="1" applyFont="1" applyBorder="1" applyAlignment="1">
      <alignment horizontal="center" vertical="center"/>
    </xf>
    <xf numFmtId="0" fontId="4" fillId="0" borderId="3" xfId="1" applyFont="1" applyBorder="1" applyAlignment="1">
      <alignment horizontal="center" vertical="center"/>
    </xf>
    <xf numFmtId="0" fontId="4" fillId="0" borderId="12" xfId="1" applyFont="1" applyBorder="1" applyAlignment="1">
      <alignment horizontal="center" vertical="center"/>
    </xf>
    <xf numFmtId="0" fontId="0" fillId="0" borderId="0" xfId="1" applyFont="1" applyAlignment="1">
      <alignment horizontal="center" vertical="center"/>
    </xf>
    <xf numFmtId="0" fontId="0" fillId="0" borderId="39" xfId="1" applyFont="1" applyBorder="1"/>
    <xf numFmtId="0" fontId="4" fillId="0" borderId="7" xfId="1" applyFont="1" applyBorder="1" applyAlignment="1">
      <alignment horizontal="center" vertical="center"/>
    </xf>
    <xf numFmtId="0" fontId="4" fillId="0" borderId="10" xfId="1" applyFont="1" applyBorder="1" applyAlignment="1">
      <alignment horizontal="center" vertical="center"/>
    </xf>
    <xf numFmtId="0" fontId="4" fillId="0" borderId="13" xfId="1" applyFont="1" applyBorder="1" applyAlignment="1">
      <alignment horizontal="center" vertical="center"/>
    </xf>
    <xf numFmtId="0" fontId="0" fillId="0" borderId="40" xfId="1" applyFont="1" applyBorder="1" applyAlignment="1">
      <alignment horizontal="center" vertical="center"/>
    </xf>
    <xf numFmtId="0" fontId="0" fillId="0" borderId="41" xfId="1" applyFont="1" applyBorder="1"/>
    <xf numFmtId="0" fontId="0" fillId="0" borderId="42" xfId="1" applyFont="1" applyBorder="1"/>
    <xf numFmtId="0" fontId="0" fillId="0" borderId="43" xfId="1" applyFont="1" applyBorder="1"/>
    <xf numFmtId="0" fontId="0" fillId="0" borderId="0" xfId="0" applyAlignment="1">
      <alignment horizontal="left" vertical="center" indent="1"/>
    </xf>
    <xf numFmtId="0" fontId="0" fillId="0" borderId="0" xfId="0" applyAlignment="1">
      <alignment wrapText="1"/>
    </xf>
    <xf numFmtId="0" fontId="20" fillId="0" borderId="0" xfId="1" applyFont="1" applyAlignment="1">
      <alignment horizontal="center" vertical="center"/>
    </xf>
    <xf numFmtId="0" fontId="1" fillId="2" borderId="0" xfId="1" applyFill="1"/>
    <xf numFmtId="0" fontId="1" fillId="3" borderId="0" xfId="1" applyFill="1" applyAlignment="1">
      <alignment horizontal="center" vertical="center"/>
    </xf>
    <xf numFmtId="0" fontId="6" fillId="0" borderId="0" xfId="1" applyFont="1" applyAlignment="1">
      <alignment vertical="center" wrapText="1"/>
    </xf>
    <xf numFmtId="0" fontId="6" fillId="0" borderId="0" xfId="1" applyFont="1" applyAlignment="1">
      <alignment vertical="center"/>
    </xf>
    <xf numFmtId="0" fontId="6" fillId="0" borderId="0" xfId="0" applyFont="1" applyAlignment="1">
      <alignment horizontal="left" vertical="top"/>
    </xf>
    <xf numFmtId="0" fontId="0" fillId="3" borderId="3" xfId="1" applyFont="1" applyFill="1" applyBorder="1" applyAlignment="1" applyProtection="1">
      <alignment horizontal="center" vertical="center"/>
      <protection locked="0"/>
    </xf>
    <xf numFmtId="164" fontId="0" fillId="3" borderId="3" xfId="1" applyNumberFormat="1" applyFont="1" applyFill="1" applyBorder="1" applyAlignment="1" applyProtection="1">
      <alignment horizontal="center" vertical="center"/>
      <protection locked="0"/>
    </xf>
    <xf numFmtId="0" fontId="5" fillId="0" borderId="8" xfId="1" applyFont="1" applyBorder="1"/>
    <xf numFmtId="0" fontId="5" fillId="0" borderId="8" xfId="1" applyFont="1" applyBorder="1" applyAlignment="1">
      <alignment horizontal="center" vertical="center"/>
    </xf>
    <xf numFmtId="0" fontId="5" fillId="0" borderId="8" xfId="1" applyFont="1" applyBorder="1" applyAlignment="1">
      <alignment horizontal="left" vertical="center"/>
    </xf>
    <xf numFmtId="0" fontId="4" fillId="0" borderId="3" xfId="1" applyFont="1" applyBorder="1" applyAlignment="1" applyProtection="1">
      <alignment horizontal="center" vertical="center" wrapText="1"/>
      <protection locked="0"/>
    </xf>
    <xf numFmtId="0" fontId="4" fillId="3" borderId="15" xfId="1" applyFont="1" applyFill="1" applyBorder="1" applyAlignment="1">
      <alignment horizontal="center" vertical="center"/>
    </xf>
    <xf numFmtId="0" fontId="4" fillId="3" borderId="11" xfId="1" applyFont="1" applyFill="1" applyBorder="1" applyAlignment="1">
      <alignment horizontal="center" vertical="center"/>
    </xf>
    <xf numFmtId="0" fontId="10" fillId="7" borderId="15" xfId="0" applyFont="1" applyFill="1" applyBorder="1" applyAlignment="1">
      <alignment horizontal="center" vertical="center" wrapText="1"/>
    </xf>
    <xf numFmtId="164" fontId="1" fillId="5" borderId="3" xfId="1" applyNumberFormat="1" applyFill="1" applyBorder="1" applyAlignment="1" applyProtection="1">
      <alignment horizontal="center" vertical="center"/>
      <protection locked="0"/>
    </xf>
    <xf numFmtId="164" fontId="6" fillId="0" borderId="0" xfId="0" applyNumberFormat="1" applyFont="1" applyAlignment="1">
      <alignment horizontal="left"/>
    </xf>
    <xf numFmtId="164" fontId="1" fillId="9" borderId="3" xfId="1" applyNumberFormat="1" applyFill="1" applyBorder="1" applyAlignment="1" applyProtection="1">
      <alignment horizontal="center" vertical="center" wrapText="1"/>
      <protection locked="0"/>
    </xf>
    <xf numFmtId="164" fontId="1" fillId="2" borderId="3" xfId="1" applyNumberFormat="1" applyFill="1" applyBorder="1" applyAlignment="1">
      <alignment horizontal="center" vertical="center" wrapText="1"/>
    </xf>
    <xf numFmtId="164" fontId="25" fillId="2" borderId="3" xfId="1" applyNumberFormat="1" applyFont="1" applyFill="1" applyBorder="1" applyAlignment="1">
      <alignment horizontal="center" vertical="center"/>
    </xf>
    <xf numFmtId="164" fontId="1" fillId="2" borderId="3" xfId="1" applyNumberFormat="1" applyFill="1" applyBorder="1" applyAlignment="1">
      <alignment horizontal="center" vertical="center"/>
    </xf>
    <xf numFmtId="164" fontId="1" fillId="0" borderId="3" xfId="1" applyNumberFormat="1" applyBorder="1" applyAlignment="1">
      <alignment horizontal="center" vertical="center" wrapText="1"/>
    </xf>
    <xf numFmtId="164" fontId="4" fillId="0" borderId="3" xfId="1" applyNumberFormat="1" applyFont="1" applyBorder="1" applyAlignment="1" applyProtection="1">
      <alignment horizontal="center" vertical="center" wrapText="1"/>
      <protection locked="0"/>
    </xf>
    <xf numFmtId="164" fontId="4" fillId="0" borderId="3" xfId="1" applyNumberFormat="1" applyFont="1" applyBorder="1" applyAlignment="1">
      <alignment horizontal="center" vertical="center"/>
    </xf>
    <xf numFmtId="164" fontId="0" fillId="0" borderId="3" xfId="1" applyNumberFormat="1" applyFont="1" applyBorder="1" applyAlignment="1">
      <alignment horizontal="center" vertical="center" wrapText="1"/>
    </xf>
    <xf numFmtId="164" fontId="1" fillId="2" borderId="3" xfId="1" applyNumberFormat="1" applyFill="1" applyBorder="1" applyAlignment="1" applyProtection="1">
      <alignment horizontal="center" vertical="center"/>
      <protection locked="0"/>
    </xf>
    <xf numFmtId="2" fontId="4" fillId="3" borderId="3" xfId="1" applyNumberFormat="1" applyFont="1" applyFill="1" applyBorder="1" applyAlignment="1" applyProtection="1">
      <alignment horizontal="center" vertical="center" wrapText="1"/>
      <protection locked="0"/>
    </xf>
    <xf numFmtId="0" fontId="0" fillId="0" borderId="8" xfId="0" applyBorder="1"/>
    <xf numFmtId="2" fontId="1" fillId="0" borderId="3" xfId="1" applyNumberFormat="1" applyBorder="1" applyAlignment="1" applyProtection="1">
      <alignment horizontal="center" vertical="center"/>
      <protection locked="0"/>
    </xf>
    <xf numFmtId="0" fontId="5" fillId="0" borderId="0" xfId="1" applyFont="1" applyAlignment="1">
      <alignment vertical="center"/>
    </xf>
    <xf numFmtId="0" fontId="1" fillId="2" borderId="0" xfId="1" applyFill="1" applyAlignment="1">
      <alignment vertical="center"/>
    </xf>
    <xf numFmtId="0" fontId="1" fillId="2" borderId="5" xfId="1" applyFill="1" applyBorder="1" applyAlignment="1">
      <alignment vertical="center"/>
    </xf>
    <xf numFmtId="0" fontId="1" fillId="2" borderId="6" xfId="1" applyFill="1" applyBorder="1" applyAlignment="1">
      <alignment vertical="center"/>
    </xf>
    <xf numFmtId="0" fontId="1" fillId="2" borderId="4" xfId="1" applyFill="1" applyBorder="1" applyAlignment="1">
      <alignment vertical="center"/>
    </xf>
    <xf numFmtId="0" fontId="1" fillId="2" borderId="2" xfId="1" applyFill="1" applyBorder="1" applyAlignment="1">
      <alignment vertical="center"/>
    </xf>
    <xf numFmtId="0" fontId="1" fillId="2" borderId="1" xfId="1" applyFill="1" applyBorder="1" applyAlignment="1">
      <alignment vertical="center"/>
    </xf>
    <xf numFmtId="0" fontId="1" fillId="2" borderId="8" xfId="1" applyFill="1" applyBorder="1" applyAlignment="1">
      <alignment vertical="center"/>
    </xf>
    <xf numFmtId="0" fontId="1" fillId="2" borderId="7" xfId="1" applyFill="1" applyBorder="1" applyAlignment="1">
      <alignment vertical="center"/>
    </xf>
    <xf numFmtId="164" fontId="1" fillId="2" borderId="0" xfId="1" applyNumberFormat="1" applyFill="1" applyAlignment="1">
      <alignment vertical="center"/>
    </xf>
    <xf numFmtId="164" fontId="1" fillId="2" borderId="2" xfId="1" applyNumberFormat="1" applyFill="1" applyBorder="1" applyAlignment="1">
      <alignment vertical="center"/>
    </xf>
    <xf numFmtId="0" fontId="15" fillId="0" borderId="0" xfId="1" applyFont="1" applyAlignment="1">
      <alignment vertical="center"/>
    </xf>
    <xf numFmtId="0" fontId="15" fillId="0" borderId="0" xfId="1" applyFont="1" applyAlignment="1">
      <alignment horizontal="right" vertical="center"/>
    </xf>
    <xf numFmtId="0" fontId="11" fillId="0" borderId="0" xfId="1" applyFont="1" applyAlignment="1">
      <alignment vertical="center"/>
    </xf>
    <xf numFmtId="0" fontId="9" fillId="0" borderId="0" xfId="1" applyFont="1" applyAlignment="1">
      <alignment vertical="center"/>
    </xf>
    <xf numFmtId="0" fontId="8" fillId="2" borderId="8" xfId="1" applyFont="1" applyFill="1" applyBorder="1" applyAlignment="1">
      <alignment vertical="center"/>
    </xf>
    <xf numFmtId="0" fontId="8" fillId="2" borderId="7" xfId="1" applyFont="1" applyFill="1" applyBorder="1" applyAlignment="1">
      <alignment vertical="center"/>
    </xf>
    <xf numFmtId="0" fontId="8" fillId="2" borderId="0" xfId="1" applyFont="1" applyFill="1" applyAlignment="1">
      <alignment vertical="center"/>
    </xf>
    <xf numFmtId="0" fontId="8" fillId="2" borderId="5" xfId="1" applyFont="1" applyFill="1" applyBorder="1" applyAlignment="1">
      <alignment vertical="center"/>
    </xf>
    <xf numFmtId="0" fontId="8" fillId="2" borderId="2" xfId="1" applyFont="1" applyFill="1" applyBorder="1" applyAlignment="1">
      <alignment vertical="center"/>
    </xf>
    <xf numFmtId="0" fontId="8" fillId="2" borderId="1" xfId="1" applyFont="1" applyFill="1" applyBorder="1" applyAlignment="1">
      <alignment vertical="center"/>
    </xf>
    <xf numFmtId="0" fontId="8" fillId="2" borderId="8" xfId="1" applyFont="1" applyFill="1" applyBorder="1" applyAlignment="1">
      <alignment horizontal="center" vertical="center"/>
    </xf>
    <xf numFmtId="0" fontId="8" fillId="2" borderId="7" xfId="1" applyFont="1" applyFill="1" applyBorder="1" applyAlignment="1">
      <alignment horizontal="center" vertical="center"/>
    </xf>
    <xf numFmtId="0" fontId="8" fillId="2" borderId="0" xfId="1" applyFont="1" applyFill="1" applyAlignment="1">
      <alignment horizontal="center" vertical="center"/>
    </xf>
    <xf numFmtId="0" fontId="8" fillId="2" borderId="5" xfId="1" applyFont="1" applyFill="1" applyBorder="1" applyAlignment="1">
      <alignment horizontal="center" vertical="center"/>
    </xf>
    <xf numFmtId="0" fontId="8" fillId="2" borderId="2" xfId="1" applyFont="1" applyFill="1" applyBorder="1" applyAlignment="1">
      <alignment horizontal="center" vertical="center"/>
    </xf>
    <xf numFmtId="0" fontId="8" fillId="2" borderId="1" xfId="1" applyFont="1" applyFill="1" applyBorder="1" applyAlignment="1">
      <alignment horizontal="center" vertical="center"/>
    </xf>
    <xf numFmtId="0" fontId="0" fillId="3" borderId="8" xfId="0" applyFill="1" applyBorder="1" applyAlignment="1">
      <alignment horizontal="center" vertical="center"/>
    </xf>
    <xf numFmtId="0" fontId="0" fillId="3" borderId="7" xfId="0" applyFill="1" applyBorder="1" applyAlignment="1">
      <alignment vertical="center"/>
    </xf>
    <xf numFmtId="0" fontId="0" fillId="3" borderId="0" xfId="0" applyFill="1" applyAlignment="1">
      <alignment horizontal="center" vertical="center"/>
    </xf>
    <xf numFmtId="0" fontId="0" fillId="3" borderId="5" xfId="0" applyFill="1" applyBorder="1" applyAlignment="1">
      <alignment vertical="center"/>
    </xf>
    <xf numFmtId="0" fontId="0" fillId="3" borderId="2" xfId="0" applyFill="1" applyBorder="1" applyAlignment="1">
      <alignment horizontal="center" vertical="center"/>
    </xf>
    <xf numFmtId="0" fontId="0" fillId="3" borderId="1" xfId="0" applyFill="1" applyBorder="1" applyAlignment="1">
      <alignment vertical="center"/>
    </xf>
    <xf numFmtId="1" fontId="4" fillId="0" borderId="3" xfId="1" applyNumberFormat="1" applyFont="1" applyBorder="1" applyAlignment="1" applyProtection="1">
      <alignment horizontal="center" vertical="center"/>
      <protection locked="0"/>
    </xf>
    <xf numFmtId="2" fontId="0" fillId="3" borderId="3" xfId="1" applyNumberFormat="1" applyFont="1" applyFill="1" applyBorder="1" applyAlignment="1" applyProtection="1">
      <alignment horizontal="center" vertical="center"/>
      <protection locked="0"/>
    </xf>
    <xf numFmtId="0" fontId="1" fillId="3" borderId="13" xfId="0" applyFont="1" applyFill="1" applyBorder="1" applyAlignment="1">
      <alignment horizontal="center" vertical="center"/>
    </xf>
    <xf numFmtId="0" fontId="1" fillId="3" borderId="7" xfId="0" applyFont="1" applyFill="1" applyBorder="1" applyAlignment="1">
      <alignment vertical="center"/>
    </xf>
    <xf numFmtId="0" fontId="1" fillId="3" borderId="6" xfId="0" applyFont="1" applyFill="1" applyBorder="1" applyAlignment="1">
      <alignment horizontal="center" vertical="center"/>
    </xf>
    <xf numFmtId="0" fontId="1" fillId="3" borderId="5" xfId="0" applyFont="1" applyFill="1" applyBorder="1" applyAlignment="1">
      <alignment vertical="center"/>
    </xf>
    <xf numFmtId="2" fontId="4" fillId="0" borderId="3" xfId="1" applyNumberFormat="1" applyFont="1" applyBorder="1" applyAlignment="1" applyProtection="1">
      <alignment horizontal="center" vertical="center"/>
      <protection locked="0"/>
    </xf>
    <xf numFmtId="0" fontId="1" fillId="3" borderId="4" xfId="0" applyFont="1" applyFill="1" applyBorder="1" applyAlignment="1">
      <alignment horizontal="center" vertical="center"/>
    </xf>
    <xf numFmtId="0" fontId="1" fillId="3" borderId="1" xfId="0" applyFont="1" applyFill="1" applyBorder="1" applyAlignment="1">
      <alignment vertical="center"/>
    </xf>
    <xf numFmtId="0" fontId="1" fillId="3" borderId="14" xfId="0" applyFont="1" applyFill="1" applyBorder="1" applyAlignment="1">
      <alignment horizontal="center" vertical="center"/>
    </xf>
    <xf numFmtId="0" fontId="1" fillId="3" borderId="14" xfId="0" applyFont="1" applyFill="1" applyBorder="1" applyAlignment="1">
      <alignment vertical="center"/>
    </xf>
    <xf numFmtId="0" fontId="1" fillId="3" borderId="6" xfId="0" applyFont="1" applyFill="1" applyBorder="1" applyAlignment="1">
      <alignment vertical="center"/>
    </xf>
    <xf numFmtId="0" fontId="1" fillId="3" borderId="7" xfId="0" applyFont="1" applyFill="1" applyBorder="1" applyAlignment="1">
      <alignment horizontal="center" vertical="center"/>
    </xf>
    <xf numFmtId="0" fontId="1" fillId="3" borderId="5" xfId="0" applyFont="1" applyFill="1" applyBorder="1" applyAlignment="1">
      <alignment horizontal="center" vertical="center"/>
    </xf>
    <xf numFmtId="2" fontId="25" fillId="0" borderId="3" xfId="1" applyNumberFormat="1" applyFont="1" applyBorder="1" applyAlignment="1" applyProtection="1">
      <alignment horizontal="center" vertical="center"/>
      <protection locked="0"/>
    </xf>
    <xf numFmtId="0" fontId="1" fillId="3" borderId="1" xfId="0" applyFont="1" applyFill="1" applyBorder="1" applyAlignment="1">
      <alignment horizontal="center" vertical="center"/>
    </xf>
    <xf numFmtId="2" fontId="1" fillId="3" borderId="3" xfId="1" applyNumberFormat="1" applyFill="1" applyBorder="1" applyAlignment="1" applyProtection="1">
      <alignment horizontal="center" vertical="center"/>
      <protection locked="0"/>
    </xf>
    <xf numFmtId="2" fontId="1" fillId="0" borderId="3" xfId="1" applyNumberFormat="1" applyBorder="1" applyAlignment="1" applyProtection="1">
      <alignment horizontal="center" vertical="center" wrapText="1"/>
      <protection locked="0"/>
    </xf>
    <xf numFmtId="2" fontId="25" fillId="0" borderId="3" xfId="1" applyNumberFormat="1" applyFont="1" applyBorder="1" applyAlignment="1" applyProtection="1">
      <alignment horizontal="center" vertical="center" wrapText="1"/>
      <protection locked="0"/>
    </xf>
    <xf numFmtId="1" fontId="1" fillId="3" borderId="3" xfId="1" applyNumberFormat="1" applyFill="1" applyBorder="1" applyAlignment="1">
      <alignment horizontal="center" vertical="center" wrapText="1"/>
    </xf>
    <xf numFmtId="0" fontId="43" fillId="0" borderId="0" xfId="4" applyFont="1" applyAlignment="1">
      <alignment horizontal="center" vertical="center"/>
    </xf>
    <xf numFmtId="0" fontId="44" fillId="0" borderId="0" xfId="4" applyFont="1"/>
    <xf numFmtId="0" fontId="43" fillId="0" borderId="0" xfId="4" applyFont="1"/>
    <xf numFmtId="0" fontId="46" fillId="0" borderId="0" xfId="4" applyFont="1"/>
    <xf numFmtId="0" fontId="45" fillId="0" borderId="0" xfId="4" applyFont="1" applyAlignment="1">
      <alignment horizontal="left" vertical="top"/>
    </xf>
    <xf numFmtId="0" fontId="45" fillId="0" borderId="0" xfId="4" applyFont="1" applyAlignment="1">
      <alignment vertical="top"/>
    </xf>
    <xf numFmtId="0" fontId="44" fillId="0" borderId="45" xfId="4" applyFont="1" applyBorder="1" applyAlignment="1">
      <alignment horizontal="center"/>
    </xf>
    <xf numFmtId="0" fontId="44" fillId="0" borderId="0" xfId="4" applyFont="1" applyAlignment="1">
      <alignment horizontal="center"/>
    </xf>
    <xf numFmtId="167" fontId="47" fillId="0" borderId="0" xfId="4" applyNumberFormat="1" applyFont="1" applyAlignment="1">
      <alignment horizontal="left" vertical="top"/>
    </xf>
    <xf numFmtId="0" fontId="50" fillId="0" borderId="0" xfId="4" applyFont="1"/>
    <xf numFmtId="0" fontId="51" fillId="0" borderId="47" xfId="4" applyFont="1" applyBorder="1" applyAlignment="1">
      <alignment horizontal="center" vertical="center"/>
    </xf>
    <xf numFmtId="0" fontId="52" fillId="17" borderId="48" xfId="4" applyFont="1" applyFill="1" applyBorder="1" applyAlignment="1">
      <alignment horizontal="center" vertical="center" wrapText="1"/>
    </xf>
    <xf numFmtId="0" fontId="53" fillId="0" borderId="0" xfId="4" applyFont="1"/>
    <xf numFmtId="0" fontId="47" fillId="0" borderId="0" xfId="4" applyFont="1" applyAlignment="1">
      <alignment horizontal="center" vertical="center"/>
    </xf>
    <xf numFmtId="0" fontId="47" fillId="0" borderId="0" xfId="4" applyFont="1" applyAlignment="1">
      <alignment horizontal="left" vertical="top"/>
    </xf>
    <xf numFmtId="0" fontId="45" fillId="0" borderId="0" xfId="4" applyFont="1" applyAlignment="1">
      <alignment horizontal="left" vertical="top" wrapText="1"/>
    </xf>
    <xf numFmtId="0" fontId="54" fillId="0" borderId="0" xfId="4" applyFont="1"/>
    <xf numFmtId="0" fontId="47" fillId="0" borderId="0" xfId="4" applyFont="1" applyAlignment="1">
      <alignment vertical="top"/>
    </xf>
    <xf numFmtId="0" fontId="55" fillId="0" borderId="0" xfId="4" applyFont="1" applyAlignment="1">
      <alignment horizontal="left" vertical="center"/>
    </xf>
    <xf numFmtId="0" fontId="56" fillId="0" borderId="44" xfId="4" applyFont="1" applyBorder="1" applyAlignment="1">
      <alignment horizontal="left" vertical="center"/>
    </xf>
    <xf numFmtId="0" fontId="44" fillId="0" borderId="0" xfId="4" applyFont="1" applyAlignment="1">
      <alignment horizontal="center" vertical="center"/>
    </xf>
    <xf numFmtId="0" fontId="57" fillId="0" borderId="46" xfId="4" applyFont="1" applyBorder="1" applyAlignment="1">
      <alignment horizontal="center" vertical="center"/>
    </xf>
    <xf numFmtId="0" fontId="51" fillId="0" borderId="48" xfId="4" applyFont="1" applyBorder="1" applyAlignment="1">
      <alignment horizontal="center" vertical="center"/>
    </xf>
    <xf numFmtId="0" fontId="47" fillId="0" borderId="45" xfId="4" applyFont="1" applyBorder="1" applyAlignment="1">
      <alignment horizontal="left" vertical="center"/>
    </xf>
    <xf numFmtId="0" fontId="47" fillId="0" borderId="0" xfId="4" applyFont="1" applyAlignment="1">
      <alignment horizontal="left" vertical="center"/>
    </xf>
    <xf numFmtId="0" fontId="45" fillId="0" borderId="0" xfId="4" applyFont="1" applyAlignment="1">
      <alignment vertical="top" wrapText="1"/>
    </xf>
    <xf numFmtId="0" fontId="44" fillId="0" borderId="0" xfId="4" applyFont="1" applyAlignment="1">
      <alignment wrapText="1"/>
    </xf>
    <xf numFmtId="0" fontId="58" fillId="0" borderId="0" xfId="4" applyFont="1" applyAlignment="1">
      <alignment horizontal="center" vertical="center" wrapText="1"/>
    </xf>
    <xf numFmtId="0" fontId="52" fillId="17" borderId="36" xfId="4" applyFont="1" applyFill="1" applyBorder="1" applyAlignment="1">
      <alignment horizontal="center" vertical="center" wrapText="1"/>
    </xf>
    <xf numFmtId="0" fontId="52" fillId="17" borderId="37" xfId="4" applyFont="1" applyFill="1" applyBorder="1" applyAlignment="1">
      <alignment horizontal="center" vertical="center" wrapText="1"/>
    </xf>
    <xf numFmtId="0" fontId="52" fillId="17" borderId="38" xfId="4" applyFont="1" applyFill="1" applyBorder="1" applyAlignment="1">
      <alignment horizontal="center" vertical="center" wrapText="1"/>
    </xf>
    <xf numFmtId="0" fontId="43" fillId="0" borderId="0" xfId="4" applyFont="1" applyAlignment="1">
      <alignment horizontal="center" wrapText="1"/>
    </xf>
    <xf numFmtId="0" fontId="43" fillId="0" borderId="0" xfId="4" applyFont="1" applyAlignment="1">
      <alignment wrapText="1"/>
    </xf>
    <xf numFmtId="0" fontId="59" fillId="0" borderId="49" xfId="4" applyFont="1" applyBorder="1" applyAlignment="1">
      <alignment horizontal="center" vertical="center"/>
    </xf>
    <xf numFmtId="0" fontId="59" fillId="0" borderId="50" xfId="4" applyFont="1" applyBorder="1" applyAlignment="1">
      <alignment horizontal="center" vertical="center"/>
    </xf>
    <xf numFmtId="0" fontId="61" fillId="0" borderId="51" xfId="4" applyFont="1" applyBorder="1" applyAlignment="1">
      <alignment horizontal="left" vertical="center"/>
    </xf>
    <xf numFmtId="0" fontId="59" fillId="0" borderId="51" xfId="4" applyFont="1" applyBorder="1" applyAlignment="1">
      <alignment horizontal="left" vertical="top" wrapText="1"/>
    </xf>
    <xf numFmtId="0" fontId="59" fillId="0" borderId="51" xfId="4" applyFont="1" applyBorder="1" applyAlignment="1">
      <alignment horizontal="center" vertical="top"/>
    </xf>
    <xf numFmtId="0" fontId="59" fillId="0" borderId="52" xfId="4" applyFont="1" applyBorder="1" applyAlignment="1">
      <alignment horizontal="center" vertical="top"/>
    </xf>
    <xf numFmtId="0" fontId="59" fillId="0" borderId="53" xfId="4" applyFont="1" applyBorder="1" applyAlignment="1">
      <alignment horizontal="center" vertical="top"/>
    </xf>
    <xf numFmtId="0" fontId="59" fillId="0" borderId="55" xfId="4" applyFont="1" applyBorder="1" applyAlignment="1">
      <alignment horizontal="center" vertical="center"/>
    </xf>
    <xf numFmtId="0" fontId="61" fillId="0" borderId="49" xfId="4" applyFont="1" applyBorder="1" applyAlignment="1">
      <alignment horizontal="left" vertical="center"/>
    </xf>
    <xf numFmtId="0" fontId="59" fillId="0" borderId="49" xfId="4" applyFont="1" applyBorder="1" applyAlignment="1">
      <alignment horizontal="left" vertical="top" wrapText="1"/>
    </xf>
    <xf numFmtId="0" fontId="59" fillId="0" borderId="49" xfId="4" applyFont="1" applyBorder="1" applyAlignment="1">
      <alignment horizontal="center" vertical="top"/>
    </xf>
    <xf numFmtId="0" fontId="59" fillId="0" borderId="56" xfId="4" applyFont="1" applyBorder="1" applyAlignment="1">
      <alignment horizontal="center" vertical="top"/>
    </xf>
    <xf numFmtId="0" fontId="59" fillId="0" borderId="57" xfId="4" applyFont="1" applyBorder="1" applyAlignment="1">
      <alignment horizontal="center" vertical="top"/>
    </xf>
    <xf numFmtId="0" fontId="59" fillId="0" borderId="58" xfId="4" applyFont="1" applyBorder="1" applyAlignment="1">
      <alignment horizontal="center" vertical="center"/>
    </xf>
    <xf numFmtId="0" fontId="61" fillId="0" borderId="59" xfId="4" applyFont="1" applyBorder="1" applyAlignment="1">
      <alignment horizontal="left" vertical="center"/>
    </xf>
    <xf numFmtId="0" fontId="59" fillId="0" borderId="59" xfId="4" applyFont="1" applyBorder="1" applyAlignment="1">
      <alignment horizontal="left" vertical="top" wrapText="1"/>
    </xf>
    <xf numFmtId="0" fontId="59" fillId="0" borderId="59" xfId="4" applyFont="1" applyBorder="1" applyAlignment="1">
      <alignment horizontal="center" vertical="top"/>
    </xf>
    <xf numFmtId="0" fontId="59" fillId="0" borderId="60" xfId="4" applyFont="1" applyBorder="1" applyAlignment="1">
      <alignment horizontal="center" vertical="top"/>
    </xf>
    <xf numFmtId="0" fontId="59" fillId="0" borderId="61" xfId="4" applyFont="1" applyBorder="1" applyAlignment="1">
      <alignment horizontal="center" vertical="top"/>
    </xf>
    <xf numFmtId="0" fontId="44" fillId="0" borderId="0" xfId="4" applyFont="1" applyAlignment="1">
      <alignment vertical="center"/>
    </xf>
    <xf numFmtId="0" fontId="62" fillId="18" borderId="45" xfId="4" applyFont="1" applyFill="1" applyBorder="1" applyAlignment="1">
      <alignment horizontal="center" vertical="center"/>
    </xf>
    <xf numFmtId="0" fontId="62" fillId="18" borderId="0" xfId="4" applyFont="1" applyFill="1" applyAlignment="1">
      <alignment horizontal="center" vertical="center"/>
    </xf>
    <xf numFmtId="0" fontId="62" fillId="18" borderId="0" xfId="4" applyFont="1" applyFill="1" applyAlignment="1">
      <alignment horizontal="left" vertical="center"/>
    </xf>
    <xf numFmtId="0" fontId="62" fillId="18" borderId="0" xfId="4" applyFont="1" applyFill="1" applyAlignment="1">
      <alignment horizontal="left" vertical="center" wrapText="1"/>
    </xf>
    <xf numFmtId="0" fontId="63" fillId="18" borderId="0" xfId="4" applyFont="1" applyFill="1" applyAlignment="1">
      <alignment horizontal="center" vertical="center"/>
    </xf>
    <xf numFmtId="0" fontId="63" fillId="18" borderId="0" xfId="5" applyFont="1" applyFill="1" applyAlignment="1">
      <alignment horizontal="center" vertical="center"/>
    </xf>
    <xf numFmtId="0" fontId="63" fillId="18" borderId="0" xfId="4" applyFont="1" applyFill="1" applyAlignment="1">
      <alignment horizontal="center" vertical="center" wrapText="1"/>
    </xf>
    <xf numFmtId="0" fontId="63" fillId="18" borderId="39" xfId="5" applyFont="1" applyFill="1" applyBorder="1" applyAlignment="1">
      <alignment horizontal="center" vertical="center"/>
    </xf>
    <xf numFmtId="0" fontId="43" fillId="0" borderId="0" xfId="4" applyFont="1" applyAlignment="1">
      <alignment vertical="center"/>
    </xf>
    <xf numFmtId="0" fontId="62" fillId="19" borderId="0" xfId="4" applyFont="1" applyFill="1" applyAlignment="1">
      <alignment horizontal="center" vertical="center"/>
    </xf>
    <xf numFmtId="0" fontId="62" fillId="19" borderId="45" xfId="4" applyFont="1" applyFill="1" applyBorder="1" applyAlignment="1">
      <alignment horizontal="center" vertical="center"/>
    </xf>
    <xf numFmtId="0" fontId="62" fillId="19" borderId="0" xfId="4" applyFont="1" applyFill="1" applyAlignment="1">
      <alignment horizontal="left" vertical="center"/>
    </xf>
    <xf numFmtId="0" fontId="62" fillId="19" borderId="0" xfId="4" applyFont="1" applyFill="1" applyAlignment="1">
      <alignment horizontal="left" vertical="top" wrapText="1"/>
    </xf>
    <xf numFmtId="0" fontId="62" fillId="19" borderId="0" xfId="4" applyFont="1" applyFill="1" applyAlignment="1">
      <alignment horizontal="center" vertical="top"/>
    </xf>
    <xf numFmtId="0" fontId="62" fillId="19" borderId="0" xfId="4" applyFont="1" applyFill="1" applyAlignment="1">
      <alignment horizontal="center" vertical="top" wrapText="1"/>
    </xf>
    <xf numFmtId="0" fontId="62" fillId="19" borderId="39" xfId="4" applyFont="1" applyFill="1" applyBorder="1" applyAlignment="1">
      <alignment horizontal="center" vertical="top"/>
    </xf>
    <xf numFmtId="0" fontId="59" fillId="0" borderId="62" xfId="4" applyFont="1" applyBorder="1" applyAlignment="1">
      <alignment horizontal="center" vertical="center"/>
    </xf>
    <xf numFmtId="0" fontId="59" fillId="0" borderId="63" xfId="4" applyFont="1" applyBorder="1" applyAlignment="1">
      <alignment horizontal="center" vertical="center"/>
    </xf>
    <xf numFmtId="0" fontId="61" fillId="0" borderId="64" xfId="4" applyFont="1" applyBorder="1" applyAlignment="1">
      <alignment horizontal="left" vertical="center"/>
    </xf>
    <xf numFmtId="0" fontId="59" fillId="0" borderId="64" xfId="4" applyFont="1" applyBorder="1" applyAlignment="1">
      <alignment horizontal="left" vertical="top" wrapText="1"/>
    </xf>
    <xf numFmtId="0" fontId="59" fillId="0" borderId="64" xfId="4" applyFont="1" applyBorder="1" applyAlignment="1">
      <alignment horizontal="center" vertical="top"/>
    </xf>
    <xf numFmtId="0" fontId="59" fillId="0" borderId="65" xfId="4" applyFont="1" applyBorder="1" applyAlignment="1">
      <alignment horizontal="center" vertical="center"/>
    </xf>
    <xf numFmtId="0" fontId="61" fillId="0" borderId="62" xfId="4" applyFont="1" applyBorder="1" applyAlignment="1">
      <alignment horizontal="left" vertical="center"/>
    </xf>
    <xf numFmtId="0" fontId="59" fillId="0" borderId="62" xfId="4" applyFont="1" applyBorder="1" applyAlignment="1">
      <alignment horizontal="left" vertical="top" wrapText="1"/>
    </xf>
    <xf numFmtId="0" fontId="59" fillId="0" borderId="62" xfId="4" applyFont="1" applyBorder="1" applyAlignment="1">
      <alignment horizontal="center" vertical="top"/>
    </xf>
    <xf numFmtId="0" fontId="65" fillId="0" borderId="0" xfId="4" applyFont="1"/>
    <xf numFmtId="0" fontId="66" fillId="0" borderId="0" xfId="4" applyFont="1"/>
    <xf numFmtId="0" fontId="59" fillId="0" borderId="66" xfId="4" applyFont="1" applyBorder="1" applyAlignment="1">
      <alignment horizontal="center" vertical="center"/>
    </xf>
    <xf numFmtId="0" fontId="61" fillId="0" borderId="67" xfId="4" applyFont="1" applyBorder="1" applyAlignment="1">
      <alignment horizontal="left" vertical="center"/>
    </xf>
    <xf numFmtId="0" fontId="59" fillId="0" borderId="42" xfId="4" applyFont="1" applyBorder="1" applyAlignment="1">
      <alignment horizontal="left" vertical="top" wrapText="1"/>
    </xf>
    <xf numFmtId="0" fontId="59" fillId="0" borderId="68" xfId="4" applyFont="1" applyBorder="1" applyAlignment="1">
      <alignment horizontal="center" vertical="top"/>
    </xf>
    <xf numFmtId="0" fontId="59" fillId="0" borderId="69" xfId="4" applyFont="1" applyBorder="1" applyAlignment="1">
      <alignment horizontal="center" vertical="top"/>
    </xf>
    <xf numFmtId="0" fontId="59" fillId="0" borderId="69" xfId="4" applyFont="1" applyBorder="1" applyAlignment="1">
      <alignment horizontal="left" vertical="top" wrapText="1"/>
    </xf>
    <xf numFmtId="0" fontId="59" fillId="0" borderId="70" xfId="4" applyFont="1" applyBorder="1" applyAlignment="1">
      <alignment horizontal="center" vertical="top"/>
    </xf>
    <xf numFmtId="0" fontId="59" fillId="0" borderId="71" xfId="4" applyFont="1" applyBorder="1" applyAlignment="1">
      <alignment horizontal="center" vertical="top"/>
    </xf>
    <xf numFmtId="0" fontId="62" fillId="20" borderId="45" xfId="4" applyFont="1" applyFill="1" applyBorder="1" applyAlignment="1">
      <alignment horizontal="center" vertical="center"/>
    </xf>
    <xf numFmtId="0" fontId="62" fillId="20" borderId="37" xfId="4" applyFont="1" applyFill="1" applyBorder="1" applyAlignment="1">
      <alignment horizontal="center" vertical="center"/>
    </xf>
    <xf numFmtId="0" fontId="62" fillId="20" borderId="37" xfId="4" applyFont="1" applyFill="1" applyBorder="1" applyAlignment="1">
      <alignment horizontal="left" vertical="center"/>
    </xf>
    <xf numFmtId="0" fontId="62" fillId="20" borderId="37" xfId="4" applyFont="1" applyFill="1" applyBorder="1" applyAlignment="1">
      <alignment horizontal="left" vertical="center" wrapText="1"/>
    </xf>
    <xf numFmtId="0" fontId="63" fillId="20" borderId="37" xfId="4" applyFont="1" applyFill="1" applyBorder="1" applyAlignment="1">
      <alignment horizontal="center" vertical="center"/>
    </xf>
    <xf numFmtId="0" fontId="63" fillId="20" borderId="37" xfId="5" applyFont="1" applyFill="1" applyBorder="1" applyAlignment="1">
      <alignment horizontal="center" vertical="center"/>
    </xf>
    <xf numFmtId="0" fontId="63" fillId="20" borderId="37" xfId="5" applyFont="1" applyFill="1" applyBorder="1" applyAlignment="1">
      <alignment horizontal="center" vertical="center" wrapText="1"/>
    </xf>
    <xf numFmtId="0" fontId="63" fillId="20" borderId="38" xfId="5" applyFont="1" applyFill="1" applyBorder="1" applyAlignment="1">
      <alignment horizontal="center" vertical="center"/>
    </xf>
    <xf numFmtId="0" fontId="59" fillId="0" borderId="64" xfId="4" applyFont="1" applyBorder="1" applyAlignment="1">
      <alignment vertical="top" wrapText="1"/>
    </xf>
    <xf numFmtId="0" fontId="59" fillId="0" borderId="62" xfId="4" applyFont="1" applyBorder="1" applyAlignment="1">
      <alignment vertical="top" wrapText="1"/>
    </xf>
    <xf numFmtId="0" fontId="62" fillId="21" borderId="0" xfId="4" applyFont="1" applyFill="1" applyAlignment="1">
      <alignment horizontal="center" vertical="center"/>
    </xf>
    <xf numFmtId="0" fontId="62" fillId="21" borderId="45" xfId="4" applyFont="1" applyFill="1" applyBorder="1" applyAlignment="1">
      <alignment horizontal="center" vertical="center"/>
    </xf>
    <xf numFmtId="0" fontId="62" fillId="21" borderId="37" xfId="4" applyFont="1" applyFill="1" applyBorder="1" applyAlignment="1">
      <alignment horizontal="center" vertical="center"/>
    </xf>
    <xf numFmtId="0" fontId="62" fillId="21" borderId="37" xfId="4" applyFont="1" applyFill="1" applyBorder="1" applyAlignment="1">
      <alignment horizontal="left" vertical="center"/>
    </xf>
    <xf numFmtId="0" fontId="62" fillId="21" borderId="37" xfId="4" applyFont="1" applyFill="1" applyBorder="1" applyAlignment="1">
      <alignment horizontal="left" vertical="center" wrapText="1"/>
    </xf>
    <xf numFmtId="0" fontId="63" fillId="21" borderId="37" xfId="4" applyFont="1" applyFill="1" applyBorder="1" applyAlignment="1">
      <alignment horizontal="center" vertical="center"/>
    </xf>
    <xf numFmtId="0" fontId="63" fillId="21" borderId="37" xfId="5" applyFont="1" applyFill="1" applyBorder="1" applyAlignment="1">
      <alignment horizontal="center" vertical="center"/>
    </xf>
    <xf numFmtId="0" fontId="63" fillId="21" borderId="37" xfId="5" applyFont="1" applyFill="1" applyBorder="1" applyAlignment="1">
      <alignment horizontal="center" vertical="center" wrapText="1"/>
    </xf>
    <xf numFmtId="0" fontId="63" fillId="21" borderId="38" xfId="5" applyFont="1" applyFill="1" applyBorder="1" applyAlignment="1">
      <alignment horizontal="center" vertical="center"/>
    </xf>
    <xf numFmtId="0" fontId="59" fillId="0" borderId="72" xfId="4" applyFont="1" applyBorder="1" applyAlignment="1">
      <alignment horizontal="center" vertical="center"/>
    </xf>
    <xf numFmtId="0" fontId="61" fillId="0" borderId="68" xfId="4" applyFont="1" applyBorder="1" applyAlignment="1">
      <alignment horizontal="left" vertical="center"/>
    </xf>
    <xf numFmtId="0" fontId="59" fillId="0" borderId="68" xfId="4" applyFont="1" applyBorder="1" applyAlignment="1">
      <alignment horizontal="left" vertical="top" wrapText="1"/>
    </xf>
    <xf numFmtId="0" fontId="59" fillId="0" borderId="68" xfId="4" applyFont="1" applyBorder="1" applyAlignment="1">
      <alignment vertical="top" wrapText="1"/>
    </xf>
    <xf numFmtId="0" fontId="62" fillId="22" borderId="0" xfId="4" applyFont="1" applyFill="1" applyAlignment="1">
      <alignment horizontal="center" vertical="center"/>
    </xf>
    <xf numFmtId="0" fontId="62" fillId="22" borderId="45" xfId="4" applyFont="1" applyFill="1" applyBorder="1" applyAlignment="1">
      <alignment horizontal="center" vertical="center"/>
    </xf>
    <xf numFmtId="0" fontId="62" fillId="22" borderId="37" xfId="4" applyFont="1" applyFill="1" applyBorder="1" applyAlignment="1">
      <alignment horizontal="center" vertical="center"/>
    </xf>
    <xf numFmtId="0" fontId="62" fillId="22" borderId="37" xfId="4" applyFont="1" applyFill="1" applyBorder="1" applyAlignment="1">
      <alignment horizontal="left" vertical="center"/>
    </xf>
    <xf numFmtId="0" fontId="62" fillId="22" borderId="37" xfId="4" applyFont="1" applyFill="1" applyBorder="1" applyAlignment="1">
      <alignment horizontal="left" vertical="center" wrapText="1"/>
    </xf>
    <xf numFmtId="0" fontId="63" fillId="22" borderId="37" xfId="4" applyFont="1" applyFill="1" applyBorder="1" applyAlignment="1">
      <alignment horizontal="center" vertical="center"/>
    </xf>
    <xf numFmtId="0" fontId="63" fillId="22" borderId="37" xfId="5" applyFont="1" applyFill="1" applyBorder="1" applyAlignment="1">
      <alignment horizontal="center" vertical="center"/>
    </xf>
    <xf numFmtId="0" fontId="63" fillId="22" borderId="37" xfId="5" applyFont="1" applyFill="1" applyBorder="1" applyAlignment="1">
      <alignment horizontal="center" vertical="center" wrapText="1"/>
    </xf>
    <xf numFmtId="0" fontId="63" fillId="22" borderId="38" xfId="5" applyFont="1" applyFill="1" applyBorder="1" applyAlignment="1">
      <alignment horizontal="center" vertical="center"/>
    </xf>
    <xf numFmtId="0" fontId="59" fillId="0" borderId="77" xfId="4" applyFont="1" applyBorder="1" applyAlignment="1">
      <alignment horizontal="center" vertical="center"/>
    </xf>
    <xf numFmtId="0" fontId="61" fillId="0" borderId="78" xfId="4" applyFont="1" applyBorder="1" applyAlignment="1">
      <alignment horizontal="left" vertical="center"/>
    </xf>
    <xf numFmtId="0" fontId="62" fillId="23" borderId="0" xfId="4" applyFont="1" applyFill="1" applyAlignment="1">
      <alignment horizontal="center" vertical="center"/>
    </xf>
    <xf numFmtId="0" fontId="62" fillId="23" borderId="45" xfId="4" applyFont="1" applyFill="1" applyBorder="1" applyAlignment="1">
      <alignment horizontal="center" vertical="center"/>
    </xf>
    <xf numFmtId="0" fontId="62" fillId="23" borderId="37" xfId="4" applyFont="1" applyFill="1" applyBorder="1" applyAlignment="1">
      <alignment horizontal="center" vertical="center"/>
    </xf>
    <xf numFmtId="0" fontId="62" fillId="23" borderId="37" xfId="4" applyFont="1" applyFill="1" applyBorder="1" applyAlignment="1">
      <alignment horizontal="left" vertical="center"/>
    </xf>
    <xf numFmtId="0" fontId="62" fillId="23" borderId="37" xfId="4" applyFont="1" applyFill="1" applyBorder="1" applyAlignment="1">
      <alignment horizontal="left" vertical="center" wrapText="1"/>
    </xf>
    <xf numFmtId="0" fontId="63" fillId="23" borderId="37" xfId="4" applyFont="1" applyFill="1" applyBorder="1" applyAlignment="1">
      <alignment horizontal="center" vertical="center"/>
    </xf>
    <xf numFmtId="0" fontId="63" fillId="23" borderId="37" xfId="5" applyFont="1" applyFill="1" applyBorder="1" applyAlignment="1">
      <alignment horizontal="center" vertical="center"/>
    </xf>
    <xf numFmtId="0" fontId="63" fillId="23" borderId="37" xfId="5" applyFont="1" applyFill="1" applyBorder="1" applyAlignment="1">
      <alignment horizontal="center" vertical="center" wrapText="1"/>
    </xf>
    <xf numFmtId="0" fontId="63" fillId="23" borderId="38" xfId="5" applyFont="1" applyFill="1" applyBorder="1" applyAlignment="1">
      <alignment horizontal="center" vertical="center"/>
    </xf>
    <xf numFmtId="0" fontId="62" fillId="19" borderId="41" xfId="4" applyFont="1" applyFill="1" applyBorder="1" applyAlignment="1">
      <alignment horizontal="center" vertical="center"/>
    </xf>
    <xf numFmtId="0" fontId="62" fillId="19" borderId="42" xfId="4" applyFont="1" applyFill="1" applyBorder="1" applyAlignment="1">
      <alignment horizontal="center" vertical="center"/>
    </xf>
    <xf numFmtId="0" fontId="62" fillId="19" borderId="42" xfId="4" applyFont="1" applyFill="1" applyBorder="1" applyAlignment="1">
      <alignment horizontal="left" vertical="center"/>
    </xf>
    <xf numFmtId="0" fontId="62" fillId="19" borderId="42" xfId="4" applyFont="1" applyFill="1" applyBorder="1" applyAlignment="1">
      <alignment horizontal="left" vertical="top" wrapText="1"/>
    </xf>
    <xf numFmtId="0" fontId="62" fillId="19" borderId="42" xfId="4" applyFont="1" applyFill="1" applyBorder="1" applyAlignment="1">
      <alignment horizontal="center" vertical="top"/>
    </xf>
    <xf numFmtId="0" fontId="62" fillId="19" borderId="42" xfId="4" applyFont="1" applyFill="1" applyBorder="1" applyAlignment="1">
      <alignment horizontal="center" vertical="top" wrapText="1"/>
    </xf>
    <xf numFmtId="0" fontId="62" fillId="19" borderId="43" xfId="4" applyFont="1" applyFill="1" applyBorder="1" applyAlignment="1">
      <alignment horizontal="center" vertical="top"/>
    </xf>
    <xf numFmtId="0" fontId="62" fillId="24" borderId="0" xfId="4" applyFont="1" applyFill="1" applyAlignment="1">
      <alignment horizontal="center" vertical="center"/>
    </xf>
    <xf numFmtId="0" fontId="62" fillId="24" borderId="37" xfId="4" applyFont="1" applyFill="1" applyBorder="1" applyAlignment="1">
      <alignment horizontal="center" vertical="center"/>
    </xf>
    <xf numFmtId="0" fontId="62" fillId="24" borderId="37" xfId="4" applyFont="1" applyFill="1" applyBorder="1" applyAlignment="1">
      <alignment horizontal="left" vertical="center"/>
    </xf>
    <xf numFmtId="0" fontId="62" fillId="24" borderId="37" xfId="4" applyFont="1" applyFill="1" applyBorder="1" applyAlignment="1">
      <alignment horizontal="left" vertical="center" wrapText="1"/>
    </xf>
    <xf numFmtId="0" fontId="63" fillId="24" borderId="37" xfId="4" applyFont="1" applyFill="1" applyBorder="1" applyAlignment="1">
      <alignment horizontal="center" vertical="center"/>
    </xf>
    <xf numFmtId="0" fontId="63" fillId="24" borderId="37" xfId="5" applyFont="1" applyFill="1" applyBorder="1" applyAlignment="1">
      <alignment horizontal="center" vertical="center"/>
    </xf>
    <xf numFmtId="0" fontId="63" fillId="24" borderId="37" xfId="5" applyFont="1" applyFill="1" applyBorder="1" applyAlignment="1">
      <alignment horizontal="center" vertical="center" wrapText="1"/>
    </xf>
    <xf numFmtId="0" fontId="63" fillId="24" borderId="38" xfId="5" applyFont="1" applyFill="1" applyBorder="1" applyAlignment="1">
      <alignment horizontal="center" vertical="center"/>
    </xf>
    <xf numFmtId="0" fontId="59" fillId="0" borderId="80" xfId="4" applyFont="1" applyBorder="1" applyAlignment="1">
      <alignment horizontal="center" vertical="top"/>
    </xf>
    <xf numFmtId="0" fontId="59" fillId="0" borderId="81" xfId="4" applyFont="1" applyBorder="1" applyAlignment="1">
      <alignment horizontal="center" vertical="top"/>
    </xf>
    <xf numFmtId="0" fontId="59" fillId="0" borderId="78" xfId="4" applyFont="1" applyBorder="1" applyAlignment="1">
      <alignment horizontal="left" vertical="top" wrapText="1"/>
    </xf>
    <xf numFmtId="0" fontId="59" fillId="0" borderId="78" xfId="4" applyFont="1" applyBorder="1" applyAlignment="1">
      <alignment horizontal="center" vertical="top"/>
    </xf>
    <xf numFmtId="0" fontId="59" fillId="0" borderId="78" xfId="4" applyFont="1" applyBorder="1" applyAlignment="1">
      <alignment vertical="top" wrapText="1"/>
    </xf>
    <xf numFmtId="0" fontId="59" fillId="0" borderId="82" xfId="4" applyFont="1" applyBorder="1" applyAlignment="1">
      <alignment horizontal="center" vertical="top"/>
    </xf>
    <xf numFmtId="0" fontId="59" fillId="0" borderId="83" xfId="4" applyFont="1" applyBorder="1" applyAlignment="1">
      <alignment horizontal="center" vertical="top"/>
    </xf>
    <xf numFmtId="0" fontId="62" fillId="25" borderId="0" xfId="4" applyFont="1" applyFill="1" applyAlignment="1">
      <alignment horizontal="center" vertical="center"/>
    </xf>
    <xf numFmtId="0" fontId="62" fillId="25" borderId="45" xfId="4" applyFont="1" applyFill="1" applyBorder="1" applyAlignment="1">
      <alignment horizontal="center" vertical="center"/>
    </xf>
    <xf numFmtId="0" fontId="62" fillId="25" borderId="37" xfId="4" applyFont="1" applyFill="1" applyBorder="1" applyAlignment="1">
      <alignment horizontal="center" vertical="center"/>
    </xf>
    <xf numFmtId="0" fontId="62" fillId="25" borderId="37" xfId="4" applyFont="1" applyFill="1" applyBorder="1" applyAlignment="1">
      <alignment horizontal="left" vertical="center"/>
    </xf>
    <xf numFmtId="0" fontId="62" fillId="25" borderId="37" xfId="4" applyFont="1" applyFill="1" applyBorder="1" applyAlignment="1">
      <alignment horizontal="left" vertical="center" wrapText="1"/>
    </xf>
    <xf numFmtId="0" fontId="63" fillId="25" borderId="37" xfId="4" applyFont="1" applyFill="1" applyBorder="1" applyAlignment="1">
      <alignment horizontal="center" vertical="center"/>
    </xf>
    <xf numFmtId="0" fontId="63" fillId="25" borderId="37" xfId="5" applyFont="1" applyFill="1" applyBorder="1" applyAlignment="1">
      <alignment horizontal="center" vertical="center"/>
    </xf>
    <xf numFmtId="0" fontId="63" fillId="25" borderId="37" xfId="5" applyFont="1" applyFill="1" applyBorder="1" applyAlignment="1">
      <alignment horizontal="center" vertical="center" wrapText="1"/>
    </xf>
    <xf numFmtId="0" fontId="63" fillId="25" borderId="38" xfId="5" applyFont="1" applyFill="1" applyBorder="1" applyAlignment="1">
      <alignment horizontal="center" vertical="center"/>
    </xf>
    <xf numFmtId="0" fontId="61" fillId="0" borderId="85" xfId="4" applyFont="1" applyBorder="1" applyAlignment="1">
      <alignment horizontal="left" vertical="center"/>
    </xf>
    <xf numFmtId="0" fontId="61" fillId="0" borderId="86" xfId="4" applyFont="1" applyBorder="1" applyAlignment="1">
      <alignment horizontal="left" vertical="center"/>
    </xf>
    <xf numFmtId="0" fontId="59" fillId="0" borderId="88" xfId="4" applyFont="1" applyBorder="1" applyAlignment="1">
      <alignment horizontal="center" vertical="top"/>
    </xf>
    <xf numFmtId="0" fontId="59" fillId="0" borderId="89" xfId="4" applyFont="1" applyBorder="1" applyAlignment="1">
      <alignment horizontal="center" vertical="top"/>
    </xf>
    <xf numFmtId="0" fontId="62" fillId="26" borderId="0" xfId="4" applyFont="1" applyFill="1" applyAlignment="1">
      <alignment horizontal="center" vertical="center"/>
    </xf>
    <xf numFmtId="0" fontId="62" fillId="26" borderId="45" xfId="4" applyFont="1" applyFill="1" applyBorder="1" applyAlignment="1">
      <alignment horizontal="center" vertical="center"/>
    </xf>
    <xf numFmtId="0" fontId="62" fillId="26" borderId="37" xfId="4" applyFont="1" applyFill="1" applyBorder="1" applyAlignment="1">
      <alignment horizontal="center" vertical="center"/>
    </xf>
    <xf numFmtId="0" fontId="63" fillId="26" borderId="37" xfId="4" applyFont="1" applyFill="1" applyBorder="1" applyAlignment="1">
      <alignment horizontal="left" vertical="center"/>
    </xf>
    <xf numFmtId="0" fontId="63" fillId="26" borderId="37" xfId="4" applyFont="1" applyFill="1" applyBorder="1" applyAlignment="1">
      <alignment horizontal="center" vertical="center" wrapText="1"/>
    </xf>
    <xf numFmtId="0" fontId="63" fillId="26" borderId="37" xfId="4" applyFont="1" applyFill="1" applyBorder="1" applyAlignment="1">
      <alignment horizontal="center" vertical="center"/>
    </xf>
    <xf numFmtId="0" fontId="63" fillId="26" borderId="37" xfId="5" applyFont="1" applyFill="1" applyBorder="1" applyAlignment="1">
      <alignment horizontal="center" vertical="center"/>
    </xf>
    <xf numFmtId="0" fontId="63" fillId="26" borderId="37" xfId="5" applyFont="1" applyFill="1" applyBorder="1" applyAlignment="1">
      <alignment horizontal="center" vertical="center" wrapText="1"/>
    </xf>
    <xf numFmtId="0" fontId="63" fillId="26" borderId="38" xfId="5" applyFont="1" applyFill="1" applyBorder="1" applyAlignment="1">
      <alignment horizontal="center" vertical="center"/>
    </xf>
    <xf numFmtId="0" fontId="59" fillId="0" borderId="51" xfId="4" applyFont="1" applyBorder="1" applyAlignment="1">
      <alignment vertical="top" wrapText="1"/>
    </xf>
    <xf numFmtId="0" fontId="59" fillId="0" borderId="49" xfId="4" applyFont="1" applyBorder="1" applyAlignment="1">
      <alignment vertical="top" wrapText="1"/>
    </xf>
    <xf numFmtId="0" fontId="59" fillId="0" borderId="59" xfId="4" applyFont="1" applyBorder="1" applyAlignment="1">
      <alignment vertical="top" wrapText="1"/>
    </xf>
    <xf numFmtId="0" fontId="62" fillId="27" borderId="0" xfId="4" applyFont="1" applyFill="1" applyAlignment="1">
      <alignment horizontal="center" vertical="center"/>
    </xf>
    <xf numFmtId="0" fontId="62" fillId="27" borderId="45" xfId="4" applyFont="1" applyFill="1" applyBorder="1" applyAlignment="1">
      <alignment horizontal="center" vertical="center"/>
    </xf>
    <xf numFmtId="0" fontId="62" fillId="27" borderId="37" xfId="4" applyFont="1" applyFill="1" applyBorder="1" applyAlignment="1">
      <alignment horizontal="center" vertical="center"/>
    </xf>
    <xf numFmtId="0" fontId="62" fillId="27" borderId="37" xfId="4" applyFont="1" applyFill="1" applyBorder="1" applyAlignment="1">
      <alignment horizontal="left" vertical="center"/>
    </xf>
    <xf numFmtId="0" fontId="62" fillId="27" borderId="37" xfId="4" applyFont="1" applyFill="1" applyBorder="1" applyAlignment="1">
      <alignment horizontal="left" vertical="center" wrapText="1"/>
    </xf>
    <xf numFmtId="0" fontId="63" fillId="27" borderId="37" xfId="4" applyFont="1" applyFill="1" applyBorder="1" applyAlignment="1">
      <alignment horizontal="center" vertical="center"/>
    </xf>
    <xf numFmtId="0" fontId="63" fillId="27" borderId="37" xfId="5" applyFont="1" applyFill="1" applyBorder="1" applyAlignment="1">
      <alignment horizontal="center" vertical="center"/>
    </xf>
    <xf numFmtId="0" fontId="63" fillId="27" borderId="37" xfId="5" applyFont="1" applyFill="1" applyBorder="1" applyAlignment="1">
      <alignment horizontal="center" vertical="center" wrapText="1"/>
    </xf>
    <xf numFmtId="0" fontId="63" fillId="27" borderId="38" xfId="5" applyFont="1" applyFill="1" applyBorder="1" applyAlignment="1">
      <alignment horizontal="center" vertical="center"/>
    </xf>
    <xf numFmtId="0" fontId="62" fillId="28" borderId="0" xfId="4" applyFont="1" applyFill="1" applyAlignment="1">
      <alignment horizontal="center" vertical="center"/>
    </xf>
    <xf numFmtId="0" fontId="62" fillId="28" borderId="45" xfId="4" applyFont="1" applyFill="1" applyBorder="1" applyAlignment="1">
      <alignment horizontal="center" vertical="center"/>
    </xf>
    <xf numFmtId="0" fontId="62" fillId="28" borderId="37" xfId="4" applyFont="1" applyFill="1" applyBorder="1" applyAlignment="1">
      <alignment horizontal="center" vertical="center"/>
    </xf>
    <xf numFmtId="0" fontId="62" fillId="28" borderId="37" xfId="4" applyFont="1" applyFill="1" applyBorder="1" applyAlignment="1">
      <alignment horizontal="left" vertical="center"/>
    </xf>
    <xf numFmtId="0" fontId="62" fillId="28" borderId="37" xfId="4" applyFont="1" applyFill="1" applyBorder="1" applyAlignment="1">
      <alignment horizontal="left" vertical="center" wrapText="1"/>
    </xf>
    <xf numFmtId="0" fontId="63" fillId="28" borderId="37" xfId="4" applyFont="1" applyFill="1" applyBorder="1" applyAlignment="1">
      <alignment horizontal="center" vertical="center"/>
    </xf>
    <xf numFmtId="0" fontId="63" fillId="28" borderId="37" xfId="5" applyFont="1" applyFill="1" applyBorder="1" applyAlignment="1">
      <alignment horizontal="center" vertical="center"/>
    </xf>
    <xf numFmtId="0" fontId="63" fillId="28" borderId="37" xfId="5" applyFont="1" applyFill="1" applyBorder="1" applyAlignment="1">
      <alignment horizontal="center" vertical="center" wrapText="1"/>
    </xf>
    <xf numFmtId="0" fontId="63" fillId="28" borderId="38" xfId="5" applyFont="1" applyFill="1" applyBorder="1" applyAlignment="1">
      <alignment horizontal="center" vertical="center"/>
    </xf>
    <xf numFmtId="0" fontId="59" fillId="0" borderId="90" xfId="4" applyFont="1" applyBorder="1" applyAlignment="1">
      <alignment horizontal="center" vertical="top"/>
    </xf>
    <xf numFmtId="0" fontId="59" fillId="0" borderId="91" xfId="4" applyFont="1" applyBorder="1" applyAlignment="1">
      <alignment horizontal="center" vertical="center"/>
    </xf>
    <xf numFmtId="0" fontId="61" fillId="0" borderId="92" xfId="4" applyFont="1" applyBorder="1" applyAlignment="1">
      <alignment horizontal="left" vertical="center"/>
    </xf>
    <xf numFmtId="0" fontId="59" fillId="0" borderId="92" xfId="4" applyFont="1" applyBorder="1" applyAlignment="1">
      <alignment horizontal="left" vertical="top" wrapText="1"/>
    </xf>
    <xf numFmtId="0" fontId="59" fillId="0" borderId="93" xfId="4" applyFont="1" applyBorder="1" applyAlignment="1">
      <alignment horizontal="center" vertical="center"/>
    </xf>
    <xf numFmtId="0" fontId="61" fillId="0" borderId="94" xfId="4" applyFont="1" applyBorder="1" applyAlignment="1">
      <alignment horizontal="left" vertical="center"/>
    </xf>
    <xf numFmtId="0" fontId="59" fillId="0" borderId="94" xfId="4" applyFont="1" applyBorder="1" applyAlignment="1">
      <alignment horizontal="left" vertical="top" wrapText="1"/>
    </xf>
    <xf numFmtId="0" fontId="59" fillId="0" borderId="94" xfId="4" applyFont="1" applyBorder="1" applyAlignment="1">
      <alignment horizontal="center" vertical="top"/>
    </xf>
    <xf numFmtId="0" fontId="59" fillId="0" borderId="94" xfId="4" applyFont="1" applyBorder="1" applyAlignment="1">
      <alignment vertical="top" wrapText="1"/>
    </xf>
    <xf numFmtId="0" fontId="59" fillId="0" borderId="95" xfId="4" applyFont="1" applyBorder="1" applyAlignment="1">
      <alignment horizontal="center" vertical="top"/>
    </xf>
    <xf numFmtId="0" fontId="59" fillId="0" borderId="96" xfId="4" applyFont="1" applyBorder="1" applyAlignment="1">
      <alignment horizontal="center" vertical="top"/>
    </xf>
    <xf numFmtId="0" fontId="59" fillId="0" borderId="97" xfId="4" applyFont="1" applyBorder="1" applyAlignment="1">
      <alignment horizontal="center" vertical="center"/>
    </xf>
    <xf numFmtId="0" fontId="61" fillId="0" borderId="98" xfId="4" applyFont="1" applyBorder="1" applyAlignment="1">
      <alignment horizontal="left" vertical="center"/>
    </xf>
    <xf numFmtId="0" fontId="59" fillId="0" borderId="98" xfId="4" applyFont="1" applyBorder="1" applyAlignment="1">
      <alignment horizontal="left" vertical="top" wrapText="1"/>
    </xf>
    <xf numFmtId="0" fontId="59" fillId="0" borderId="98" xfId="4" applyFont="1" applyBorder="1" applyAlignment="1">
      <alignment horizontal="center" vertical="top"/>
    </xf>
    <xf numFmtId="0" fontId="59" fillId="0" borderId="98" xfId="4" applyFont="1" applyBorder="1" applyAlignment="1">
      <alignment vertical="top" wrapText="1"/>
    </xf>
    <xf numFmtId="0" fontId="59" fillId="0" borderId="99" xfId="4" applyFont="1" applyBorder="1" applyAlignment="1">
      <alignment horizontal="center" vertical="top"/>
    </xf>
    <xf numFmtId="0" fontId="59" fillId="0" borderId="100" xfId="4" applyFont="1" applyBorder="1" applyAlignment="1">
      <alignment horizontal="center" vertical="top"/>
    </xf>
    <xf numFmtId="0" fontId="59" fillId="0" borderId="102" xfId="4" applyFont="1" applyBorder="1" applyAlignment="1">
      <alignment horizontal="left" vertical="top" wrapText="1"/>
    </xf>
    <xf numFmtId="0" fontId="59" fillId="0" borderId="102" xfId="4" applyFont="1" applyBorder="1" applyAlignment="1">
      <alignment horizontal="center" vertical="top"/>
    </xf>
    <xf numFmtId="0" fontId="59" fillId="0" borderId="102" xfId="4" applyFont="1" applyBorder="1" applyAlignment="1">
      <alignment vertical="top" wrapText="1"/>
    </xf>
    <xf numFmtId="0" fontId="59" fillId="0" borderId="103" xfId="4" applyFont="1" applyBorder="1" applyAlignment="1">
      <alignment horizontal="center" vertical="top"/>
    </xf>
    <xf numFmtId="0" fontId="59" fillId="0" borderId="104" xfId="4" applyFont="1" applyBorder="1" applyAlignment="1">
      <alignment horizontal="center" vertical="top"/>
    </xf>
    <xf numFmtId="0" fontId="59" fillId="0" borderId="106" xfId="4" applyFont="1" applyBorder="1" applyAlignment="1">
      <alignment horizontal="left" vertical="top" wrapText="1"/>
    </xf>
    <xf numFmtId="0" fontId="59" fillId="0" borderId="106" xfId="4" applyFont="1" applyBorder="1" applyAlignment="1">
      <alignment horizontal="center" vertical="top"/>
    </xf>
    <xf numFmtId="0" fontId="59" fillId="0" borderId="106" xfId="4" applyFont="1" applyBorder="1" applyAlignment="1">
      <alignment vertical="top" wrapText="1"/>
    </xf>
    <xf numFmtId="0" fontId="59" fillId="0" borderId="107" xfId="4" applyFont="1" applyBorder="1" applyAlignment="1">
      <alignment horizontal="center" vertical="top"/>
    </xf>
    <xf numFmtId="0" fontId="59" fillId="0" borderId="108" xfId="4" applyFont="1" applyBorder="1" applyAlignment="1">
      <alignment horizontal="center" vertical="top"/>
    </xf>
    <xf numFmtId="0" fontId="62" fillId="29" borderId="0" xfId="4" applyFont="1" applyFill="1" applyAlignment="1">
      <alignment horizontal="center" vertical="center"/>
    </xf>
    <xf numFmtId="0" fontId="62" fillId="29" borderId="109" xfId="4" applyFont="1" applyFill="1" applyBorder="1" applyAlignment="1">
      <alignment horizontal="center" vertical="center"/>
    </xf>
    <xf numFmtId="0" fontId="62" fillId="29" borderId="109" xfId="4" applyFont="1" applyFill="1" applyBorder="1" applyAlignment="1">
      <alignment horizontal="left" vertical="center"/>
    </xf>
    <xf numFmtId="0" fontId="62" fillId="29" borderId="109" xfId="4" applyFont="1" applyFill="1" applyBorder="1" applyAlignment="1">
      <alignment horizontal="left" vertical="center" wrapText="1"/>
    </xf>
    <xf numFmtId="0" fontId="63" fillId="29" borderId="109" xfId="4" applyFont="1" applyFill="1" applyBorder="1" applyAlignment="1">
      <alignment horizontal="center" vertical="center"/>
    </xf>
    <xf numFmtId="0" fontId="63" fillId="29" borderId="109" xfId="5" applyFont="1" applyFill="1" applyBorder="1" applyAlignment="1">
      <alignment horizontal="center" vertical="center"/>
    </xf>
    <xf numFmtId="0" fontId="63" fillId="29" borderId="109" xfId="5" applyFont="1" applyFill="1" applyBorder="1" applyAlignment="1">
      <alignment horizontal="center" vertical="center" wrapText="1"/>
    </xf>
    <xf numFmtId="0" fontId="63" fillId="29" borderId="110" xfId="5" applyFont="1" applyFill="1" applyBorder="1" applyAlignment="1">
      <alignment horizontal="center" vertical="center"/>
    </xf>
    <xf numFmtId="0" fontId="62" fillId="19" borderId="42" xfId="4" applyFont="1" applyFill="1" applyBorder="1" applyAlignment="1">
      <alignment horizontal="left" vertical="center" wrapText="1"/>
    </xf>
    <xf numFmtId="0" fontId="62" fillId="19" borderId="42" xfId="4" applyFont="1" applyFill="1" applyBorder="1" applyAlignment="1">
      <alignment horizontal="center" vertical="center" wrapText="1"/>
    </xf>
    <xf numFmtId="0" fontId="62" fillId="19" borderId="43" xfId="4" applyFont="1" applyFill="1" applyBorder="1" applyAlignment="1">
      <alignment horizontal="center" vertical="center"/>
    </xf>
    <xf numFmtId="0" fontId="69" fillId="0" borderId="0" xfId="4" applyFont="1" applyAlignment="1">
      <alignment horizontal="center" vertical="center"/>
    </xf>
    <xf numFmtId="0" fontId="43" fillId="0" borderId="0" xfId="4" applyFont="1" applyAlignment="1">
      <alignment horizontal="left" vertical="center"/>
    </xf>
    <xf numFmtId="0" fontId="70" fillId="0" borderId="0" xfId="4" applyFont="1" applyAlignment="1">
      <alignment horizontal="center" vertical="center"/>
    </xf>
    <xf numFmtId="0" fontId="43" fillId="0" borderId="0" xfId="4" applyFont="1" applyAlignment="1">
      <alignment horizontal="left" vertical="center" wrapText="1"/>
    </xf>
    <xf numFmtId="0" fontId="43" fillId="0" borderId="0" xfId="4" applyFont="1" applyAlignment="1">
      <alignment horizontal="center"/>
    </xf>
    <xf numFmtId="0" fontId="55" fillId="0" borderId="0" xfId="4" applyFont="1" applyAlignment="1">
      <alignment horizontal="center" vertical="center" textRotation="90" wrapText="1"/>
    </xf>
    <xf numFmtId="0" fontId="44" fillId="0" borderId="0" xfId="4" applyFont="1" applyAlignment="1">
      <alignment horizontal="center" vertical="center" wrapText="1"/>
    </xf>
    <xf numFmtId="0" fontId="71" fillId="0" borderId="0" xfId="4" applyFont="1" applyAlignment="1">
      <alignment horizontal="left" vertical="center" wrapText="1"/>
    </xf>
    <xf numFmtId="0" fontId="44" fillId="0" borderId="0" xfId="4" applyFont="1" applyAlignment="1">
      <alignment horizontal="left" vertical="center" wrapText="1"/>
    </xf>
    <xf numFmtId="0" fontId="44" fillId="30" borderId="42" xfId="4" applyFont="1" applyFill="1" applyBorder="1" applyAlignment="1">
      <alignment vertical="center"/>
    </xf>
    <xf numFmtId="0" fontId="44" fillId="30" borderId="42" xfId="4" applyFont="1" applyFill="1" applyBorder="1" applyAlignment="1">
      <alignment vertical="center" wrapText="1"/>
    </xf>
    <xf numFmtId="0" fontId="44" fillId="0" borderId="0" xfId="4" applyFont="1" applyAlignment="1">
      <alignment vertical="top" wrapText="1"/>
    </xf>
    <xf numFmtId="0" fontId="44" fillId="0" borderId="0" xfId="4" applyFont="1" applyAlignment="1">
      <alignment horizontal="left" vertical="top" wrapText="1"/>
    </xf>
    <xf numFmtId="0" fontId="44" fillId="0" borderId="0" xfId="4" applyFont="1" applyAlignment="1">
      <alignment vertical="top"/>
    </xf>
    <xf numFmtId="0" fontId="58" fillId="0" borderId="0" xfId="4" applyFont="1" applyAlignment="1">
      <alignment vertical="top" wrapText="1"/>
    </xf>
    <xf numFmtId="0" fontId="63" fillId="17" borderId="40" xfId="4" applyFont="1" applyFill="1" applyBorder="1" applyAlignment="1">
      <alignment horizontal="center" vertical="center" wrapText="1"/>
    </xf>
    <xf numFmtId="0" fontId="63" fillId="17" borderId="3" xfId="4" applyFont="1" applyFill="1" applyBorder="1" applyAlignment="1">
      <alignment horizontal="center" vertical="center" wrapText="1"/>
    </xf>
    <xf numFmtId="0" fontId="72" fillId="31" borderId="3" xfId="4" applyFont="1" applyFill="1" applyBorder="1" applyAlignment="1">
      <alignment vertical="center" wrapText="1"/>
    </xf>
    <xf numFmtId="0" fontId="72" fillId="31" borderId="3" xfId="4" applyFont="1" applyFill="1" applyBorder="1" applyAlignment="1">
      <alignment horizontal="center" vertical="center" wrapText="1"/>
    </xf>
    <xf numFmtId="0" fontId="63" fillId="17" borderId="111" xfId="4" applyFont="1" applyFill="1" applyBorder="1" applyAlignment="1">
      <alignment horizontal="center" vertical="center" wrapText="1"/>
    </xf>
    <xf numFmtId="0" fontId="73" fillId="0" borderId="0" xfId="4" applyFont="1" applyAlignment="1">
      <alignment horizontal="left" vertical="top"/>
    </xf>
    <xf numFmtId="0" fontId="44" fillId="0" borderId="0" xfId="4" applyFont="1" applyAlignment="1">
      <alignment horizontal="center" wrapText="1"/>
    </xf>
    <xf numFmtId="0" fontId="58" fillId="0" borderId="3" xfId="4" applyFont="1" applyBorder="1" applyAlignment="1">
      <alignment horizontal="center" vertical="center" wrapText="1"/>
    </xf>
    <xf numFmtId="0" fontId="58" fillId="0" borderId="3" xfId="4" applyFont="1" applyBorder="1" applyAlignment="1">
      <alignment vertical="center" wrapText="1"/>
    </xf>
    <xf numFmtId="0" fontId="73" fillId="9" borderId="0" xfId="4" applyFont="1" applyFill="1" applyAlignment="1">
      <alignment horizontal="left" vertical="top"/>
    </xf>
    <xf numFmtId="0" fontId="75" fillId="18" borderId="45" xfId="4" applyFont="1" applyFill="1" applyBorder="1" applyAlignment="1">
      <alignment vertical="center" textRotation="90" wrapText="1"/>
    </xf>
    <xf numFmtId="0" fontId="44" fillId="9" borderId="0" xfId="4" applyFont="1" applyFill="1" applyAlignment="1">
      <alignment vertical="top"/>
    </xf>
    <xf numFmtId="0" fontId="44" fillId="9" borderId="0" xfId="4" applyFont="1" applyFill="1"/>
    <xf numFmtId="0" fontId="44" fillId="0" borderId="3" xfId="4" applyFont="1" applyBorder="1" applyAlignment="1">
      <alignment horizontal="center" vertical="center" wrapText="1"/>
    </xf>
    <xf numFmtId="0" fontId="44" fillId="0" borderId="3" xfId="4" applyFont="1" applyBorder="1" applyAlignment="1">
      <alignment vertical="center" wrapText="1"/>
    </xf>
    <xf numFmtId="0" fontId="44" fillId="0" borderId="3" xfId="4" applyFont="1" applyBorder="1" applyAlignment="1">
      <alignment horizontal="left" vertical="center" wrapText="1"/>
    </xf>
    <xf numFmtId="0" fontId="64" fillId="32" borderId="10" xfId="6" applyFill="1" applyBorder="1" applyAlignment="1" applyProtection="1">
      <alignment horizontal="center" vertical="center"/>
      <protection locked="0"/>
    </xf>
    <xf numFmtId="0" fontId="64" fillId="30" borderId="3" xfId="4" applyFont="1" applyFill="1" applyBorder="1" applyAlignment="1" applyProtection="1">
      <alignment horizontal="center" vertical="center"/>
      <protection locked="0"/>
    </xf>
    <xf numFmtId="0" fontId="44" fillId="0" borderId="3" xfId="4" applyFont="1" applyBorder="1" applyAlignment="1" applyProtection="1">
      <alignment horizontal="left" vertical="top" wrapText="1"/>
      <protection locked="0"/>
    </xf>
    <xf numFmtId="0" fontId="44" fillId="0" borderId="111" xfId="4" applyFont="1" applyBorder="1" applyAlignment="1">
      <alignment horizontal="left" vertical="top" wrapText="1"/>
    </xf>
    <xf numFmtId="0" fontId="73" fillId="0" borderId="0" xfId="4" applyFont="1" applyAlignment="1">
      <alignment horizontal="left" vertical="top" wrapText="1"/>
    </xf>
    <xf numFmtId="0" fontId="64" fillId="32" borderId="14" xfId="6" applyFill="1" applyBorder="1" applyAlignment="1" applyProtection="1">
      <alignment horizontal="center" vertical="center"/>
      <protection locked="0"/>
    </xf>
    <xf numFmtId="0" fontId="58" fillId="0" borderId="111" xfId="4" applyFont="1" applyBorder="1" applyAlignment="1" applyProtection="1">
      <alignment horizontal="left" vertical="top" wrapText="1"/>
      <protection locked="0"/>
    </xf>
    <xf numFmtId="0" fontId="64" fillId="32" borderId="9" xfId="6" applyFill="1" applyBorder="1" applyAlignment="1" applyProtection="1">
      <alignment horizontal="center" vertical="center"/>
      <protection locked="0"/>
    </xf>
    <xf numFmtId="0" fontId="64" fillId="30" borderId="10" xfId="6" applyFill="1" applyBorder="1" applyAlignment="1" applyProtection="1">
      <alignment horizontal="center" vertical="center"/>
      <protection locked="0"/>
    </xf>
    <xf numFmtId="0" fontId="64" fillId="30" borderId="14" xfId="6" applyFill="1" applyBorder="1" applyAlignment="1" applyProtection="1">
      <alignment horizontal="center" vertical="center"/>
      <protection locked="0"/>
    </xf>
    <xf numFmtId="0" fontId="44" fillId="9" borderId="3" xfId="4" applyFont="1" applyFill="1" applyBorder="1" applyAlignment="1" applyProtection="1">
      <alignment horizontal="left" vertical="top" wrapText="1"/>
      <protection locked="0"/>
    </xf>
    <xf numFmtId="0" fontId="64" fillId="30" borderId="9" xfId="6" applyFill="1" applyBorder="1" applyAlignment="1" applyProtection="1">
      <alignment horizontal="center" vertical="center"/>
      <protection locked="0"/>
    </xf>
    <xf numFmtId="0" fontId="77" fillId="0" borderId="0" xfId="4" applyFont="1" applyAlignment="1">
      <alignment vertical="top" wrapText="1"/>
    </xf>
    <xf numFmtId="0" fontId="64" fillId="30" borderId="3" xfId="6" applyFill="1" applyBorder="1" applyAlignment="1" applyProtection="1">
      <alignment horizontal="center" vertical="center"/>
      <protection locked="0"/>
    </xf>
    <xf numFmtId="0" fontId="44" fillId="0" borderId="111" xfId="4" applyFont="1" applyBorder="1" applyAlignment="1">
      <alignment vertical="top" wrapText="1"/>
    </xf>
    <xf numFmtId="0" fontId="64" fillId="30" borderId="0" xfId="6" applyFill="1" applyAlignment="1" applyProtection="1">
      <alignment horizontal="center" vertical="center"/>
      <protection locked="0"/>
    </xf>
    <xf numFmtId="0" fontId="62" fillId="18" borderId="15" xfId="4" applyFont="1" applyFill="1" applyBorder="1" applyAlignment="1">
      <alignment horizontal="center" vertical="center" wrapText="1"/>
    </xf>
    <xf numFmtId="0" fontId="71" fillId="18" borderId="15" xfId="4" applyFont="1" applyFill="1" applyBorder="1" applyAlignment="1">
      <alignment horizontal="left" vertical="center" wrapText="1"/>
    </xf>
    <xf numFmtId="0" fontId="62" fillId="18" borderId="15" xfId="4" applyFont="1" applyFill="1" applyBorder="1" applyAlignment="1">
      <alignment horizontal="left" vertical="center" wrapText="1"/>
    </xf>
    <xf numFmtId="0" fontId="62" fillId="33" borderId="15" xfId="4" applyFont="1" applyFill="1" applyBorder="1" applyAlignment="1">
      <alignment horizontal="center" vertical="center"/>
    </xf>
    <xf numFmtId="0" fontId="62" fillId="18" borderId="15" xfId="4" applyFont="1" applyFill="1" applyBorder="1" applyAlignment="1">
      <alignment horizontal="left" vertical="top" wrapText="1"/>
    </xf>
    <xf numFmtId="0" fontId="62" fillId="18" borderId="112" xfId="4" applyFont="1" applyFill="1" applyBorder="1" applyAlignment="1">
      <alignment horizontal="left" vertical="top" wrapText="1"/>
    </xf>
    <xf numFmtId="0" fontId="78" fillId="19" borderId="115" xfId="4" applyFont="1" applyFill="1" applyBorder="1" applyAlignment="1">
      <alignment horizontal="center" vertical="center" textRotation="90" wrapText="1"/>
    </xf>
    <xf numFmtId="0" fontId="62" fillId="19" borderId="15" xfId="4" applyFont="1" applyFill="1" applyBorder="1" applyAlignment="1">
      <alignment horizontal="center" vertical="center" wrapText="1"/>
    </xf>
    <xf numFmtId="0" fontId="71" fillId="19" borderId="15" xfId="4" applyFont="1" applyFill="1" applyBorder="1" applyAlignment="1">
      <alignment horizontal="left" vertical="center" wrapText="1"/>
    </xf>
    <xf numFmtId="0" fontId="62" fillId="19" borderId="15" xfId="4" applyFont="1" applyFill="1" applyBorder="1" applyAlignment="1">
      <alignment horizontal="left" vertical="center" wrapText="1"/>
    </xf>
    <xf numFmtId="0" fontId="62" fillId="33" borderId="15" xfId="4" applyFont="1" applyFill="1" applyBorder="1" applyAlignment="1">
      <alignment horizontal="left" vertical="center" wrapText="1"/>
    </xf>
    <xf numFmtId="0" fontId="62" fillId="19" borderId="15" xfId="4" applyFont="1" applyFill="1" applyBorder="1" applyAlignment="1">
      <alignment horizontal="left" vertical="top" wrapText="1"/>
    </xf>
    <xf numFmtId="0" fontId="62" fillId="19" borderId="112" xfId="4" applyFont="1" applyFill="1" applyBorder="1" applyAlignment="1">
      <alignment horizontal="left" vertical="top" wrapText="1"/>
    </xf>
    <xf numFmtId="0" fontId="75" fillId="20" borderId="116" xfId="4" applyFont="1" applyFill="1" applyBorder="1" applyAlignment="1">
      <alignment vertical="center" textRotation="90" wrapText="1"/>
    </xf>
    <xf numFmtId="0" fontId="75" fillId="20" borderId="15" xfId="4" applyFont="1" applyFill="1" applyBorder="1" applyAlignment="1">
      <alignment vertical="center" textRotation="90" wrapText="1"/>
    </xf>
    <xf numFmtId="0" fontId="75" fillId="20" borderId="112" xfId="4" applyFont="1" applyFill="1" applyBorder="1" applyAlignment="1">
      <alignment horizontal="left" vertical="top" textRotation="90" wrapText="1"/>
    </xf>
    <xf numFmtId="0" fontId="75" fillId="20" borderId="45" xfId="4" applyFont="1" applyFill="1" applyBorder="1" applyAlignment="1">
      <alignment vertical="center" textRotation="90" wrapText="1"/>
    </xf>
    <xf numFmtId="0" fontId="64" fillId="32" borderId="13" xfId="6" applyFill="1" applyBorder="1" applyAlignment="1" applyProtection="1">
      <alignment horizontal="center" vertical="center"/>
      <protection locked="0"/>
    </xf>
    <xf numFmtId="0" fontId="64" fillId="32" borderId="6" xfId="6" applyFill="1" applyBorder="1" applyAlignment="1" applyProtection="1">
      <alignment horizontal="center" vertical="center"/>
      <protection locked="0"/>
    </xf>
    <xf numFmtId="0" fontId="64" fillId="32" borderId="4" xfId="6" applyFill="1" applyBorder="1" applyAlignment="1" applyProtection="1">
      <alignment horizontal="center" vertical="center"/>
      <protection locked="0"/>
    </xf>
    <xf numFmtId="0" fontId="64" fillId="30" borderId="12" xfId="6" applyFill="1" applyBorder="1" applyAlignment="1" applyProtection="1">
      <alignment horizontal="center" vertical="center"/>
      <protection locked="0"/>
    </xf>
    <xf numFmtId="0" fontId="64" fillId="30" borderId="13" xfId="6" applyFill="1" applyBorder="1" applyAlignment="1" applyProtection="1">
      <alignment horizontal="center" vertical="center"/>
      <protection locked="0"/>
    </xf>
    <xf numFmtId="0" fontId="64" fillId="30" borderId="4" xfId="6" applyFill="1" applyBorder="1" applyAlignment="1" applyProtection="1">
      <alignment horizontal="center" vertical="center"/>
      <protection locked="0"/>
    </xf>
    <xf numFmtId="0" fontId="64" fillId="30" borderId="6" xfId="6" applyFill="1" applyBorder="1" applyAlignment="1" applyProtection="1">
      <alignment horizontal="center" vertical="center"/>
      <protection locked="0"/>
    </xf>
    <xf numFmtId="0" fontId="64" fillId="30" borderId="3" xfId="4" applyFont="1" applyFill="1" applyBorder="1" applyAlignment="1">
      <alignment horizontal="center" vertical="center"/>
    </xf>
    <xf numFmtId="0" fontId="44" fillId="0" borderId="3" xfId="4" applyFont="1" applyBorder="1" applyAlignment="1">
      <alignment vertical="top" wrapText="1"/>
    </xf>
    <xf numFmtId="0" fontId="75" fillId="20" borderId="117" xfId="4" applyFont="1" applyFill="1" applyBorder="1" applyAlignment="1">
      <alignment vertical="center" textRotation="90" wrapText="1"/>
    </xf>
    <xf numFmtId="0" fontId="62" fillId="20" borderId="15" xfId="4" applyFont="1" applyFill="1" applyBorder="1" applyAlignment="1">
      <alignment horizontal="center" vertical="center" wrapText="1"/>
    </xf>
    <xf numFmtId="0" fontId="71" fillId="20" borderId="15" xfId="4" applyFont="1" applyFill="1" applyBorder="1" applyAlignment="1">
      <alignment horizontal="left" vertical="center" wrapText="1"/>
    </xf>
    <xf numFmtId="0" fontId="62" fillId="20" borderId="15" xfId="4" applyFont="1" applyFill="1" applyBorder="1" applyAlignment="1">
      <alignment horizontal="left" vertical="center" wrapText="1"/>
    </xf>
    <xf numFmtId="0" fontId="62" fillId="33" borderId="15" xfId="4" applyFont="1" applyFill="1" applyBorder="1" applyAlignment="1">
      <alignment horizontal="center" vertical="center" wrapText="1"/>
    </xf>
    <xf numFmtId="0" fontId="62" fillId="20" borderId="15" xfId="4" applyFont="1" applyFill="1" applyBorder="1" applyAlignment="1">
      <alignment horizontal="left" vertical="top" wrapText="1"/>
    </xf>
    <xf numFmtId="0" fontId="62" fillId="20" borderId="112" xfId="4" applyFont="1" applyFill="1" applyBorder="1" applyAlignment="1">
      <alignment horizontal="left" vertical="top" wrapText="1"/>
    </xf>
    <xf numFmtId="0" fontId="75" fillId="21" borderId="116" xfId="4" applyFont="1" applyFill="1" applyBorder="1" applyAlignment="1">
      <alignment vertical="center" textRotation="90" wrapText="1"/>
    </xf>
    <xf numFmtId="0" fontId="75" fillId="21" borderId="8" xfId="4" applyFont="1" applyFill="1" applyBorder="1" applyAlignment="1">
      <alignment vertical="center" textRotation="90" wrapText="1"/>
    </xf>
    <xf numFmtId="0" fontId="75" fillId="21" borderId="112" xfId="4" applyFont="1" applyFill="1" applyBorder="1" applyAlignment="1">
      <alignment horizontal="left" vertical="top" textRotation="90" wrapText="1"/>
    </xf>
    <xf numFmtId="0" fontId="75" fillId="21" borderId="45" xfId="4" applyFont="1" applyFill="1" applyBorder="1" applyAlignment="1">
      <alignment vertical="center" textRotation="90" wrapText="1"/>
    </xf>
    <xf numFmtId="0" fontId="64" fillId="30" borderId="0" xfId="6" applyFill="1" applyAlignment="1">
      <alignment horizontal="center" vertical="center"/>
    </xf>
    <xf numFmtId="0" fontId="75" fillId="21" borderId="117" xfId="4" applyFont="1" applyFill="1" applyBorder="1" applyAlignment="1">
      <alignment vertical="center" textRotation="90" wrapText="1"/>
    </xf>
    <xf numFmtId="0" fontId="62" fillId="21" borderId="15" xfId="4" applyFont="1" applyFill="1" applyBorder="1" applyAlignment="1">
      <alignment horizontal="center" vertical="center" wrapText="1"/>
    </xf>
    <xf numFmtId="0" fontId="71" fillId="21" borderId="15" xfId="4" applyFont="1" applyFill="1" applyBorder="1" applyAlignment="1">
      <alignment horizontal="left" vertical="center" wrapText="1"/>
    </xf>
    <xf numFmtId="0" fontId="62" fillId="21" borderId="15" xfId="4" applyFont="1" applyFill="1" applyBorder="1" applyAlignment="1">
      <alignment horizontal="left" vertical="center" wrapText="1"/>
    </xf>
    <xf numFmtId="0" fontId="62" fillId="21" borderId="15" xfId="4" applyFont="1" applyFill="1" applyBorder="1" applyAlignment="1">
      <alignment horizontal="left" vertical="top" wrapText="1"/>
    </xf>
    <xf numFmtId="0" fontId="62" fillId="21" borderId="112" xfId="4" applyFont="1" applyFill="1" applyBorder="1" applyAlignment="1">
      <alignment horizontal="left" vertical="top" wrapText="1"/>
    </xf>
    <xf numFmtId="0" fontId="75" fillId="22" borderId="45" xfId="4" applyFont="1" applyFill="1" applyBorder="1" applyAlignment="1">
      <alignment vertical="center" textRotation="90" wrapText="1"/>
    </xf>
    <xf numFmtId="0" fontId="79" fillId="30" borderId="9" xfId="6" applyFont="1" applyFill="1" applyBorder="1" applyAlignment="1" applyProtection="1">
      <alignment horizontal="center" vertical="center"/>
      <protection locked="0"/>
    </xf>
    <xf numFmtId="0" fontId="78" fillId="22" borderId="117" xfId="4" applyFont="1" applyFill="1" applyBorder="1" applyAlignment="1">
      <alignment horizontal="center" vertical="center" textRotation="90" wrapText="1"/>
    </xf>
    <xf numFmtId="0" fontId="62" fillId="22" borderId="15" xfId="4" applyFont="1" applyFill="1" applyBorder="1" applyAlignment="1">
      <alignment horizontal="center" vertical="center" wrapText="1"/>
    </xf>
    <xf numFmtId="0" fontId="71" fillId="22" borderId="15" xfId="4" applyFont="1" applyFill="1" applyBorder="1" applyAlignment="1">
      <alignment horizontal="left" vertical="center" wrapText="1"/>
    </xf>
    <xf numFmtId="0" fontId="62" fillId="22" borderId="15" xfId="4" applyFont="1" applyFill="1" applyBorder="1" applyAlignment="1">
      <alignment horizontal="left" vertical="center" wrapText="1"/>
    </xf>
    <xf numFmtId="0" fontId="62" fillId="22" borderId="15" xfId="4" applyFont="1" applyFill="1" applyBorder="1" applyAlignment="1">
      <alignment horizontal="left" vertical="top" wrapText="1"/>
    </xf>
    <xf numFmtId="0" fontId="62" fillId="22" borderId="112" xfId="4" applyFont="1" applyFill="1" applyBorder="1" applyAlignment="1">
      <alignment horizontal="left" vertical="top" wrapText="1"/>
    </xf>
    <xf numFmtId="0" fontId="75" fillId="23" borderId="112" xfId="4" applyFont="1" applyFill="1" applyBorder="1" applyAlignment="1">
      <alignment horizontal="left" vertical="top" textRotation="90" wrapText="1"/>
    </xf>
    <xf numFmtId="0" fontId="75" fillId="23" borderId="45" xfId="4" applyFont="1" applyFill="1" applyBorder="1" applyAlignment="1">
      <alignment vertical="center" textRotation="90" wrapText="1"/>
    </xf>
    <xf numFmtId="0" fontId="44" fillId="9" borderId="111" xfId="4" applyFont="1" applyFill="1" applyBorder="1" applyAlignment="1">
      <alignment vertical="top" wrapText="1"/>
    </xf>
    <xf numFmtId="0" fontId="64" fillId="34" borderId="14" xfId="6" applyFill="1" applyBorder="1" applyAlignment="1" applyProtection="1">
      <alignment horizontal="center" vertical="center"/>
      <protection locked="0"/>
    </xf>
    <xf numFmtId="0" fontId="44" fillId="0" borderId="111" xfId="7" applyFont="1" applyBorder="1" applyAlignment="1">
      <alignment horizontal="left" vertical="top" wrapText="1"/>
    </xf>
    <xf numFmtId="0" fontId="80" fillId="0" borderId="0" xfId="4" applyFont="1"/>
    <xf numFmtId="0" fontId="44" fillId="0" borderId="9" xfId="4" applyFont="1" applyBorder="1" applyAlignment="1">
      <alignment horizontal="left" vertical="center" wrapText="1"/>
    </xf>
    <xf numFmtId="0" fontId="78" fillId="23" borderId="117" xfId="4" applyFont="1" applyFill="1" applyBorder="1" applyAlignment="1">
      <alignment horizontal="center" vertical="center" textRotation="90" wrapText="1"/>
    </xf>
    <xf numFmtId="0" fontId="62" fillId="23" borderId="15" xfId="4" applyFont="1" applyFill="1" applyBorder="1" applyAlignment="1">
      <alignment horizontal="center" vertical="center" wrapText="1"/>
    </xf>
    <xf numFmtId="0" fontId="71" fillId="23" borderId="15" xfId="4" applyFont="1" applyFill="1" applyBorder="1" applyAlignment="1">
      <alignment horizontal="left" vertical="center" wrapText="1"/>
    </xf>
    <xf numFmtId="0" fontId="62" fillId="23" borderId="15" xfId="4" applyFont="1" applyFill="1" applyBorder="1" applyAlignment="1">
      <alignment horizontal="left" vertical="center" wrapText="1"/>
    </xf>
    <xf numFmtId="0" fontId="62" fillId="23" borderId="15" xfId="4" applyFont="1" applyFill="1" applyBorder="1" applyAlignment="1">
      <alignment horizontal="left" vertical="top" wrapText="1"/>
    </xf>
    <xf numFmtId="0" fontId="62" fillId="23" borderId="112" xfId="4" applyFont="1" applyFill="1" applyBorder="1" applyAlignment="1">
      <alignment horizontal="left" vertical="top" wrapText="1"/>
    </xf>
    <xf numFmtId="0" fontId="75" fillId="24" borderId="112" xfId="4" applyFont="1" applyFill="1" applyBorder="1" applyAlignment="1">
      <alignment horizontal="left" vertical="top" textRotation="90" wrapText="1"/>
    </xf>
    <xf numFmtId="0" fontId="75" fillId="24" borderId="45" xfId="4" applyFont="1" applyFill="1" applyBorder="1" applyAlignment="1">
      <alignment vertical="center" textRotation="90" wrapText="1"/>
    </xf>
    <xf numFmtId="0" fontId="71" fillId="0" borderId="3" xfId="4" applyFont="1" applyBorder="1" applyAlignment="1">
      <alignment horizontal="left" vertical="center" wrapText="1"/>
    </xf>
    <xf numFmtId="0" fontId="64" fillId="32" borderId="0" xfId="6" applyFill="1" applyAlignment="1" applyProtection="1">
      <alignment horizontal="center" vertical="center"/>
      <protection locked="0"/>
    </xf>
    <xf numFmtId="0" fontId="71" fillId="0" borderId="11" xfId="4" applyFont="1" applyBorder="1" applyAlignment="1">
      <alignment horizontal="left" vertical="center" wrapText="1"/>
    </xf>
    <xf numFmtId="0" fontId="44" fillId="0" borderId="111" xfId="4" applyFont="1" applyBorder="1" applyAlignment="1" applyProtection="1">
      <alignment horizontal="left" vertical="top" wrapText="1"/>
      <protection locked="0"/>
    </xf>
    <xf numFmtId="0" fontId="64" fillId="30" borderId="3" xfId="6" applyFill="1" applyBorder="1" applyAlignment="1">
      <alignment horizontal="center" vertical="center"/>
    </xf>
    <xf numFmtId="0" fontId="64" fillId="30" borderId="10" xfId="6" applyFill="1" applyBorder="1" applyAlignment="1">
      <alignment horizontal="center" vertical="center"/>
    </xf>
    <xf numFmtId="0" fontId="64" fillId="30" borderId="14" xfId="6" applyFill="1" applyBorder="1" applyAlignment="1">
      <alignment horizontal="center" vertical="center"/>
    </xf>
    <xf numFmtId="0" fontId="64" fillId="30" borderId="9" xfId="6" applyFill="1" applyBorder="1" applyAlignment="1">
      <alignment horizontal="center" vertical="center"/>
    </xf>
    <xf numFmtId="0" fontId="78" fillId="24" borderId="117" xfId="4" applyFont="1" applyFill="1" applyBorder="1" applyAlignment="1">
      <alignment horizontal="center" vertical="center" textRotation="90" wrapText="1"/>
    </xf>
    <xf numFmtId="0" fontId="62" fillId="24" borderId="15" xfId="4" applyFont="1" applyFill="1" applyBorder="1" applyAlignment="1">
      <alignment horizontal="center" vertical="center" wrapText="1"/>
    </xf>
    <xf numFmtId="0" fontId="71" fillId="24" borderId="15" xfId="4" applyFont="1" applyFill="1" applyBorder="1" applyAlignment="1">
      <alignment horizontal="left" vertical="center" wrapText="1"/>
    </xf>
    <xf numFmtId="0" fontId="62" fillId="24" borderId="15" xfId="4" applyFont="1" applyFill="1" applyBorder="1" applyAlignment="1">
      <alignment horizontal="left" vertical="center" wrapText="1"/>
    </xf>
    <xf numFmtId="0" fontId="62" fillId="24" borderId="15" xfId="4" applyFont="1" applyFill="1" applyBorder="1" applyAlignment="1">
      <alignment horizontal="left" vertical="top" wrapText="1"/>
    </xf>
    <xf numFmtId="0" fontId="62" fillId="24" borderId="112" xfId="4" applyFont="1" applyFill="1" applyBorder="1" applyAlignment="1">
      <alignment horizontal="left" vertical="top" wrapText="1"/>
    </xf>
    <xf numFmtId="0" fontId="75" fillId="25" borderId="112" xfId="4" applyFont="1" applyFill="1" applyBorder="1" applyAlignment="1">
      <alignment horizontal="left" vertical="top" textRotation="90" wrapText="1"/>
    </xf>
    <xf numFmtId="0" fontId="75" fillId="25" borderId="45" xfId="4" applyFont="1" applyFill="1" applyBorder="1" applyAlignment="1">
      <alignment vertical="center" textRotation="90" wrapText="1"/>
    </xf>
    <xf numFmtId="0" fontId="78" fillId="25" borderId="117" xfId="4" applyFont="1" applyFill="1" applyBorder="1" applyAlignment="1">
      <alignment horizontal="center" vertical="center" textRotation="90" wrapText="1"/>
    </xf>
    <xf numFmtId="0" fontId="62" fillId="25" borderId="15" xfId="4" applyFont="1" applyFill="1" applyBorder="1" applyAlignment="1">
      <alignment horizontal="center" vertical="center" wrapText="1"/>
    </xf>
    <xf numFmtId="0" fontId="71" fillId="25" borderId="15" xfId="4" applyFont="1" applyFill="1" applyBorder="1" applyAlignment="1">
      <alignment horizontal="left" vertical="center" wrapText="1"/>
    </xf>
    <xf numFmtId="0" fontId="62" fillId="25" borderId="15" xfId="4" applyFont="1" applyFill="1" applyBorder="1" applyAlignment="1">
      <alignment horizontal="left" vertical="center" wrapText="1"/>
    </xf>
    <xf numFmtId="0" fontId="81" fillId="33" borderId="15" xfId="6" applyFont="1" applyFill="1" applyBorder="1" applyAlignment="1">
      <alignment horizontal="center" vertical="center"/>
    </xf>
    <xf numFmtId="0" fontId="62" fillId="25" borderId="15" xfId="4" applyFont="1" applyFill="1" applyBorder="1" applyAlignment="1">
      <alignment horizontal="left" vertical="top" wrapText="1"/>
    </xf>
    <xf numFmtId="0" fontId="62" fillId="25" borderId="112" xfId="4" applyFont="1" applyFill="1" applyBorder="1" applyAlignment="1">
      <alignment horizontal="left" vertical="top" wrapText="1"/>
    </xf>
    <xf numFmtId="0" fontId="75" fillId="26" borderId="114" xfId="4" applyFont="1" applyFill="1" applyBorder="1" applyAlignment="1">
      <alignment vertical="center" textRotation="90" wrapText="1"/>
    </xf>
    <xf numFmtId="0" fontId="78" fillId="26" borderId="45" xfId="4" applyFont="1" applyFill="1" applyBorder="1" applyAlignment="1">
      <alignment horizontal="center" vertical="center" textRotation="90" wrapText="1"/>
    </xf>
    <xf numFmtId="0" fontId="78" fillId="26" borderId="15" xfId="4" applyFont="1" applyFill="1" applyBorder="1" applyAlignment="1">
      <alignment vertical="center" textRotation="90" wrapText="1"/>
    </xf>
    <xf numFmtId="0" fontId="78" fillId="26" borderId="112" xfId="4" applyFont="1" applyFill="1" applyBorder="1" applyAlignment="1">
      <alignment horizontal="left" vertical="top" textRotation="90" wrapText="1"/>
    </xf>
    <xf numFmtId="0" fontId="64" fillId="30" borderId="9" xfId="4" applyFont="1" applyFill="1" applyBorder="1" applyAlignment="1" applyProtection="1">
      <alignment horizontal="center" vertical="center"/>
      <protection locked="0"/>
    </xf>
    <xf numFmtId="0" fontId="44" fillId="0" borderId="9" xfId="4" applyFont="1" applyBorder="1" applyAlignment="1" applyProtection="1">
      <alignment horizontal="left" vertical="top" wrapText="1"/>
      <protection locked="0"/>
    </xf>
    <xf numFmtId="0" fontId="78" fillId="26" borderId="117" xfId="4" applyFont="1" applyFill="1" applyBorder="1" applyAlignment="1">
      <alignment horizontal="center" vertical="center" textRotation="90" wrapText="1"/>
    </xf>
    <xf numFmtId="0" fontId="62" fillId="26" borderId="15" xfId="4" applyFont="1" applyFill="1" applyBorder="1" applyAlignment="1">
      <alignment horizontal="center" vertical="center" wrapText="1"/>
    </xf>
    <xf numFmtId="0" fontId="71" fillId="26" borderId="15" xfId="4" applyFont="1" applyFill="1" applyBorder="1" applyAlignment="1">
      <alignment horizontal="left" vertical="center" wrapText="1"/>
    </xf>
    <xf numFmtId="0" fontId="62" fillId="26" borderId="15" xfId="4" applyFont="1" applyFill="1" applyBorder="1" applyAlignment="1">
      <alignment horizontal="left" vertical="center" wrapText="1"/>
    </xf>
    <xf numFmtId="0" fontId="62" fillId="26" borderId="15" xfId="4" applyFont="1" applyFill="1" applyBorder="1" applyAlignment="1">
      <alignment horizontal="left" vertical="top" wrapText="1"/>
    </xf>
    <xf numFmtId="0" fontId="62" fillId="26" borderId="112" xfId="4" applyFont="1" applyFill="1" applyBorder="1" applyAlignment="1">
      <alignment horizontal="left" vertical="top" wrapText="1"/>
    </xf>
    <xf numFmtId="0" fontId="78" fillId="27" borderId="114" xfId="4" applyFont="1" applyFill="1" applyBorder="1" applyAlignment="1">
      <alignment horizontal="center" vertical="center" textRotation="90" wrapText="1"/>
    </xf>
    <xf numFmtId="0" fontId="78" fillId="27" borderId="117" xfId="4" applyFont="1" applyFill="1" applyBorder="1" applyAlignment="1">
      <alignment horizontal="center" vertical="center" textRotation="90" wrapText="1"/>
    </xf>
    <xf numFmtId="0" fontId="62" fillId="27" borderId="15" xfId="4" applyFont="1" applyFill="1" applyBorder="1" applyAlignment="1">
      <alignment horizontal="center" vertical="center" wrapText="1"/>
    </xf>
    <xf numFmtId="0" fontId="71" fillId="27" borderId="15" xfId="4" applyFont="1" applyFill="1" applyBorder="1" applyAlignment="1">
      <alignment horizontal="left" vertical="center" wrapText="1"/>
    </xf>
    <xf numFmtId="0" fontId="62" fillId="27" borderId="15" xfId="4" applyFont="1" applyFill="1" applyBorder="1" applyAlignment="1">
      <alignment horizontal="left" vertical="center" wrapText="1"/>
    </xf>
    <xf numFmtId="0" fontId="62" fillId="27" borderId="15" xfId="4" applyFont="1" applyFill="1" applyBorder="1" applyAlignment="1">
      <alignment horizontal="left" vertical="top" wrapText="1"/>
    </xf>
    <xf numFmtId="0" fontId="62" fillId="27" borderId="112" xfId="4" applyFont="1" applyFill="1" applyBorder="1" applyAlignment="1">
      <alignment horizontal="left" vertical="top" wrapText="1"/>
    </xf>
    <xf numFmtId="0" fontId="78" fillId="28" borderId="114" xfId="4" applyFont="1" applyFill="1" applyBorder="1" applyAlignment="1">
      <alignment horizontal="center" vertical="center" textRotation="90" wrapText="1"/>
    </xf>
    <xf numFmtId="0" fontId="73" fillId="0" borderId="0" xfId="4" applyFont="1" applyAlignment="1">
      <alignment vertical="top" wrapText="1"/>
    </xf>
    <xf numFmtId="0" fontId="64" fillId="35" borderId="10" xfId="6" applyFill="1" applyBorder="1" applyAlignment="1">
      <alignment horizontal="center" vertical="center"/>
    </xf>
    <xf numFmtId="0" fontId="64" fillId="35" borderId="14" xfId="6" applyFill="1" applyBorder="1" applyAlignment="1">
      <alignment horizontal="center" vertical="center"/>
    </xf>
    <xf numFmtId="0" fontId="64" fillId="35" borderId="9" xfId="6" applyFill="1" applyBorder="1" applyAlignment="1">
      <alignment horizontal="center" vertical="center"/>
    </xf>
    <xf numFmtId="0" fontId="75" fillId="28" borderId="45" xfId="4" applyFont="1" applyFill="1" applyBorder="1" applyAlignment="1">
      <alignment horizontal="center" vertical="center" textRotation="90" wrapText="1"/>
    </xf>
    <xf numFmtId="0" fontId="44" fillId="0" borderId="2" xfId="4" applyFont="1" applyBorder="1" applyAlignment="1">
      <alignment horizontal="left" vertical="center" wrapText="1"/>
    </xf>
    <xf numFmtId="0" fontId="78" fillId="28" borderId="117" xfId="4" applyFont="1" applyFill="1" applyBorder="1" applyAlignment="1">
      <alignment horizontal="center" vertical="center" textRotation="90" wrapText="1"/>
    </xf>
    <xf numFmtId="0" fontId="62" fillId="28" borderId="15" xfId="4" applyFont="1" applyFill="1" applyBorder="1" applyAlignment="1">
      <alignment horizontal="center" vertical="center" wrapText="1"/>
    </xf>
    <xf numFmtId="0" fontId="71" fillId="28" borderId="15" xfId="4" applyFont="1" applyFill="1" applyBorder="1" applyAlignment="1">
      <alignment horizontal="left" vertical="center" wrapText="1"/>
    </xf>
    <xf numFmtId="0" fontId="62" fillId="28" borderId="15" xfId="4" applyFont="1" applyFill="1" applyBorder="1" applyAlignment="1">
      <alignment horizontal="left" vertical="center" wrapText="1"/>
    </xf>
    <xf numFmtId="0" fontId="62" fillId="28" borderId="15" xfId="4" applyFont="1" applyFill="1" applyBorder="1" applyAlignment="1">
      <alignment horizontal="left" vertical="top" wrapText="1"/>
    </xf>
    <xf numFmtId="0" fontId="62" fillId="28" borderId="112" xfId="4" applyFont="1" applyFill="1" applyBorder="1" applyAlignment="1">
      <alignment horizontal="left" vertical="top" wrapText="1"/>
    </xf>
    <xf numFmtId="0" fontId="78" fillId="29" borderId="45" xfId="4" applyFont="1" applyFill="1" applyBorder="1" applyAlignment="1">
      <alignment vertical="center" textRotation="90" wrapText="1"/>
    </xf>
    <xf numFmtId="0" fontId="78" fillId="29" borderId="42" xfId="4" applyFont="1" applyFill="1" applyBorder="1" applyAlignment="1">
      <alignment vertical="center" textRotation="90" wrapText="1"/>
    </xf>
    <xf numFmtId="0" fontId="78" fillId="29" borderId="43" xfId="4" applyFont="1" applyFill="1" applyBorder="1" applyAlignment="1">
      <alignment horizontal="left" vertical="top" textRotation="90" wrapText="1"/>
    </xf>
    <xf numFmtId="0" fontId="78" fillId="29" borderId="114" xfId="4" applyFont="1" applyFill="1" applyBorder="1" applyAlignment="1">
      <alignment vertical="center" textRotation="90" wrapText="1"/>
    </xf>
    <xf numFmtId="0" fontId="64" fillId="30" borderId="10" xfId="4" applyFont="1" applyFill="1" applyBorder="1" applyAlignment="1" applyProtection="1">
      <alignment horizontal="center" vertical="center"/>
      <protection locked="0"/>
    </xf>
    <xf numFmtId="0" fontId="73" fillId="0" borderId="0" xfId="4" applyFont="1" applyAlignment="1">
      <alignment vertical="top"/>
    </xf>
    <xf numFmtId="0" fontId="64" fillId="34" borderId="14" xfId="4" applyFont="1" applyFill="1" applyBorder="1" applyAlignment="1" applyProtection="1">
      <alignment horizontal="center" vertical="center"/>
      <protection locked="0"/>
    </xf>
    <xf numFmtId="0" fontId="64" fillId="30" borderId="14" xfId="4" applyFont="1" applyFill="1" applyBorder="1" applyAlignment="1" applyProtection="1">
      <alignment horizontal="center" vertical="center"/>
      <protection locked="0"/>
    </xf>
    <xf numFmtId="0" fontId="44" fillId="0" borderId="10" xfId="4" applyFont="1" applyBorder="1" applyAlignment="1" applyProtection="1">
      <alignment horizontal="left" vertical="top" wrapText="1"/>
      <protection locked="0"/>
    </xf>
    <xf numFmtId="0" fontId="77" fillId="0" borderId="0" xfId="4" applyFont="1" applyAlignment="1">
      <alignment vertical="top"/>
    </xf>
    <xf numFmtId="0" fontId="44" fillId="0" borderId="118" xfId="4" applyFont="1" applyBorder="1" applyAlignment="1" applyProtection="1">
      <alignment horizontal="left" vertical="top" wrapText="1"/>
      <protection locked="0"/>
    </xf>
    <xf numFmtId="0" fontId="71" fillId="0" borderId="111" xfId="4" applyFont="1" applyBorder="1" applyAlignment="1">
      <alignment horizontal="left" vertical="top" wrapText="1"/>
    </xf>
    <xf numFmtId="0" fontId="75" fillId="29" borderId="45" xfId="4" applyFont="1" applyFill="1" applyBorder="1" applyAlignment="1">
      <alignment horizontal="center" vertical="center" textRotation="90" wrapText="1"/>
    </xf>
    <xf numFmtId="0" fontId="78" fillId="29" borderId="117" xfId="4" applyFont="1" applyFill="1" applyBorder="1" applyAlignment="1">
      <alignment horizontal="center" vertical="center" textRotation="90" wrapText="1"/>
    </xf>
    <xf numFmtId="0" fontId="62" fillId="29" borderId="15" xfId="4" applyFont="1" applyFill="1" applyBorder="1" applyAlignment="1">
      <alignment horizontal="center" vertical="center" wrapText="1"/>
    </xf>
    <xf numFmtId="0" fontId="71" fillId="29" borderId="15" xfId="4" applyFont="1" applyFill="1" applyBorder="1" applyAlignment="1">
      <alignment horizontal="left" vertical="center" wrapText="1"/>
    </xf>
    <xf numFmtId="0" fontId="62" fillId="29" borderId="15" xfId="4" applyFont="1" applyFill="1" applyBorder="1" applyAlignment="1">
      <alignment horizontal="left" vertical="center" wrapText="1"/>
    </xf>
    <xf numFmtId="0" fontId="62" fillId="29" borderId="15" xfId="4" applyFont="1" applyFill="1" applyBorder="1" applyAlignment="1">
      <alignment horizontal="left" vertical="top" wrapText="1"/>
    </xf>
    <xf numFmtId="0" fontId="62" fillId="29" borderId="112" xfId="4" applyFont="1" applyFill="1" applyBorder="1" applyAlignment="1">
      <alignment horizontal="left" vertical="top" wrapText="1"/>
    </xf>
    <xf numFmtId="0" fontId="78" fillId="19" borderId="119" xfId="4" applyFont="1" applyFill="1" applyBorder="1" applyAlignment="1">
      <alignment horizontal="center" vertical="center" textRotation="90" wrapText="1"/>
    </xf>
    <xf numFmtId="0" fontId="62" fillId="19" borderId="120" xfId="4" applyFont="1" applyFill="1" applyBorder="1" applyAlignment="1">
      <alignment horizontal="center" vertical="center" wrapText="1"/>
    </xf>
    <xf numFmtId="0" fontId="71" fillId="19" borderId="120" xfId="4" applyFont="1" applyFill="1" applyBorder="1" applyAlignment="1">
      <alignment horizontal="left" vertical="center" wrapText="1"/>
    </xf>
    <xf numFmtId="0" fontId="62" fillId="19" borderId="120" xfId="4" applyFont="1" applyFill="1" applyBorder="1" applyAlignment="1">
      <alignment horizontal="left" vertical="center" wrapText="1"/>
    </xf>
    <xf numFmtId="0" fontId="62" fillId="19" borderId="120" xfId="4" applyFont="1" applyFill="1" applyBorder="1" applyAlignment="1">
      <alignment horizontal="left" vertical="top" wrapText="1"/>
    </xf>
    <xf numFmtId="0" fontId="62" fillId="19" borderId="121" xfId="4" applyFont="1" applyFill="1" applyBorder="1" applyAlignment="1">
      <alignment horizontal="left" vertical="top" wrapText="1"/>
    </xf>
    <xf numFmtId="0" fontId="52" fillId="0" borderId="0" xfId="4" applyFont="1" applyAlignment="1">
      <alignment horizontal="center" vertical="center" textRotation="90" wrapText="1"/>
    </xf>
    <xf numFmtId="0" fontId="44" fillId="30" borderId="0" xfId="4" applyFont="1" applyFill="1" applyAlignment="1">
      <alignment horizontal="center" vertical="center"/>
    </xf>
    <xf numFmtId="164" fontId="25" fillId="0" borderId="3" xfId="1" applyNumberFormat="1" applyFont="1" applyBorder="1" applyAlignment="1" applyProtection="1">
      <alignment horizontal="center" vertical="center"/>
      <protection locked="0"/>
    </xf>
    <xf numFmtId="168" fontId="25" fillId="0" borderId="3" xfId="1" applyNumberFormat="1" applyFont="1" applyBorder="1" applyAlignment="1" applyProtection="1">
      <alignment horizontal="center" vertical="center"/>
      <protection locked="0"/>
    </xf>
    <xf numFmtId="169" fontId="25" fillId="0" borderId="3" xfId="1" applyNumberFormat="1" applyFont="1" applyBorder="1" applyAlignment="1" applyProtection="1">
      <alignment horizontal="center" vertical="center"/>
      <protection locked="0"/>
    </xf>
    <xf numFmtId="168" fontId="1" fillId="0" borderId="3" xfId="1" applyNumberFormat="1" applyBorder="1" applyAlignment="1" applyProtection="1">
      <alignment horizontal="center" vertical="center"/>
      <protection locked="0"/>
    </xf>
    <xf numFmtId="1" fontId="1" fillId="0" borderId="3" xfId="1" applyNumberFormat="1" applyBorder="1" applyAlignment="1" applyProtection="1">
      <alignment horizontal="center" vertical="center"/>
      <protection locked="0"/>
    </xf>
    <xf numFmtId="0" fontId="83" fillId="36" borderId="0" xfId="4" applyFont="1" applyFill="1"/>
    <xf numFmtId="0" fontId="84" fillId="37" borderId="122" xfId="4" applyFont="1" applyFill="1" applyBorder="1"/>
    <xf numFmtId="0" fontId="84" fillId="37" borderId="123" xfId="4" applyFont="1" applyFill="1" applyBorder="1"/>
    <xf numFmtId="0" fontId="84" fillId="37" borderId="124" xfId="4" applyFont="1" applyFill="1" applyBorder="1"/>
    <xf numFmtId="0" fontId="84" fillId="36" borderId="124" xfId="4" applyFont="1" applyFill="1" applyBorder="1"/>
    <xf numFmtId="0" fontId="84" fillId="36" borderId="123" xfId="4" applyFont="1" applyFill="1" applyBorder="1"/>
    <xf numFmtId="0" fontId="84" fillId="6" borderId="123" xfId="4" applyFont="1" applyFill="1" applyBorder="1"/>
    <xf numFmtId="0" fontId="83" fillId="0" borderId="0" xfId="4" applyFont="1"/>
    <xf numFmtId="0" fontId="83" fillId="6" borderId="0" xfId="4" applyFont="1" applyFill="1"/>
    <xf numFmtId="0" fontId="83" fillId="6" borderId="0" xfId="4" applyFont="1" applyFill="1" applyAlignment="1">
      <alignment horizontal="center" vertical="center"/>
    </xf>
    <xf numFmtId="0" fontId="84" fillId="38" borderId="0" xfId="4" applyFont="1" applyFill="1"/>
    <xf numFmtId="0" fontId="42" fillId="38" borderId="0" xfId="4" applyFill="1"/>
    <xf numFmtId="0" fontId="42" fillId="0" borderId="0" xfId="4"/>
    <xf numFmtId="0" fontId="64" fillId="36" borderId="0" xfId="4" applyFont="1" applyFill="1"/>
    <xf numFmtId="0" fontId="79" fillId="37" borderId="122" xfId="4" applyFont="1" applyFill="1" applyBorder="1"/>
    <xf numFmtId="0" fontId="79" fillId="37" borderId="123" xfId="4" applyFont="1" applyFill="1" applyBorder="1"/>
    <xf numFmtId="0" fontId="79" fillId="37" borderId="124" xfId="4" applyFont="1" applyFill="1" applyBorder="1"/>
    <xf numFmtId="0" fontId="64" fillId="6" borderId="0" xfId="4" applyFont="1" applyFill="1"/>
    <xf numFmtId="0" fontId="64" fillId="6" borderId="0" xfId="4" applyFont="1" applyFill="1" applyAlignment="1">
      <alignment horizontal="center" vertical="center"/>
    </xf>
    <xf numFmtId="0" fontId="42" fillId="6" borderId="0" xfId="4" applyFill="1"/>
    <xf numFmtId="0" fontId="85" fillId="38" borderId="0" xfId="4" applyFont="1" applyFill="1"/>
    <xf numFmtId="0" fontId="42" fillId="36" borderId="0" xfId="4" applyFill="1"/>
    <xf numFmtId="0" fontId="64" fillId="36" borderId="0" xfId="4" applyFont="1" applyFill="1" applyAlignment="1">
      <alignment wrapText="1"/>
    </xf>
    <xf numFmtId="0" fontId="79" fillId="37" borderId="126" xfId="4" applyFont="1" applyFill="1" applyBorder="1"/>
    <xf numFmtId="0" fontId="79" fillId="37" borderId="127" xfId="4" applyFont="1" applyFill="1" applyBorder="1"/>
    <xf numFmtId="0" fontId="64" fillId="0" borderId="0" xfId="4" applyFont="1"/>
    <xf numFmtId="0" fontId="84" fillId="0" borderId="0" xfId="4" applyFont="1"/>
    <xf numFmtId="0" fontId="85" fillId="0" borderId="0" xfId="4" applyFont="1"/>
    <xf numFmtId="0" fontId="87" fillId="36" borderId="0" xfId="4" applyFont="1" applyFill="1"/>
    <xf numFmtId="0" fontId="39" fillId="36" borderId="0" xfId="4" applyFont="1" applyFill="1"/>
    <xf numFmtId="0" fontId="83" fillId="3" borderId="0" xfId="4" applyFont="1" applyFill="1"/>
    <xf numFmtId="0" fontId="64" fillId="3" borderId="0" xfId="4" applyFont="1" applyFill="1"/>
    <xf numFmtId="0" fontId="42" fillId="3" borderId="0" xfId="4" applyFill="1"/>
    <xf numFmtId="0" fontId="42" fillId="6" borderId="0" xfId="4" applyFill="1" applyAlignment="1">
      <alignment horizontal="center" vertical="center"/>
    </xf>
    <xf numFmtId="0" fontId="88" fillId="0" borderId="0" xfId="4" applyFont="1"/>
    <xf numFmtId="0" fontId="42" fillId="0" borderId="0" xfId="4" applyAlignment="1">
      <alignment horizontal="center" vertical="center"/>
    </xf>
    <xf numFmtId="0" fontId="44" fillId="0" borderId="118" xfId="4" applyFont="1" applyBorder="1" applyAlignment="1">
      <alignment horizontal="left" vertical="top" wrapText="1"/>
    </xf>
    <xf numFmtId="0" fontId="44" fillId="0" borderId="128" xfId="4" applyFont="1" applyBorder="1" applyAlignment="1">
      <alignment horizontal="left" vertical="top" wrapText="1"/>
    </xf>
    <xf numFmtId="0" fontId="45" fillId="0" borderId="0" xfId="4" applyFont="1" applyAlignment="1" applyProtection="1">
      <alignment horizontal="left" vertical="top"/>
      <protection locked="0"/>
    </xf>
    <xf numFmtId="0" fontId="47" fillId="0" borderId="0" xfId="4" applyFont="1" applyAlignment="1" applyProtection="1">
      <alignment horizontal="left" vertical="top"/>
      <protection locked="0"/>
    </xf>
    <xf numFmtId="0" fontId="48" fillId="0" borderId="44" xfId="4" applyFont="1" applyBorder="1" applyAlignment="1">
      <alignment horizontal="center" vertical="center"/>
    </xf>
    <xf numFmtId="0" fontId="48" fillId="0" borderId="46" xfId="4" applyFont="1" applyBorder="1" applyAlignment="1">
      <alignment horizontal="center" vertical="center"/>
    </xf>
    <xf numFmtId="0" fontId="49" fillId="17" borderId="44" xfId="4" applyFont="1" applyFill="1" applyBorder="1" applyAlignment="1">
      <alignment horizontal="center" vertical="center" wrapText="1"/>
    </xf>
    <xf numFmtId="0" fontId="49" fillId="17" borderId="46" xfId="4" applyFont="1" applyFill="1" applyBorder="1" applyAlignment="1">
      <alignment horizontal="center" vertical="center" wrapText="1"/>
    </xf>
    <xf numFmtId="167" fontId="47" fillId="0" borderId="0" xfId="4" applyNumberFormat="1" applyFont="1" applyAlignment="1">
      <alignment horizontal="left" vertical="top"/>
    </xf>
    <xf numFmtId="0" fontId="59" fillId="0" borderId="55" xfId="4" applyFont="1" applyBorder="1" applyAlignment="1">
      <alignment horizontal="center" vertical="center"/>
    </xf>
    <xf numFmtId="0" fontId="61" fillId="0" borderId="49" xfId="4" applyFont="1" applyBorder="1" applyAlignment="1">
      <alignment horizontal="left" vertical="center"/>
    </xf>
    <xf numFmtId="0" fontId="44" fillId="0" borderId="42" xfId="4" applyFont="1" applyBorder="1" applyAlignment="1">
      <alignment horizontal="center" vertical="center" wrapText="1"/>
    </xf>
    <xf numFmtId="0" fontId="60" fillId="18" borderId="44" xfId="4" applyFont="1" applyFill="1" applyBorder="1" applyAlignment="1">
      <alignment horizontal="center" vertical="center" textRotation="90"/>
    </xf>
    <xf numFmtId="0" fontId="60" fillId="18" borderId="54" xfId="4" applyFont="1" applyFill="1" applyBorder="1" applyAlignment="1">
      <alignment horizontal="center" vertical="center" textRotation="90"/>
    </xf>
    <xf numFmtId="0" fontId="59" fillId="0" borderId="50" xfId="4" applyFont="1" applyBorder="1" applyAlignment="1">
      <alignment horizontal="center" vertical="center"/>
    </xf>
    <xf numFmtId="0" fontId="61" fillId="0" borderId="51" xfId="4" applyFont="1" applyBorder="1" applyAlignment="1">
      <alignment horizontal="left" vertical="center"/>
    </xf>
    <xf numFmtId="0" fontId="59" fillId="0" borderId="58" xfId="4" applyFont="1" applyBorder="1" applyAlignment="1">
      <alignment horizontal="center" vertical="center"/>
    </xf>
    <xf numFmtId="0" fontId="61" fillId="0" borderId="59" xfId="4" applyFont="1" applyBorder="1" applyAlignment="1">
      <alignment horizontal="left" vertical="center"/>
    </xf>
    <xf numFmtId="0" fontId="60" fillId="20" borderId="44" xfId="4" applyFont="1" applyFill="1" applyBorder="1" applyAlignment="1">
      <alignment horizontal="center" vertical="center" textRotation="90"/>
    </xf>
    <xf numFmtId="0" fontId="60" fillId="20" borderId="54" xfId="4" applyFont="1" applyFill="1" applyBorder="1" applyAlignment="1">
      <alignment horizontal="center" vertical="center" textRotation="90"/>
    </xf>
    <xf numFmtId="0" fontId="59" fillId="0" borderId="63" xfId="4" applyFont="1" applyBorder="1" applyAlignment="1">
      <alignment horizontal="center" vertical="center"/>
    </xf>
    <xf numFmtId="0" fontId="59" fillId="0" borderId="65" xfId="4" applyFont="1" applyBorder="1" applyAlignment="1">
      <alignment horizontal="center" vertical="center"/>
    </xf>
    <xf numFmtId="0" fontId="61" fillId="0" borderId="64" xfId="4" applyFont="1" applyBorder="1" applyAlignment="1">
      <alignment horizontal="left" vertical="center"/>
    </xf>
    <xf numFmtId="0" fontId="61" fillId="0" borderId="62" xfId="4" applyFont="1" applyBorder="1" applyAlignment="1">
      <alignment horizontal="left" vertical="center"/>
    </xf>
    <xf numFmtId="0" fontId="60" fillId="22" borderId="44" xfId="4" applyFont="1" applyFill="1" applyBorder="1" applyAlignment="1">
      <alignment horizontal="center" vertical="center" textRotation="90"/>
    </xf>
    <xf numFmtId="0" fontId="60" fillId="22" borderId="54" xfId="4" applyFont="1" applyFill="1" applyBorder="1" applyAlignment="1">
      <alignment horizontal="center" vertical="center" textRotation="90"/>
    </xf>
    <xf numFmtId="0" fontId="60" fillId="21" borderId="44" xfId="4" applyFont="1" applyFill="1" applyBorder="1" applyAlignment="1">
      <alignment horizontal="center" vertical="center" textRotation="90"/>
    </xf>
    <xf numFmtId="0" fontId="60" fillId="21" borderId="54" xfId="4" applyFont="1" applyFill="1" applyBorder="1" applyAlignment="1">
      <alignment horizontal="center" vertical="center" textRotation="90"/>
    </xf>
    <xf numFmtId="0" fontId="59" fillId="0" borderId="72" xfId="4" applyFont="1" applyBorder="1" applyAlignment="1">
      <alignment horizontal="center" vertical="center"/>
    </xf>
    <xf numFmtId="0" fontId="61" fillId="0" borderId="68" xfId="4" applyFont="1" applyBorder="1" applyAlignment="1">
      <alignment horizontal="left" vertical="center"/>
    </xf>
    <xf numFmtId="0" fontId="60" fillId="23" borderId="44" xfId="4" applyFont="1" applyFill="1" applyBorder="1" applyAlignment="1">
      <alignment horizontal="center" vertical="center" textRotation="90"/>
    </xf>
    <xf numFmtId="0" fontId="60" fillId="23" borderId="54" xfId="4" applyFont="1" applyFill="1" applyBorder="1" applyAlignment="1">
      <alignment horizontal="center" vertical="center" textRotation="90"/>
    </xf>
    <xf numFmtId="0" fontId="59" fillId="0" borderId="73" xfId="4" applyFont="1" applyBorder="1" applyAlignment="1">
      <alignment horizontal="center" vertical="center"/>
    </xf>
    <xf numFmtId="0" fontId="59" fillId="0" borderId="75" xfId="4" applyFont="1" applyBorder="1" applyAlignment="1">
      <alignment horizontal="center" vertical="center"/>
    </xf>
    <xf numFmtId="0" fontId="59" fillId="0" borderId="77" xfId="4" applyFont="1" applyBorder="1" applyAlignment="1">
      <alignment horizontal="center" vertical="center"/>
    </xf>
    <xf numFmtId="0" fontId="61" fillId="0" borderId="74" xfId="4" applyFont="1" applyBorder="1" applyAlignment="1">
      <alignment horizontal="left" vertical="center"/>
    </xf>
    <xf numFmtId="0" fontId="61" fillId="0" borderId="76" xfId="4" applyFont="1" applyBorder="1" applyAlignment="1">
      <alignment horizontal="left" vertical="center"/>
    </xf>
    <xf numFmtId="0" fontId="61" fillId="0" borderId="78" xfId="4" applyFont="1" applyBorder="1" applyAlignment="1">
      <alignment horizontal="left" vertical="center"/>
    </xf>
    <xf numFmtId="0" fontId="59" fillId="0" borderId="79" xfId="4" applyFont="1" applyBorder="1" applyAlignment="1">
      <alignment horizontal="center" vertical="center"/>
    </xf>
    <xf numFmtId="0" fontId="61" fillId="0" borderId="69" xfId="4" applyFont="1" applyBorder="1" applyAlignment="1">
      <alignment horizontal="left" vertical="center"/>
    </xf>
    <xf numFmtId="0" fontId="60" fillId="25" borderId="44" xfId="4" applyFont="1" applyFill="1" applyBorder="1" applyAlignment="1">
      <alignment horizontal="center" vertical="center" textRotation="90"/>
    </xf>
    <xf numFmtId="0" fontId="60" fillId="25" borderId="54" xfId="4" applyFont="1" applyFill="1" applyBorder="1" applyAlignment="1">
      <alignment horizontal="center" vertical="center" textRotation="90"/>
    </xf>
    <xf numFmtId="0" fontId="67" fillId="24" borderId="36" xfId="4" applyFont="1" applyFill="1" applyBorder="1" applyAlignment="1">
      <alignment horizontal="center" textRotation="90"/>
    </xf>
    <xf numFmtId="0" fontId="67" fillId="24" borderId="45" xfId="4" applyFont="1" applyFill="1" applyBorder="1" applyAlignment="1">
      <alignment horizontal="center" textRotation="90"/>
    </xf>
    <xf numFmtId="0" fontId="61" fillId="0" borderId="86" xfId="4" applyFont="1" applyBorder="1" applyAlignment="1">
      <alignment horizontal="left" vertical="center"/>
    </xf>
    <xf numFmtId="0" fontId="61" fillId="0" borderId="84" xfId="4" applyFont="1" applyBorder="1" applyAlignment="1">
      <alignment horizontal="left" vertical="center"/>
    </xf>
    <xf numFmtId="0" fontId="61" fillId="0" borderId="87" xfId="4" applyFont="1" applyBorder="1" applyAlignment="1">
      <alignment horizontal="left" vertical="center"/>
    </xf>
    <xf numFmtId="0" fontId="60" fillId="27" borderId="44" xfId="4" applyFont="1" applyFill="1" applyBorder="1" applyAlignment="1">
      <alignment horizontal="center" vertical="center" textRotation="90"/>
    </xf>
    <xf numFmtId="0" fontId="60" fillId="27" borderId="54" xfId="4" applyFont="1" applyFill="1" applyBorder="1" applyAlignment="1">
      <alignment horizontal="center" vertical="center" textRotation="90"/>
    </xf>
    <xf numFmtId="0" fontId="60" fillId="26" borderId="44" xfId="4" applyFont="1" applyFill="1" applyBorder="1" applyAlignment="1">
      <alignment horizontal="center" vertical="center" textRotation="90"/>
    </xf>
    <xf numFmtId="0" fontId="60" fillId="26" borderId="54" xfId="4" applyFont="1" applyFill="1" applyBorder="1" applyAlignment="1">
      <alignment horizontal="center" vertical="center" textRotation="90"/>
    </xf>
    <xf numFmtId="0" fontId="68" fillId="29" borderId="36" xfId="4" applyFont="1" applyFill="1" applyBorder="1" applyAlignment="1">
      <alignment horizontal="center" vertical="center" textRotation="45" wrapText="1"/>
    </xf>
    <xf numFmtId="0" fontId="68" fillId="29" borderId="45" xfId="4" applyFont="1" applyFill="1" applyBorder="1" applyAlignment="1">
      <alignment horizontal="center" vertical="center" textRotation="45" wrapText="1"/>
    </xf>
    <xf numFmtId="0" fontId="68" fillId="29" borderId="41" xfId="4" applyFont="1" applyFill="1" applyBorder="1" applyAlignment="1">
      <alignment horizontal="center" vertical="center" textRotation="45" wrapText="1"/>
    </xf>
    <xf numFmtId="0" fontId="59" fillId="0" borderId="101" xfId="4" applyFont="1" applyBorder="1" applyAlignment="1">
      <alignment horizontal="center" vertical="center"/>
    </xf>
    <xf numFmtId="0" fontId="59" fillId="0" borderId="105" xfId="4" applyFont="1" applyBorder="1" applyAlignment="1">
      <alignment horizontal="center" vertical="center"/>
    </xf>
    <xf numFmtId="0" fontId="61" fillId="0" borderId="102" xfId="4" applyFont="1" applyBorder="1" applyAlignment="1">
      <alignment horizontal="left" vertical="center"/>
    </xf>
    <xf numFmtId="0" fontId="61" fillId="0" borderId="106" xfId="4" applyFont="1" applyBorder="1" applyAlignment="1">
      <alignment horizontal="left" vertical="center"/>
    </xf>
    <xf numFmtId="0" fontId="60" fillId="28" borderId="44" xfId="4" applyFont="1" applyFill="1" applyBorder="1" applyAlignment="1">
      <alignment horizontal="center" vertical="center" textRotation="90"/>
    </xf>
    <xf numFmtId="0" fontId="60" fillId="28" borderId="54" xfId="4" applyFont="1" applyFill="1" applyBorder="1" applyAlignment="1">
      <alignment horizontal="center" vertical="center" textRotation="90"/>
    </xf>
    <xf numFmtId="0" fontId="55" fillId="0" borderId="36" xfId="4" applyFont="1" applyBorder="1" applyAlignment="1">
      <alignment horizontal="center" vertical="center"/>
    </xf>
    <xf numFmtId="0" fontId="55" fillId="0" borderId="37" xfId="4" applyFont="1" applyBorder="1" applyAlignment="1">
      <alignment horizontal="center" vertical="center"/>
    </xf>
    <xf numFmtId="0" fontId="55" fillId="0" borderId="38" xfId="4" applyFont="1" applyBorder="1" applyAlignment="1">
      <alignment horizontal="center" vertical="center"/>
    </xf>
    <xf numFmtId="0" fontId="55" fillId="0" borderId="45" xfId="4" applyFont="1" applyBorder="1" applyAlignment="1">
      <alignment horizontal="center" vertical="center"/>
    </xf>
    <xf numFmtId="0" fontId="55" fillId="0" borderId="0" xfId="4" applyFont="1" applyAlignment="1">
      <alignment horizontal="center" vertical="center"/>
    </xf>
    <xf numFmtId="0" fontId="55" fillId="0" borderId="39" xfId="4" applyFont="1" applyBorder="1" applyAlignment="1">
      <alignment horizontal="center" vertical="center"/>
    </xf>
    <xf numFmtId="0" fontId="74" fillId="9" borderId="45" xfId="4" applyFont="1" applyFill="1" applyBorder="1" applyAlignment="1">
      <alignment horizontal="left" vertical="top"/>
    </xf>
    <xf numFmtId="0" fontId="74" fillId="9" borderId="0" xfId="4" applyFont="1" applyFill="1" applyAlignment="1">
      <alignment horizontal="left" vertical="top"/>
    </xf>
    <xf numFmtId="0" fontId="74" fillId="9" borderId="39" xfId="4" applyFont="1" applyFill="1" applyBorder="1" applyAlignment="1">
      <alignment horizontal="left" vertical="top"/>
    </xf>
    <xf numFmtId="0" fontId="71" fillId="0" borderId="41" xfId="4" applyFont="1" applyBorder="1" applyAlignment="1" applyProtection="1">
      <alignment horizontal="left" vertical="top" wrapText="1"/>
      <protection locked="0"/>
    </xf>
    <xf numFmtId="0" fontId="71" fillId="0" borderId="42" xfId="4" applyFont="1" applyBorder="1" applyAlignment="1" applyProtection="1">
      <alignment horizontal="left" vertical="top" wrapText="1"/>
      <protection locked="0"/>
    </xf>
    <xf numFmtId="0" fontId="71" fillId="0" borderId="43" xfId="4" applyFont="1" applyBorder="1" applyAlignment="1" applyProtection="1">
      <alignment horizontal="left" vertical="top" wrapText="1"/>
      <protection locked="0"/>
    </xf>
    <xf numFmtId="0" fontId="75" fillId="18" borderId="45" xfId="4" applyFont="1" applyFill="1" applyBorder="1" applyAlignment="1">
      <alignment horizontal="center" vertical="center" textRotation="90" wrapText="1"/>
    </xf>
    <xf numFmtId="0" fontId="75" fillId="18" borderId="0" xfId="4" applyFont="1" applyFill="1" applyAlignment="1">
      <alignment horizontal="center" vertical="center" textRotation="90" wrapText="1"/>
    </xf>
    <xf numFmtId="0" fontId="75" fillId="18" borderId="39" xfId="4" applyFont="1" applyFill="1" applyBorder="1" applyAlignment="1">
      <alignment horizontal="center" vertical="center" textRotation="90" wrapText="1"/>
    </xf>
    <xf numFmtId="0" fontId="76" fillId="0" borderId="12" xfId="4" applyFont="1" applyBorder="1" applyAlignment="1">
      <alignment horizontal="left" vertical="top" wrapText="1"/>
    </xf>
    <xf numFmtId="0" fontId="76" fillId="0" borderId="15" xfId="4" applyFont="1" applyBorder="1" applyAlignment="1">
      <alignment horizontal="left" vertical="top" wrapText="1"/>
    </xf>
    <xf numFmtId="0" fontId="76" fillId="0" borderId="112" xfId="4" applyFont="1" applyBorder="1" applyAlignment="1">
      <alignment horizontal="left" vertical="top" wrapText="1"/>
    </xf>
    <xf numFmtId="0" fontId="75" fillId="18" borderId="8" xfId="4" applyFont="1" applyFill="1" applyBorder="1" applyAlignment="1">
      <alignment horizontal="center" vertical="center" textRotation="90" wrapText="1"/>
    </xf>
    <xf numFmtId="0" fontId="75" fillId="18" borderId="113" xfId="4" applyFont="1" applyFill="1" applyBorder="1" applyAlignment="1">
      <alignment horizontal="center" vertical="center" textRotation="90" wrapText="1"/>
    </xf>
    <xf numFmtId="0" fontId="44" fillId="0" borderId="3" xfId="4" applyFont="1" applyBorder="1" applyAlignment="1">
      <alignment horizontal="left" vertical="center" wrapText="1"/>
    </xf>
    <xf numFmtId="0" fontId="44" fillId="0" borderId="3" xfId="4" applyFont="1" applyBorder="1" applyAlignment="1">
      <alignment horizontal="center" vertical="center" wrapText="1"/>
    </xf>
    <xf numFmtId="0" fontId="44" fillId="0" borderId="10" xfId="4" applyFont="1" applyBorder="1" applyAlignment="1" applyProtection="1">
      <alignment horizontal="left" vertical="top" wrapText="1"/>
      <protection locked="0"/>
    </xf>
    <xf numFmtId="0" fontId="44" fillId="0" borderId="9" xfId="4" applyFont="1" applyBorder="1" applyAlignment="1" applyProtection="1">
      <alignment horizontal="left" vertical="top" wrapText="1"/>
      <protection locked="0"/>
    </xf>
    <xf numFmtId="0" fontId="64" fillId="30" borderId="10" xfId="4" applyFont="1" applyFill="1" applyBorder="1" applyAlignment="1" applyProtection="1">
      <alignment horizontal="center" vertical="center"/>
      <protection locked="0"/>
    </xf>
    <xf numFmtId="0" fontId="64" fillId="30" borderId="9" xfId="4" applyFont="1" applyFill="1" applyBorder="1" applyAlignment="1" applyProtection="1">
      <alignment horizontal="center" vertical="center"/>
      <protection locked="0"/>
    </xf>
    <xf numFmtId="0" fontId="64" fillId="32" borderId="14" xfId="6" applyFill="1" applyBorder="1" applyAlignment="1" applyProtection="1">
      <alignment horizontal="center" vertical="center"/>
      <protection locked="0"/>
    </xf>
    <xf numFmtId="0" fontId="44" fillId="0" borderId="10" xfId="4" applyFont="1" applyBorder="1" applyAlignment="1">
      <alignment horizontal="left" vertical="center" wrapText="1"/>
    </xf>
    <xf numFmtId="0" fontId="44" fillId="0" borderId="9" xfId="4" applyFont="1" applyBorder="1" applyAlignment="1">
      <alignment horizontal="left" vertical="center" wrapText="1"/>
    </xf>
    <xf numFmtId="0" fontId="44" fillId="9" borderId="10" xfId="4" applyFont="1" applyFill="1" applyBorder="1" applyAlignment="1" applyProtection="1">
      <alignment horizontal="left" vertical="top" wrapText="1"/>
      <protection locked="0"/>
    </xf>
    <xf numFmtId="0" fontId="44" fillId="9" borderId="9" xfId="4" applyFont="1" applyFill="1" applyBorder="1" applyAlignment="1" applyProtection="1">
      <alignment horizontal="left" vertical="top" wrapText="1"/>
      <protection locked="0"/>
    </xf>
    <xf numFmtId="0" fontId="64" fillId="30" borderId="14" xfId="6" applyFill="1" applyBorder="1" applyAlignment="1" applyProtection="1">
      <alignment horizontal="center" vertical="center"/>
      <protection locked="0"/>
    </xf>
    <xf numFmtId="0" fontId="75" fillId="18" borderId="114" xfId="4" applyFont="1" applyFill="1" applyBorder="1" applyAlignment="1">
      <alignment horizontal="center" vertical="center" textRotation="90" wrapText="1"/>
    </xf>
    <xf numFmtId="0" fontId="44" fillId="0" borderId="3" xfId="4" applyFont="1" applyBorder="1" applyAlignment="1">
      <alignment vertical="center" wrapText="1"/>
    </xf>
    <xf numFmtId="0" fontId="44" fillId="0" borderId="10" xfId="4" applyFont="1" applyBorder="1" applyAlignment="1">
      <alignment horizontal="center" vertical="center" wrapText="1"/>
    </xf>
    <xf numFmtId="0" fontId="44" fillId="0" borderId="9" xfId="4" applyFont="1" applyBorder="1" applyAlignment="1">
      <alignment horizontal="center" vertical="center" wrapText="1"/>
    </xf>
    <xf numFmtId="0" fontId="44" fillId="0" borderId="14" xfId="4" applyFont="1" applyBorder="1" applyAlignment="1">
      <alignment horizontal="center" vertical="center" wrapText="1"/>
    </xf>
    <xf numFmtId="0" fontId="76" fillId="0" borderId="13" xfId="4" applyFont="1" applyBorder="1" applyAlignment="1">
      <alignment horizontal="left" vertical="top" wrapText="1"/>
    </xf>
    <xf numFmtId="0" fontId="76" fillId="0" borderId="8" xfId="4" applyFont="1" applyBorder="1" applyAlignment="1">
      <alignment horizontal="left" vertical="top" wrapText="1"/>
    </xf>
    <xf numFmtId="0" fontId="76" fillId="0" borderId="113" xfId="4" applyFont="1" applyBorder="1" applyAlignment="1">
      <alignment horizontal="left" vertical="top" wrapText="1"/>
    </xf>
    <xf numFmtId="0" fontId="75" fillId="20" borderId="8" xfId="4" applyFont="1" applyFill="1" applyBorder="1" applyAlignment="1">
      <alignment horizontal="center" vertical="center" textRotation="90" wrapText="1"/>
    </xf>
    <xf numFmtId="0" fontId="75" fillId="20" borderId="113" xfId="4" applyFont="1" applyFill="1" applyBorder="1" applyAlignment="1">
      <alignment horizontal="center" vertical="center" textRotation="90" wrapText="1"/>
    </xf>
    <xf numFmtId="0" fontId="75" fillId="20" borderId="114" xfId="4" applyFont="1" applyFill="1" applyBorder="1" applyAlignment="1">
      <alignment horizontal="center" vertical="center" textRotation="90" wrapText="1"/>
    </xf>
    <xf numFmtId="0" fontId="75" fillId="21" borderId="8" xfId="4" applyFont="1" applyFill="1" applyBorder="1" applyAlignment="1">
      <alignment horizontal="center" vertical="center" textRotation="90" wrapText="1"/>
    </xf>
    <xf numFmtId="0" fontId="75" fillId="21" borderId="113" xfId="4" applyFont="1" applyFill="1" applyBorder="1" applyAlignment="1">
      <alignment horizontal="center" vertical="center" textRotation="90" wrapText="1"/>
    </xf>
    <xf numFmtId="0" fontId="75" fillId="21" borderId="114" xfId="4" applyFont="1" applyFill="1" applyBorder="1" applyAlignment="1">
      <alignment horizontal="center" vertical="center" textRotation="90" wrapText="1"/>
    </xf>
    <xf numFmtId="0" fontId="75" fillId="22" borderId="116" xfId="4" applyFont="1" applyFill="1" applyBorder="1" applyAlignment="1">
      <alignment horizontal="center" vertical="center" textRotation="90" wrapText="1"/>
    </xf>
    <xf numFmtId="0" fontId="75" fillId="22" borderId="8" xfId="4" applyFont="1" applyFill="1" applyBorder="1" applyAlignment="1">
      <alignment horizontal="center" vertical="center" textRotation="90" wrapText="1"/>
    </xf>
    <xf numFmtId="0" fontId="75" fillId="22" borderId="113" xfId="4" applyFont="1" applyFill="1" applyBorder="1" applyAlignment="1">
      <alignment horizontal="center" vertical="center" textRotation="90" wrapText="1"/>
    </xf>
    <xf numFmtId="0" fontId="75" fillId="22" borderId="114" xfId="4" applyFont="1" applyFill="1" applyBorder="1" applyAlignment="1">
      <alignment horizontal="center" vertical="center" textRotation="90" wrapText="1"/>
    </xf>
    <xf numFmtId="0" fontId="75" fillId="23" borderId="116" xfId="4" applyFont="1" applyFill="1" applyBorder="1" applyAlignment="1">
      <alignment horizontal="center" vertical="center" textRotation="90" wrapText="1"/>
    </xf>
    <xf numFmtId="0" fontId="75" fillId="23" borderId="8" xfId="4" applyFont="1" applyFill="1" applyBorder="1" applyAlignment="1">
      <alignment horizontal="center" vertical="center" textRotation="90" wrapText="1"/>
    </xf>
    <xf numFmtId="0" fontId="75" fillId="23" borderId="113" xfId="4" applyFont="1" applyFill="1" applyBorder="1" applyAlignment="1">
      <alignment horizontal="center" vertical="center" textRotation="90" wrapText="1"/>
    </xf>
    <xf numFmtId="0" fontId="75" fillId="23" borderId="114" xfId="4" applyFont="1" applyFill="1" applyBorder="1" applyAlignment="1">
      <alignment horizontal="center" vertical="center" textRotation="90" wrapText="1"/>
    </xf>
    <xf numFmtId="0" fontId="44" fillId="0" borderId="14" xfId="4" applyFont="1" applyBorder="1" applyAlignment="1">
      <alignment horizontal="left" vertical="center" wrapText="1"/>
    </xf>
    <xf numFmtId="0" fontId="75" fillId="24" borderId="116" xfId="4" applyFont="1" applyFill="1" applyBorder="1" applyAlignment="1">
      <alignment horizontal="center" vertical="center" textRotation="90" wrapText="1"/>
    </xf>
    <xf numFmtId="0" fontId="75" fillId="24" borderId="8" xfId="4" applyFont="1" applyFill="1" applyBorder="1" applyAlignment="1">
      <alignment horizontal="center" vertical="center" textRotation="90" wrapText="1"/>
    </xf>
    <xf numFmtId="0" fontId="75" fillId="24" borderId="113" xfId="4" applyFont="1" applyFill="1" applyBorder="1" applyAlignment="1">
      <alignment horizontal="center" vertical="center" textRotation="90" wrapText="1"/>
    </xf>
    <xf numFmtId="0" fontId="75" fillId="24" borderId="114" xfId="4" applyFont="1" applyFill="1" applyBorder="1" applyAlignment="1">
      <alignment horizontal="center" vertical="center" textRotation="90" wrapText="1"/>
    </xf>
    <xf numFmtId="0" fontId="71" fillId="0" borderId="10" xfId="4" applyFont="1" applyBorder="1" applyAlignment="1">
      <alignment horizontal="left" vertical="center" wrapText="1"/>
    </xf>
    <xf numFmtId="0" fontId="71" fillId="0" borderId="9" xfId="4" applyFont="1" applyBorder="1" applyAlignment="1">
      <alignment horizontal="left" vertical="center" wrapText="1"/>
    </xf>
    <xf numFmtId="0" fontId="75" fillId="25" borderId="116" xfId="4" applyFont="1" applyFill="1" applyBorder="1" applyAlignment="1">
      <alignment horizontal="center" vertical="center" textRotation="90" wrapText="1"/>
    </xf>
    <xf numFmtId="0" fontId="75" fillId="25" borderId="8" xfId="4" applyFont="1" applyFill="1" applyBorder="1" applyAlignment="1">
      <alignment horizontal="center" vertical="center" textRotation="90" wrapText="1"/>
    </xf>
    <xf numFmtId="0" fontId="75" fillId="25" borderId="113" xfId="4" applyFont="1" applyFill="1" applyBorder="1" applyAlignment="1">
      <alignment horizontal="center" vertical="center" textRotation="90" wrapText="1"/>
    </xf>
    <xf numFmtId="0" fontId="75" fillId="25" borderId="114" xfId="4" applyFont="1" applyFill="1" applyBorder="1" applyAlignment="1">
      <alignment horizontal="center" vertical="center" textRotation="90" wrapText="1"/>
    </xf>
    <xf numFmtId="0" fontId="78" fillId="26" borderId="116" xfId="4" applyFont="1" applyFill="1" applyBorder="1" applyAlignment="1">
      <alignment horizontal="center" vertical="center" textRotation="90" wrapText="1"/>
    </xf>
    <xf numFmtId="0" fontId="78" fillId="26" borderId="15" xfId="4" applyFont="1" applyFill="1" applyBorder="1" applyAlignment="1">
      <alignment horizontal="center" vertical="center" textRotation="90" wrapText="1"/>
    </xf>
    <xf numFmtId="0" fontId="78" fillId="26" borderId="112" xfId="4" applyFont="1" applyFill="1" applyBorder="1" applyAlignment="1">
      <alignment horizontal="center" vertical="center" textRotation="90" wrapText="1"/>
    </xf>
    <xf numFmtId="0" fontId="75" fillId="26" borderId="114" xfId="4" applyFont="1" applyFill="1" applyBorder="1" applyAlignment="1">
      <alignment horizontal="center" vertical="center" textRotation="90" wrapText="1"/>
    </xf>
    <xf numFmtId="0" fontId="44" fillId="0" borderId="9" xfId="4" applyFont="1" applyBorder="1" applyAlignment="1">
      <alignment vertical="center" wrapText="1"/>
    </xf>
    <xf numFmtId="0" fontId="78" fillId="27" borderId="116" xfId="4" applyFont="1" applyFill="1" applyBorder="1" applyAlignment="1">
      <alignment horizontal="center" vertical="center" textRotation="90" wrapText="1"/>
    </xf>
    <xf numFmtId="0" fontId="78" fillId="27" borderId="15" xfId="4" applyFont="1" applyFill="1" applyBorder="1" applyAlignment="1">
      <alignment horizontal="center" vertical="center" textRotation="90" wrapText="1"/>
    </xf>
    <xf numFmtId="0" fontId="78" fillId="27" borderId="112" xfId="4" applyFont="1" applyFill="1" applyBorder="1" applyAlignment="1">
      <alignment horizontal="center" vertical="center" textRotation="90" wrapText="1"/>
    </xf>
    <xf numFmtId="0" fontId="78" fillId="27" borderId="45" xfId="4" applyFont="1" applyFill="1" applyBorder="1" applyAlignment="1">
      <alignment horizontal="center" vertical="center" textRotation="90" wrapText="1"/>
    </xf>
    <xf numFmtId="0" fontId="75" fillId="27" borderId="114" xfId="4" applyFont="1" applyFill="1" applyBorder="1" applyAlignment="1">
      <alignment horizontal="center" vertical="center" textRotation="90" wrapText="1"/>
    </xf>
    <xf numFmtId="0" fontId="78" fillId="28" borderId="116" xfId="4" applyFont="1" applyFill="1" applyBorder="1" applyAlignment="1">
      <alignment horizontal="center" vertical="center" textRotation="90" wrapText="1"/>
    </xf>
    <xf numFmtId="0" fontId="78" fillId="28" borderId="15" xfId="4" applyFont="1" applyFill="1" applyBorder="1" applyAlignment="1">
      <alignment horizontal="center" vertical="center" textRotation="90" wrapText="1"/>
    </xf>
    <xf numFmtId="0" fontId="78" fillId="28" borderId="112" xfId="4" applyFont="1" applyFill="1" applyBorder="1" applyAlignment="1">
      <alignment horizontal="center" vertical="center" textRotation="90" wrapText="1"/>
    </xf>
    <xf numFmtId="0" fontId="78" fillId="28" borderId="45" xfId="4" applyFont="1" applyFill="1" applyBorder="1" applyAlignment="1">
      <alignment horizontal="center" vertical="center" textRotation="90" wrapText="1"/>
    </xf>
    <xf numFmtId="0" fontId="75" fillId="28" borderId="114" xfId="4" applyFont="1" applyFill="1" applyBorder="1" applyAlignment="1">
      <alignment horizontal="center" vertical="center" textRotation="90" wrapText="1"/>
    </xf>
    <xf numFmtId="0" fontId="82" fillId="30" borderId="0" xfId="4" applyFont="1" applyFill="1" applyAlignment="1">
      <alignment horizontal="center" vertical="center" wrapText="1"/>
    </xf>
    <xf numFmtId="0" fontId="82" fillId="30" borderId="0" xfId="4" applyFont="1" applyFill="1" applyAlignment="1">
      <alignment horizontal="center" vertical="center"/>
    </xf>
    <xf numFmtId="0" fontId="78" fillId="29" borderId="45" xfId="4" applyFont="1" applyFill="1" applyBorder="1" applyAlignment="1">
      <alignment horizontal="center" vertical="center" textRotation="90" wrapText="1"/>
    </xf>
    <xf numFmtId="0" fontId="78" fillId="29" borderId="42" xfId="4" applyFont="1" applyFill="1" applyBorder="1" applyAlignment="1">
      <alignment horizontal="center" vertical="center" textRotation="90" wrapText="1"/>
    </xf>
    <xf numFmtId="0" fontId="78" fillId="29" borderId="43" xfId="4" applyFont="1" applyFill="1" applyBorder="1" applyAlignment="1">
      <alignment horizontal="center" vertical="center" textRotation="90" wrapText="1"/>
    </xf>
    <xf numFmtId="0" fontId="75" fillId="29" borderId="114" xfId="4" applyFont="1" applyFill="1" applyBorder="1" applyAlignment="1">
      <alignment horizontal="center" vertical="center" textRotation="90" wrapText="1"/>
    </xf>
    <xf numFmtId="0" fontId="0" fillId="15" borderId="0" xfId="0" applyFill="1" applyAlignment="1">
      <alignment horizontal="center"/>
    </xf>
    <xf numFmtId="0" fontId="6" fillId="0" borderId="0" xfId="0" applyFont="1" applyAlignment="1">
      <alignment horizontal="left" vertical="top" wrapText="1"/>
    </xf>
    <xf numFmtId="0" fontId="10" fillId="4" borderId="0" xfId="1" applyFont="1" applyFill="1" applyAlignment="1">
      <alignment horizontal="left" vertical="center" wrapText="1"/>
    </xf>
    <xf numFmtId="0" fontId="10" fillId="4" borderId="5" xfId="1" applyFont="1" applyFill="1" applyBorder="1" applyAlignment="1">
      <alignment horizontal="left" vertical="center" wrapText="1"/>
    </xf>
    <xf numFmtId="0" fontId="4" fillId="2" borderId="12" xfId="1" applyFont="1" applyFill="1" applyBorder="1" applyAlignment="1">
      <alignment horizontal="center" vertical="center" wrapText="1"/>
    </xf>
    <xf numFmtId="0" fontId="4" fillId="2" borderId="11" xfId="1" applyFont="1" applyFill="1" applyBorder="1" applyAlignment="1">
      <alignment horizontal="center" vertical="center" wrapText="1"/>
    </xf>
    <xf numFmtId="164" fontId="1" fillId="3" borderId="10" xfId="1" applyNumberFormat="1" applyFill="1" applyBorder="1" applyAlignment="1">
      <alignment horizontal="center" vertical="center"/>
    </xf>
    <xf numFmtId="164" fontId="1" fillId="3" borderId="14" xfId="1" applyNumberFormat="1" applyFill="1" applyBorder="1" applyAlignment="1">
      <alignment horizontal="center" vertical="center"/>
    </xf>
    <xf numFmtId="164" fontId="1" fillId="3" borderId="9" xfId="1" applyNumberFormat="1" applyFill="1" applyBorder="1" applyAlignment="1">
      <alignment horizontal="center" vertical="center"/>
    </xf>
    <xf numFmtId="0" fontId="17" fillId="2" borderId="12" xfId="1" applyFont="1" applyFill="1" applyBorder="1" applyAlignment="1">
      <alignment horizontal="center" vertical="center" wrapText="1"/>
    </xf>
    <xf numFmtId="0" fontId="17" fillId="2" borderId="15" xfId="1" applyFont="1" applyFill="1" applyBorder="1" applyAlignment="1">
      <alignment horizontal="center" vertical="center" wrapText="1"/>
    </xf>
    <xf numFmtId="0" fontId="17" fillId="2" borderId="3"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15" xfId="1" applyFont="1" applyFill="1" applyBorder="1" applyAlignment="1">
      <alignment horizontal="center" vertical="center" wrapText="1"/>
    </xf>
    <xf numFmtId="0" fontId="10" fillId="4" borderId="0" xfId="1" applyFont="1" applyFill="1" applyAlignment="1">
      <alignment horizontal="center" vertical="center" wrapText="1"/>
    </xf>
    <xf numFmtId="0" fontId="10" fillId="4" borderId="5" xfId="1" applyFont="1" applyFill="1" applyBorder="1" applyAlignment="1">
      <alignment horizontal="center" vertical="center" wrapText="1"/>
    </xf>
    <xf numFmtId="0" fontId="22" fillId="0" borderId="0" xfId="1" applyFont="1" applyAlignment="1">
      <alignment horizontal="left" vertical="center"/>
    </xf>
    <xf numFmtId="0" fontId="19" fillId="4" borderId="13" xfId="1" applyFont="1" applyFill="1" applyBorder="1" applyAlignment="1">
      <alignment horizontal="center" vertical="center"/>
    </xf>
    <xf numFmtId="0" fontId="19" fillId="4" borderId="8" xfId="1" applyFont="1" applyFill="1" applyBorder="1" applyAlignment="1">
      <alignment horizontal="center" vertical="center"/>
    </xf>
    <xf numFmtId="0" fontId="19" fillId="4" borderId="7" xfId="1" applyFont="1" applyFill="1" applyBorder="1" applyAlignment="1">
      <alignment horizontal="center" vertical="center"/>
    </xf>
    <xf numFmtId="0" fontId="24" fillId="6" borderId="0" xfId="0" applyFont="1" applyFill="1" applyAlignment="1">
      <alignment horizontal="center" vertical="center" wrapText="1"/>
    </xf>
    <xf numFmtId="0" fontId="18" fillId="2" borderId="12" xfId="1" applyFont="1" applyFill="1" applyBorder="1" applyAlignment="1">
      <alignment horizontal="center" vertical="top" wrapText="1"/>
    </xf>
    <xf numFmtId="0" fontId="18" fillId="2" borderId="15" xfId="1" applyFont="1" applyFill="1" applyBorder="1" applyAlignment="1">
      <alignment horizontal="center" vertical="top" wrapText="1"/>
    </xf>
    <xf numFmtId="0" fontId="18" fillId="2" borderId="11" xfId="1" applyFont="1" applyFill="1" applyBorder="1" applyAlignment="1">
      <alignment horizontal="center" vertical="top" wrapText="1"/>
    </xf>
    <xf numFmtId="0" fontId="4" fillId="4" borderId="6" xfId="1" applyFont="1" applyFill="1" applyBorder="1" applyAlignment="1">
      <alignment horizontal="center" vertical="center"/>
    </xf>
    <xf numFmtId="0" fontId="4" fillId="4" borderId="4" xfId="1" applyFont="1" applyFill="1" applyBorder="1" applyAlignment="1">
      <alignment horizontal="center" vertical="center"/>
    </xf>
    <xf numFmtId="0" fontId="1" fillId="2" borderId="3" xfId="1" applyFill="1" applyBorder="1" applyAlignment="1">
      <alignment horizontal="center" vertical="center"/>
    </xf>
    <xf numFmtId="0" fontId="1" fillId="2" borderId="12" xfId="1" applyFill="1" applyBorder="1" applyAlignment="1">
      <alignment horizontal="center" vertical="center"/>
    </xf>
    <xf numFmtId="0" fontId="1" fillId="2" borderId="11" xfId="1" applyFill="1" applyBorder="1" applyAlignment="1">
      <alignment horizontal="center" vertical="center"/>
    </xf>
    <xf numFmtId="1" fontId="4" fillId="3" borderId="10" xfId="1" applyNumberFormat="1" applyFont="1" applyFill="1" applyBorder="1" applyAlignment="1">
      <alignment horizontal="center" vertical="center"/>
    </xf>
    <xf numFmtId="1" fontId="4" fillId="3" borderId="14" xfId="1" applyNumberFormat="1" applyFont="1" applyFill="1" applyBorder="1" applyAlignment="1">
      <alignment horizontal="center" vertical="center"/>
    </xf>
    <xf numFmtId="1" fontId="4" fillId="3" borderId="6" xfId="1" applyNumberFormat="1" applyFont="1" applyFill="1" applyBorder="1" applyAlignment="1">
      <alignment horizontal="center" vertical="center"/>
    </xf>
    <xf numFmtId="1" fontId="4" fillId="3" borderId="0" xfId="1" applyNumberFormat="1" applyFont="1" applyFill="1" applyAlignment="1">
      <alignment horizontal="center" vertical="center"/>
    </xf>
    <xf numFmtId="1" fontId="4" fillId="3" borderId="5" xfId="1" applyNumberFormat="1" applyFont="1" applyFill="1" applyBorder="1" applyAlignment="1">
      <alignment horizontal="center" vertical="center"/>
    </xf>
    <xf numFmtId="1" fontId="4" fillId="3" borderId="4" xfId="1" applyNumberFormat="1" applyFont="1" applyFill="1" applyBorder="1" applyAlignment="1">
      <alignment horizontal="center" vertical="center"/>
    </xf>
    <xf numFmtId="1" fontId="4" fillId="3" borderId="2" xfId="1" applyNumberFormat="1" applyFont="1" applyFill="1" applyBorder="1" applyAlignment="1">
      <alignment horizontal="center" vertical="center"/>
    </xf>
    <xf numFmtId="1" fontId="4" fillId="3" borderId="1" xfId="1" applyNumberFormat="1" applyFont="1" applyFill="1" applyBorder="1" applyAlignment="1">
      <alignment horizontal="center" vertical="center"/>
    </xf>
    <xf numFmtId="0" fontId="13" fillId="0" borderId="0" xfId="0" applyFont="1" applyAlignment="1">
      <alignment horizontal="left" vertical="center" wrapText="1"/>
    </xf>
    <xf numFmtId="0" fontId="4" fillId="2" borderId="10"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10" fillId="4" borderId="8" xfId="1" applyFont="1" applyFill="1" applyBorder="1" applyAlignment="1">
      <alignment horizontal="left" vertical="center" wrapText="1"/>
    </xf>
    <xf numFmtId="0" fontId="10" fillId="4" borderId="7" xfId="1" applyFont="1" applyFill="1" applyBorder="1" applyAlignment="1">
      <alignment horizontal="left" vertical="center" wrapText="1"/>
    </xf>
    <xf numFmtId="0" fontId="4" fillId="3" borderId="6" xfId="1" applyFont="1" applyFill="1" applyBorder="1" applyAlignment="1">
      <alignment horizontal="left" vertical="center"/>
    </xf>
    <xf numFmtId="0" fontId="4" fillId="3" borderId="4" xfId="1" applyFont="1" applyFill="1" applyBorder="1" applyAlignment="1">
      <alignment horizontal="left" vertical="center"/>
    </xf>
    <xf numFmtId="0" fontId="4" fillId="3" borderId="15" xfId="1" applyFont="1" applyFill="1" applyBorder="1" applyAlignment="1">
      <alignment horizontal="center" vertical="center"/>
    </xf>
    <xf numFmtId="0" fontId="4" fillId="3" borderId="11" xfId="1" applyFont="1" applyFill="1" applyBorder="1" applyAlignment="1">
      <alignment horizontal="center" vertical="center"/>
    </xf>
    <xf numFmtId="0" fontId="10" fillId="7" borderId="15" xfId="0" applyFont="1" applyFill="1" applyBorder="1" applyAlignment="1">
      <alignment horizontal="center" vertical="center" wrapText="1"/>
    </xf>
    <xf numFmtId="0" fontId="10" fillId="7" borderId="12" xfId="0" applyFont="1" applyFill="1" applyBorder="1" applyAlignment="1">
      <alignment vertical="center" wrapText="1"/>
    </xf>
    <xf numFmtId="0" fontId="6" fillId="0" borderId="0" xfId="0" applyFont="1" applyAlignment="1">
      <alignment vertical="top" wrapText="1"/>
    </xf>
    <xf numFmtId="0" fontId="4" fillId="3" borderId="13" xfId="1" applyFont="1" applyFill="1" applyBorder="1" applyAlignment="1">
      <alignment horizontal="left" vertical="center"/>
    </xf>
    <xf numFmtId="0" fontId="4" fillId="3" borderId="10" xfId="1" applyFont="1" applyFill="1" applyBorder="1" applyAlignment="1">
      <alignment horizontal="center" vertical="center" wrapText="1"/>
    </xf>
    <xf numFmtId="0" fontId="4" fillId="3" borderId="9" xfId="1" applyFont="1" applyFill="1" applyBorder="1" applyAlignment="1">
      <alignment horizontal="center" vertical="center" wrapText="1"/>
    </xf>
    <xf numFmtId="0" fontId="4" fillId="3" borderId="10" xfId="1" applyFont="1" applyFill="1" applyBorder="1" applyAlignment="1">
      <alignment horizontal="center" vertical="center"/>
    </xf>
    <xf numFmtId="0" fontId="4" fillId="3" borderId="9" xfId="1" applyFont="1" applyFill="1" applyBorder="1" applyAlignment="1">
      <alignment horizontal="center" vertical="center"/>
    </xf>
    <xf numFmtId="0" fontId="10" fillId="7" borderId="2" xfId="0" applyFont="1" applyFill="1" applyBorder="1" applyAlignment="1">
      <alignment vertical="center"/>
    </xf>
    <xf numFmtId="0" fontId="10" fillId="7" borderId="2" xfId="0" applyFont="1" applyFill="1" applyBorder="1" applyAlignment="1">
      <alignment horizontal="center" vertical="center"/>
    </xf>
    <xf numFmtId="0" fontId="10" fillId="7" borderId="6" xfId="0" applyFont="1" applyFill="1" applyBorder="1" applyAlignment="1">
      <alignment vertical="center"/>
    </xf>
    <xf numFmtId="0" fontId="30" fillId="6" borderId="0" xfId="0" applyFont="1" applyFill="1" applyAlignment="1">
      <alignment horizontal="center" vertical="center" wrapText="1"/>
    </xf>
    <xf numFmtId="0" fontId="22" fillId="0" borderId="0" xfId="1" applyFont="1" applyAlignment="1">
      <alignment vertical="center"/>
    </xf>
    <xf numFmtId="0" fontId="22" fillId="0" borderId="0" xfId="1" applyFont="1" applyAlignment="1">
      <alignment horizontal="center" vertical="center"/>
    </xf>
    <xf numFmtId="0" fontId="27" fillId="7" borderId="8" xfId="0" applyFont="1" applyFill="1" applyBorder="1" applyAlignment="1">
      <alignment horizontal="center" vertical="center" wrapText="1"/>
    </xf>
    <xf numFmtId="0" fontId="10" fillId="7" borderId="15" xfId="0" applyFont="1" applyFill="1" applyBorder="1" applyAlignment="1">
      <alignment vertical="center" wrapText="1"/>
    </xf>
    <xf numFmtId="0" fontId="10" fillId="7" borderId="11" xfId="0" applyFont="1" applyFill="1" applyBorder="1" applyAlignment="1">
      <alignment vertical="center" wrapText="1"/>
    </xf>
    <xf numFmtId="0" fontId="10" fillId="7" borderId="15" xfId="0" applyFont="1" applyFill="1" applyBorder="1" applyAlignment="1">
      <alignment horizontal="left" vertical="center" wrapText="1"/>
    </xf>
    <xf numFmtId="0" fontId="10" fillId="7" borderId="11" xfId="0" applyFont="1" applyFill="1" applyBorder="1" applyAlignment="1">
      <alignment horizontal="center" vertical="center" wrapText="1"/>
    </xf>
    <xf numFmtId="0" fontId="10" fillId="7" borderId="12" xfId="0" applyFont="1" applyFill="1" applyBorder="1" applyAlignment="1">
      <alignment horizontal="center" vertical="center" wrapText="1"/>
    </xf>
    <xf numFmtId="0" fontId="4" fillId="3" borderId="14" xfId="1" applyFont="1" applyFill="1" applyBorder="1" applyAlignment="1">
      <alignment horizontal="center" vertical="center" wrapText="1"/>
    </xf>
    <xf numFmtId="0" fontId="6" fillId="0" borderId="0" xfId="0" applyFont="1" applyAlignment="1">
      <alignment horizontal="left" vertical="center" wrapText="1"/>
    </xf>
    <xf numFmtId="2" fontId="1" fillId="9" borderId="12" xfId="1" applyNumberFormat="1" applyFill="1" applyBorder="1" applyAlignment="1" applyProtection="1">
      <alignment vertical="center"/>
      <protection locked="0"/>
    </xf>
    <xf numFmtId="2" fontId="1" fillId="9" borderId="11" xfId="1" applyNumberFormat="1" applyFill="1" applyBorder="1" applyAlignment="1" applyProtection="1">
      <alignment vertical="center"/>
      <protection locked="0"/>
    </xf>
    <xf numFmtId="2" fontId="1" fillId="0" borderId="3" xfId="1" applyNumberFormat="1" applyBorder="1" applyAlignment="1" applyProtection="1">
      <alignment horizontal="center" vertical="center"/>
      <protection locked="0"/>
    </xf>
    <xf numFmtId="0" fontId="27" fillId="8" borderId="10" xfId="1" applyFont="1" applyFill="1" applyBorder="1" applyAlignment="1">
      <alignment horizontal="center" vertical="center"/>
    </xf>
    <xf numFmtId="0" fontId="33" fillId="8" borderId="6" xfId="1" applyFont="1" applyFill="1" applyBorder="1" applyAlignment="1">
      <alignment horizontal="center" vertical="center"/>
    </xf>
    <xf numFmtId="0" fontId="33" fillId="8" borderId="14" xfId="1" applyFont="1" applyFill="1" applyBorder="1" applyAlignment="1">
      <alignment horizontal="center" vertical="center"/>
    </xf>
    <xf numFmtId="0" fontId="10" fillId="8" borderId="1" xfId="1" applyFont="1" applyFill="1" applyBorder="1" applyAlignment="1">
      <alignment horizontal="left" vertical="center" wrapText="1"/>
    </xf>
    <xf numFmtId="0" fontId="10" fillId="8" borderId="9" xfId="1" applyFont="1" applyFill="1" applyBorder="1" applyAlignment="1">
      <alignment horizontal="left" vertical="center" wrapText="1"/>
    </xf>
    <xf numFmtId="0" fontId="4" fillId="2" borderId="14" xfId="1" applyFont="1" applyFill="1" applyBorder="1" applyAlignment="1">
      <alignment horizontal="center" vertical="center" wrapText="1"/>
    </xf>
    <xf numFmtId="0" fontId="4" fillId="8" borderId="13" xfId="1" applyFont="1" applyFill="1" applyBorder="1" applyAlignment="1">
      <alignment horizontal="center" vertical="center"/>
    </xf>
    <xf numFmtId="0" fontId="4" fillId="8" borderId="14" xfId="1" applyFont="1" applyFill="1" applyBorder="1" applyAlignment="1">
      <alignment horizontal="center" vertical="center"/>
    </xf>
    <xf numFmtId="0" fontId="4" fillId="8" borderId="9" xfId="1" applyFont="1" applyFill="1" applyBorder="1" applyAlignment="1">
      <alignment horizontal="center" vertical="center"/>
    </xf>
    <xf numFmtId="0" fontId="6" fillId="0" borderId="0" xfId="1" applyFont="1" applyAlignment="1">
      <alignment horizontal="left" vertical="center" wrapText="1"/>
    </xf>
    <xf numFmtId="0" fontId="10" fillId="8" borderId="11" xfId="1" applyFont="1" applyFill="1" applyBorder="1" applyAlignment="1">
      <alignment horizontal="left" vertical="center" wrapText="1"/>
    </xf>
    <xf numFmtId="0" fontId="10" fillId="8" borderId="3" xfId="1" applyFont="1" applyFill="1" applyBorder="1" applyAlignment="1">
      <alignment horizontal="left" vertical="center" wrapText="1"/>
    </xf>
    <xf numFmtId="0" fontId="26" fillId="2" borderId="3" xfId="1" applyFont="1" applyFill="1" applyBorder="1" applyAlignment="1" applyProtection="1">
      <alignment horizontal="center" vertical="center" wrapText="1"/>
      <protection locked="0"/>
    </xf>
    <xf numFmtId="2" fontId="1" fillId="0" borderId="12" xfId="1" applyNumberFormat="1" applyBorder="1" applyAlignment="1" applyProtection="1">
      <alignment horizontal="center" vertical="center"/>
      <protection locked="0"/>
    </xf>
    <xf numFmtId="2" fontId="1" fillId="0" borderId="15" xfId="1" applyNumberFormat="1" applyBorder="1" applyAlignment="1" applyProtection="1">
      <alignment horizontal="center" vertical="center"/>
      <protection locked="0"/>
    </xf>
    <xf numFmtId="2" fontId="1" fillId="0" borderId="11" xfId="1" applyNumberFormat="1" applyBorder="1" applyAlignment="1" applyProtection="1">
      <alignment horizontal="center" vertical="center"/>
      <protection locked="0"/>
    </xf>
    <xf numFmtId="0" fontId="27" fillId="11" borderId="13" xfId="1" applyFont="1" applyFill="1" applyBorder="1" applyAlignment="1">
      <alignment horizontal="center" vertical="center"/>
    </xf>
    <xf numFmtId="0" fontId="27" fillId="11" borderId="8" xfId="1" applyFont="1" applyFill="1" applyBorder="1" applyAlignment="1">
      <alignment horizontal="center" vertical="center"/>
    </xf>
    <xf numFmtId="0" fontId="27" fillId="11" borderId="7" xfId="1" applyFont="1" applyFill="1" applyBorder="1" applyAlignment="1">
      <alignment horizontal="center" vertical="center"/>
    </xf>
    <xf numFmtId="0" fontId="10" fillId="11" borderId="0" xfId="1" applyFont="1" applyFill="1" applyAlignment="1">
      <alignment horizontal="left" vertical="center"/>
    </xf>
    <xf numFmtId="0" fontId="10" fillId="11" borderId="5" xfId="1" applyFont="1" applyFill="1" applyBorder="1" applyAlignment="1">
      <alignment horizontal="left" vertical="center"/>
    </xf>
    <xf numFmtId="0" fontId="4" fillId="3" borderId="3" xfId="1" applyFont="1" applyFill="1" applyBorder="1" applyAlignment="1">
      <alignment horizontal="center" vertical="center" wrapText="1"/>
    </xf>
    <xf numFmtId="0" fontId="7" fillId="11" borderId="6" xfId="1" applyFont="1" applyFill="1" applyBorder="1" applyAlignment="1">
      <alignment vertical="center"/>
    </xf>
    <xf numFmtId="0" fontId="7" fillId="11" borderId="4" xfId="1" applyFont="1" applyFill="1" applyBorder="1" applyAlignment="1">
      <alignment vertical="center"/>
    </xf>
    <xf numFmtId="0" fontId="36" fillId="0" borderId="0" xfId="0" applyFont="1" applyAlignment="1">
      <alignment horizontal="left" vertical="top" wrapText="1"/>
    </xf>
    <xf numFmtId="0" fontId="7" fillId="2" borderId="3" xfId="1" applyFont="1" applyFill="1" applyBorder="1" applyAlignment="1">
      <alignment horizontal="center" vertical="center" wrapText="1"/>
    </xf>
    <xf numFmtId="0" fontId="3" fillId="0" borderId="0" xfId="0" applyFont="1" applyAlignment="1">
      <alignment horizontal="left" vertical="top" wrapText="1"/>
    </xf>
    <xf numFmtId="0" fontId="25" fillId="9" borderId="3" xfId="3" applyFont="1" applyFill="1" applyBorder="1" applyAlignment="1" applyProtection="1">
      <alignment horizontal="center" vertical="center" wrapText="1"/>
      <protection locked="0"/>
    </xf>
    <xf numFmtId="0" fontId="26" fillId="0" borderId="3" xfId="3" applyFont="1" applyBorder="1" applyAlignment="1" applyProtection="1">
      <alignment horizontal="center" vertical="center" wrapText="1"/>
      <protection locked="0"/>
    </xf>
    <xf numFmtId="0" fontId="25" fillId="0" borderId="3" xfId="3" applyFont="1" applyBorder="1" applyAlignment="1" applyProtection="1">
      <alignment horizontal="center" vertical="center" wrapText="1"/>
      <protection locked="0"/>
    </xf>
    <xf numFmtId="0" fontId="3" fillId="0" borderId="0" xfId="1" applyFont="1" applyAlignment="1">
      <alignment horizontal="left" vertical="top" wrapText="1"/>
    </xf>
    <xf numFmtId="0" fontId="27" fillId="12" borderId="10" xfId="3" applyFont="1" applyFill="1" applyBorder="1" applyAlignment="1">
      <alignment horizontal="center" vertical="center"/>
    </xf>
    <xf numFmtId="0" fontId="4" fillId="12" borderId="6" xfId="3" applyFont="1" applyFill="1" applyBorder="1" applyAlignment="1">
      <alignment horizontal="center" vertical="center"/>
    </xf>
    <xf numFmtId="0" fontId="4" fillId="12" borderId="14" xfId="3" applyFont="1" applyFill="1" applyBorder="1" applyAlignment="1">
      <alignment horizontal="center" vertical="center"/>
    </xf>
    <xf numFmtId="0" fontId="4" fillId="12" borderId="9" xfId="3" applyFont="1" applyFill="1" applyBorder="1" applyAlignment="1">
      <alignment horizontal="center" vertical="center"/>
    </xf>
    <xf numFmtId="0" fontId="10" fillId="12" borderId="1" xfId="3" applyFont="1" applyFill="1" applyBorder="1" applyAlignment="1">
      <alignment horizontal="left" vertical="center" wrapText="1"/>
    </xf>
    <xf numFmtId="0" fontId="10" fillId="12" borderId="9" xfId="3" applyFont="1" applyFill="1" applyBorder="1" applyAlignment="1">
      <alignment horizontal="left" vertical="center" wrapText="1"/>
    </xf>
    <xf numFmtId="0" fontId="4" fillId="2" borderId="3" xfId="3" applyFont="1" applyFill="1" applyBorder="1" applyAlignment="1">
      <alignment horizontal="center" vertical="center" wrapText="1"/>
    </xf>
    <xf numFmtId="0" fontId="26" fillId="0" borderId="12" xfId="3" applyFont="1" applyBorder="1" applyAlignment="1" applyProtection="1">
      <alignment horizontal="center" vertical="center" wrapText="1"/>
      <protection locked="0"/>
    </xf>
    <xf numFmtId="0" fontId="26" fillId="0" borderId="15" xfId="3" applyFont="1" applyBorder="1" applyAlignment="1" applyProtection="1">
      <alignment horizontal="center" vertical="center" wrapText="1"/>
      <protection locked="0"/>
    </xf>
    <xf numFmtId="0" fontId="26" fillId="0" borderId="11" xfId="3" applyFont="1" applyBorder="1" applyAlignment="1" applyProtection="1">
      <alignment horizontal="center" vertical="center" wrapText="1"/>
      <protection locked="0"/>
    </xf>
    <xf numFmtId="0" fontId="10" fillId="12" borderId="11" xfId="3" applyFont="1" applyFill="1" applyBorder="1" applyAlignment="1">
      <alignment horizontal="left" vertical="center" wrapText="1"/>
    </xf>
    <xf numFmtId="0" fontId="10" fillId="12" borderId="3" xfId="3" applyFont="1" applyFill="1" applyBorder="1" applyAlignment="1">
      <alignment horizontal="left" vertical="center" wrapText="1"/>
    </xf>
    <xf numFmtId="0" fontId="4" fillId="2" borderId="12" xfId="3" applyFont="1" applyFill="1" applyBorder="1" applyAlignment="1">
      <alignment horizontal="center" vertical="center" wrapText="1"/>
    </xf>
    <xf numFmtId="0" fontId="4" fillId="2" borderId="15" xfId="3" applyFont="1" applyFill="1" applyBorder="1" applyAlignment="1">
      <alignment horizontal="center" vertical="center" wrapText="1"/>
    </xf>
    <xf numFmtId="0" fontId="4" fillId="2" borderId="11" xfId="3" applyFont="1" applyFill="1" applyBorder="1" applyAlignment="1">
      <alignment horizontal="center" vertical="center" wrapText="1"/>
    </xf>
    <xf numFmtId="0" fontId="25" fillId="0" borderId="12" xfId="3" applyFont="1" applyBorder="1" applyAlignment="1" applyProtection="1">
      <alignment horizontal="center" vertical="center" wrapText="1"/>
      <protection locked="0"/>
    </xf>
    <xf numFmtId="0" fontId="25" fillId="0" borderId="15" xfId="3" applyFont="1" applyBorder="1" applyAlignment="1" applyProtection="1">
      <alignment horizontal="center" vertical="center" wrapText="1"/>
      <protection locked="0"/>
    </xf>
    <xf numFmtId="0" fontId="25" fillId="0" borderId="11" xfId="3" applyFont="1" applyBorder="1" applyAlignment="1" applyProtection="1">
      <alignment horizontal="center" vertical="center" wrapText="1"/>
      <protection locked="0"/>
    </xf>
    <xf numFmtId="0" fontId="4" fillId="0" borderId="3" xfId="3" applyFont="1" applyBorder="1" applyAlignment="1" applyProtection="1">
      <alignment horizontal="center" vertical="center" wrapText="1"/>
      <protection locked="0"/>
    </xf>
    <xf numFmtId="0" fontId="41" fillId="0" borderId="0" xfId="1" applyFont="1" applyAlignment="1">
      <alignment horizontal="center"/>
    </xf>
    <xf numFmtId="0" fontId="1" fillId="0" borderId="17" xfId="1" applyBorder="1" applyAlignment="1">
      <alignment vertical="center" wrapText="1"/>
    </xf>
    <xf numFmtId="0" fontId="1" fillId="0" borderId="20" xfId="1" applyBorder="1" applyAlignment="1">
      <alignment vertical="center" wrapText="1"/>
    </xf>
    <xf numFmtId="0" fontId="1" fillId="0" borderId="21" xfId="1" applyBorder="1" applyAlignment="1">
      <alignment vertical="center" wrapText="1"/>
    </xf>
    <xf numFmtId="0" fontId="1" fillId="0" borderId="17" xfId="1" applyBorder="1" applyAlignment="1">
      <alignment horizontal="right" vertical="center" wrapText="1"/>
    </xf>
    <xf numFmtId="0" fontId="1" fillId="0" borderId="20" xfId="1" applyBorder="1" applyAlignment="1">
      <alignment horizontal="right" vertical="center" wrapText="1"/>
    </xf>
    <xf numFmtId="0" fontId="4" fillId="0" borderId="0" xfId="1" applyFont="1"/>
    <xf numFmtId="0" fontId="1" fillId="0" borderId="0" xfId="1"/>
    <xf numFmtId="0" fontId="83" fillId="36" borderId="0" xfId="4" applyFont="1" applyFill="1" applyAlignment="1">
      <alignment horizontal="center" wrapText="1"/>
    </xf>
    <xf numFmtId="0" fontId="83" fillId="36" borderId="0" xfId="4" applyFont="1" applyFill="1" applyAlignment="1">
      <alignment horizontal="center" vertical="center" wrapText="1"/>
    </xf>
    <xf numFmtId="0" fontId="64" fillId="38" borderId="0" xfId="4" applyFont="1" applyFill="1" applyAlignment="1">
      <alignment horizontal="left" vertical="top" wrapText="1"/>
    </xf>
    <xf numFmtId="0" fontId="42" fillId="38" borderId="0" xfId="4" applyFill="1" applyAlignment="1">
      <alignment horizontal="left" vertical="top" wrapText="1"/>
    </xf>
    <xf numFmtId="0" fontId="83" fillId="37" borderId="125" xfId="4" applyFont="1" applyFill="1" applyBorder="1" applyAlignment="1">
      <alignment horizontal="center" vertical="center" wrapText="1"/>
    </xf>
    <xf numFmtId="0" fontId="83" fillId="38" borderId="0" xfId="4" applyFont="1" applyFill="1" applyAlignment="1">
      <alignment horizontal="center" vertical="center" wrapText="1"/>
    </xf>
    <xf numFmtId="0" fontId="64" fillId="36" borderId="0" xfId="4" applyFont="1" applyFill="1" applyAlignment="1">
      <alignment wrapText="1"/>
    </xf>
    <xf numFmtId="0" fontId="64" fillId="6" borderId="0" xfId="4" applyFont="1" applyFill="1" applyAlignment="1">
      <alignment wrapText="1"/>
    </xf>
    <xf numFmtId="0" fontId="64" fillId="38" borderId="0" xfId="4" applyFont="1" applyFill="1" applyAlignment="1">
      <alignment horizontal="left" vertical="center" wrapText="1"/>
    </xf>
    <xf numFmtId="0" fontId="42" fillId="38" borderId="0" xfId="4" applyFill="1" applyAlignment="1">
      <alignment horizontal="left" vertical="center" wrapText="1"/>
    </xf>
  </cellXfs>
  <cellStyles count="8">
    <cellStyle name="Normal" xfId="0" builtinId="0"/>
    <cellStyle name="Normal 2" xfId="4" xr:uid="{618E406A-7C03-4CCB-9197-88A11E493C09}"/>
    <cellStyle name="Normal 2 2" xfId="6" xr:uid="{54B406AE-F6C5-4809-ACA6-3FEA719C1BDE}"/>
    <cellStyle name="Normal 3" xfId="1" xr:uid="{A47EF5C5-1703-417F-BDA0-BCE39EBEAFA7}"/>
    <cellStyle name="Normal 3 2" xfId="3" xr:uid="{EFAB72AB-2C04-4C58-85A5-92170608859F}"/>
    <cellStyle name="Normal 4" xfId="5" xr:uid="{711FBED2-D410-4525-9813-6218811D5839}"/>
    <cellStyle name="Normal 6" xfId="7" xr:uid="{E14EBAA4-29F2-48E1-9C04-448F1EDD2929}"/>
    <cellStyle name="Percent 2" xfId="2" xr:uid="{862267E2-A65F-4284-B85C-AC1959B3C76C}"/>
  </cellStyles>
  <dxfs count="97">
    <dxf>
      <fill>
        <patternFill>
          <bgColor rgb="FF00B0F0"/>
        </patternFill>
      </fill>
    </dxf>
    <dxf>
      <fill>
        <patternFill>
          <bgColor rgb="FF00B0F0"/>
        </patternFill>
      </fill>
    </dxf>
    <dxf>
      <fill>
        <patternFill>
          <bgColor rgb="FF00B0F0"/>
        </patternFill>
      </fill>
    </dxf>
    <dxf>
      <fill>
        <patternFill>
          <bgColor rgb="FF00B0F0"/>
        </patternFill>
      </fill>
    </dxf>
    <dxf>
      <font>
        <color auto="1"/>
      </font>
      <fill>
        <patternFill>
          <bgColor rgb="FFFFFF00"/>
        </patternFill>
      </fill>
    </dxf>
    <dxf>
      <fill>
        <patternFill>
          <bgColor rgb="FF00B0F0"/>
        </patternFill>
      </fill>
    </dxf>
    <dxf>
      <font>
        <color auto="1"/>
      </font>
      <fill>
        <patternFill>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auto="1"/>
      </font>
      <fill>
        <patternFill>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auto="1"/>
      </font>
      <fill>
        <patternFill>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0000"/>
        </patternFill>
      </fill>
    </dxf>
    <dxf>
      <fill>
        <patternFill>
          <bgColor rgb="FFFF0000"/>
        </patternFill>
      </fill>
    </dxf>
    <dxf>
      <fill>
        <patternFill>
          <bgColor rgb="FFFFE699"/>
        </patternFill>
      </fill>
    </dxf>
    <dxf>
      <fill>
        <patternFill>
          <bgColor rgb="FF00B0F0"/>
        </patternFill>
      </fill>
    </dxf>
    <dxf>
      <fill>
        <patternFill>
          <bgColor rgb="FF00B0F0"/>
        </patternFill>
      </fill>
    </dxf>
    <dxf>
      <fill>
        <patternFill>
          <bgColor rgb="FF00B0F0"/>
        </patternFill>
      </fill>
    </dxf>
    <dxf>
      <fill>
        <patternFill>
          <bgColor rgb="FFFF0000"/>
        </patternFill>
      </fill>
    </dxf>
    <dxf>
      <fill>
        <patternFill>
          <bgColor rgb="FFFF0000"/>
        </patternFill>
      </fill>
    </dxf>
    <dxf>
      <fill>
        <patternFill>
          <bgColor rgb="FFFFE699"/>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auto="1"/>
      </font>
      <fill>
        <patternFill>
          <bgColor rgb="FFFFFF00"/>
        </patternFill>
      </fill>
    </dxf>
    <dxf>
      <fill>
        <patternFill>
          <bgColor rgb="FFFF0000"/>
        </patternFill>
      </fill>
    </dxf>
    <dxf>
      <border>
        <left style="thin">
          <color auto="1"/>
        </left>
        <right style="thin">
          <color auto="1"/>
        </right>
        <top style="thin">
          <color auto="1"/>
        </top>
        <bottom style="thin">
          <color auto="1"/>
        </bottom>
      </border>
    </dxf>
    <dxf>
      <fill>
        <patternFill>
          <bgColor rgb="FFFFC000"/>
        </patternFill>
      </fill>
    </dxf>
    <dxf>
      <border>
        <left style="thin">
          <color auto="1"/>
        </left>
        <right style="thin">
          <color auto="1"/>
        </right>
        <top style="thin">
          <color auto="1"/>
        </top>
        <bottom style="thin">
          <color auto="1"/>
        </bottom>
      </border>
    </dxf>
    <dxf>
      <font>
        <b/>
        <i val="0"/>
        <color rgb="FFFF0000"/>
      </font>
    </dxf>
    <dxf>
      <font>
        <color rgb="FFFF0000"/>
      </font>
    </dxf>
    <dxf>
      <font>
        <b/>
        <i val="0"/>
        <color rgb="FFFF0000"/>
      </font>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right style="thin">
          <color theme="9"/>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op>
        <bottom/>
        <vertical/>
        <horizontal/>
      </border>
    </dxf>
    <dxf>
      <font>
        <b/>
        <i val="0"/>
        <strike val="0"/>
        <condense val="0"/>
        <extend val="0"/>
        <outline val="0"/>
        <shadow val="0"/>
        <u val="none"/>
        <vertAlign val="baseline"/>
        <sz val="11"/>
        <color theme="1"/>
        <name val="Calibri"/>
        <family val="2"/>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op>
        <bottom style="thin">
          <color theme="9"/>
        </bottom>
        <vertical/>
        <horizontal/>
      </border>
    </dxf>
    <dxf>
      <font>
        <b/>
        <i val="0"/>
        <strike val="0"/>
        <condense val="0"/>
        <extend val="0"/>
        <outline val="0"/>
        <shadow val="0"/>
        <u val="none"/>
        <vertAlign val="baseline"/>
        <sz val="11"/>
        <color theme="1"/>
        <name val="Calibri"/>
        <family val="2"/>
        <scheme val="minor"/>
      </font>
      <border diagonalUp="0" diagonalDown="0">
        <left style="thin">
          <color theme="9"/>
        </left>
        <right/>
        <top style="thin">
          <color theme="9"/>
        </top>
        <bottom style="thin">
          <color theme="9"/>
        </bottom>
        <vertical/>
        <horizontal/>
      </border>
    </dxf>
    <dxf>
      <border outline="0">
        <bottom style="thin">
          <color theme="9"/>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129608</xdr:colOff>
      <xdr:row>0</xdr:row>
      <xdr:rowOff>529395</xdr:rowOff>
    </xdr:from>
    <xdr:to>
      <xdr:col>11</xdr:col>
      <xdr:colOff>778773</xdr:colOff>
      <xdr:row>4</xdr:row>
      <xdr:rowOff>313428</xdr:rowOff>
    </xdr:to>
    <xdr:pic>
      <xdr:nvPicPr>
        <xdr:cNvPr id="2" name="Picture 1" descr="C:\Users\msparks\AppData\Local\Microsoft\Windows\Temporary Internet Files\Content.Outlook\11JAEGEV\IWBI_Logo_graygradient.jpg">
          <a:extLst>
            <a:ext uri="{FF2B5EF4-FFF2-40B4-BE49-F238E27FC236}">
              <a16:creationId xmlns:a16="http://schemas.microsoft.com/office/drawing/2014/main" id="{E8302C99-AD36-4CD0-A6AD-2CF2CC9D7A9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60683" y="529395"/>
          <a:ext cx="2735140" cy="1689033"/>
        </a:xfrm>
        <a:prstGeom prst="rect">
          <a:avLst/>
        </a:prstGeom>
        <a:noFill/>
        <a:ln>
          <a:noFill/>
        </a:ln>
      </xdr:spPr>
    </xdr:pic>
    <xdr:clientData/>
  </xdr:twoCellAnchor>
  <xdr:twoCellAnchor editAs="oneCell">
    <xdr:from>
      <xdr:col>10</xdr:col>
      <xdr:colOff>54157</xdr:colOff>
      <xdr:row>4</xdr:row>
      <xdr:rowOff>321403</xdr:rowOff>
    </xdr:from>
    <xdr:to>
      <xdr:col>11</xdr:col>
      <xdr:colOff>1218893</xdr:colOff>
      <xdr:row>8</xdr:row>
      <xdr:rowOff>649</xdr:rowOff>
    </xdr:to>
    <xdr:pic>
      <xdr:nvPicPr>
        <xdr:cNvPr id="3" name="Picture 2">
          <a:extLst>
            <a:ext uri="{FF2B5EF4-FFF2-40B4-BE49-F238E27FC236}">
              <a16:creationId xmlns:a16="http://schemas.microsoft.com/office/drawing/2014/main" id="{55638B36-F963-4DC6-B1A1-105A3B04AA7C}"/>
            </a:ext>
          </a:extLst>
        </xdr:cNvPr>
        <xdr:cNvPicPr>
          <a:picLocks noChangeAspect="1"/>
        </xdr:cNvPicPr>
      </xdr:nvPicPr>
      <xdr:blipFill>
        <a:blip xmlns:r="http://schemas.openxmlformats.org/officeDocument/2006/relationships" r:embed="rId2"/>
        <a:stretch>
          <a:fillRect/>
        </a:stretch>
      </xdr:blipFill>
      <xdr:spPr>
        <a:xfrm>
          <a:off x="20085232" y="2226403"/>
          <a:ext cx="3250711" cy="120324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A90E45-BFBF-410A-9E8E-02E34C07BACA}" name="WELLProgram" displayName="WELLProgram" ref="A2:A9" totalsRowShown="0" headerRowDxfId="96" dataDxfId="95" tableBorderDxfId="94">
  <autoFilter ref="A2:A9" xr:uid="{C366759B-283F-4793-86B5-89E9EB399A69}"/>
  <tableColumns count="1">
    <tableColumn id="4" xr3:uid="{E47AF783-A175-4114-8178-61B4BED88D77}" name="WELLProgram" dataDxfId="9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D443E7-EC38-4A83-836A-19C2C21B4E8D}" name="ProjectTypes" displayName="ProjectTypes" ref="A12:B14" totalsRowShown="0">
  <autoFilter ref="A12:B14" xr:uid="{24A8D9EB-C8E1-482C-9201-47015E11062E}"/>
  <tableColumns count="2">
    <tableColumn id="1" xr3:uid="{519F8F31-04FE-411C-BE68-C8B8317136B7}" name="ProjectTypes"/>
    <tableColumn id="2" xr3:uid="{EDF20869-4183-4865-B81B-3812FD2BDBED}" name="Typ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5DDEF2-6987-4179-8AD0-5DD9B35D1116}" name="ProjectUse" displayName="ProjectUse" ref="A21:C32" totalsRowShown="0">
  <autoFilter ref="A21:C32" xr:uid="{9DCEA846-4CF9-42BA-ABC6-1914CD246CDC}"/>
  <tableColumns count="3">
    <tableColumn id="1" xr3:uid="{78FA7634-62B9-4637-9B89-08A35E6A3702}" name="ProjectUse"/>
    <tableColumn id="2" xr3:uid="{EC1EA2E6-ACDA-4F61-94D9-EE6DDC45DAB5}" name="Column1"/>
    <tableColumn id="3" xr3:uid="{B1D589C0-3162-4779-B59D-0E3FEF49BA93}" name="Column2"/>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EE0477-112B-44DC-A2ED-A6312F3D2C5A}" name="Table10" displayName="Table10" ref="A16:B19" totalsRowShown="0">
  <autoFilter ref="A16:B19" xr:uid="{300B01F6-E2C8-4947-B1EB-2BE48DF4B503}"/>
  <tableColumns count="2">
    <tableColumn id="1" xr3:uid="{BAEC1601-BA9E-4EE7-8300-262B17F89D83}" name="ConstructionType"/>
    <tableColumn id="2" xr3:uid="{AA3D40C5-3B94-454C-A327-D5F066CB4A76}" name="Column1"/>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94D0CC-6A7F-4774-9E67-B2ED4A988FF0}" name="Lightv2_Option2" displayName="Lightv2_Option2" ref="A35:C42" totalsRowShown="0">
  <autoFilter ref="A35:C42" xr:uid="{94637CF6-41DB-4B90-BEA8-4D00B850F2F6}"/>
  <tableColumns count="3">
    <tableColumn id="1" xr3:uid="{B277B2DB-BD10-4DAC-A9A5-3EF0EB39E35B}" name="Space"/>
    <tableColumn id="2" xr3:uid="{94543ED3-2B3D-42DC-9EAF-5CFF044494F0}" name="fc"/>
    <tableColumn id="3" xr3:uid="{E2273742-370D-4593-AD9E-67CB6B56A8AB}" name="Lux"/>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8A3CB8-B8C2-4AA0-8887-CC1D7157479D}" name="AirLabsVersionMap" displayName="AirLabsVersionMap" ref="A46:B66" totalsRowShown="0" headerRowDxfId="92">
  <autoFilter ref="A46:B66" xr:uid="{CBDDFB98-03C9-4CBE-8CBC-A8330797ABB5}"/>
  <tableColumns count="2">
    <tableColumn id="1" xr3:uid="{3BA4C85E-B733-4C22-834C-E1591A2016B5}" name="v2 pilot"/>
    <tableColumn id="2" xr3:uid="{67C616D2-DD02-4A99-AF2A-B198A7A9E260}" name="v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B806B5-989E-4BDF-A42A-83DE1060CB7E}" name="v2g_to_WPR" displayName="v2g_to_WPR" ref="A68:E86" totalsRowShown="0">
  <autoFilter ref="A68:E86" xr:uid="{C435C999-3969-44E9-BC0B-8361E8AEF1FD}"/>
  <tableColumns count="5">
    <tableColumn id="1" xr3:uid="{A7B47F85-74E7-4FA7-8B02-9725CBBBA808}" name="v2gPart" dataDxfId="91"/>
    <tableColumn id="2" xr3:uid="{29FEC8FD-5DAC-4E0C-AF54-0D4E3B39659D}" name="WPRPart" dataDxfId="90"/>
    <tableColumn id="3" xr3:uid="{7FE7169F-A073-4457-9269-5142AE42365D}" name="v2gName"/>
    <tableColumn id="4" xr3:uid="{750903B3-05BC-4333-957A-3EEC1F3329F7}" name="WPRName"/>
    <tableColumn id="5" xr3:uid="{9D8DEC22-8086-43B7-A843-2997C22E8A8A}" name="Number"/>
  </tableColumns>
  <tableStyleInfo name="TableStyleLight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A9B405-3CD6-4A71-A727-91B54271B3F1}" name="v2pPartList" displayName="v2pPartList" ref="H10:I34" totalsRowShown="0" tableBorderDxfId="89">
  <autoFilter ref="H10:I34" xr:uid="{FB1C14B4-E26E-4656-A161-A0F26CF4F7A0}"/>
  <tableColumns count="2">
    <tableColumn id="1" xr3:uid="{B77B614A-D108-4A43-8004-403193D45127}" name="v2pPart" dataDxfId="88"/>
    <tableColumn id="2" xr3:uid="{CA27158E-A415-4237-8BEE-595B18824410}" name="v2pName" dataDxfId="87"/>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3E891C1-1661-4B9D-B918-FDAFBDC3102B}" name="v2gPartList" displayName="v2gPartList" ref="L10:O28" totalsRowShown="0">
  <autoFilter ref="L10:O28" xr:uid="{35004721-4E7E-475A-8E98-4E34324F4226}"/>
  <tableColumns count="4">
    <tableColumn id="1" xr3:uid="{9643C255-036E-42AA-BFA5-1D7C180B4A89}" name="HelperColumn">
      <calculatedColumnFormula>M11&amp;N11</calculatedColumnFormula>
    </tableColumn>
    <tableColumn id="2" xr3:uid="{C458EA4D-BD25-4E01-856B-0337BC6634FE}" name="v2gPart" dataDxfId="86"/>
    <tableColumn id="3" xr3:uid="{1F24D26F-1639-4F7E-86B5-BA8A44D7AF84}" name="PartOption" dataDxfId="85"/>
    <tableColumn id="4" xr3:uid="{BD2AB8D5-5934-405E-8CA2-639645C76A7F}" name="v2gName" dataDxfId="84"/>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DB2B3C5-4592-4159-A4E2-EED9E8F8AF77}" name="WPRPartList" displayName="WPRPartList" ref="L34:O52" totalsRowShown="0">
  <autoFilter ref="L34:O52" xr:uid="{BA057FC8-8849-463A-B03F-C2C644DA82F9}"/>
  <tableColumns count="4">
    <tableColumn id="1" xr3:uid="{802084B6-EAF3-43B0-B376-3265CE7EB302}" name="HelperColumn">
      <calculatedColumnFormula>M35&amp;N35</calculatedColumnFormula>
    </tableColumn>
    <tableColumn id="2" xr3:uid="{D981968E-3FB9-4DE7-B0F1-A1687ADCF169}" name="WPRPart"/>
    <tableColumn id="3" xr3:uid="{8DE9BC76-4C6C-4E30-BE12-D7291C1177BA}" name="PartOption" dataDxfId="83"/>
    <tableColumn id="4" xr3:uid="{F263A02A-F06B-4E09-9B34-BE05BD837C0C}" name="WPRName" dataDxfId="82"/>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E924B75-4922-4828-8C3A-B54D6554EF5C}" name="v2gAirThresholds" displayName="v2gAirThresholds" ref="A89:I112" totalsRowShown="0">
  <autoFilter ref="A89:I112" xr:uid="{84F51710-772E-481F-AFA4-654C8DB1FD12}"/>
  <tableColumns count="9">
    <tableColumn id="1" xr3:uid="{384F4BD1-4B8A-46BC-A216-9F2C2C05796B}" name="MustbeInOrder" dataDxfId="81"/>
    <tableColumn id="2" xr3:uid="{2223A3EA-1E97-4542-927F-F511558A0351}" name="Part"/>
    <tableColumn id="3" xr3:uid="{5ADA1436-5565-4334-90C2-0280FF970E72}" name="Feature"/>
    <tableColumn id="6" xr3:uid="{A5CFA735-F938-4808-BF0E-1B4524E044DD}" name="Contaminant"/>
    <tableColumn id="7" xr3:uid="{9757E5BE-5FFB-4A4C-BA24-A196A78C444D}" name="Max" dataDxfId="80"/>
    <tableColumn id="8" xr3:uid="{39E22F7A-B905-498E-9A6A-A67AA578A515}" name="Units" dataDxfId="79"/>
    <tableColumn id="9" xr3:uid="{F17AA51C-6B8D-4386-A621-BB29DD3808A1}" name="Percent Tolerance" dataDxfId="78"/>
    <tableColumn id="10" xr3:uid="{B9E493C1-632D-4CBB-B685-9ACC5FEA38BF}" name="2nd units max" dataDxfId="77"/>
    <tableColumn id="11" xr3:uid="{7FF54451-662B-4AAC-8078-88A63A72D97F}" name="2nd units" dataDxfId="76"/>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63B8BFF-E836-4AA7-9B06-1A472EF2A619}" name="v2gwater2pest" displayName="v2gwater2pest" ref="A116:D124" totalsRowShown="0">
  <autoFilter ref="A116:D124" xr:uid="{9985B84A-4908-43AE-ACF9-C101C32ED0F9}"/>
  <tableColumns count="4">
    <tableColumn id="1" xr3:uid="{8736B977-73C4-4DFD-9D16-8CE0143BD34F}" name="2 Of these" dataDxfId="75"/>
    <tableColumn id="2" xr3:uid="{1C8FD014-E373-42C5-AC77-281A0EF65B2A}" name="Display">
      <calculatedColumnFormula>_xlfn.CONCAT(A117,"
",D117)</calculatedColumnFormula>
    </tableColumn>
    <tableColumn id="3" xr3:uid="{BD6E93FA-6080-4486-AFB5-CFAD96851954}" name="Limits"/>
    <tableColumn id="4" xr3:uid="{9C27C10C-51DE-4E47-B643-C6CF28A79C0C}" name="Units"/>
  </tableColumns>
  <tableStyleInfo name="TableStyleMedium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8FCBC68-2809-44A3-9279-78C84C37DF39}" name="v2gwater3organic" displayName="v2gwater3organic" ref="A126:D137" totalsRowShown="0">
  <autoFilter ref="A126:D137" xr:uid="{67AC2C6C-AA01-4C77-B49F-B4441FFE60EB}"/>
  <tableColumns count="4">
    <tableColumn id="1" xr3:uid="{B5F241ED-D4F7-493A-B29B-0A7075AC7FAC}" name="3 of these" dataDxfId="74"/>
    <tableColumn id="2" xr3:uid="{CECD2545-0044-4C34-8A98-3A18DEBC2602}" name="Display"/>
    <tableColumn id="3" xr3:uid="{2F7E2BE9-8E24-4FD3-8C0F-12B397733B7C}" name="Limits"/>
    <tableColumn id="4" xr3:uid="{E78DB337-4C2B-402A-8E33-B4F41B788484}" name="Units"/>
  </tableColumns>
  <tableStyleInfo name="TableStyleMedium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29A0133-EF16-4B60-9D92-904CBE17A2F0}" name="v2pAirThresholds" displayName="v2pAirThresholds" ref="A149:I186" totalsRowShown="0">
  <autoFilter ref="A149:I186" xr:uid="{8DF9D239-59CC-4B37-ADD8-AB988DF39715}"/>
  <tableColumns count="9">
    <tableColumn id="1" xr3:uid="{7A036463-6348-467A-AC52-3BE863C7DEAC}" name="MustbeInOrder" dataDxfId="73"/>
    <tableColumn id="2" xr3:uid="{60C7FF99-F768-4FE2-B64F-7E4124188432}" name="Part"/>
    <tableColumn id="3" xr3:uid="{29041BD0-5A09-48A1-B8D4-6F47F8795933}" name="Feature"/>
    <tableColumn id="6" xr3:uid="{D366AFBC-B0D1-4E19-8159-10644885DED3}" name="Contaminant"/>
    <tableColumn id="7" xr3:uid="{26BE4811-0FEA-4540-96C8-17D8B0F7CF31}" name="Max" dataDxfId="72"/>
    <tableColumn id="8" xr3:uid="{4C89BF08-A1BE-4D60-B085-B2DC6220630A}" name="Units" dataDxfId="71"/>
    <tableColumn id="9" xr3:uid="{B21B8DF1-5981-462C-9234-A5644F8AFD1A}" name="Percent Tolerance" dataDxfId="70"/>
    <tableColumn id="10" xr3:uid="{124741AE-8E06-4FBE-BD3B-78FC19951DA0}" name="2nd units max" dataDxfId="69"/>
    <tableColumn id="11" xr3:uid="{BB064A02-5A60-4556-B63C-A41EEC6404A8}" name="2nd units" dataDxfId="68"/>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9AB68AE-03AC-403E-96DE-68054E079CE1}" name="v2pA05PM_Tiers" displayName="v2pA05PM_Tiers" ref="M106:P108" totalsRowShown="0" headerRowDxfId="67" tableBorderDxfId="66" headerRowCellStyle="Normal 3">
  <autoFilter ref="M106:P108" xr:uid="{9ADD60B4-CFFB-4041-BDFD-B1A86504948C}"/>
  <tableColumns count="4">
    <tableColumn id="1" xr3:uid="{ED0914BC-DECA-42F4-9814-7381B4DF8667}" name="PM2_5Tier2" dataDxfId="65" dataCellStyle="Normal 3"/>
    <tableColumn id="2" xr3:uid="{12B49A61-B8E6-48EF-BE9A-ED38B5DC82D4}" name="PM2_5Tier1" dataDxfId="64" dataCellStyle="Normal 3"/>
    <tableColumn id="3" xr3:uid="{CCCECF13-F866-4895-8A1A-5ECD5BAF9C57}" name="PM10Tier2" dataDxfId="63" dataCellStyle="Normal 3"/>
    <tableColumn id="4" xr3:uid="{EBE77206-89EA-40E2-B9C9-07DE391F5AFC}" name="PM10Tier1" dataDxfId="62" dataCellStyle="Normal 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58234F7-EB77-4CC9-9E7B-F72BB17A6854}" name="EMLThresholdsv2p" displayName="EMLThresholdsv2p" ref="A190:G194" totalsRowShown="0">
  <autoFilter ref="A190:G194" xr:uid="{66DE45EA-8A0C-4FA6-B047-C223021597E5}"/>
  <tableColumns count="7">
    <tableColumn id="1" xr3:uid="{A1EF677A-2A76-48D8-9556-2A6CACE794A5}" name="DropDownList"/>
    <tableColumn id="2" xr3:uid="{6A73620E-C487-4068-AA7A-8B508A308923}" name="Thresholds"/>
    <tableColumn id="3" xr3:uid="{C2171BEF-0DFA-4BAD-8DED-671B9A4E349F}" name="Points"/>
    <tableColumn id="4" xr3:uid="{859B015B-D57F-4EE8-921C-4A75659DD2DF}" name="PointsCore"/>
    <tableColumn id="6" xr3:uid="{72172A1A-D534-4722-A8FB-85AE73C49EB4}" name="Attempting" dataDxfId="61">
      <calculatedColumnFormula>IF(IFERROR(SEARCH(EMLThresholdsv2p[[#This Row],[Thresholds]],v2p_Light!$C$181),0)&gt;0,EMLThresholdsv2p[[#This Row],[Thresholds]],0)</calculatedColumnFormula>
    </tableColumn>
    <tableColumn id="7" xr3:uid="{2FC99A62-F9A9-4E9E-89EC-257BB657DFA3}" name="WithTolerance" dataDxfId="60">
      <calculatedColumnFormula>v2p_Light!$E$181*1.05</calculatedColumnFormula>
    </tableColumn>
    <tableColumn id="8" xr3:uid="{73F239EB-5175-44AD-B656-4AD601EBA9E5}" name="Points Available" dataDxfId="59">
      <calculatedColumnFormula array="1">IF(EMLThresholdsv2p[[#This Row],[Attempting]]&gt;0,IF(IsTypeCore="Yes",EMLThresholdsv2p[[#This Row],[PointsCore]],EMLThresholdsv2p[[#This Row],[Points]]),"")</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DE9AF-5CD1-48C7-9181-EBCCFBD9473F}">
  <sheetPr>
    <pageSetUpPr fitToPage="1"/>
  </sheetPr>
  <dimension ref="A1:X1054"/>
  <sheetViews>
    <sheetView showWhiteSpace="0" view="pageBreakPreview" topLeftCell="B1" zoomScale="55" zoomScaleNormal="55" zoomScaleSheetLayoutView="55" zoomScalePageLayoutView="40" workbookViewId="0">
      <selection activeCell="D4" sqref="D4:F4"/>
    </sheetView>
  </sheetViews>
  <sheetFormatPr defaultColWidth="14.44140625" defaultRowHeight="12"/>
  <cols>
    <col min="1" max="1" width="5.88671875" style="285" hidden="1" customWidth="1"/>
    <col min="2" max="2" width="12.6640625" style="287" customWidth="1"/>
    <col min="3" max="3" width="18.6640625" style="520" customWidth="1"/>
    <col min="4" max="4" width="11.6640625" style="285" customWidth="1"/>
    <col min="5" max="5" width="65.6640625" style="521" customWidth="1"/>
    <col min="6" max="6" width="102.6640625" style="523" customWidth="1"/>
    <col min="7" max="7" width="17.33203125" style="285" hidden="1" customWidth="1"/>
    <col min="8" max="8" width="7.109375" style="285" hidden="1" customWidth="1"/>
    <col min="9" max="9" width="20.109375" style="285" customWidth="1"/>
    <col min="10" max="10" width="68.6640625" style="317" customWidth="1"/>
    <col min="11" max="12" width="31.33203125" style="524" customWidth="1"/>
    <col min="13" max="13" width="12.6640625" style="287" customWidth="1"/>
    <col min="14" max="16" width="14.44140625" style="287"/>
    <col min="17" max="24" width="14.44140625" style="287" hidden="1" customWidth="1"/>
    <col min="25" max="16384" width="14.44140625" style="287"/>
  </cols>
  <sheetData>
    <row r="1" spans="1:23" ht="60" customHeight="1" thickBot="1">
      <c r="B1" s="286"/>
      <c r="C1" s="759" t="s">
        <v>531</v>
      </c>
      <c r="D1" s="759"/>
      <c r="E1" s="759"/>
      <c r="F1" s="759"/>
      <c r="G1" s="759"/>
      <c r="H1" s="759"/>
      <c r="I1" s="759"/>
      <c r="J1" s="759"/>
      <c r="K1" s="759"/>
      <c r="L1" s="759"/>
      <c r="N1" s="288"/>
    </row>
    <row r="2" spans="1:23" ht="30" customHeight="1">
      <c r="B2" s="286"/>
      <c r="C2" s="289"/>
      <c r="D2" s="760" t="s">
        <v>730</v>
      </c>
      <c r="E2" s="760"/>
      <c r="F2" s="760"/>
      <c r="G2" s="290"/>
      <c r="H2" s="290"/>
      <c r="I2" s="761">
        <f>SUM(U11:U290)</f>
        <v>81</v>
      </c>
      <c r="J2" s="763" t="str">
        <f>VLOOKUP($D$4,Lists!$B$1:$E$19,2,FALSE)</f>
        <v>Achieved</v>
      </c>
      <c r="K2" s="291"/>
      <c r="L2" s="292"/>
      <c r="N2" s="288"/>
    </row>
    <row r="3" spans="1:23" ht="30" customHeight="1" thickBot="1">
      <c r="B3" s="286"/>
      <c r="C3" s="289"/>
      <c r="D3" s="765">
        <f ca="1">TODAY()</f>
        <v>45338</v>
      </c>
      <c r="E3" s="765"/>
      <c r="F3" s="293"/>
      <c r="G3" s="290"/>
      <c r="H3" s="290"/>
      <c r="I3" s="762"/>
      <c r="J3" s="764"/>
      <c r="K3" s="291"/>
      <c r="L3" s="292"/>
      <c r="N3" s="294" t="s">
        <v>731</v>
      </c>
    </row>
    <row r="4" spans="1:23" ht="30" customHeight="1" thickBot="1">
      <c r="B4" s="286"/>
      <c r="C4" s="289"/>
      <c r="D4" s="760" t="s">
        <v>1499</v>
      </c>
      <c r="E4" s="760"/>
      <c r="F4" s="760"/>
      <c r="G4" s="290"/>
      <c r="H4" s="290"/>
      <c r="I4" s="295">
        <f>SUM(S11:S290)</f>
        <v>0</v>
      </c>
      <c r="J4" s="296" t="s">
        <v>733</v>
      </c>
      <c r="K4" s="291"/>
      <c r="L4" s="292"/>
      <c r="N4" s="297" t="s">
        <v>734</v>
      </c>
    </row>
    <row r="5" spans="1:23" ht="30" customHeight="1" thickBot="1">
      <c r="A5" s="298"/>
      <c r="B5" s="286"/>
      <c r="C5" s="289"/>
      <c r="D5" s="299"/>
      <c r="E5" s="300"/>
      <c r="F5" s="300"/>
      <c r="G5" s="290"/>
      <c r="H5" s="290"/>
      <c r="I5" s="295">
        <f>SUM(T11:T290)</f>
        <v>0</v>
      </c>
      <c r="J5" s="296" t="s">
        <v>735</v>
      </c>
      <c r="K5" s="291"/>
      <c r="L5" s="292"/>
      <c r="N5" s="301" t="s">
        <v>736</v>
      </c>
    </row>
    <row r="6" spans="1:23" ht="30" customHeight="1" thickBot="1">
      <c r="A6" s="298"/>
      <c r="B6" s="286"/>
      <c r="C6" s="289"/>
      <c r="D6" s="299"/>
      <c r="E6" s="300"/>
      <c r="F6" s="300"/>
      <c r="G6" s="290"/>
      <c r="H6" s="290"/>
      <c r="I6" s="295">
        <f>SUM(R11:R290)</f>
        <v>0</v>
      </c>
      <c r="J6" s="296" t="s">
        <v>737</v>
      </c>
      <c r="K6" s="291"/>
      <c r="L6" s="292"/>
      <c r="N6" s="301"/>
    </row>
    <row r="7" spans="1:23" ht="30" customHeight="1" thickBot="1">
      <c r="B7" s="286"/>
      <c r="C7" s="289"/>
      <c r="D7" s="302"/>
      <c r="E7" s="302"/>
      <c r="F7" s="303" t="str">
        <f>_xlfn.CONCAT(IF(SUM(W11:W290) &gt; 0,"Preconditions Pending On-Site Assessment: ",""),IF(SUM(W11:W290)&gt;0,IF(SUM(W11:W290) &gt; 0,SUM(W11:W290),""),""))</f>
        <v/>
      </c>
      <c r="G7" s="304"/>
      <c r="H7" s="304"/>
      <c r="I7" s="295">
        <f>SUM(Q11:Q290)</f>
        <v>1</v>
      </c>
      <c r="J7" s="296" t="str">
        <f>IF(VLOOKUP($D$4,Lists!$B$1:$E$19,3,FALSE)&lt;&gt; "",VLOOKUP($D$4,Lists!$B$1:$E$19,3,FALSE),"Not Anticipated")</f>
        <v>Not Achieved</v>
      </c>
      <c r="K7" s="291"/>
      <c r="L7" s="292"/>
    </row>
    <row r="8" spans="1:23" ht="30" customHeight="1" thickBot="1">
      <c r="A8" s="305"/>
      <c r="B8" s="286"/>
      <c r="C8" s="290"/>
      <c r="D8" s="287"/>
      <c r="E8" s="300"/>
      <c r="F8" s="303" t="str">
        <f>_xlfn.CONCAT(IF(SUM(V11:V290) &gt; 0,"Preconditions Pending Documentation: ",""),IF(SUM(V11:V290)&gt;0,IF(SUM(V11:V290) &gt; 0,SUM(V11:V290),""),""))</f>
        <v/>
      </c>
      <c r="G8" s="306">
        <f>SUM(G290,G271,G225,G197,G169,G153,G135,G104,G88,G63,G40)</f>
        <v>82</v>
      </c>
      <c r="H8" s="306">
        <f>SUM(H290,H271,H225,H197,H169,H153,H135,H104,H88,H63,H40)</f>
        <v>0</v>
      </c>
      <c r="I8" s="307">
        <f>SUM(I290,I271,I225,I197,I169,I153,I135,I104,I88,I63,I40)</f>
        <v>82</v>
      </c>
      <c r="J8" s="296" t="s">
        <v>738</v>
      </c>
      <c r="K8" s="308"/>
      <c r="L8" s="309"/>
    </row>
    <row r="9" spans="1:23" ht="13.2" customHeight="1" thickBot="1">
      <c r="A9" s="305"/>
      <c r="B9" s="286"/>
      <c r="C9" s="290"/>
      <c r="D9" s="287"/>
      <c r="E9" s="287"/>
      <c r="F9" s="310"/>
      <c r="G9" s="290"/>
      <c r="H9" s="290"/>
      <c r="I9" s="290"/>
      <c r="J9" s="311"/>
      <c r="K9" s="768"/>
      <c r="L9" s="768"/>
    </row>
    <row r="10" spans="1:23" ht="52.2" customHeight="1" thickBot="1">
      <c r="A10" s="312" t="s">
        <v>739</v>
      </c>
      <c r="B10" s="286"/>
      <c r="C10" s="313" t="s">
        <v>740</v>
      </c>
      <c r="D10" s="314" t="s">
        <v>266</v>
      </c>
      <c r="E10" s="314" t="s">
        <v>444</v>
      </c>
      <c r="F10" s="314" t="s">
        <v>242</v>
      </c>
      <c r="G10" s="314" t="s">
        <v>741</v>
      </c>
      <c r="H10" s="314" t="s">
        <v>742</v>
      </c>
      <c r="I10" s="314" t="s">
        <v>743</v>
      </c>
      <c r="J10" s="314" t="s">
        <v>744</v>
      </c>
      <c r="K10" s="314" t="str">
        <f>VLOOKUP(D4,Lists!B1:E15,2,FALSE)</f>
        <v>Achieved</v>
      </c>
      <c r="L10" s="315" t="str">
        <f>_xlfn.CONCAT(VLOOKUP($D$4,Lists!$B$1:$E19,3,FALSE),IF(OR(VLOOKUP($D$4,Lists!$B$1:$E19,4,FALSE) = "",VLOOKUP($D$4,Lists!$B$1:$E19,3,FALSE) = ""),""," or "),VLOOKUP($D$4,Lists!$B$1:$E19,4,FALSE))</f>
        <v>Not Achieved</v>
      </c>
      <c r="Q10" s="316" t="s">
        <v>745</v>
      </c>
      <c r="R10" s="316" t="s">
        <v>746</v>
      </c>
      <c r="S10" s="316" t="s">
        <v>747</v>
      </c>
      <c r="T10" s="316" t="s">
        <v>748</v>
      </c>
      <c r="U10" s="316" t="s">
        <v>749</v>
      </c>
      <c r="V10" s="316" t="s">
        <v>750</v>
      </c>
      <c r="W10" s="317" t="s">
        <v>751</v>
      </c>
    </row>
    <row r="11" spans="1:23" ht="21" customHeight="1">
      <c r="A11" s="318" t="s">
        <v>752</v>
      </c>
      <c r="B11" s="286"/>
      <c r="C11" s="769" t="s">
        <v>55</v>
      </c>
      <c r="D11" s="771" t="s">
        <v>752</v>
      </c>
      <c r="E11" s="772" t="s">
        <v>753</v>
      </c>
      <c r="F11" s="321" t="s">
        <v>754</v>
      </c>
      <c r="G11" s="322">
        <f>'Review Comments'!F10</f>
        <v>0</v>
      </c>
      <c r="H11" s="322" t="str">
        <f>'Review Comments'!G10</f>
        <v>Required</v>
      </c>
      <c r="I11" s="322" t="str">
        <f>IF(H11="Yes",G11,IF(H11="Required","Required",""))</f>
        <v>Required</v>
      </c>
      <c r="J11" s="321" t="str">
        <f>IF('Review Comments'!H10=0,"",'Review Comments'!H10)</f>
        <v>Achieved</v>
      </c>
      <c r="K11" s="323" t="str">
        <f>IF(I11="Required","Required",IF(ISNUMBER(MATCH(J11,Lists!$H$2:$H$9,0)),I11,""))</f>
        <v>Required</v>
      </c>
      <c r="L11" s="324" t="str">
        <f>IF(I11="Required","Required",IF(ISNUMBER(MATCH(J11,Lists!$I$2:$I$9,0)),I11,IF(ISNUMBER(MATCH(J11,Lists!$J$2:$J$9,0)),I11,"")))</f>
        <v>Required</v>
      </c>
      <c r="Q11" s="287">
        <f>IF(I11="Required",0,IF(ISNUMBER(MATCH(J11,Lists!$I$2:$I$4,0)),L11))</f>
        <v>0</v>
      </c>
      <c r="R11" s="287">
        <f>IF(I11="Required",0,IF(ISNUMBER(MATCH(J11,Lists!$K$2:$K$7,0)),L11))</f>
        <v>0</v>
      </c>
      <c r="S11" s="287">
        <f>IF(I11="Required",0,IF(ISNUMBER(MATCH(J11,Lists!$G$2:$G$4,0)),L11))</f>
        <v>0</v>
      </c>
      <c r="T11" s="287">
        <f>IF(I11="Required",0,IF(ISNUMBER(MATCH(J11,Lists!$G$7:$G$8,0)),L11))</f>
        <v>0</v>
      </c>
      <c r="U11" s="287">
        <f>IF(I11="Required",0,IF(ISNUMBER(MATCH(J11,Lists!$H$2:$H$4,0)),K11))</f>
        <v>0</v>
      </c>
      <c r="V11" s="287">
        <f t="shared" ref="V11:V74" si="0">IF(A11="P",IF(IFERROR(SEARCH("Pending Documentation",J11),0)&gt;0,IF(I11="Required",1,I11),0),0)</f>
        <v>0</v>
      </c>
      <c r="W11" s="287">
        <f>IF(A11="P",IF(IFERROR(SEARCH("Pending On-site Assessment",J11),0)&gt;0,IF(I11="Required",1,I11),0),0)</f>
        <v>0</v>
      </c>
    </row>
    <row r="12" spans="1:23" ht="21" customHeight="1">
      <c r="A12" s="318" t="s">
        <v>752</v>
      </c>
      <c r="B12" s="286"/>
      <c r="C12" s="770"/>
      <c r="D12" s="766"/>
      <c r="E12" s="767"/>
      <c r="F12" s="327" t="s">
        <v>755</v>
      </c>
      <c r="G12" s="328">
        <f>'Review Comments'!F11</f>
        <v>0</v>
      </c>
      <c r="H12" s="328" t="str">
        <f>'Review Comments'!G11</f>
        <v>Required</v>
      </c>
      <c r="I12" s="328" t="str">
        <f t="shared" ref="I12:I39" si="1">IF(H12="Yes",G12,IF(H12="Required","Required",""))</f>
        <v>Required</v>
      </c>
      <c r="J12" s="327" t="str">
        <f>IF('Review Comments'!H11=0,"",'Review Comments'!H11)</f>
        <v>Achieved</v>
      </c>
      <c r="K12" s="329" t="str">
        <f>IF(I12="Required","Required",IF(ISNUMBER(MATCH(J12,Lists!$H$2:$H$9,0)),I12,""))</f>
        <v>Required</v>
      </c>
      <c r="L12" s="330" t="str">
        <f>IF(I12="Required","Required",IF(ISNUMBER(MATCH(J12,Lists!$I$2:$I$9,0)),I12,IF(ISNUMBER(MATCH(J12,Lists!$J$2:$J$9,0)),I12,"")))</f>
        <v>Required</v>
      </c>
      <c r="Q12" s="287">
        <f>IF(I12="Required",0,IF(ISNUMBER(MATCH(J12,Lists!$I$2:$I$4,0)),L12))</f>
        <v>0</v>
      </c>
      <c r="R12" s="287">
        <f>IF(I12="Required",0,IF(ISNUMBER(MATCH(J12,Lists!$K$2:$K$7,0)),L12))</f>
        <v>0</v>
      </c>
      <c r="S12" s="287">
        <f>IF(I12="Required",0,IF(ISNUMBER(MATCH(J12,Lists!$G$2:$G$4,0)),L12))</f>
        <v>0</v>
      </c>
      <c r="T12" s="287">
        <f>IF(I12="Required",0,IF(ISNUMBER(MATCH(J12,Lists!$G$7:$G$8,0)),L12))</f>
        <v>0</v>
      </c>
      <c r="U12" s="287">
        <f>IF(I12="Required",0,IF(ISNUMBER(MATCH(J12,Lists!$H$2:$H$4,0)),K12))</f>
        <v>0</v>
      </c>
      <c r="V12" s="287">
        <f t="shared" si="0"/>
        <v>0</v>
      </c>
      <c r="W12" s="287">
        <f t="shared" ref="W12:W75" si="2">IF(A12="P",IF(IFERROR(SEARCH("Pending On-site Assessment",J12),0)&gt;0,IF(I12="Required",1,I12),0),0)</f>
        <v>0</v>
      </c>
    </row>
    <row r="13" spans="1:23" ht="21" customHeight="1">
      <c r="A13" s="318" t="s">
        <v>752</v>
      </c>
      <c r="B13" s="286"/>
      <c r="C13" s="770"/>
      <c r="D13" s="766"/>
      <c r="E13" s="767"/>
      <c r="F13" s="327" t="s">
        <v>756</v>
      </c>
      <c r="G13" s="328">
        <f>'Review Comments'!F13</f>
        <v>0</v>
      </c>
      <c r="H13" s="328" t="str">
        <f>'Review Comments'!G13</f>
        <v>Required</v>
      </c>
      <c r="I13" s="328" t="str">
        <f t="shared" si="1"/>
        <v>Required</v>
      </c>
      <c r="J13" s="327" t="str">
        <f>IF('Review Comments'!H13=0,"",'Review Comments'!H13)</f>
        <v>Achieved</v>
      </c>
      <c r="K13" s="329" t="str">
        <f>IF(I13="Required","Required",IF(ISNUMBER(MATCH(J13,Lists!$H$2:$H$9,0)),I13,""))</f>
        <v>Required</v>
      </c>
      <c r="L13" s="330" t="str">
        <f>IF(I13="Required","Required",IF(ISNUMBER(MATCH(J13,Lists!$I$2:$I$9,0)),I13,IF(ISNUMBER(MATCH(J13,Lists!$J$2:$J$9,0)),I13,"")))</f>
        <v>Required</v>
      </c>
      <c r="Q13" s="287">
        <f>IF(I13="Required",0,IF(ISNUMBER(MATCH(J13,Lists!$I$2:$I$4,0)),L13))</f>
        <v>0</v>
      </c>
      <c r="R13" s="287">
        <f>IF(I13="Required",0,IF(ISNUMBER(MATCH(J13,Lists!$K$2:$K$7,0)),L13))</f>
        <v>0</v>
      </c>
      <c r="S13" s="287">
        <f>IF(I13="Required",0,IF(ISNUMBER(MATCH(J13,Lists!$G$2:$G$4,0)),L13))</f>
        <v>0</v>
      </c>
      <c r="T13" s="287">
        <f>IF(I13="Required",0,IF(ISNUMBER(MATCH(J13,Lists!$G$7:$G$8,0)),L13))</f>
        <v>0</v>
      </c>
      <c r="U13" s="287">
        <f>IF(I13="Required",0,IF(ISNUMBER(MATCH(J13,Lists!$H$2:$H$4,0)),K13))</f>
        <v>0</v>
      </c>
      <c r="V13" s="287">
        <f t="shared" si="0"/>
        <v>0</v>
      </c>
      <c r="W13" s="287">
        <f t="shared" si="2"/>
        <v>0</v>
      </c>
    </row>
    <row r="14" spans="1:23" ht="21" customHeight="1">
      <c r="A14" s="318" t="s">
        <v>752</v>
      </c>
      <c r="B14" s="286"/>
      <c r="C14" s="770"/>
      <c r="D14" s="766"/>
      <c r="E14" s="767"/>
      <c r="F14" s="327" t="s">
        <v>757</v>
      </c>
      <c r="G14" s="328">
        <f>'Review Comments'!F14</f>
        <v>0</v>
      </c>
      <c r="H14" s="328" t="str">
        <f>'Review Comments'!G14</f>
        <v>Required</v>
      </c>
      <c r="I14" s="328" t="str">
        <f t="shared" si="1"/>
        <v>Required</v>
      </c>
      <c r="J14" s="327" t="str">
        <f>IF('Review Comments'!H14=0,"",'Review Comments'!H14)</f>
        <v>Achieved</v>
      </c>
      <c r="K14" s="329" t="str">
        <f>IF(I14="Required","Required",IF(ISNUMBER(MATCH(J14,Lists!$H$2:$H$9,0)),I14,""))</f>
        <v>Required</v>
      </c>
      <c r="L14" s="330" t="str">
        <f>IF(I14="Required","Required",IF(ISNUMBER(MATCH(J14,Lists!$I$2:$I$9,0)),I14,IF(ISNUMBER(MATCH(J14,Lists!$J$2:$J$9,0)),I14,"")))</f>
        <v>Required</v>
      </c>
      <c r="Q14" s="287">
        <f>IF(I14="Required",0,IF(ISNUMBER(MATCH(J14,Lists!$I$2:$I$4,0)),L14))</f>
        <v>0</v>
      </c>
      <c r="R14" s="287">
        <f>IF(I14="Required",0,IF(ISNUMBER(MATCH(J14,Lists!$K$2:$K$7,0)),L14))</f>
        <v>0</v>
      </c>
      <c r="S14" s="287">
        <f>IF(I14="Required",0,IF(ISNUMBER(MATCH(J14,Lists!$G$2:$G$4,0)),L14))</f>
        <v>0</v>
      </c>
      <c r="T14" s="287">
        <f>IF(I14="Required",0,IF(ISNUMBER(MATCH(J14,Lists!$G$7:$G$8,0)),L14))</f>
        <v>0</v>
      </c>
      <c r="U14" s="287">
        <f>IF(I14="Required",0,IF(ISNUMBER(MATCH(J14,Lists!$H$2:$H$4,0)),K14))</f>
        <v>0</v>
      </c>
      <c r="V14" s="287">
        <f t="shared" si="0"/>
        <v>0</v>
      </c>
      <c r="W14" s="287">
        <f t="shared" si="2"/>
        <v>0</v>
      </c>
    </row>
    <row r="15" spans="1:23" ht="21" customHeight="1">
      <c r="A15" s="318" t="s">
        <v>752</v>
      </c>
      <c r="B15" s="286"/>
      <c r="C15" s="770"/>
      <c r="D15" s="766"/>
      <c r="E15" s="767"/>
      <c r="F15" s="327" t="s">
        <v>758</v>
      </c>
      <c r="G15" s="328">
        <f>'Review Comments'!F15</f>
        <v>0</v>
      </c>
      <c r="H15" s="328" t="str">
        <f>'Review Comments'!G15</f>
        <v>Required</v>
      </c>
      <c r="I15" s="328" t="str">
        <f t="shared" si="1"/>
        <v>Required</v>
      </c>
      <c r="J15" s="327" t="str">
        <f>IF('Review Comments'!H15=0,"",'Review Comments'!H15)</f>
        <v>Achieved</v>
      </c>
      <c r="K15" s="329" t="str">
        <f>IF(I15="Required","Required",IF(ISNUMBER(MATCH(J15,Lists!$H$2:$H$9,0)),I15,""))</f>
        <v>Required</v>
      </c>
      <c r="L15" s="330" t="str">
        <f>IF(I15="Required","Required",IF(ISNUMBER(MATCH(J15,Lists!$I$2:$I$9,0)),I15,IF(ISNUMBER(MATCH(J15,Lists!$J$2:$J$9,0)),I15,"")))</f>
        <v>Required</v>
      </c>
      <c r="Q15" s="287">
        <f>IF(I15="Required",0,IF(ISNUMBER(MATCH(J15,Lists!$I$2:$I$4,0)),L15))</f>
        <v>0</v>
      </c>
      <c r="R15" s="287">
        <f>IF(I15="Required",0,IF(ISNUMBER(MATCH(J15,Lists!$K$2:$K$7,0)),L15))</f>
        <v>0</v>
      </c>
      <c r="S15" s="287">
        <f>IF(I15="Required",0,IF(ISNUMBER(MATCH(J15,Lists!$G$2:$G$4,0)),L15))</f>
        <v>0</v>
      </c>
      <c r="T15" s="287">
        <f>IF(I15="Required",0,IF(ISNUMBER(MATCH(J15,Lists!$G$7:$G$8,0)),L15))</f>
        <v>0</v>
      </c>
      <c r="U15" s="287">
        <f>IF(I15="Required",0,IF(ISNUMBER(MATCH(J15,Lists!$H$2:$H$4,0)),K15))</f>
        <v>0</v>
      </c>
      <c r="V15" s="287">
        <f t="shared" si="0"/>
        <v>0</v>
      </c>
      <c r="W15" s="287">
        <f t="shared" si="2"/>
        <v>0</v>
      </c>
    </row>
    <row r="16" spans="1:23" ht="21" customHeight="1">
      <c r="A16" s="318" t="s">
        <v>752</v>
      </c>
      <c r="B16" s="286"/>
      <c r="C16" s="770"/>
      <c r="D16" s="766" t="s">
        <v>752</v>
      </c>
      <c r="E16" s="767" t="s">
        <v>759</v>
      </c>
      <c r="F16" s="327" t="s">
        <v>760</v>
      </c>
      <c r="G16" s="328">
        <f>'Review Comments'!F16</f>
        <v>0</v>
      </c>
      <c r="H16" s="328" t="str">
        <f>'Review Comments'!G16</f>
        <v>Required</v>
      </c>
      <c r="I16" s="328" t="str">
        <f t="shared" si="1"/>
        <v>Required</v>
      </c>
      <c r="J16" s="327" t="str">
        <f>IF('Review Comments'!H16=0,"",'Review Comments'!H16)</f>
        <v>Achieved</v>
      </c>
      <c r="K16" s="329" t="str">
        <f>IF(I16="Required","Required",IF(ISNUMBER(MATCH(J16,Lists!$H$2:$H$9,0)),I16,""))</f>
        <v>Required</v>
      </c>
      <c r="L16" s="330" t="str">
        <f>IF(I16="Required","Required",IF(ISNUMBER(MATCH(J16,Lists!$I$2:$I$9,0)),I16,IF(ISNUMBER(MATCH(J16,Lists!$J$2:$J$9,0)),I16,"")))</f>
        <v>Required</v>
      </c>
      <c r="Q16" s="287">
        <f>IF(I16="Required",0,IF(ISNUMBER(MATCH(J16,Lists!$I$2:$I$4,0)),L16))</f>
        <v>0</v>
      </c>
      <c r="R16" s="287">
        <f>IF(I16="Required",0,IF(ISNUMBER(MATCH(J16,Lists!$K$2:$K$7,0)),L16))</f>
        <v>0</v>
      </c>
      <c r="S16" s="287">
        <f>IF(I16="Required",0,IF(ISNUMBER(MATCH(J16,Lists!$G$2:$G$4,0)),L16))</f>
        <v>0</v>
      </c>
      <c r="T16" s="287">
        <f>IF(I16="Required",0,IF(ISNUMBER(MATCH(J16,Lists!$G$7:$G$8,0)),L16))</f>
        <v>0</v>
      </c>
      <c r="U16" s="287">
        <f>IF(I16="Required",0,IF(ISNUMBER(MATCH(J16,Lists!$H$2:$H$4,0)),K16))</f>
        <v>0</v>
      </c>
      <c r="V16" s="287">
        <f t="shared" si="0"/>
        <v>0</v>
      </c>
      <c r="W16" s="287">
        <f t="shared" si="2"/>
        <v>0</v>
      </c>
    </row>
    <row r="17" spans="1:23" ht="21" customHeight="1">
      <c r="A17" s="318" t="s">
        <v>752</v>
      </c>
      <c r="B17" s="286"/>
      <c r="C17" s="770"/>
      <c r="D17" s="766"/>
      <c r="E17" s="767"/>
      <c r="F17" s="327" t="s">
        <v>761</v>
      </c>
      <c r="G17" s="328">
        <f>'Review Comments'!F17</f>
        <v>0</v>
      </c>
      <c r="H17" s="328" t="str">
        <f>'Review Comments'!G17</f>
        <v>Required</v>
      </c>
      <c r="I17" s="328" t="str">
        <f t="shared" si="1"/>
        <v>Required</v>
      </c>
      <c r="J17" s="327" t="str">
        <f>IF('Review Comments'!H17=0,"",'Review Comments'!H17)</f>
        <v>Achieved</v>
      </c>
      <c r="K17" s="329" t="str">
        <f>IF(I17="Required","Required",IF(ISNUMBER(MATCH(J17,Lists!$H$2:$H$9,0)),I17,""))</f>
        <v>Required</v>
      </c>
      <c r="L17" s="330" t="str">
        <f>IF(I17="Required","Required",IF(ISNUMBER(MATCH(J17,Lists!$I$2:$I$9,0)),I17,IF(ISNUMBER(MATCH(J17,Lists!$J$2:$J$9,0)),I17,"")))</f>
        <v>Required</v>
      </c>
      <c r="Q17" s="287">
        <f>IF(I17="Required",0,IF(ISNUMBER(MATCH(J17,Lists!$I$2:$I$4,0)),L17))</f>
        <v>0</v>
      </c>
      <c r="R17" s="287">
        <f>IF(I17="Required",0,IF(ISNUMBER(MATCH(J17,Lists!$K$2:$K$7,0)),L17))</f>
        <v>0</v>
      </c>
      <c r="S17" s="287">
        <f>IF(I17="Required",0,IF(ISNUMBER(MATCH(J17,Lists!$G$2:$G$4,0)),L17))</f>
        <v>0</v>
      </c>
      <c r="T17" s="287">
        <f>IF(I17="Required",0,IF(ISNUMBER(MATCH(J17,Lists!$G$7:$G$8,0)),L17))</f>
        <v>0</v>
      </c>
      <c r="U17" s="287">
        <f>IF(I17="Required",0,IF(ISNUMBER(MATCH(J17,Lists!$H$2:$H$4,0)),K17))</f>
        <v>0</v>
      </c>
      <c r="V17" s="287">
        <f t="shared" si="0"/>
        <v>0</v>
      </c>
      <c r="W17" s="287">
        <f t="shared" si="2"/>
        <v>0</v>
      </c>
    </row>
    <row r="18" spans="1:23" ht="21" customHeight="1">
      <c r="A18" s="318" t="s">
        <v>752</v>
      </c>
      <c r="B18" s="286"/>
      <c r="C18" s="770"/>
      <c r="D18" s="766" t="s">
        <v>752</v>
      </c>
      <c r="E18" s="767" t="s">
        <v>762</v>
      </c>
      <c r="F18" s="327" t="s">
        <v>763</v>
      </c>
      <c r="G18" s="328">
        <f>'Review Comments'!F18</f>
        <v>0</v>
      </c>
      <c r="H18" s="328" t="str">
        <f>'Review Comments'!G18</f>
        <v>Required</v>
      </c>
      <c r="I18" s="328" t="str">
        <f t="shared" si="1"/>
        <v>Required</v>
      </c>
      <c r="J18" s="327" t="str">
        <f>IF('Review Comments'!H18=0,"",'Review Comments'!H18)</f>
        <v>Achieved</v>
      </c>
      <c r="K18" s="329" t="str">
        <f>IF(I18="Required","Required",IF(ISNUMBER(MATCH(J18,Lists!$H$2:$H$9,0)),I18,""))</f>
        <v>Required</v>
      </c>
      <c r="L18" s="330" t="str">
        <f>IF(I18="Required","Required",IF(ISNUMBER(MATCH(J18,Lists!$I$2:$I$9,0)),I18,IF(ISNUMBER(MATCH(J18,Lists!$J$2:$J$9,0)),I18,"")))</f>
        <v>Required</v>
      </c>
      <c r="Q18" s="287">
        <f>IF(I18="Required",0,IF(ISNUMBER(MATCH(J18,Lists!$I$2:$I$4,0)),L18))</f>
        <v>0</v>
      </c>
      <c r="R18" s="287">
        <f>IF(I18="Required",0,IF(ISNUMBER(MATCH(J18,Lists!$K$2:$K$7,0)),L18))</f>
        <v>0</v>
      </c>
      <c r="S18" s="287">
        <f>IF(I18="Required",0,IF(ISNUMBER(MATCH(J18,Lists!$G$2:$G$4,0)),L18))</f>
        <v>0</v>
      </c>
      <c r="T18" s="287">
        <f>IF(I18="Required",0,IF(ISNUMBER(MATCH(J18,Lists!$G$7:$G$8,0)),L18))</f>
        <v>0</v>
      </c>
      <c r="U18" s="287">
        <f>IF(I18="Required",0,IF(ISNUMBER(MATCH(J18,Lists!$H$2:$H$4,0)),K18))</f>
        <v>0</v>
      </c>
      <c r="V18" s="287">
        <f t="shared" si="0"/>
        <v>0</v>
      </c>
      <c r="W18" s="287">
        <f t="shared" si="2"/>
        <v>0</v>
      </c>
    </row>
    <row r="19" spans="1:23" ht="21" customHeight="1">
      <c r="A19" s="318" t="s">
        <v>752</v>
      </c>
      <c r="B19" s="286"/>
      <c r="C19" s="770"/>
      <c r="D19" s="766"/>
      <c r="E19" s="767"/>
      <c r="F19" s="327" t="s">
        <v>764</v>
      </c>
      <c r="G19" s="328">
        <f>'Review Comments'!F19</f>
        <v>0</v>
      </c>
      <c r="H19" s="328" t="str">
        <f>'Review Comments'!G19</f>
        <v>Required</v>
      </c>
      <c r="I19" s="328" t="str">
        <f t="shared" si="1"/>
        <v>Required</v>
      </c>
      <c r="J19" s="327" t="str">
        <f>IF('Review Comments'!H19=0,"",'Review Comments'!H19)</f>
        <v>Achieved</v>
      </c>
      <c r="K19" s="329" t="str">
        <f>IF(I19="Required","Required",IF(ISNUMBER(MATCH(J19,Lists!$H$2:$H$9,0)),I19,""))</f>
        <v>Required</v>
      </c>
      <c r="L19" s="330" t="str">
        <f>IF(I19="Required","Required",IF(ISNUMBER(MATCH(J19,Lists!$I$2:$I$9,0)),I19,IF(ISNUMBER(MATCH(J19,Lists!$J$2:$J$9,0)),I19,"")))</f>
        <v>Required</v>
      </c>
      <c r="Q19" s="287">
        <f>IF(I19="Required",0,IF(ISNUMBER(MATCH(J19,Lists!$I$2:$I$4,0)),L19))</f>
        <v>0</v>
      </c>
      <c r="R19" s="287">
        <f>IF(I19="Required",0,IF(ISNUMBER(MATCH(J19,Lists!$K$2:$K$7,0)),L19))</f>
        <v>0</v>
      </c>
      <c r="S19" s="287">
        <f>IF(I19="Required",0,IF(ISNUMBER(MATCH(J19,Lists!$G$2:$G$4,0)),L19))</f>
        <v>0</v>
      </c>
      <c r="T19" s="287">
        <f>IF(I19="Required",0,IF(ISNUMBER(MATCH(J19,Lists!$G$7:$G$8,0)),L19))</f>
        <v>0</v>
      </c>
      <c r="U19" s="287">
        <f>IF(I19="Required",0,IF(ISNUMBER(MATCH(J19,Lists!$H$2:$H$4,0)),K19))</f>
        <v>0</v>
      </c>
      <c r="V19" s="287">
        <f t="shared" si="0"/>
        <v>0</v>
      </c>
      <c r="W19" s="287">
        <f t="shared" si="2"/>
        <v>0</v>
      </c>
    </row>
    <row r="20" spans="1:23" ht="21" customHeight="1">
      <c r="A20" s="318" t="s">
        <v>752</v>
      </c>
      <c r="B20" s="286"/>
      <c r="C20" s="770"/>
      <c r="D20" s="325" t="s">
        <v>752</v>
      </c>
      <c r="E20" s="326" t="s">
        <v>765</v>
      </c>
      <c r="F20" s="327" t="s">
        <v>766</v>
      </c>
      <c r="G20" s="328">
        <f>'Review Comments'!F20</f>
        <v>0</v>
      </c>
      <c r="H20" s="328" t="str">
        <f>'Review Comments'!G20</f>
        <v>Required</v>
      </c>
      <c r="I20" s="328" t="str">
        <f t="shared" si="1"/>
        <v>Required</v>
      </c>
      <c r="J20" s="327" t="str">
        <f>IF('Review Comments'!H20=0,"",'Review Comments'!H20)</f>
        <v>Achieved</v>
      </c>
      <c r="K20" s="329" t="str">
        <f>IF(I20="Required","Required",IF(ISNUMBER(MATCH(J20,Lists!$H$2:$H$9,0)),I20,""))</f>
        <v>Required</v>
      </c>
      <c r="L20" s="330" t="str">
        <f>IF(I20="Required","Required",IF(ISNUMBER(MATCH(J20,Lists!$I$2:$I$9,0)),I20,IF(ISNUMBER(MATCH(J20,Lists!$J$2:$J$9,0)),I20,"")))</f>
        <v>Required</v>
      </c>
      <c r="Q20" s="287">
        <f>IF(I20="Required",0,IF(ISNUMBER(MATCH(J20,Lists!$I$2:$I$4,0)),L20))</f>
        <v>0</v>
      </c>
      <c r="R20" s="287">
        <f>IF(I20="Required",0,IF(ISNUMBER(MATCH(J20,Lists!$K$2:$K$7,0)),L20))</f>
        <v>0</v>
      </c>
      <c r="S20" s="287">
        <f>IF(I20="Required",0,IF(ISNUMBER(MATCH(J20,Lists!$G$2:$G$4,0)),L20))</f>
        <v>0</v>
      </c>
      <c r="T20" s="287">
        <f>IF(I20="Required",0,IF(ISNUMBER(MATCH(J20,Lists!$G$7:$G$8,0)),L20))</f>
        <v>0</v>
      </c>
      <c r="U20" s="287">
        <f>IF(I20="Required",0,IF(ISNUMBER(MATCH(J20,Lists!$H$2:$H$4,0)),K20))</f>
        <v>0</v>
      </c>
      <c r="V20" s="287">
        <f t="shared" si="0"/>
        <v>0</v>
      </c>
      <c r="W20" s="287">
        <f t="shared" si="2"/>
        <v>0</v>
      </c>
    </row>
    <row r="21" spans="1:23" ht="21" customHeight="1">
      <c r="A21" s="318" t="s">
        <v>767</v>
      </c>
      <c r="B21" s="286"/>
      <c r="C21" s="770"/>
      <c r="D21" s="766" t="s">
        <v>767</v>
      </c>
      <c r="E21" s="767" t="s">
        <v>768</v>
      </c>
      <c r="F21" s="327" t="s">
        <v>769</v>
      </c>
      <c r="G21" s="328">
        <f>'Review Comments'!F21</f>
        <v>2</v>
      </c>
      <c r="H21" s="328" t="str">
        <f>'Review Comments'!G21</f>
        <v>Yes</v>
      </c>
      <c r="I21" s="328">
        <f t="shared" si="1"/>
        <v>2</v>
      </c>
      <c r="J21" s="327" t="str">
        <f>IF('Review Comments'!H21=0,"",'Review Comments'!H21)</f>
        <v>Achieved</v>
      </c>
      <c r="K21" s="329">
        <f>IF(I21="Required","Required",IF(ISNUMBER(MATCH(J21,Lists!$H$2:$H$9,0)),I21,""))</f>
        <v>2</v>
      </c>
      <c r="L21" s="330" t="str">
        <f>IF(I21="Required","Required",IF(ISNUMBER(MATCH(J21,Lists!$I$2:$I$9,0)),I21,IF(ISNUMBER(MATCH(J21,Lists!$J$2:$J$9,0)),I21,"")))</f>
        <v/>
      </c>
      <c r="Q21" s="287" t="b">
        <f>IF(I21="Required",0,IF(ISNUMBER(MATCH(J21,Lists!$I$2:$I$4,0)),L21))</f>
        <v>0</v>
      </c>
      <c r="R21" s="287" t="b">
        <f>IF(I21="Required",0,IF(ISNUMBER(MATCH(J21,Lists!$K$2:$K$7,0)),L21))</f>
        <v>0</v>
      </c>
      <c r="S21" s="287" t="b">
        <f>IF(I21="Required",0,IF(ISNUMBER(MATCH(J21,Lists!$G$2:$G$4,0)),L21))</f>
        <v>0</v>
      </c>
      <c r="T21" s="287" t="b">
        <f>IF(I21="Required",0,IF(ISNUMBER(MATCH(J21,Lists!$G$7:$G$8,0)),L21))</f>
        <v>0</v>
      </c>
      <c r="U21" s="287">
        <f>IF(I21="Required",0,IF(ISNUMBER(MATCH(J21,Lists!$H$2:$H$4,0)),K21))</f>
        <v>2</v>
      </c>
      <c r="V21" s="287">
        <f t="shared" si="0"/>
        <v>0</v>
      </c>
      <c r="W21" s="287">
        <f t="shared" si="2"/>
        <v>0</v>
      </c>
    </row>
    <row r="22" spans="1:23" ht="21" customHeight="1">
      <c r="A22" s="318" t="s">
        <v>767</v>
      </c>
      <c r="B22" s="286"/>
      <c r="C22" s="770"/>
      <c r="D22" s="766"/>
      <c r="E22" s="767"/>
      <c r="F22" s="327" t="s">
        <v>770</v>
      </c>
      <c r="G22" s="328">
        <f>'Review Comments'!F22</f>
        <v>1</v>
      </c>
      <c r="H22" s="328" t="str">
        <f>'Review Comments'!G22</f>
        <v>Yes</v>
      </c>
      <c r="I22" s="328">
        <f t="shared" si="1"/>
        <v>1</v>
      </c>
      <c r="J22" s="327" t="str">
        <f>IF('Review Comments'!H22=0,"",'Review Comments'!H22)</f>
        <v>Achieved</v>
      </c>
      <c r="K22" s="329">
        <f>IF(I22="Required","Required",IF(ISNUMBER(MATCH(J22,Lists!$H$2:$H$9,0)),I22,""))</f>
        <v>1</v>
      </c>
      <c r="L22" s="330" t="str">
        <f>IF(I22="Required","Required",IF(ISNUMBER(MATCH(J22,Lists!$I$2:$I$9,0)),I22,IF(ISNUMBER(MATCH(J22,Lists!$J$2:$J$9,0)),I22,"")))</f>
        <v/>
      </c>
      <c r="Q22" s="287" t="b">
        <f>IF(I22="Required",0,IF(ISNUMBER(MATCH(J22,Lists!$I$2:$I$4,0)),L22))</f>
        <v>0</v>
      </c>
      <c r="R22" s="287" t="b">
        <f>IF(I22="Required",0,IF(ISNUMBER(MATCH(J22,Lists!$K$2:$K$7,0)),L22))</f>
        <v>0</v>
      </c>
      <c r="S22" s="287" t="b">
        <f>IF(I22="Required",0,IF(ISNUMBER(MATCH(J22,Lists!$G$2:$G$4,0)),L22))</f>
        <v>0</v>
      </c>
      <c r="T22" s="287" t="b">
        <f>IF(I22="Required",0,IF(ISNUMBER(MATCH(J22,Lists!$G$7:$G$8,0)),L22))</f>
        <v>0</v>
      </c>
      <c r="U22" s="287">
        <f>IF(I22="Required",0,IF(ISNUMBER(MATCH(J22,Lists!$H$2:$H$4,0)),K22))</f>
        <v>1</v>
      </c>
      <c r="V22" s="287">
        <f t="shared" si="0"/>
        <v>0</v>
      </c>
      <c r="W22" s="287">
        <f t="shared" si="2"/>
        <v>0</v>
      </c>
    </row>
    <row r="23" spans="1:23" ht="21" customHeight="1">
      <c r="A23" s="318" t="s">
        <v>767</v>
      </c>
      <c r="B23" s="286"/>
      <c r="C23" s="770"/>
      <c r="D23" s="766"/>
      <c r="E23" s="767"/>
      <c r="F23" s="327" t="s">
        <v>771</v>
      </c>
      <c r="G23" s="328">
        <f>'Review Comments'!F24</f>
        <v>0</v>
      </c>
      <c r="H23" s="328" t="str">
        <f>'Review Comments'!G24</f>
        <v>No</v>
      </c>
      <c r="I23" s="328" t="str">
        <f t="shared" si="1"/>
        <v/>
      </c>
      <c r="J23" s="327" t="str">
        <f>IF('Review Comments'!H24=0,"",'Review Comments'!H24)</f>
        <v>Not Attempted</v>
      </c>
      <c r="K23" s="329" t="str">
        <f>IF(I23="Required","Required",IF(ISNUMBER(MATCH(J23,Lists!$H$2:$H$9,0)),I23,""))</f>
        <v/>
      </c>
      <c r="L23" s="330" t="str">
        <f>IF(I23="Required","Required",IF(ISNUMBER(MATCH(J23,Lists!$I$2:$I$9,0)),I23,IF(ISNUMBER(MATCH(J23,Lists!$J$2:$J$9,0)),I23,"")))</f>
        <v/>
      </c>
      <c r="Q23" s="287" t="b">
        <f>IF(I23="Required",0,IF(ISNUMBER(MATCH(J23,Lists!$I$2:$I$4,0)),L23))</f>
        <v>0</v>
      </c>
      <c r="R23" s="287" t="b">
        <f>IF(I23="Required",0,IF(ISNUMBER(MATCH(J23,Lists!$K$2:$K$7,0)),L23))</f>
        <v>0</v>
      </c>
      <c r="S23" s="287" t="b">
        <f>IF(I23="Required",0,IF(ISNUMBER(MATCH(J23,Lists!$G$2:$G$4,0)),L23))</f>
        <v>0</v>
      </c>
      <c r="T23" s="287" t="b">
        <f>IF(I23="Required",0,IF(ISNUMBER(MATCH(J23,Lists!$G$7:$G$8,0)),L23))</f>
        <v>0</v>
      </c>
      <c r="U23" s="287" t="b">
        <f>IF(I23="Required",0,IF(ISNUMBER(MATCH(J23,Lists!$H$2:$H$4,0)),K23))</f>
        <v>0</v>
      </c>
      <c r="V23" s="287">
        <f t="shared" si="0"/>
        <v>0</v>
      </c>
      <c r="W23" s="287">
        <f t="shared" si="2"/>
        <v>0</v>
      </c>
    </row>
    <row r="24" spans="1:23" ht="21" customHeight="1">
      <c r="A24" s="318" t="s">
        <v>767</v>
      </c>
      <c r="B24" s="286"/>
      <c r="C24" s="770"/>
      <c r="D24" s="766" t="s">
        <v>767</v>
      </c>
      <c r="E24" s="767" t="s">
        <v>772</v>
      </c>
      <c r="F24" s="327" t="s">
        <v>773</v>
      </c>
      <c r="G24" s="328">
        <f>'Review Comments'!F25</f>
        <v>1</v>
      </c>
      <c r="H24" s="328" t="str">
        <f>'Review Comments'!G25</f>
        <v>Yes</v>
      </c>
      <c r="I24" s="328">
        <f t="shared" si="1"/>
        <v>1</v>
      </c>
      <c r="J24" s="327" t="str">
        <f>IF('Review Comments'!H25=0,"",'Review Comments'!H25)</f>
        <v>Achieved</v>
      </c>
      <c r="K24" s="329">
        <f>IF(I24="Required","Required",IF(ISNUMBER(MATCH(J24,Lists!$H$2:$H$9,0)),I24,""))</f>
        <v>1</v>
      </c>
      <c r="L24" s="330" t="str">
        <f>IF(I24="Required","Required",IF(ISNUMBER(MATCH(J24,Lists!$I$2:$I$9,0)),I24,IF(ISNUMBER(MATCH(J24,Lists!$J$2:$J$9,0)),I24,"")))</f>
        <v/>
      </c>
      <c r="Q24" s="287" t="b">
        <f>IF(I24="Required",0,IF(ISNUMBER(MATCH(J24,Lists!$I$2:$I$4,0)),L24))</f>
        <v>0</v>
      </c>
      <c r="R24" s="287" t="b">
        <f>IF(I24="Required",0,IF(ISNUMBER(MATCH(J24,Lists!$K$2:$K$7,0)),L24))</f>
        <v>0</v>
      </c>
      <c r="S24" s="287" t="b">
        <f>IF(I24="Required",0,IF(ISNUMBER(MATCH(J24,Lists!$G$2:$G$4,0)),L24))</f>
        <v>0</v>
      </c>
      <c r="T24" s="287" t="b">
        <f>IF(I24="Required",0,IF(ISNUMBER(MATCH(J24,Lists!$G$7:$G$8,0)),L24))</f>
        <v>0</v>
      </c>
      <c r="U24" s="287">
        <f>IF(I24="Required",0,IF(ISNUMBER(MATCH(J24,Lists!$H$2:$H$4,0)),K24))</f>
        <v>1</v>
      </c>
      <c r="V24" s="287">
        <f t="shared" si="0"/>
        <v>0</v>
      </c>
      <c r="W24" s="287">
        <f t="shared" si="2"/>
        <v>0</v>
      </c>
    </row>
    <row r="25" spans="1:23" ht="21" customHeight="1">
      <c r="A25" s="318" t="s">
        <v>767</v>
      </c>
      <c r="B25" s="286"/>
      <c r="C25" s="770"/>
      <c r="D25" s="766"/>
      <c r="E25" s="767"/>
      <c r="F25" s="327" t="s">
        <v>774</v>
      </c>
      <c r="G25" s="328">
        <f>'Review Comments'!F26</f>
        <v>0</v>
      </c>
      <c r="H25" s="328" t="str">
        <f>'Review Comments'!G26</f>
        <v>No</v>
      </c>
      <c r="I25" s="328" t="str">
        <f t="shared" si="1"/>
        <v/>
      </c>
      <c r="J25" s="327" t="str">
        <f>IF('Review Comments'!H26=0,"",'Review Comments'!H26)</f>
        <v>Not Attempted</v>
      </c>
      <c r="K25" s="329" t="str">
        <f>IF(I25="Required","Required",IF(ISNUMBER(MATCH(J25,Lists!$H$2:$H$9,0)),I25,""))</f>
        <v/>
      </c>
      <c r="L25" s="330" t="str">
        <f>IF(I25="Required","Required",IF(ISNUMBER(MATCH(J25,Lists!$I$2:$I$9,0)),I25,IF(ISNUMBER(MATCH(J25,Lists!$J$2:$J$9,0)),I25,"")))</f>
        <v/>
      </c>
      <c r="Q25" s="287" t="b">
        <f>IF(I25="Required",0,IF(ISNUMBER(MATCH(J25,Lists!$I$2:$I$4,0)),L25))</f>
        <v>0</v>
      </c>
      <c r="R25" s="287" t="b">
        <f>IF(I25="Required",0,IF(ISNUMBER(MATCH(J25,Lists!$K$2:$K$7,0)),L25))</f>
        <v>0</v>
      </c>
      <c r="S25" s="287" t="b">
        <f>IF(I25="Required",0,IF(ISNUMBER(MATCH(J25,Lists!$G$2:$G$4,0)),L25))</f>
        <v>0</v>
      </c>
      <c r="T25" s="287" t="b">
        <f>IF(I25="Required",0,IF(ISNUMBER(MATCH(J25,Lists!$G$7:$G$8,0)),L25))</f>
        <v>0</v>
      </c>
      <c r="U25" s="287" t="b">
        <f>IF(I25="Required",0,IF(ISNUMBER(MATCH(J25,Lists!$H$2:$H$4,0)),K25))</f>
        <v>0</v>
      </c>
      <c r="V25" s="287">
        <f t="shared" si="0"/>
        <v>0</v>
      </c>
      <c r="W25" s="287">
        <f t="shared" si="2"/>
        <v>0</v>
      </c>
    </row>
    <row r="26" spans="1:23" ht="21" customHeight="1">
      <c r="A26" s="318" t="s">
        <v>767</v>
      </c>
      <c r="B26" s="286"/>
      <c r="C26" s="770"/>
      <c r="D26" s="766"/>
      <c r="E26" s="767"/>
      <c r="F26" s="327" t="s">
        <v>775</v>
      </c>
      <c r="G26" s="328">
        <f>'Review Comments'!F27</f>
        <v>0</v>
      </c>
      <c r="H26" s="328" t="str">
        <f>'Review Comments'!G27</f>
        <v>No</v>
      </c>
      <c r="I26" s="328" t="str">
        <f t="shared" si="1"/>
        <v/>
      </c>
      <c r="J26" s="327" t="str">
        <f>IF('Review Comments'!H27=0,"",'Review Comments'!H27)</f>
        <v>Not Attempted</v>
      </c>
      <c r="K26" s="329" t="str">
        <f>IF(I26="Required","Required",IF(ISNUMBER(MATCH(J26,Lists!$H$2:$H$9,0)),I26,""))</f>
        <v/>
      </c>
      <c r="L26" s="330" t="str">
        <f>IF(I26="Required","Required",IF(ISNUMBER(MATCH(J26,Lists!$I$2:$I$9,0)),I26,IF(ISNUMBER(MATCH(J26,Lists!$J$2:$J$9,0)),I26,"")))</f>
        <v/>
      </c>
      <c r="Q26" s="287" t="b">
        <f>IF(I26="Required",0,IF(ISNUMBER(MATCH(J26,Lists!$I$2:$I$4,0)),L26))</f>
        <v>0</v>
      </c>
      <c r="R26" s="287" t="b">
        <f>IF(I26="Required",0,IF(ISNUMBER(MATCH(J26,Lists!$K$2:$K$7,0)),L26))</f>
        <v>0</v>
      </c>
      <c r="S26" s="287" t="b">
        <f>IF(I26="Required",0,IF(ISNUMBER(MATCH(J26,Lists!$G$2:$G$4,0)),L26))</f>
        <v>0</v>
      </c>
      <c r="T26" s="287" t="b">
        <f>IF(I26="Required",0,IF(ISNUMBER(MATCH(J26,Lists!$G$7:$G$8,0)),L26))</f>
        <v>0</v>
      </c>
      <c r="U26" s="287" t="b">
        <f>IF(I26="Required",0,IF(ISNUMBER(MATCH(J26,Lists!$H$2:$H$4,0)),K26))</f>
        <v>0</v>
      </c>
      <c r="V26" s="287">
        <f t="shared" si="0"/>
        <v>0</v>
      </c>
      <c r="W26" s="287">
        <f t="shared" si="2"/>
        <v>0</v>
      </c>
    </row>
    <row r="27" spans="1:23" ht="21" customHeight="1">
      <c r="A27" s="318" t="s">
        <v>767</v>
      </c>
      <c r="B27" s="286"/>
      <c r="C27" s="770"/>
      <c r="D27" s="766"/>
      <c r="E27" s="767"/>
      <c r="F27" s="327" t="s">
        <v>776</v>
      </c>
      <c r="G27" s="328">
        <f>'Review Comments'!F28</f>
        <v>0</v>
      </c>
      <c r="H27" s="328" t="str">
        <f>'Review Comments'!G28</f>
        <v>No</v>
      </c>
      <c r="I27" s="328" t="str">
        <f t="shared" si="1"/>
        <v/>
      </c>
      <c r="J27" s="327" t="str">
        <f>IF('Review Comments'!H28=0,"",'Review Comments'!H28)</f>
        <v>Not Attempted</v>
      </c>
      <c r="K27" s="329" t="str">
        <f>IF(I27="Required","Required",IF(ISNUMBER(MATCH(J27,Lists!$H$2:$H$9,0)),I27,""))</f>
        <v/>
      </c>
      <c r="L27" s="330" t="str">
        <f>IF(I27="Required","Required",IF(ISNUMBER(MATCH(J27,Lists!$I$2:$I$9,0)),I27,IF(ISNUMBER(MATCH(J27,Lists!$J$2:$J$9,0)),I27,"")))</f>
        <v/>
      </c>
      <c r="Q27" s="287" t="b">
        <f>IF(I27="Required",0,IF(ISNUMBER(MATCH(J27,Lists!$I$2:$I$4,0)),L27))</f>
        <v>0</v>
      </c>
      <c r="R27" s="287" t="b">
        <f>IF(I27="Required",0,IF(ISNUMBER(MATCH(J27,Lists!$K$2:$K$7,0)),L27))</f>
        <v>0</v>
      </c>
      <c r="S27" s="287" t="b">
        <f>IF(I27="Required",0,IF(ISNUMBER(MATCH(J27,Lists!$G$2:$G$4,0)),L27))</f>
        <v>0</v>
      </c>
      <c r="T27" s="287" t="b">
        <f>IF(I27="Required",0,IF(ISNUMBER(MATCH(J27,Lists!$G$7:$G$8,0)),L27))</f>
        <v>0</v>
      </c>
      <c r="U27" s="287" t="b">
        <f>IF(I27="Required",0,IF(ISNUMBER(MATCH(J27,Lists!$H$2:$H$4,0)),K27))</f>
        <v>0</v>
      </c>
      <c r="V27" s="287">
        <f t="shared" si="0"/>
        <v>0</v>
      </c>
      <c r="W27" s="287">
        <f t="shared" si="2"/>
        <v>0</v>
      </c>
    </row>
    <row r="28" spans="1:23" ht="21" customHeight="1">
      <c r="A28" s="318" t="s">
        <v>767</v>
      </c>
      <c r="B28" s="286"/>
      <c r="C28" s="770"/>
      <c r="D28" s="766" t="s">
        <v>767</v>
      </c>
      <c r="E28" s="767" t="s">
        <v>777</v>
      </c>
      <c r="F28" s="327" t="s">
        <v>778</v>
      </c>
      <c r="G28" s="328">
        <f>'Review Comments'!F29</f>
        <v>0</v>
      </c>
      <c r="H28" s="328" t="str">
        <f>'Review Comments'!G29</f>
        <v>No</v>
      </c>
      <c r="I28" s="328" t="str">
        <f t="shared" si="1"/>
        <v/>
      </c>
      <c r="J28" s="327" t="str">
        <f>IF('Review Comments'!H29=0,"",'Review Comments'!H29)</f>
        <v>Not Attempted</v>
      </c>
      <c r="K28" s="329" t="str">
        <f>IF(I28="Required","Required",IF(ISNUMBER(MATCH(J28,Lists!$H$2:$H$9,0)),I28,""))</f>
        <v/>
      </c>
      <c r="L28" s="330" t="str">
        <f>IF(I28="Required","Required",IF(ISNUMBER(MATCH(J28,Lists!$I$2:$I$9,0)),I28,IF(ISNUMBER(MATCH(J28,Lists!$J$2:$J$9,0)),I28,"")))</f>
        <v/>
      </c>
      <c r="Q28" s="287" t="b">
        <f>IF(I28="Required",0,IF(ISNUMBER(MATCH(J28,Lists!$I$2:$I$4,0)),L28))</f>
        <v>0</v>
      </c>
      <c r="R28" s="287" t="b">
        <f>IF(I28="Required",0,IF(ISNUMBER(MATCH(J28,Lists!$K$2:$K$7,0)),L28))</f>
        <v>0</v>
      </c>
      <c r="S28" s="287" t="b">
        <f>IF(I28="Required",0,IF(ISNUMBER(MATCH(J28,Lists!$G$2:$G$4,0)),L28))</f>
        <v>0</v>
      </c>
      <c r="T28" s="287" t="b">
        <f>IF(I28="Required",0,IF(ISNUMBER(MATCH(J28,Lists!$G$7:$G$8,0)),L28))</f>
        <v>0</v>
      </c>
      <c r="U28" s="287" t="b">
        <f>IF(I28="Required",0,IF(ISNUMBER(MATCH(J28,Lists!$H$2:$H$4,0)),K28))</f>
        <v>0</v>
      </c>
      <c r="V28" s="287">
        <f t="shared" si="0"/>
        <v>0</v>
      </c>
      <c r="W28" s="287">
        <f t="shared" si="2"/>
        <v>0</v>
      </c>
    </row>
    <row r="29" spans="1:23" ht="21" customHeight="1">
      <c r="A29" s="318" t="s">
        <v>767</v>
      </c>
      <c r="B29" s="286"/>
      <c r="C29" s="770"/>
      <c r="D29" s="766"/>
      <c r="E29" s="767"/>
      <c r="F29" s="327" t="s">
        <v>779</v>
      </c>
      <c r="G29" s="328">
        <f>'Review Comments'!F30</f>
        <v>0</v>
      </c>
      <c r="H29" s="328" t="str">
        <f>'Review Comments'!G30</f>
        <v>No</v>
      </c>
      <c r="I29" s="328" t="str">
        <f t="shared" si="1"/>
        <v/>
      </c>
      <c r="J29" s="327" t="str">
        <f>IF('Review Comments'!H30=0,"",'Review Comments'!H30)</f>
        <v>Not Attempted</v>
      </c>
      <c r="K29" s="329" t="str">
        <f>IF(I29="Required","Required",IF(ISNUMBER(MATCH(J29,Lists!$H$2:$H$9,0)),I29,""))</f>
        <v/>
      </c>
      <c r="L29" s="330" t="str">
        <f>IF(I29="Required","Required",IF(ISNUMBER(MATCH(J29,Lists!$I$2:$I$9,0)),I29,IF(ISNUMBER(MATCH(J29,Lists!$J$2:$J$9,0)),I29,"")))</f>
        <v/>
      </c>
      <c r="Q29" s="287" t="b">
        <f>IF(I29="Required",0,IF(ISNUMBER(MATCH(J29,Lists!$I$2:$I$4,0)),L29))</f>
        <v>0</v>
      </c>
      <c r="R29" s="287" t="b">
        <f>IF(I29="Required",0,IF(ISNUMBER(MATCH(J29,Lists!$K$2:$K$7,0)),L29))</f>
        <v>0</v>
      </c>
      <c r="S29" s="287" t="b">
        <f>IF(I29="Required",0,IF(ISNUMBER(MATCH(J29,Lists!$G$2:$G$4,0)),L29))</f>
        <v>0</v>
      </c>
      <c r="T29" s="287" t="b">
        <f>IF(I29="Required",0,IF(ISNUMBER(MATCH(J29,Lists!$G$7:$G$8,0)),L29))</f>
        <v>0</v>
      </c>
      <c r="U29" s="287" t="b">
        <f>IF(I29="Required",0,IF(ISNUMBER(MATCH(J29,Lists!$H$2:$H$4,0)),K29))</f>
        <v>0</v>
      </c>
      <c r="V29" s="287">
        <f t="shared" si="0"/>
        <v>0</v>
      </c>
      <c r="W29" s="287">
        <f t="shared" si="2"/>
        <v>0</v>
      </c>
    </row>
    <row r="30" spans="1:23" ht="21" customHeight="1">
      <c r="A30" s="318" t="s">
        <v>767</v>
      </c>
      <c r="B30" s="286"/>
      <c r="C30" s="770"/>
      <c r="D30" s="766"/>
      <c r="E30" s="767"/>
      <c r="F30" s="327" t="s">
        <v>780</v>
      </c>
      <c r="G30" s="328">
        <f>'Review Comments'!F31</f>
        <v>0</v>
      </c>
      <c r="H30" s="328" t="str">
        <f>'Review Comments'!G31</f>
        <v>No</v>
      </c>
      <c r="I30" s="328" t="str">
        <f t="shared" si="1"/>
        <v/>
      </c>
      <c r="J30" s="327" t="str">
        <f>IF('Review Comments'!H31=0,"",'Review Comments'!H31)</f>
        <v>Not Attempted</v>
      </c>
      <c r="K30" s="329" t="str">
        <f>IF(I30="Required","Required",IF(ISNUMBER(MATCH(J30,Lists!$H$2:$H$9,0)),I30,""))</f>
        <v/>
      </c>
      <c r="L30" s="330" t="str">
        <f>IF(I30="Required","Required",IF(ISNUMBER(MATCH(J30,Lists!$I$2:$I$9,0)),I30,IF(ISNUMBER(MATCH(J30,Lists!$J$2:$J$9,0)),I30,"")))</f>
        <v/>
      </c>
      <c r="Q30" s="287" t="b">
        <f>IF(I30="Required",0,IF(ISNUMBER(MATCH(J30,Lists!$I$2:$I$4,0)),L30))</f>
        <v>0</v>
      </c>
      <c r="R30" s="287" t="b">
        <f>IF(I30="Required",0,IF(ISNUMBER(MATCH(J30,Lists!$K$2:$K$7,0)),L30))</f>
        <v>0</v>
      </c>
      <c r="S30" s="287" t="b">
        <f>IF(I30="Required",0,IF(ISNUMBER(MATCH(J30,Lists!$G$2:$G$4,0)),L30))</f>
        <v>0</v>
      </c>
      <c r="T30" s="287" t="b">
        <f>IF(I30="Required",0,IF(ISNUMBER(MATCH(J30,Lists!$G$7:$G$8,0)),L30))</f>
        <v>0</v>
      </c>
      <c r="U30" s="287" t="b">
        <f>IF(I30="Required",0,IF(ISNUMBER(MATCH(J30,Lists!$H$2:$H$4,0)),K30))</f>
        <v>0</v>
      </c>
      <c r="V30" s="287">
        <f t="shared" si="0"/>
        <v>0</v>
      </c>
      <c r="W30" s="287">
        <f t="shared" si="2"/>
        <v>0</v>
      </c>
    </row>
    <row r="31" spans="1:23" ht="21" customHeight="1">
      <c r="A31" s="318" t="s">
        <v>767</v>
      </c>
      <c r="B31" s="286"/>
      <c r="C31" s="770"/>
      <c r="D31" s="766" t="s">
        <v>767</v>
      </c>
      <c r="E31" s="767" t="s">
        <v>781</v>
      </c>
      <c r="F31" s="327" t="s">
        <v>782</v>
      </c>
      <c r="G31" s="328">
        <f>'Review Comments'!F32</f>
        <v>0</v>
      </c>
      <c r="H31" s="328" t="str">
        <f>'Review Comments'!G32</f>
        <v>No</v>
      </c>
      <c r="I31" s="328" t="str">
        <f t="shared" si="1"/>
        <v/>
      </c>
      <c r="J31" s="327" t="str">
        <f>IF('Review Comments'!H32=0,"",'Review Comments'!H32)</f>
        <v>Not Attempted</v>
      </c>
      <c r="K31" s="329" t="str">
        <f>IF(I31="Required","Required",IF(ISNUMBER(MATCH(J31,Lists!$H$2:$H$9,0)),I31,""))</f>
        <v/>
      </c>
      <c r="L31" s="330" t="str">
        <f>IF(I31="Required","Required",IF(ISNUMBER(MATCH(J31,Lists!$I$2:$I$9,0)),I31,IF(ISNUMBER(MATCH(J31,Lists!$J$2:$J$9,0)),I31,"")))</f>
        <v/>
      </c>
      <c r="Q31" s="287" t="b">
        <f>IF(I31="Required",0,IF(ISNUMBER(MATCH(J31,Lists!$I$2:$I$4,0)),L31))</f>
        <v>0</v>
      </c>
      <c r="R31" s="287" t="b">
        <f>IF(I31="Required",0,IF(ISNUMBER(MATCH(J31,Lists!$K$2:$K$7,0)),L31))</f>
        <v>0</v>
      </c>
      <c r="S31" s="287" t="b">
        <f>IF(I31="Required",0,IF(ISNUMBER(MATCH(J31,Lists!$G$2:$G$4,0)),L31))</f>
        <v>0</v>
      </c>
      <c r="T31" s="287" t="b">
        <f>IF(I31="Required",0,IF(ISNUMBER(MATCH(J31,Lists!$G$7:$G$8,0)),L31))</f>
        <v>0</v>
      </c>
      <c r="U31" s="287" t="b">
        <f>IF(I31="Required",0,IF(ISNUMBER(MATCH(J31,Lists!$H$2:$H$4,0)),K31))</f>
        <v>0</v>
      </c>
      <c r="V31" s="287">
        <f t="shared" si="0"/>
        <v>0</v>
      </c>
      <c r="W31" s="287">
        <f t="shared" si="2"/>
        <v>0</v>
      </c>
    </row>
    <row r="32" spans="1:23" ht="21" customHeight="1">
      <c r="A32" s="318" t="s">
        <v>767</v>
      </c>
      <c r="B32" s="286"/>
      <c r="C32" s="770"/>
      <c r="D32" s="766"/>
      <c r="E32" s="767"/>
      <c r="F32" s="327" t="s">
        <v>783</v>
      </c>
      <c r="G32" s="328">
        <f>'Review Comments'!F33</f>
        <v>0</v>
      </c>
      <c r="H32" s="328" t="str">
        <f>'Review Comments'!G33</f>
        <v>No</v>
      </c>
      <c r="I32" s="328" t="str">
        <f t="shared" si="1"/>
        <v/>
      </c>
      <c r="J32" s="327" t="str">
        <f>IF('Review Comments'!H33=0,"",'Review Comments'!H33)</f>
        <v>Not Attempted</v>
      </c>
      <c r="K32" s="329" t="str">
        <f>IF(I32="Required","Required",IF(ISNUMBER(MATCH(J32,Lists!$H$2:$H$9,0)),I32,""))</f>
        <v/>
      </c>
      <c r="L32" s="330" t="str">
        <f>IF(I32="Required","Required",IF(ISNUMBER(MATCH(J32,Lists!$I$2:$I$9,0)),I32,IF(ISNUMBER(MATCH(J32,Lists!$J$2:$J$9,0)),I32,"")))</f>
        <v/>
      </c>
      <c r="Q32" s="287" t="b">
        <f>IF(I32="Required",0,IF(ISNUMBER(MATCH(J32,Lists!$I$2:$I$4,0)),L32))</f>
        <v>0</v>
      </c>
      <c r="R32" s="287" t="b">
        <f>IF(I32="Required",0,IF(ISNUMBER(MATCH(J32,Lists!$K$2:$K$7,0)),L32))</f>
        <v>0</v>
      </c>
      <c r="S32" s="287" t="b">
        <f>IF(I32="Required",0,IF(ISNUMBER(MATCH(J32,Lists!$G$2:$G$4,0)),L32))</f>
        <v>0</v>
      </c>
      <c r="T32" s="287" t="b">
        <f>IF(I32="Required",0,IF(ISNUMBER(MATCH(J32,Lists!$G$7:$G$8,0)),L32))</f>
        <v>0</v>
      </c>
      <c r="U32" s="287" t="b">
        <f>IF(I32="Required",0,IF(ISNUMBER(MATCH(J32,Lists!$H$2:$H$4,0)),K32))</f>
        <v>0</v>
      </c>
      <c r="V32" s="287">
        <f t="shared" si="0"/>
        <v>0</v>
      </c>
      <c r="W32" s="287">
        <f t="shared" si="2"/>
        <v>0</v>
      </c>
    </row>
    <row r="33" spans="1:23" ht="21" customHeight="1">
      <c r="A33" s="318" t="s">
        <v>767</v>
      </c>
      <c r="B33" s="286"/>
      <c r="C33" s="770"/>
      <c r="D33" s="325" t="s">
        <v>767</v>
      </c>
      <c r="E33" s="326" t="s">
        <v>784</v>
      </c>
      <c r="F33" s="327" t="s">
        <v>785</v>
      </c>
      <c r="G33" s="328">
        <f>'Review Comments'!F34</f>
        <v>1</v>
      </c>
      <c r="H33" s="328" t="str">
        <f>'Review Comments'!G34</f>
        <v>Yes</v>
      </c>
      <c r="I33" s="328">
        <f t="shared" si="1"/>
        <v>1</v>
      </c>
      <c r="J33" s="327" t="str">
        <f>IF('Review Comments'!H34=0,"",'Review Comments'!H34)</f>
        <v>Achieved</v>
      </c>
      <c r="K33" s="329">
        <f>IF(I33="Required","Required",IF(ISNUMBER(MATCH(J33,Lists!$H$2:$H$9,0)),I33,""))</f>
        <v>1</v>
      </c>
      <c r="L33" s="330" t="str">
        <f>IF(I33="Required","Required",IF(ISNUMBER(MATCH(J33,Lists!$I$2:$I$9,0)),I33,IF(ISNUMBER(MATCH(J33,Lists!$J$2:$J$9,0)),I33,"")))</f>
        <v/>
      </c>
      <c r="Q33" s="287" t="b">
        <f>IF(I33="Required",0,IF(ISNUMBER(MATCH(J33,Lists!$I$2:$I$4,0)),L33))</f>
        <v>0</v>
      </c>
      <c r="R33" s="287" t="b">
        <f>IF(I33="Required",0,IF(ISNUMBER(MATCH(J33,Lists!$K$2:$K$7,0)),L33))</f>
        <v>0</v>
      </c>
      <c r="S33" s="287" t="b">
        <f>IF(I33="Required",0,IF(ISNUMBER(MATCH(J33,Lists!$G$2:$G$4,0)),L33))</f>
        <v>0</v>
      </c>
      <c r="T33" s="287" t="b">
        <f>IF(I33="Required",0,IF(ISNUMBER(MATCH(J33,Lists!$G$7:$G$8,0)),L33))</f>
        <v>0</v>
      </c>
      <c r="U33" s="287">
        <f>IF(I33="Required",0,IF(ISNUMBER(MATCH(J33,Lists!$H$2:$H$4,0)),K33))</f>
        <v>1</v>
      </c>
      <c r="V33" s="287">
        <f t="shared" si="0"/>
        <v>0</v>
      </c>
      <c r="W33" s="287">
        <f t="shared" si="2"/>
        <v>0</v>
      </c>
    </row>
    <row r="34" spans="1:23" ht="21" customHeight="1">
      <c r="A34" s="318" t="s">
        <v>767</v>
      </c>
      <c r="B34" s="286"/>
      <c r="C34" s="770"/>
      <c r="D34" s="325" t="s">
        <v>767</v>
      </c>
      <c r="E34" s="326" t="s">
        <v>786</v>
      </c>
      <c r="F34" s="327" t="s">
        <v>787</v>
      </c>
      <c r="G34" s="328">
        <f>'Review Comments'!F35</f>
        <v>1</v>
      </c>
      <c r="H34" s="328" t="str">
        <f>'Review Comments'!G35</f>
        <v>Yes</v>
      </c>
      <c r="I34" s="328">
        <f t="shared" si="1"/>
        <v>1</v>
      </c>
      <c r="J34" s="327" t="str">
        <f>IF('Review Comments'!H35=0,"",'Review Comments'!H35)</f>
        <v>Achieved</v>
      </c>
      <c r="K34" s="329">
        <f>IF(I34="Required","Required",IF(ISNUMBER(MATCH(J34,Lists!$H$2:$H$9,0)),I34,""))</f>
        <v>1</v>
      </c>
      <c r="L34" s="330" t="str">
        <f>IF(I34="Required","Required",IF(ISNUMBER(MATCH(J34,Lists!$I$2:$I$9,0)),I34,IF(ISNUMBER(MATCH(J34,Lists!$J$2:$J$9,0)),I34,"")))</f>
        <v/>
      </c>
      <c r="Q34" s="287" t="b">
        <f>IF(I34="Required",0,IF(ISNUMBER(MATCH(J34,Lists!$I$2:$I$4,0)),L34))</f>
        <v>0</v>
      </c>
      <c r="R34" s="287" t="b">
        <f>IF(I34="Required",0,IF(ISNUMBER(MATCH(J34,Lists!$K$2:$K$7,0)),L34))</f>
        <v>0</v>
      </c>
      <c r="S34" s="287" t="b">
        <f>IF(I34="Required",0,IF(ISNUMBER(MATCH(J34,Lists!$G$2:$G$4,0)),L34))</f>
        <v>0</v>
      </c>
      <c r="T34" s="287" t="b">
        <f>IF(I34="Required",0,IF(ISNUMBER(MATCH(J34,Lists!$G$7:$G$8,0)),L34))</f>
        <v>0</v>
      </c>
      <c r="U34" s="287">
        <f>IF(I34="Required",0,IF(ISNUMBER(MATCH(J34,Lists!$H$2:$H$4,0)),K34))</f>
        <v>1</v>
      </c>
      <c r="V34" s="287">
        <f t="shared" si="0"/>
        <v>0</v>
      </c>
      <c r="W34" s="287">
        <f t="shared" si="2"/>
        <v>0</v>
      </c>
    </row>
    <row r="35" spans="1:23" ht="21" customHeight="1">
      <c r="A35" s="318" t="s">
        <v>767</v>
      </c>
      <c r="B35" s="286"/>
      <c r="C35" s="770"/>
      <c r="D35" s="325" t="s">
        <v>767</v>
      </c>
      <c r="E35" s="326" t="s">
        <v>788</v>
      </c>
      <c r="F35" s="327" t="s">
        <v>789</v>
      </c>
      <c r="G35" s="328">
        <f>'Review Comments'!F36</f>
        <v>1</v>
      </c>
      <c r="H35" s="328" t="str">
        <f>'Review Comments'!G36</f>
        <v>Yes</v>
      </c>
      <c r="I35" s="328">
        <f t="shared" si="1"/>
        <v>1</v>
      </c>
      <c r="J35" s="327" t="str">
        <f>IF('Review Comments'!H36=0,"",'Review Comments'!H36)</f>
        <v>Achieved</v>
      </c>
      <c r="K35" s="329">
        <f>IF(I35="Required","Required",IF(ISNUMBER(MATCH(J35,Lists!$H$2:$H$9,0)),I35,""))</f>
        <v>1</v>
      </c>
      <c r="L35" s="330" t="str">
        <f>IF(I35="Required","Required",IF(ISNUMBER(MATCH(J35,Lists!$I$2:$I$9,0)),I35,IF(ISNUMBER(MATCH(J35,Lists!$J$2:$J$9,0)),I35,"")))</f>
        <v/>
      </c>
      <c r="Q35" s="287" t="b">
        <f>IF(I35="Required",0,IF(ISNUMBER(MATCH(J35,Lists!$I$2:$I$4,0)),L35))</f>
        <v>0</v>
      </c>
      <c r="R35" s="287" t="b">
        <f>IF(I35="Required",0,IF(ISNUMBER(MATCH(J35,Lists!$K$2:$K$7,0)),L35))</f>
        <v>0</v>
      </c>
      <c r="S35" s="287" t="b">
        <f>IF(I35="Required",0,IF(ISNUMBER(MATCH(J35,Lists!$G$2:$G$4,0)),L35))</f>
        <v>0</v>
      </c>
      <c r="T35" s="287" t="b">
        <f>IF(I35="Required",0,IF(ISNUMBER(MATCH(J35,Lists!$G$7:$G$8,0)),L35))</f>
        <v>0</v>
      </c>
      <c r="U35" s="287">
        <f>IF(I35="Required",0,IF(ISNUMBER(MATCH(J35,Lists!$H$2:$H$4,0)),K35))</f>
        <v>1</v>
      </c>
      <c r="V35" s="287">
        <f t="shared" si="0"/>
        <v>0</v>
      </c>
      <c r="W35" s="287">
        <f t="shared" si="2"/>
        <v>0</v>
      </c>
    </row>
    <row r="36" spans="1:23" ht="21" customHeight="1">
      <c r="A36" s="318" t="s">
        <v>767</v>
      </c>
      <c r="B36" s="286"/>
      <c r="C36" s="770"/>
      <c r="D36" s="325" t="s">
        <v>767</v>
      </c>
      <c r="E36" s="326" t="s">
        <v>790</v>
      </c>
      <c r="F36" s="327" t="s">
        <v>791</v>
      </c>
      <c r="G36" s="328">
        <f>'Review Comments'!F37</f>
        <v>1</v>
      </c>
      <c r="H36" s="328" t="str">
        <f>'Review Comments'!G37</f>
        <v>Yes</v>
      </c>
      <c r="I36" s="328">
        <f t="shared" si="1"/>
        <v>1</v>
      </c>
      <c r="J36" s="327" t="str">
        <f>IF('Review Comments'!H37=0,"",'Review Comments'!H37)</f>
        <v>Achieved</v>
      </c>
      <c r="K36" s="329">
        <f>IF(I36="Required","Required",IF(ISNUMBER(MATCH(J36,Lists!$H$2:$H$9,0)),I36,""))</f>
        <v>1</v>
      </c>
      <c r="L36" s="330" t="str">
        <f>IF(I36="Required","Required",IF(ISNUMBER(MATCH(J36,Lists!$I$2:$I$9,0)),I36,IF(ISNUMBER(MATCH(J36,Lists!$J$2:$J$9,0)),I36,"")))</f>
        <v/>
      </c>
      <c r="Q36" s="287" t="b">
        <f>IF(I36="Required",0,IF(ISNUMBER(MATCH(J36,Lists!$I$2:$I$4,0)),L36))</f>
        <v>0</v>
      </c>
      <c r="R36" s="287" t="b">
        <f>IF(I36="Required",0,IF(ISNUMBER(MATCH(J36,Lists!$K$2:$K$7,0)),L36))</f>
        <v>0</v>
      </c>
      <c r="S36" s="287" t="b">
        <f>IF(I36="Required",0,IF(ISNUMBER(MATCH(J36,Lists!$G$2:$G$4,0)),L36))</f>
        <v>0</v>
      </c>
      <c r="T36" s="287" t="b">
        <f>IF(I36="Required",0,IF(ISNUMBER(MATCH(J36,Lists!$G$7:$G$8,0)),L36))</f>
        <v>0</v>
      </c>
      <c r="U36" s="287">
        <f>IF(I36="Required",0,IF(ISNUMBER(MATCH(J36,Lists!$H$2:$H$4,0)),K36))</f>
        <v>1</v>
      </c>
      <c r="V36" s="287">
        <f t="shared" si="0"/>
        <v>0</v>
      </c>
      <c r="W36" s="287">
        <f t="shared" si="2"/>
        <v>0</v>
      </c>
    </row>
    <row r="37" spans="1:23" ht="21" customHeight="1">
      <c r="A37" s="318" t="s">
        <v>767</v>
      </c>
      <c r="B37" s="286"/>
      <c r="C37" s="770"/>
      <c r="D37" s="325" t="s">
        <v>767</v>
      </c>
      <c r="E37" s="326" t="s">
        <v>792</v>
      </c>
      <c r="F37" s="327" t="s">
        <v>793</v>
      </c>
      <c r="G37" s="328">
        <f>'Review Comments'!F38</f>
        <v>0</v>
      </c>
      <c r="H37" s="328" t="str">
        <f>'Review Comments'!G38</f>
        <v>No</v>
      </c>
      <c r="I37" s="328" t="str">
        <f t="shared" si="1"/>
        <v/>
      </c>
      <c r="J37" s="327" t="str">
        <f>IF('Review Comments'!H38=0,"",'Review Comments'!H38)</f>
        <v>Not Attempted</v>
      </c>
      <c r="K37" s="329" t="str">
        <f>IF(I37="Required","Required",IF(ISNUMBER(MATCH(J37,Lists!$H$2:$H$9,0)),I37,""))</f>
        <v/>
      </c>
      <c r="L37" s="330" t="str">
        <f>IF(I37="Required","Required",IF(ISNUMBER(MATCH(J37,Lists!$I$2:$I$9,0)),I37,IF(ISNUMBER(MATCH(J37,Lists!$J$2:$J$9,0)),I37,"")))</f>
        <v/>
      </c>
      <c r="Q37" s="287" t="b">
        <f>IF(I37="Required",0,IF(ISNUMBER(MATCH(J37,Lists!$I$2:$I$4,0)),L37))</f>
        <v>0</v>
      </c>
      <c r="R37" s="287" t="b">
        <f>IF(I37="Required",0,IF(ISNUMBER(MATCH(J37,Lists!$K$2:$K$7,0)),L37))</f>
        <v>0</v>
      </c>
      <c r="S37" s="287" t="b">
        <f>IF(I37="Required",0,IF(ISNUMBER(MATCH(J37,Lists!$G$2:$G$4,0)),L37))</f>
        <v>0</v>
      </c>
      <c r="T37" s="287" t="b">
        <f>IF(I37="Required",0,IF(ISNUMBER(MATCH(J37,Lists!$G$7:$G$8,0)),L37))</f>
        <v>0</v>
      </c>
      <c r="U37" s="287" t="b">
        <f>IF(I37="Required",0,IF(ISNUMBER(MATCH(J37,Lists!$H$2:$H$4,0)),K37))</f>
        <v>0</v>
      </c>
      <c r="V37" s="287">
        <f t="shared" si="0"/>
        <v>0</v>
      </c>
      <c r="W37" s="287">
        <f t="shared" si="2"/>
        <v>0</v>
      </c>
    </row>
    <row r="38" spans="1:23" ht="21" customHeight="1">
      <c r="A38" s="318" t="s">
        <v>767</v>
      </c>
      <c r="B38" s="286"/>
      <c r="C38" s="770"/>
      <c r="D38" s="766" t="s">
        <v>767</v>
      </c>
      <c r="E38" s="767" t="s">
        <v>794</v>
      </c>
      <c r="F38" s="327" t="s">
        <v>795</v>
      </c>
      <c r="G38" s="328">
        <f>'Review Comments'!F39</f>
        <v>0</v>
      </c>
      <c r="H38" s="328" t="str">
        <f>'Review Comments'!G39</f>
        <v>No</v>
      </c>
      <c r="I38" s="328" t="str">
        <f t="shared" si="1"/>
        <v/>
      </c>
      <c r="J38" s="327" t="str">
        <f>IF('Review Comments'!H39=0,"",'Review Comments'!H39)</f>
        <v>Not Attempted</v>
      </c>
      <c r="K38" s="329" t="str">
        <f>IF(I38="Required","Required",IF(ISNUMBER(MATCH(J38,Lists!$H$2:$H$9,0)),I38,""))</f>
        <v/>
      </c>
      <c r="L38" s="330" t="str">
        <f>IF(I38="Required","Required",IF(ISNUMBER(MATCH(J38,Lists!$I$2:$I$9,0)),I38,IF(ISNUMBER(MATCH(J38,Lists!$J$2:$J$9,0)),I38,"")))</f>
        <v/>
      </c>
      <c r="Q38" s="287" t="b">
        <f>IF(I38="Required",0,IF(ISNUMBER(MATCH(J38,Lists!$I$2:$I$4,0)),L38))</f>
        <v>0</v>
      </c>
      <c r="R38" s="287" t="b">
        <f>IF(I38="Required",0,IF(ISNUMBER(MATCH(J38,Lists!$K$2:$K$7,0)),L38))</f>
        <v>0</v>
      </c>
      <c r="S38" s="287" t="b">
        <f>IF(I38="Required",0,IF(ISNUMBER(MATCH(J38,Lists!$G$2:$G$4,0)),L38))</f>
        <v>0</v>
      </c>
      <c r="T38" s="287" t="b">
        <f>IF(I38="Required",0,IF(ISNUMBER(MATCH(J38,Lists!$G$7:$G$8,0)),L38))</f>
        <v>0</v>
      </c>
      <c r="U38" s="287" t="b">
        <f>IF(I38="Required",0,IF(ISNUMBER(MATCH(J38,Lists!$H$2:$H$4,0)),K38))</f>
        <v>0</v>
      </c>
      <c r="V38" s="287">
        <f t="shared" si="0"/>
        <v>0</v>
      </c>
      <c r="W38" s="287">
        <f t="shared" si="2"/>
        <v>0</v>
      </c>
    </row>
    <row r="39" spans="1:23" ht="21" customHeight="1" thickBot="1">
      <c r="A39" s="318" t="s">
        <v>767</v>
      </c>
      <c r="B39" s="286"/>
      <c r="C39" s="770"/>
      <c r="D39" s="773"/>
      <c r="E39" s="774"/>
      <c r="F39" s="333" t="s">
        <v>796</v>
      </c>
      <c r="G39" s="334">
        <f>'Review Comments'!F40</f>
        <v>1</v>
      </c>
      <c r="H39" s="334" t="str">
        <f>'Review Comments'!G40</f>
        <v>Yes</v>
      </c>
      <c r="I39" s="334">
        <f t="shared" si="1"/>
        <v>1</v>
      </c>
      <c r="J39" s="333" t="str">
        <f>IF('Review Comments'!H40=0,"",'Review Comments'!H40)</f>
        <v>Achieved</v>
      </c>
      <c r="K39" s="335">
        <f>IF(I39="Required","Required",IF(ISNUMBER(MATCH(J39,Lists!$H$2:$H$9,0)),I39,""))</f>
        <v>1</v>
      </c>
      <c r="L39" s="336" t="str">
        <f>IF(I39="Required","Required",IF(ISNUMBER(MATCH(J39,Lists!$I$2:$I$9,0)),I39,IF(ISNUMBER(MATCH(J39,Lists!$J$2:$J$9,0)),I39,"")))</f>
        <v/>
      </c>
      <c r="Q39" s="287" t="b">
        <f>IF(I39="Required",0,IF(ISNUMBER(MATCH(J39,Lists!$I$2:$I$4,0)),L39))</f>
        <v>0</v>
      </c>
      <c r="R39" s="287" t="b">
        <f>IF(I39="Required",0,IF(ISNUMBER(MATCH(J39,Lists!$K$2:$K$7,0)),L39))</f>
        <v>0</v>
      </c>
      <c r="S39" s="287" t="b">
        <f>IF(I39="Required",0,IF(ISNUMBER(MATCH(J39,Lists!$G$2:$G$4,0)),L39))</f>
        <v>0</v>
      </c>
      <c r="T39" s="287" t="b">
        <f>IF(I39="Required",0,IF(ISNUMBER(MATCH(J39,Lists!$G$7:$G$8,0)),L39))</f>
        <v>0</v>
      </c>
      <c r="U39" s="287">
        <f>IF(I39="Required",0,IF(ISNUMBER(MATCH(J39,Lists!$H$2:$H$4,0)),K39))</f>
        <v>1</v>
      </c>
      <c r="V39" s="287">
        <f t="shared" si="0"/>
        <v>0</v>
      </c>
      <c r="W39" s="287">
        <f t="shared" si="2"/>
        <v>0</v>
      </c>
    </row>
    <row r="40" spans="1:23" s="346" customFormat="1" ht="16.2" customHeight="1">
      <c r="A40" s="318" t="s">
        <v>767</v>
      </c>
      <c r="B40" s="337"/>
      <c r="C40" s="338"/>
      <c r="D40" s="339"/>
      <c r="E40" s="340"/>
      <c r="F40" s="341"/>
      <c r="G40" s="342">
        <f>SUM(G11:G39)</f>
        <v>9</v>
      </c>
      <c r="H40" s="339"/>
      <c r="I40" s="343">
        <f>SUM(I11:I39)</f>
        <v>9</v>
      </c>
      <c r="J40" s="344"/>
      <c r="K40" s="343">
        <f>SUM(K11:K39)</f>
        <v>9</v>
      </c>
      <c r="L40" s="345">
        <f>SUM(L11:L39)</f>
        <v>0</v>
      </c>
      <c r="Q40" s="346" t="b">
        <f>IF(I40="Required",0,IF(ISNUMBER(MATCH(J40,Lists!$I$2:$I$4,0)),L40))</f>
        <v>0</v>
      </c>
      <c r="R40" s="346" t="b">
        <f>IF(I40="Required",0,IF(ISNUMBER(MATCH(J40,Lists!$K$2:$K$7,0)),L40))</f>
        <v>0</v>
      </c>
      <c r="S40" s="346" t="b">
        <f>IF(I40="Required",0,IF(ISNUMBER(MATCH(J40,Lists!$G$2:$G$4,0)),L40))</f>
        <v>0</v>
      </c>
      <c r="T40" s="346" t="b">
        <f>IF(I40="Required",0,IF(ISNUMBER(MATCH(J40,Lists!$G$7:$G$8,0)),L40))</f>
        <v>0</v>
      </c>
      <c r="U40" s="346" t="b">
        <f>IF(I40="Required",0,IF(ISNUMBER(MATCH(J40,Lists!$H$2:$H$4,0)),K40))</f>
        <v>0</v>
      </c>
      <c r="V40" s="346">
        <f t="shared" si="0"/>
        <v>0</v>
      </c>
      <c r="W40" s="287">
        <f t="shared" si="2"/>
        <v>0</v>
      </c>
    </row>
    <row r="41" spans="1:23" ht="6.6" customHeight="1" thickBot="1">
      <c r="A41" s="347"/>
      <c r="B41" s="286"/>
      <c r="C41" s="348"/>
      <c r="D41" s="347"/>
      <c r="E41" s="349"/>
      <c r="F41" s="350"/>
      <c r="G41" s="351"/>
      <c r="H41" s="351"/>
      <c r="I41" s="351"/>
      <c r="J41" s="352"/>
      <c r="K41" s="351"/>
      <c r="L41" s="353"/>
      <c r="Q41" s="287" t="b">
        <f>IF(I41="Required",0,IF(ISNUMBER(MATCH(J41,Lists!$I$2:$I$4,0)),L41))</f>
        <v>0</v>
      </c>
      <c r="R41" s="287" t="b">
        <f>IF(I41="Required",0,IF(ISNUMBER(MATCH(J41,Lists!$K$2:$K$7,0)),L41))</f>
        <v>0</v>
      </c>
      <c r="S41" s="287" t="b">
        <f>IF(I41="Required",0,IF(ISNUMBER(MATCH(J41,Lists!$G$2:$G$4,0)),L41))</f>
        <v>0</v>
      </c>
      <c r="T41" s="287" t="b">
        <f>IF(I41="Required",0,IF(ISNUMBER(MATCH(J41,Lists!$G$7:$G$8,0)),L41))</f>
        <v>0</v>
      </c>
      <c r="U41" s="287" t="b">
        <f>IF(I41="Required",0,IF(ISNUMBER(MATCH(J41,Lists!$H$2:$H$4,0)),K41))</f>
        <v>0</v>
      </c>
      <c r="V41" s="287">
        <f t="shared" si="0"/>
        <v>0</v>
      </c>
      <c r="W41" s="287">
        <f t="shared" si="2"/>
        <v>0</v>
      </c>
    </row>
    <row r="42" spans="1:23" ht="21" customHeight="1">
      <c r="A42" s="354" t="s">
        <v>752</v>
      </c>
      <c r="B42" s="286"/>
      <c r="C42" s="775" t="s">
        <v>104</v>
      </c>
      <c r="D42" s="777" t="s">
        <v>752</v>
      </c>
      <c r="E42" s="779" t="s">
        <v>797</v>
      </c>
      <c r="F42" s="357" t="s">
        <v>798</v>
      </c>
      <c r="G42" s="358">
        <f>'Review Comments'!F46</f>
        <v>0</v>
      </c>
      <c r="H42" s="358" t="str">
        <f>'Review Comments'!G46</f>
        <v>Required</v>
      </c>
      <c r="I42" s="358" t="str">
        <f t="shared" ref="I42:I62" si="3">IF(H42="Yes",G42,IF(H42="Required","Required",""))</f>
        <v>Required</v>
      </c>
      <c r="J42" s="357" t="str">
        <f>IF('Review Comments'!H46=0,"",'Review Comments'!H46)</f>
        <v>Achieved</v>
      </c>
      <c r="K42" s="323" t="str">
        <f>IF(I42="Required","Required",IF(ISNUMBER(MATCH(J42,Lists!$H$2:$H$9,0)),I42,""))</f>
        <v>Required</v>
      </c>
      <c r="L42" s="324" t="str">
        <f>IF(I42="Required","Required",IF(ISNUMBER(MATCH(J42,Lists!$I$2:$I$9,0)),I42,IF(ISNUMBER(MATCH(J42,Lists!$J$2:$J$9,0)),I42,"")))</f>
        <v>Required</v>
      </c>
      <c r="Q42" s="287">
        <f>IF(I42="Required",0,IF(ISNUMBER(MATCH(J42,Lists!$I$2:$I$4,0)),L42))</f>
        <v>0</v>
      </c>
      <c r="R42" s="287">
        <f>IF(I42="Required",0,IF(ISNUMBER(MATCH(J42,Lists!$K$2:$K$7,0)),L42))</f>
        <v>0</v>
      </c>
      <c r="S42" s="287">
        <f>IF(I42="Required",0,IF(ISNUMBER(MATCH(J42,Lists!$G$2:$G$4,0)),L42))</f>
        <v>0</v>
      </c>
      <c r="T42" s="287">
        <f>IF(I42="Required",0,IF(ISNUMBER(MATCH(J42,Lists!$G$7:$G$8,0)),L42))</f>
        <v>0</v>
      </c>
      <c r="U42" s="287">
        <f>IF(I42="Required",0,IF(ISNUMBER(MATCH(J42,Lists!$H$2:$H$4,0)),K42))</f>
        <v>0</v>
      </c>
      <c r="V42" s="287">
        <f t="shared" si="0"/>
        <v>0</v>
      </c>
      <c r="W42" s="287">
        <f t="shared" si="2"/>
        <v>0</v>
      </c>
    </row>
    <row r="43" spans="1:23" ht="21" customHeight="1">
      <c r="A43" s="354" t="s">
        <v>752</v>
      </c>
      <c r="B43" s="286"/>
      <c r="C43" s="776"/>
      <c r="D43" s="778"/>
      <c r="E43" s="780"/>
      <c r="F43" s="361" t="s">
        <v>799</v>
      </c>
      <c r="G43" s="362">
        <f>'Review Comments'!F47</f>
        <v>0</v>
      </c>
      <c r="H43" s="362" t="str">
        <f>'Review Comments'!G47</f>
        <v>Required</v>
      </c>
      <c r="I43" s="362" t="str">
        <f t="shared" si="3"/>
        <v>Required</v>
      </c>
      <c r="J43" s="361" t="str">
        <f>IF('Review Comments'!H47=0,"",'Review Comments'!H47)</f>
        <v>Achieved</v>
      </c>
      <c r="K43" s="329" t="str">
        <f>IF(I43="Required","Required",IF(ISNUMBER(MATCH(J43,Lists!$H$2:$H$9,0)),I43,""))</f>
        <v>Required</v>
      </c>
      <c r="L43" s="330" t="str">
        <f>IF(I43="Required","Required",IF(ISNUMBER(MATCH(J43,Lists!$I$2:$I$9,0)),I43,IF(ISNUMBER(MATCH(J43,Lists!$J$2:$J$9,0)),I43,"")))</f>
        <v>Required</v>
      </c>
      <c r="Q43" s="287">
        <f>IF(I43="Required",0,IF(ISNUMBER(MATCH(J43,Lists!$I$2:$I$4,0)),L43))</f>
        <v>0</v>
      </c>
      <c r="R43" s="287">
        <f>IF(I43="Required",0,IF(ISNUMBER(MATCH(J43,Lists!$K$2:$K$7,0)),L43))</f>
        <v>0</v>
      </c>
      <c r="S43" s="287">
        <f>IF(I43="Required",0,IF(ISNUMBER(MATCH(J43,Lists!$G$2:$G$4,0)),L43))</f>
        <v>0</v>
      </c>
      <c r="T43" s="287">
        <f>IF(I43="Required",0,IF(ISNUMBER(MATCH(J43,Lists!$G$7:$G$8,0)),L43))</f>
        <v>0</v>
      </c>
      <c r="U43" s="287">
        <f>IF(I43="Required",0,IF(ISNUMBER(MATCH(J43,Lists!$H$2:$H$4,0)),K43))</f>
        <v>0</v>
      </c>
      <c r="V43" s="287">
        <f t="shared" si="0"/>
        <v>0</v>
      </c>
      <c r="W43" s="287">
        <f t="shared" si="2"/>
        <v>0</v>
      </c>
    </row>
    <row r="44" spans="1:23" ht="21" customHeight="1">
      <c r="A44" s="354" t="s">
        <v>752</v>
      </c>
      <c r="B44" s="286"/>
      <c r="C44" s="776"/>
      <c r="D44" s="778"/>
      <c r="E44" s="780"/>
      <c r="F44" s="361" t="s">
        <v>800</v>
      </c>
      <c r="G44" s="362">
        <f>'Review Comments'!F48</f>
        <v>0</v>
      </c>
      <c r="H44" s="362" t="str">
        <f>'Review Comments'!G48</f>
        <v>Required</v>
      </c>
      <c r="I44" s="362" t="str">
        <f t="shared" si="3"/>
        <v>Required</v>
      </c>
      <c r="J44" s="361" t="str">
        <f>IF('Review Comments'!H48=0,"",'Review Comments'!H48)</f>
        <v>Achieved</v>
      </c>
      <c r="K44" s="329" t="str">
        <f>IF(I44="Required","Required",IF(ISNUMBER(MATCH(J44,Lists!$H$2:$H$9,0)),I44,""))</f>
        <v>Required</v>
      </c>
      <c r="L44" s="330" t="str">
        <f>IF(I44="Required","Required",IF(ISNUMBER(MATCH(J44,Lists!$I$2:$I$9,0)),I44,IF(ISNUMBER(MATCH(J44,Lists!$J$2:$J$9,0)),I44,"")))</f>
        <v>Required</v>
      </c>
      <c r="Q44" s="287">
        <f>IF(I44="Required",0,IF(ISNUMBER(MATCH(J44,Lists!$I$2:$I$4,0)),L44))</f>
        <v>0</v>
      </c>
      <c r="R44" s="287">
        <f>IF(I44="Required",0,IF(ISNUMBER(MATCH(J44,Lists!$K$2:$K$7,0)),L44))</f>
        <v>0</v>
      </c>
      <c r="S44" s="287">
        <f>IF(I44="Required",0,IF(ISNUMBER(MATCH(J44,Lists!$G$2:$G$4,0)),L44))</f>
        <v>0</v>
      </c>
      <c r="T44" s="287">
        <f>IF(I44="Required",0,IF(ISNUMBER(MATCH(J44,Lists!$G$7:$G$8,0)),L44))</f>
        <v>0</v>
      </c>
      <c r="U44" s="287">
        <f>IF(I44="Required",0,IF(ISNUMBER(MATCH(J44,Lists!$H$2:$H$4,0)),K44))</f>
        <v>0</v>
      </c>
      <c r="V44" s="287">
        <f t="shared" si="0"/>
        <v>0</v>
      </c>
      <c r="W44" s="287">
        <f t="shared" si="2"/>
        <v>0</v>
      </c>
    </row>
    <row r="45" spans="1:23" ht="21" customHeight="1">
      <c r="A45" s="354" t="s">
        <v>752</v>
      </c>
      <c r="B45" s="286"/>
      <c r="C45" s="776"/>
      <c r="D45" s="778" t="s">
        <v>752</v>
      </c>
      <c r="E45" s="780" t="s">
        <v>801</v>
      </c>
      <c r="F45" s="361" t="s">
        <v>802</v>
      </c>
      <c r="G45" s="362">
        <f>'Review Comments'!F49</f>
        <v>0</v>
      </c>
      <c r="H45" s="362" t="str">
        <f>'Review Comments'!G49</f>
        <v>Required</v>
      </c>
      <c r="I45" s="362" t="str">
        <f t="shared" si="3"/>
        <v>Required</v>
      </c>
      <c r="J45" s="361" t="str">
        <f>IF('Review Comments'!H49=0,"",'Review Comments'!H49)</f>
        <v>Achieved</v>
      </c>
      <c r="K45" s="329" t="str">
        <f>IF(I45="Required","Required",IF(ISNUMBER(MATCH(J45,Lists!$H$2:$H$9,0)),I45,""))</f>
        <v>Required</v>
      </c>
      <c r="L45" s="330" t="str">
        <f>IF(I45="Required","Required",IF(ISNUMBER(MATCH(J45,Lists!$I$2:$I$9,0)),I45,IF(ISNUMBER(MATCH(J45,Lists!$J$2:$J$9,0)),I45,"")))</f>
        <v>Required</v>
      </c>
      <c r="Q45" s="287">
        <f>IF(I45="Required",0,IF(ISNUMBER(MATCH(J45,Lists!$I$2:$I$4,0)),L45))</f>
        <v>0</v>
      </c>
      <c r="R45" s="287">
        <f>IF(I45="Required",0,IF(ISNUMBER(MATCH(J45,Lists!$K$2:$K$7,0)),L45))</f>
        <v>0</v>
      </c>
      <c r="S45" s="287">
        <f>IF(I45="Required",0,IF(ISNUMBER(MATCH(J45,Lists!$G$2:$G$4,0)),L45))</f>
        <v>0</v>
      </c>
      <c r="T45" s="287">
        <f>IF(I45="Required",0,IF(ISNUMBER(MATCH(J45,Lists!$G$7:$G$8,0)),L45))</f>
        <v>0</v>
      </c>
      <c r="U45" s="287">
        <f>IF(I45="Required",0,IF(ISNUMBER(MATCH(J45,Lists!$H$2:$H$4,0)),K45))</f>
        <v>0</v>
      </c>
      <c r="V45" s="287">
        <f t="shared" si="0"/>
        <v>0</v>
      </c>
      <c r="W45" s="287">
        <f t="shared" si="2"/>
        <v>0</v>
      </c>
    </row>
    <row r="46" spans="1:23" ht="21" customHeight="1">
      <c r="A46" s="354" t="s">
        <v>752</v>
      </c>
      <c r="B46" s="286"/>
      <c r="C46" s="776"/>
      <c r="D46" s="778"/>
      <c r="E46" s="780"/>
      <c r="F46" s="361" t="s">
        <v>803</v>
      </c>
      <c r="G46" s="362">
        <f>'Review Comments'!F50</f>
        <v>0</v>
      </c>
      <c r="H46" s="362" t="str">
        <f>'Review Comments'!G50</f>
        <v>Required</v>
      </c>
      <c r="I46" s="362" t="str">
        <f t="shared" si="3"/>
        <v>Required</v>
      </c>
      <c r="J46" s="361" t="str">
        <f>IF('Review Comments'!H50=0,"",'Review Comments'!H50)</f>
        <v>Achieved</v>
      </c>
      <c r="K46" s="329" t="str">
        <f>IF(I46="Required","Required",IF(ISNUMBER(MATCH(J46,Lists!$H$2:$H$9,0)),I46,""))</f>
        <v>Required</v>
      </c>
      <c r="L46" s="330" t="str">
        <f>IF(I46="Required","Required",IF(ISNUMBER(MATCH(J46,Lists!$I$2:$I$9,0)),I46,IF(ISNUMBER(MATCH(J46,Lists!$J$2:$J$9,0)),I46,"")))</f>
        <v>Required</v>
      </c>
      <c r="Q46" s="287">
        <f>IF(I46="Required",0,IF(ISNUMBER(MATCH(J46,Lists!$I$2:$I$4,0)),L46))</f>
        <v>0</v>
      </c>
      <c r="R46" s="287">
        <f>IF(I46="Required",0,IF(ISNUMBER(MATCH(J46,Lists!$K$2:$K$7,0)),L46))</f>
        <v>0</v>
      </c>
      <c r="S46" s="287">
        <f>IF(I46="Required",0,IF(ISNUMBER(MATCH(J46,Lists!$G$2:$G$4,0)),L46))</f>
        <v>0</v>
      </c>
      <c r="T46" s="287">
        <f>IF(I46="Required",0,IF(ISNUMBER(MATCH(J46,Lists!$G$7:$G$8,0)),L46))</f>
        <v>0</v>
      </c>
      <c r="U46" s="287">
        <f>IF(I46="Required",0,IF(ISNUMBER(MATCH(J46,Lists!$H$2:$H$4,0)),K46))</f>
        <v>0</v>
      </c>
      <c r="V46" s="287">
        <f t="shared" si="0"/>
        <v>0</v>
      </c>
      <c r="W46" s="287">
        <f t="shared" si="2"/>
        <v>0</v>
      </c>
    </row>
    <row r="47" spans="1:23" ht="21" customHeight="1">
      <c r="A47" s="354" t="s">
        <v>752</v>
      </c>
      <c r="B47" s="286"/>
      <c r="C47" s="776"/>
      <c r="D47" s="778"/>
      <c r="E47" s="780"/>
      <c r="F47" s="361" t="s">
        <v>804</v>
      </c>
      <c r="G47" s="362">
        <f>'Review Comments'!F51</f>
        <v>0</v>
      </c>
      <c r="H47" s="362" t="str">
        <f>'Review Comments'!G51</f>
        <v>Required</v>
      </c>
      <c r="I47" s="362" t="str">
        <f t="shared" si="3"/>
        <v>Required</v>
      </c>
      <c r="J47" s="361" t="str">
        <f>IF('Review Comments'!H51=0,"",'Review Comments'!H51)</f>
        <v>Achieved</v>
      </c>
      <c r="K47" s="329" t="str">
        <f>IF(I47="Required","Required",IF(ISNUMBER(MATCH(J47,Lists!$H$2:$H$9,0)),I47,""))</f>
        <v>Required</v>
      </c>
      <c r="L47" s="330" t="str">
        <f>IF(I47="Required","Required",IF(ISNUMBER(MATCH(J47,Lists!$I$2:$I$9,0)),I47,IF(ISNUMBER(MATCH(J47,Lists!$J$2:$J$9,0)),I47,"")))</f>
        <v>Required</v>
      </c>
      <c r="Q47" s="287">
        <f>IF(I47="Required",0,IF(ISNUMBER(MATCH(J47,Lists!$I$2:$I$4,0)),L47))</f>
        <v>0</v>
      </c>
      <c r="R47" s="287">
        <f>IF(I47="Required",0,IF(ISNUMBER(MATCH(J47,Lists!$K$2:$K$7,0)),L47))</f>
        <v>0</v>
      </c>
      <c r="S47" s="287">
        <f>IF(I47="Required",0,IF(ISNUMBER(MATCH(J47,Lists!$G$2:$G$4,0)),L47))</f>
        <v>0</v>
      </c>
      <c r="T47" s="287">
        <f>IF(I47="Required",0,IF(ISNUMBER(MATCH(J47,Lists!$G$7:$G$8,0)),L47))</f>
        <v>0</v>
      </c>
      <c r="U47" s="287">
        <f>IF(I47="Required",0,IF(ISNUMBER(MATCH(J47,Lists!$H$2:$H$4,0)),K47))</f>
        <v>0</v>
      </c>
      <c r="V47" s="287">
        <f t="shared" si="0"/>
        <v>0</v>
      </c>
      <c r="W47" s="287">
        <f t="shared" si="2"/>
        <v>0</v>
      </c>
    </row>
    <row r="48" spans="1:23" ht="21" customHeight="1">
      <c r="A48" s="354" t="s">
        <v>752</v>
      </c>
      <c r="B48" s="286"/>
      <c r="C48" s="776"/>
      <c r="D48" s="778"/>
      <c r="E48" s="780"/>
      <c r="F48" s="361" t="s">
        <v>805</v>
      </c>
      <c r="G48" s="362">
        <f>'Review Comments'!F52</f>
        <v>0</v>
      </c>
      <c r="H48" s="362" t="str">
        <f>'Review Comments'!G52</f>
        <v>Required</v>
      </c>
      <c r="I48" s="362" t="str">
        <f t="shared" si="3"/>
        <v>Required</v>
      </c>
      <c r="J48" s="361" t="str">
        <f>IF('Review Comments'!H52=0,"",'Review Comments'!H52)</f>
        <v>Achieved</v>
      </c>
      <c r="K48" s="329" t="str">
        <f>IF(I48="Required","Required",IF(ISNUMBER(MATCH(J48,Lists!$H$2:$H$9,0)),I48,""))</f>
        <v>Required</v>
      </c>
      <c r="L48" s="330" t="str">
        <f>IF(I48="Required","Required",IF(ISNUMBER(MATCH(J48,Lists!$I$2:$I$9,0)),I48,IF(ISNUMBER(MATCH(J48,Lists!$J$2:$J$9,0)),I48,"")))</f>
        <v>Required</v>
      </c>
      <c r="Q48" s="287">
        <f>IF(I48="Required",0,IF(ISNUMBER(MATCH(J48,Lists!$I$2:$I$4,0)),L48))</f>
        <v>0</v>
      </c>
      <c r="R48" s="287">
        <f>IF(I48="Required",0,IF(ISNUMBER(MATCH(J48,Lists!$K$2:$K$7,0)),L48))</f>
        <v>0</v>
      </c>
      <c r="S48" s="287">
        <f>IF(I48="Required",0,IF(ISNUMBER(MATCH(J48,Lists!$G$2:$G$4,0)),L48))</f>
        <v>0</v>
      </c>
      <c r="T48" s="287">
        <f>IF(I48="Required",0,IF(ISNUMBER(MATCH(J48,Lists!$G$7:$G$8,0)),L48))</f>
        <v>0</v>
      </c>
      <c r="U48" s="287">
        <f>IF(I48="Required",0,IF(ISNUMBER(MATCH(J48,Lists!$H$2:$H$4,0)),K48))</f>
        <v>0</v>
      </c>
      <c r="V48" s="287">
        <f t="shared" si="0"/>
        <v>0</v>
      </c>
      <c r="W48" s="287">
        <f t="shared" si="2"/>
        <v>0</v>
      </c>
    </row>
    <row r="49" spans="1:23" ht="21" customHeight="1">
      <c r="A49" s="354" t="s">
        <v>752</v>
      </c>
      <c r="B49" s="286"/>
      <c r="C49" s="776"/>
      <c r="D49" s="778"/>
      <c r="E49" s="780"/>
      <c r="F49" s="361" t="s">
        <v>806</v>
      </c>
      <c r="G49" s="362">
        <f>'Review Comments'!F53</f>
        <v>0</v>
      </c>
      <c r="H49" s="362" t="str">
        <f>'Review Comments'!G53</f>
        <v>Required</v>
      </c>
      <c r="I49" s="362" t="str">
        <f t="shared" si="3"/>
        <v>Required</v>
      </c>
      <c r="J49" s="361" t="str">
        <f>IF('Review Comments'!H53=0,"",'Review Comments'!H53)</f>
        <v>Achieved</v>
      </c>
      <c r="K49" s="329" t="str">
        <f>IF(I49="Required","Required",IF(ISNUMBER(MATCH(J49,Lists!$H$2:$H$9,0)),I49,""))</f>
        <v>Required</v>
      </c>
      <c r="L49" s="330" t="str">
        <f>IF(I49="Required","Required",IF(ISNUMBER(MATCH(J49,Lists!$I$2:$I$9,0)),I49,IF(ISNUMBER(MATCH(J49,Lists!$J$2:$J$9,0)),I49,"")))</f>
        <v>Required</v>
      </c>
      <c r="Q49" s="287">
        <f>IF(I49="Required",0,IF(ISNUMBER(MATCH(J49,Lists!$I$2:$I$4,0)),L49))</f>
        <v>0</v>
      </c>
      <c r="R49" s="287">
        <f>IF(I49="Required",0,IF(ISNUMBER(MATCH(J49,Lists!$K$2:$K$7,0)),L49))</f>
        <v>0</v>
      </c>
      <c r="S49" s="287">
        <f>IF(I49="Required",0,IF(ISNUMBER(MATCH(J49,Lists!$G$2:$G$4,0)),L49))</f>
        <v>0</v>
      </c>
      <c r="T49" s="287">
        <f>IF(I49="Required",0,IF(ISNUMBER(MATCH(J49,Lists!$G$7:$G$8,0)),L49))</f>
        <v>0</v>
      </c>
      <c r="U49" s="287">
        <f>IF(I49="Required",0,IF(ISNUMBER(MATCH(J49,Lists!$H$2:$H$4,0)),K49))</f>
        <v>0</v>
      </c>
      <c r="V49" s="287">
        <f t="shared" si="0"/>
        <v>0</v>
      </c>
      <c r="W49" s="287">
        <f t="shared" si="2"/>
        <v>0</v>
      </c>
    </row>
    <row r="50" spans="1:23" ht="21" customHeight="1">
      <c r="A50" s="354" t="s">
        <v>752</v>
      </c>
      <c r="B50" s="286"/>
      <c r="C50" s="776"/>
      <c r="D50" s="778"/>
      <c r="E50" s="780"/>
      <c r="F50" s="361" t="s">
        <v>807</v>
      </c>
      <c r="G50" s="362">
        <f>'Review Comments'!F54</f>
        <v>0</v>
      </c>
      <c r="H50" s="362" t="str">
        <f>'Review Comments'!G54</f>
        <v>Required</v>
      </c>
      <c r="I50" s="362" t="str">
        <f t="shared" si="3"/>
        <v>Required</v>
      </c>
      <c r="J50" s="361" t="str">
        <f>IF('Review Comments'!H54=0,"",'Review Comments'!H54)</f>
        <v>Achieved</v>
      </c>
      <c r="K50" s="329" t="str">
        <f>IF(I50="Required","Required",IF(ISNUMBER(MATCH(J50,Lists!$H$2:$H$9,0)),I50,""))</f>
        <v>Required</v>
      </c>
      <c r="L50" s="330" t="str">
        <f>IF(I50="Required","Required",IF(ISNUMBER(MATCH(J50,Lists!$I$2:$I$9,0)),I50,IF(ISNUMBER(MATCH(J50,Lists!$J$2:$J$9,0)),I50,"")))</f>
        <v>Required</v>
      </c>
      <c r="Q50" s="287">
        <f>IF(I50="Required",0,IF(ISNUMBER(MATCH(J50,Lists!$I$2:$I$4,0)),L50))</f>
        <v>0</v>
      </c>
      <c r="R50" s="287">
        <f>IF(I50="Required",0,IF(ISNUMBER(MATCH(J50,Lists!$K$2:$K$7,0)),L50))</f>
        <v>0</v>
      </c>
      <c r="S50" s="287">
        <f>IF(I50="Required",0,IF(ISNUMBER(MATCH(J50,Lists!$G$2:$G$4,0)),L50))</f>
        <v>0</v>
      </c>
      <c r="T50" s="287">
        <f>IF(I50="Required",0,IF(ISNUMBER(MATCH(J50,Lists!$G$7:$G$8,0)),L50))</f>
        <v>0</v>
      </c>
      <c r="U50" s="287">
        <f>IF(I50="Required",0,IF(ISNUMBER(MATCH(J50,Lists!$H$2:$H$4,0)),K50))</f>
        <v>0</v>
      </c>
      <c r="V50" s="287">
        <f t="shared" si="0"/>
        <v>0</v>
      </c>
      <c r="W50" s="287">
        <f t="shared" si="2"/>
        <v>0</v>
      </c>
    </row>
    <row r="51" spans="1:23" ht="21" customHeight="1">
      <c r="A51" s="354" t="s">
        <v>752</v>
      </c>
      <c r="B51" s="286"/>
      <c r="C51" s="776"/>
      <c r="D51" s="778"/>
      <c r="E51" s="780"/>
      <c r="F51" s="361" t="s">
        <v>808</v>
      </c>
      <c r="G51" s="362">
        <f>'Review Comments'!F55</f>
        <v>0</v>
      </c>
      <c r="H51" s="362" t="str">
        <f>'Review Comments'!G55</f>
        <v>Required</v>
      </c>
      <c r="I51" s="362" t="str">
        <f t="shared" si="3"/>
        <v>Required</v>
      </c>
      <c r="J51" s="361" t="str">
        <f>IF('Review Comments'!H55=0,"",'Review Comments'!H55)</f>
        <v>Achieved</v>
      </c>
      <c r="K51" s="329" t="str">
        <f>IF(I51="Required","Required",IF(ISNUMBER(MATCH(J51,Lists!$H$2:$H$9,0)),I51,""))</f>
        <v>Required</v>
      </c>
      <c r="L51" s="330" t="str">
        <f>IF(I51="Required","Required",IF(ISNUMBER(MATCH(J51,Lists!$I$2:$I$9,0)),I51,IF(ISNUMBER(MATCH(J51,Lists!$J$2:$J$9,0)),I51,"")))</f>
        <v>Required</v>
      </c>
      <c r="Q51" s="287">
        <f>IF(I51="Required",0,IF(ISNUMBER(MATCH(J51,Lists!$I$2:$I$4,0)),L51))</f>
        <v>0</v>
      </c>
      <c r="R51" s="287">
        <f>IF(I51="Required",0,IF(ISNUMBER(MATCH(J51,Lists!$K$2:$K$7,0)),L51))</f>
        <v>0</v>
      </c>
      <c r="S51" s="287">
        <f>IF(I51="Required",0,IF(ISNUMBER(MATCH(J51,Lists!$G$2:$G$4,0)),L51))</f>
        <v>0</v>
      </c>
      <c r="T51" s="287">
        <f>IF(I51="Required",0,IF(ISNUMBER(MATCH(J51,Lists!$G$7:$G$8,0)),L51))</f>
        <v>0</v>
      </c>
      <c r="U51" s="287">
        <f>IF(I51="Required",0,IF(ISNUMBER(MATCH(J51,Lists!$H$2:$H$4,0)),K51))</f>
        <v>0</v>
      </c>
      <c r="V51" s="287">
        <f t="shared" si="0"/>
        <v>0</v>
      </c>
      <c r="W51" s="287">
        <f t="shared" si="2"/>
        <v>0</v>
      </c>
    </row>
    <row r="52" spans="1:23" ht="21" customHeight="1">
      <c r="A52" s="354" t="s">
        <v>752</v>
      </c>
      <c r="B52" s="286"/>
      <c r="C52" s="776"/>
      <c r="D52" s="359" t="s">
        <v>752</v>
      </c>
      <c r="E52" s="360" t="s">
        <v>809</v>
      </c>
      <c r="F52" s="361" t="s">
        <v>810</v>
      </c>
      <c r="G52" s="362">
        <f>'Review Comments'!F56</f>
        <v>0</v>
      </c>
      <c r="H52" s="362" t="str">
        <f>'Review Comments'!G56</f>
        <v>Required</v>
      </c>
      <c r="I52" s="362" t="str">
        <f t="shared" si="3"/>
        <v>Required</v>
      </c>
      <c r="J52" s="361" t="str">
        <f>IF('Review Comments'!H56=0,"",'Review Comments'!H56)</f>
        <v>Achieved</v>
      </c>
      <c r="K52" s="329" t="str">
        <f>IF(I52="Required","Required",IF(ISNUMBER(MATCH(J52,Lists!$H$2:$H$9,0)),I52,""))</f>
        <v>Required</v>
      </c>
      <c r="L52" s="330" t="str">
        <f>IF(I52="Required","Required",IF(ISNUMBER(MATCH(J52,Lists!$I$2:$I$9,0)),I52,IF(ISNUMBER(MATCH(J52,Lists!$J$2:$J$9,0)),I52,"")))</f>
        <v>Required</v>
      </c>
      <c r="Q52" s="287">
        <f>IF(I52="Required",0,IF(ISNUMBER(MATCH(J52,Lists!$I$2:$I$4,0)),L52))</f>
        <v>0</v>
      </c>
      <c r="R52" s="287">
        <f>IF(I52="Required",0,IF(ISNUMBER(MATCH(J52,Lists!$K$2:$K$7,0)),L52))</f>
        <v>0</v>
      </c>
      <c r="S52" s="287">
        <f>IF(I52="Required",0,IF(ISNUMBER(MATCH(J52,Lists!$G$2:$G$4,0)),L52))</f>
        <v>0</v>
      </c>
      <c r="T52" s="287">
        <f>IF(I52="Required",0,IF(ISNUMBER(MATCH(J52,Lists!$G$7:$G$8,0)),L52))</f>
        <v>0</v>
      </c>
      <c r="U52" s="287">
        <f>IF(I52="Required",0,IF(ISNUMBER(MATCH(J52,Lists!$H$2:$H$4,0)),K52))</f>
        <v>0</v>
      </c>
      <c r="V52" s="287">
        <f t="shared" si="0"/>
        <v>0</v>
      </c>
      <c r="W52" s="287">
        <f t="shared" si="2"/>
        <v>0</v>
      </c>
    </row>
    <row r="53" spans="1:23" ht="21" customHeight="1">
      <c r="A53" s="354" t="s">
        <v>767</v>
      </c>
      <c r="B53" s="286"/>
      <c r="C53" s="776"/>
      <c r="D53" s="359" t="s">
        <v>767</v>
      </c>
      <c r="E53" s="360" t="s">
        <v>811</v>
      </c>
      <c r="F53" s="361" t="s">
        <v>812</v>
      </c>
      <c r="G53" s="362">
        <f>'Review Comments'!F57</f>
        <v>1</v>
      </c>
      <c r="H53" s="362" t="str">
        <f>'Review Comments'!G57</f>
        <v>Yes</v>
      </c>
      <c r="I53" s="362">
        <f t="shared" si="3"/>
        <v>1</v>
      </c>
      <c r="J53" s="361" t="str">
        <f>IF('Review Comments'!H57=0,"",'Review Comments'!H57)</f>
        <v>Achieved</v>
      </c>
      <c r="K53" s="329">
        <f>IF(I53="Required","Required",IF(ISNUMBER(MATCH(J53,Lists!$H$2:$H$9,0)),I53,""))</f>
        <v>1</v>
      </c>
      <c r="L53" s="330" t="str">
        <f>IF(I53="Required","Required",IF(ISNUMBER(MATCH(J53,Lists!$I$2:$I$9,0)),I53,IF(ISNUMBER(MATCH(J53,Lists!$J$2:$J$9,0)),I53,"")))</f>
        <v/>
      </c>
      <c r="Q53" s="287" t="b">
        <f>IF(I53="Required",0,IF(ISNUMBER(MATCH(J53,Lists!$I$2:$I$4,0)),L53))</f>
        <v>0</v>
      </c>
      <c r="R53" s="287" t="b">
        <f>IF(I53="Required",0,IF(ISNUMBER(MATCH(J53,Lists!$K$2:$K$7,0)),L53))</f>
        <v>0</v>
      </c>
      <c r="S53" s="287" t="b">
        <f>IF(I53="Required",0,IF(ISNUMBER(MATCH(J53,Lists!$G$2:$G$4,0)),L53))</f>
        <v>0</v>
      </c>
      <c r="T53" s="287" t="b">
        <f>IF(I53="Required",0,IF(ISNUMBER(MATCH(J53,Lists!$G$7:$G$8,0)),L53))</f>
        <v>0</v>
      </c>
      <c r="U53" s="287">
        <f>IF(I53="Required",0,IF(ISNUMBER(MATCH(J53,Lists!$H$2:$H$4,0)),K53))</f>
        <v>1</v>
      </c>
      <c r="V53" s="287">
        <f t="shared" si="0"/>
        <v>0</v>
      </c>
      <c r="W53" s="287">
        <f t="shared" si="2"/>
        <v>0</v>
      </c>
    </row>
    <row r="54" spans="1:23" ht="21" customHeight="1">
      <c r="A54" s="354" t="s">
        <v>767</v>
      </c>
      <c r="B54" s="286"/>
      <c r="C54" s="776"/>
      <c r="D54" s="778" t="s">
        <v>767</v>
      </c>
      <c r="E54" s="780" t="s">
        <v>813</v>
      </c>
      <c r="F54" s="361" t="s">
        <v>814</v>
      </c>
      <c r="G54" s="362">
        <f>'Review Comments'!F58</f>
        <v>1</v>
      </c>
      <c r="H54" s="362" t="str">
        <f>'Review Comments'!G58</f>
        <v>Yes</v>
      </c>
      <c r="I54" s="362">
        <f t="shared" si="3"/>
        <v>1</v>
      </c>
      <c r="J54" s="361" t="str">
        <f>IF('Review Comments'!H58=0,"",'Review Comments'!H58)</f>
        <v>Achieved</v>
      </c>
      <c r="K54" s="329">
        <f>IF(I54="Required","Required",IF(ISNUMBER(MATCH(J54,Lists!$H$2:$H$9,0)),I54,""))</f>
        <v>1</v>
      </c>
      <c r="L54" s="330" t="str">
        <f>IF(I54="Required","Required",IF(ISNUMBER(MATCH(J54,Lists!$I$2:$I$9,0)),I54,IF(ISNUMBER(MATCH(J54,Lists!$J$2:$J$9,0)),I54,"")))</f>
        <v/>
      </c>
      <c r="Q54" s="287" t="b">
        <f>IF(I54="Required",0,IF(ISNUMBER(MATCH(J54,Lists!$I$2:$I$4,0)),L54))</f>
        <v>0</v>
      </c>
      <c r="R54" s="287" t="b">
        <f>IF(I54="Required",0,IF(ISNUMBER(MATCH(J54,Lists!$K$2:$K$7,0)),L54))</f>
        <v>0</v>
      </c>
      <c r="S54" s="287" t="b">
        <f>IF(I54="Required",0,IF(ISNUMBER(MATCH(J54,Lists!$G$2:$G$4,0)),L54))</f>
        <v>0</v>
      </c>
      <c r="T54" s="287" t="b">
        <f>IF(I54="Required",0,IF(ISNUMBER(MATCH(J54,Lists!$G$7:$G$8,0)),L54))</f>
        <v>0</v>
      </c>
      <c r="U54" s="287">
        <f>IF(I54="Required",0,IF(ISNUMBER(MATCH(J54,Lists!$H$2:$H$4,0)),K54))</f>
        <v>1</v>
      </c>
      <c r="V54" s="287">
        <f t="shared" si="0"/>
        <v>0</v>
      </c>
      <c r="W54" s="287">
        <f t="shared" si="2"/>
        <v>0</v>
      </c>
    </row>
    <row r="55" spans="1:23" ht="21" customHeight="1">
      <c r="A55" s="354" t="s">
        <v>767</v>
      </c>
      <c r="B55" s="286"/>
      <c r="C55" s="776"/>
      <c r="D55" s="778"/>
      <c r="E55" s="780"/>
      <c r="F55" s="361" t="s">
        <v>815</v>
      </c>
      <c r="G55" s="362">
        <f>'Review Comments'!F59</f>
        <v>1</v>
      </c>
      <c r="H55" s="362" t="str">
        <f>'Review Comments'!G59</f>
        <v>Yes</v>
      </c>
      <c r="I55" s="362">
        <f t="shared" si="3"/>
        <v>1</v>
      </c>
      <c r="J55" s="361" t="str">
        <f>IF('Review Comments'!H59=0,"",'Review Comments'!H59)</f>
        <v>Achieved</v>
      </c>
      <c r="K55" s="329">
        <f>IF(I55="Required","Required",IF(ISNUMBER(MATCH(J55,Lists!$H$2:$H$9,0)),I55,""))</f>
        <v>1</v>
      </c>
      <c r="L55" s="330" t="str">
        <f>IF(I55="Required","Required",IF(ISNUMBER(MATCH(J55,Lists!$I$2:$I$9,0)),I55,IF(ISNUMBER(MATCH(J55,Lists!$J$2:$J$9,0)),I55,"")))</f>
        <v/>
      </c>
      <c r="Q55" s="287" t="b">
        <f>IF(I55="Required",0,IF(ISNUMBER(MATCH(J55,Lists!$I$2:$I$4,0)),L55))</f>
        <v>0</v>
      </c>
      <c r="R55" s="287" t="b">
        <f>IF(I55="Required",0,IF(ISNUMBER(MATCH(J55,Lists!$K$2:$K$7,0)),L55))</f>
        <v>0</v>
      </c>
      <c r="S55" s="287" t="b">
        <f>IF(I55="Required",0,IF(ISNUMBER(MATCH(J55,Lists!$G$2:$G$4,0)),L55))</f>
        <v>0</v>
      </c>
      <c r="T55" s="287" t="b">
        <f>IF(I55="Required",0,IF(ISNUMBER(MATCH(J55,Lists!$G$7:$G$8,0)),L55))</f>
        <v>0</v>
      </c>
      <c r="U55" s="287">
        <f>IF(I55="Required",0,IF(ISNUMBER(MATCH(J55,Lists!$H$2:$H$4,0)),K55))</f>
        <v>1</v>
      </c>
      <c r="V55" s="287">
        <f t="shared" si="0"/>
        <v>0</v>
      </c>
      <c r="W55" s="287">
        <f t="shared" si="2"/>
        <v>0</v>
      </c>
    </row>
    <row r="56" spans="1:23" ht="21" customHeight="1">
      <c r="A56" s="354" t="s">
        <v>767</v>
      </c>
      <c r="B56" s="286"/>
      <c r="C56" s="776"/>
      <c r="D56" s="359" t="s">
        <v>767</v>
      </c>
      <c r="E56" s="360" t="s">
        <v>816</v>
      </c>
      <c r="F56" s="361" t="s">
        <v>817</v>
      </c>
      <c r="G56" s="362">
        <f>'Review Comments'!F60</f>
        <v>1</v>
      </c>
      <c r="H56" s="362" t="str">
        <f>'Review Comments'!G60</f>
        <v>Yes</v>
      </c>
      <c r="I56" s="362">
        <f t="shared" si="3"/>
        <v>1</v>
      </c>
      <c r="J56" s="361" t="str">
        <f>IF('Review Comments'!H60=0,"",'Review Comments'!H60)</f>
        <v>Achieved</v>
      </c>
      <c r="K56" s="329">
        <f>IF(I56="Required","Required",IF(ISNUMBER(MATCH(J56,Lists!$H$2:$H$9,0)),I56,""))</f>
        <v>1</v>
      </c>
      <c r="L56" s="330" t="str">
        <f>IF(I56="Required","Required",IF(ISNUMBER(MATCH(J56,Lists!$I$2:$I$9,0)),I56,IF(ISNUMBER(MATCH(J56,Lists!$J$2:$J$9,0)),I56,"")))</f>
        <v/>
      </c>
      <c r="Q56" s="287" t="b">
        <f>IF(I56="Required",0,IF(ISNUMBER(MATCH(J56,Lists!$I$2:$I$4,0)),L56))</f>
        <v>0</v>
      </c>
      <c r="R56" s="287" t="b">
        <f>IF(I56="Required",0,IF(ISNUMBER(MATCH(J56,Lists!$K$2:$K$7,0)),L56))</f>
        <v>0</v>
      </c>
      <c r="S56" s="287" t="b">
        <f>IF(I56="Required",0,IF(ISNUMBER(MATCH(J56,Lists!$G$2:$G$4,0)),L56))</f>
        <v>0</v>
      </c>
      <c r="T56" s="287" t="b">
        <f>IF(I56="Required",0,IF(ISNUMBER(MATCH(J56,Lists!$G$7:$G$8,0)),L56))</f>
        <v>0</v>
      </c>
      <c r="U56" s="287">
        <f>IF(I56="Required",0,IF(ISNUMBER(MATCH(J56,Lists!$H$2:$H$4,0)),K56))</f>
        <v>1</v>
      </c>
      <c r="V56" s="287">
        <f t="shared" si="0"/>
        <v>0</v>
      </c>
      <c r="W56" s="287">
        <f t="shared" si="2"/>
        <v>0</v>
      </c>
    </row>
    <row r="57" spans="1:23" ht="21" customHeight="1">
      <c r="A57" s="354" t="s">
        <v>767</v>
      </c>
      <c r="B57" s="286"/>
      <c r="C57" s="776"/>
      <c r="D57" s="778" t="s">
        <v>767</v>
      </c>
      <c r="E57" s="780" t="s">
        <v>818</v>
      </c>
      <c r="F57" s="361" t="s">
        <v>819</v>
      </c>
      <c r="G57" s="362">
        <f>'Review Comments'!F61</f>
        <v>1</v>
      </c>
      <c r="H57" s="362" t="str">
        <f>'Review Comments'!G61</f>
        <v>Yes</v>
      </c>
      <c r="I57" s="362">
        <f t="shared" si="3"/>
        <v>1</v>
      </c>
      <c r="J57" s="361" t="str">
        <f>IF('Review Comments'!H61=0,"",'Review Comments'!H61)</f>
        <v>Achieved</v>
      </c>
      <c r="K57" s="329">
        <f>IF(I57="Required","Required",IF(ISNUMBER(MATCH(J57,Lists!$H$2:$H$9,0)),I57,""))</f>
        <v>1</v>
      </c>
      <c r="L57" s="330" t="str">
        <f>IF(I57="Required","Required",IF(ISNUMBER(MATCH(J57,Lists!$I$2:$I$9,0)),I57,IF(ISNUMBER(MATCH(J57,Lists!$J$2:$J$9,0)),I57,"")))</f>
        <v/>
      </c>
      <c r="Q57" s="287" t="b">
        <f>IF(I57="Required",0,IF(ISNUMBER(MATCH(J57,Lists!$I$2:$I$4,0)),L57))</f>
        <v>0</v>
      </c>
      <c r="R57" s="287" t="b">
        <f>IF(I57="Required",0,IF(ISNUMBER(MATCH(J57,Lists!$K$2:$K$7,0)),L57))</f>
        <v>0</v>
      </c>
      <c r="S57" s="287" t="b">
        <f>IF(I57="Required",0,IF(ISNUMBER(MATCH(J57,Lists!$G$2:$G$4,0)),L57))</f>
        <v>0</v>
      </c>
      <c r="T57" s="287" t="b">
        <f>IF(I57="Required",0,IF(ISNUMBER(MATCH(J57,Lists!$G$7:$G$8,0)),L57))</f>
        <v>0</v>
      </c>
      <c r="U57" s="287">
        <f>IF(I57="Required",0,IF(ISNUMBER(MATCH(J57,Lists!$H$2:$H$4,0)),K57))</f>
        <v>1</v>
      </c>
      <c r="V57" s="287">
        <f t="shared" si="0"/>
        <v>0</v>
      </c>
      <c r="W57" s="287">
        <f t="shared" si="2"/>
        <v>0</v>
      </c>
    </row>
    <row r="58" spans="1:23" ht="21" customHeight="1">
      <c r="A58" s="354" t="s">
        <v>767</v>
      </c>
      <c r="B58" s="286"/>
      <c r="C58" s="776"/>
      <c r="D58" s="778"/>
      <c r="E58" s="780"/>
      <c r="F58" s="361" t="s">
        <v>820</v>
      </c>
      <c r="G58" s="362">
        <f>'Review Comments'!F62</f>
        <v>1</v>
      </c>
      <c r="H58" s="362" t="str">
        <f>'Review Comments'!G62</f>
        <v>Yes</v>
      </c>
      <c r="I58" s="362">
        <f t="shared" si="3"/>
        <v>1</v>
      </c>
      <c r="J58" s="361" t="str">
        <f>IF('Review Comments'!H62=0,"",'Review Comments'!H62)</f>
        <v>Achieved</v>
      </c>
      <c r="K58" s="329">
        <f>IF(I58="Required","Required",IF(ISNUMBER(MATCH(J58,Lists!$H$2:$H$9,0)),I58,""))</f>
        <v>1</v>
      </c>
      <c r="L58" s="330" t="str">
        <f>IF(I58="Required","Required",IF(ISNUMBER(MATCH(J58,Lists!$I$2:$I$9,0)),I58,IF(ISNUMBER(MATCH(J58,Lists!$J$2:$J$9,0)),I58,"")))</f>
        <v/>
      </c>
      <c r="Q58" s="287" t="b">
        <f>IF(I58="Required",0,IF(ISNUMBER(MATCH(J58,Lists!$I$2:$I$4,0)),L58))</f>
        <v>0</v>
      </c>
      <c r="R58" s="287" t="b">
        <f>IF(I58="Required",0,IF(ISNUMBER(MATCH(J58,Lists!$K$2:$K$7,0)),L58))</f>
        <v>0</v>
      </c>
      <c r="S58" s="287" t="b">
        <f>IF(I58="Required",0,IF(ISNUMBER(MATCH(J58,Lists!$G$2:$G$4,0)),L58))</f>
        <v>0</v>
      </c>
      <c r="T58" s="287" t="b">
        <f>IF(I58="Required",0,IF(ISNUMBER(MATCH(J58,Lists!$G$7:$G$8,0)),L58))</f>
        <v>0</v>
      </c>
      <c r="U58" s="287">
        <f>IF(I58="Required",0,IF(ISNUMBER(MATCH(J58,Lists!$H$2:$H$4,0)),K58))</f>
        <v>1</v>
      </c>
      <c r="V58" s="287">
        <f t="shared" si="0"/>
        <v>0</v>
      </c>
      <c r="W58" s="287">
        <f t="shared" si="2"/>
        <v>0</v>
      </c>
    </row>
    <row r="59" spans="1:23" ht="21" customHeight="1">
      <c r="A59" s="354" t="s">
        <v>767</v>
      </c>
      <c r="B59" s="286"/>
      <c r="C59" s="776"/>
      <c r="D59" s="778"/>
      <c r="E59" s="780"/>
      <c r="F59" s="361" t="s">
        <v>821</v>
      </c>
      <c r="G59" s="362">
        <f>'Review Comments'!F63</f>
        <v>1</v>
      </c>
      <c r="H59" s="362" t="str">
        <f>'Review Comments'!G63</f>
        <v>Yes</v>
      </c>
      <c r="I59" s="362">
        <f t="shared" si="3"/>
        <v>1</v>
      </c>
      <c r="J59" s="361" t="str">
        <f>IF('Review Comments'!H63=0,"",'Review Comments'!H63)</f>
        <v>Achieved</v>
      </c>
      <c r="K59" s="329">
        <f>IF(I59="Required","Required",IF(ISNUMBER(MATCH(J59,Lists!$H$2:$H$9,0)),I59,""))</f>
        <v>1</v>
      </c>
      <c r="L59" s="330" t="str">
        <f>IF(I59="Required","Required",IF(ISNUMBER(MATCH(J59,Lists!$I$2:$I$9,0)),I59,IF(ISNUMBER(MATCH(J59,Lists!$J$2:$J$9,0)),I59,"")))</f>
        <v/>
      </c>
      <c r="Q59" s="287" t="b">
        <f>IF(I59="Required",0,IF(ISNUMBER(MATCH(J59,Lists!$I$2:$I$4,0)),L59))</f>
        <v>0</v>
      </c>
      <c r="R59" s="287" t="b">
        <f>IF(I59="Required",0,IF(ISNUMBER(MATCH(J59,Lists!$K$2:$K$7,0)),L59))</f>
        <v>0</v>
      </c>
      <c r="S59" s="287" t="b">
        <f>IF(I59="Required",0,IF(ISNUMBER(MATCH(J59,Lists!$G$2:$G$4,0)),L59))</f>
        <v>0</v>
      </c>
      <c r="T59" s="287" t="b">
        <f>IF(I59="Required",0,IF(ISNUMBER(MATCH(J59,Lists!$G$7:$G$8,0)),L59))</f>
        <v>0</v>
      </c>
      <c r="U59" s="287">
        <f>IF(I59="Required",0,IF(ISNUMBER(MATCH(J59,Lists!$H$2:$H$4,0)),K59))</f>
        <v>1</v>
      </c>
      <c r="V59" s="287">
        <f t="shared" si="0"/>
        <v>0</v>
      </c>
      <c r="W59" s="287">
        <f t="shared" si="2"/>
        <v>0</v>
      </c>
    </row>
    <row r="60" spans="1:23" ht="21" customHeight="1">
      <c r="A60" s="354" t="s">
        <v>767</v>
      </c>
      <c r="B60" s="286"/>
      <c r="C60" s="776"/>
      <c r="D60" s="778" t="s">
        <v>767</v>
      </c>
      <c r="E60" s="780" t="s">
        <v>822</v>
      </c>
      <c r="F60" s="361" t="s">
        <v>823</v>
      </c>
      <c r="G60" s="362">
        <f>'Review Comments'!F64</f>
        <v>1</v>
      </c>
      <c r="H60" s="362" t="str">
        <f>'Review Comments'!G64</f>
        <v>Yes</v>
      </c>
      <c r="I60" s="362">
        <f t="shared" si="3"/>
        <v>1</v>
      </c>
      <c r="J60" s="361" t="str">
        <f>IF('Review Comments'!H64=0,"",'Review Comments'!H64)</f>
        <v>Achieved</v>
      </c>
      <c r="K60" s="329">
        <f>IF(I60="Required","Required",IF(ISNUMBER(MATCH(J60,Lists!$H$2:$H$9,0)),I60,""))</f>
        <v>1</v>
      </c>
      <c r="L60" s="330" t="str">
        <f>IF(I60="Required","Required",IF(ISNUMBER(MATCH(J60,Lists!$I$2:$I$9,0)),I60,IF(ISNUMBER(MATCH(J60,Lists!$J$2:$J$9,0)),I60,"")))</f>
        <v/>
      </c>
      <c r="Q60" s="287" t="b">
        <f>IF(I60="Required",0,IF(ISNUMBER(MATCH(J60,Lists!$I$2:$I$4,0)),L60))</f>
        <v>0</v>
      </c>
      <c r="R60" s="287" t="b">
        <f>IF(I60="Required",0,IF(ISNUMBER(MATCH(J60,Lists!$K$2:$K$7,0)),L60))</f>
        <v>0</v>
      </c>
      <c r="S60" s="287" t="b">
        <f>IF(I60="Required",0,IF(ISNUMBER(MATCH(J60,Lists!$G$2:$G$4,0)),L60))</f>
        <v>0</v>
      </c>
      <c r="T60" s="287" t="b">
        <f>IF(I60="Required",0,IF(ISNUMBER(MATCH(J60,Lists!$G$7:$G$8,0)),L60))</f>
        <v>0</v>
      </c>
      <c r="U60" s="287">
        <f>IF(I60="Required",0,IF(ISNUMBER(MATCH(J60,Lists!$H$2:$H$4,0)),K60))</f>
        <v>1</v>
      </c>
      <c r="V60" s="287">
        <f t="shared" si="0"/>
        <v>0</v>
      </c>
      <c r="W60" s="287">
        <f t="shared" si="2"/>
        <v>0</v>
      </c>
    </row>
    <row r="61" spans="1:23" ht="23.4" thickBot="1">
      <c r="A61" s="354" t="s">
        <v>767</v>
      </c>
      <c r="B61" s="286"/>
      <c r="C61" s="776"/>
      <c r="D61" s="778"/>
      <c r="E61" s="780"/>
      <c r="F61" s="361" t="s">
        <v>824</v>
      </c>
      <c r="G61" s="362">
        <f>'Review Comments'!F65</f>
        <v>1</v>
      </c>
      <c r="H61" s="362" t="str">
        <f>'Review Comments'!G65</f>
        <v>Yes</v>
      </c>
      <c r="I61" s="362">
        <f t="shared" si="3"/>
        <v>1</v>
      </c>
      <c r="J61" s="361" t="str">
        <f>IF('Review Comments'!H65=0,"",'Review Comments'!H65)</f>
        <v>Achieved</v>
      </c>
      <c r="K61" s="329">
        <f>IF(I61="Required","Required",IF(ISNUMBER(MATCH(J61,Lists!$H$2:$H$9,0)),I61,""))</f>
        <v>1</v>
      </c>
      <c r="L61" s="330" t="str">
        <f>IF(I61="Required","Required",IF(ISNUMBER(MATCH(J61,Lists!$I$2:$I$9,0)),I61,IF(ISNUMBER(MATCH(J61,Lists!$J$2:$J$9,0)),I61,"")))</f>
        <v/>
      </c>
      <c r="N61" s="363" t="s">
        <v>825</v>
      </c>
      <c r="O61" s="364"/>
      <c r="Q61" s="287" t="b">
        <f>IF(I61="Required",0,IF(ISNUMBER(MATCH(J61,Lists!$I$2:$I$4,0)),L61))</f>
        <v>0</v>
      </c>
      <c r="R61" s="287" t="b">
        <f>IF(I61="Required",0,IF(ISNUMBER(MATCH(J61,Lists!$K$2:$K$7,0)),L61))</f>
        <v>0</v>
      </c>
      <c r="S61" s="287" t="b">
        <f>IF(I61="Required",0,IF(ISNUMBER(MATCH(J61,Lists!$G$2:$G$4,0)),L61))</f>
        <v>0</v>
      </c>
      <c r="T61" s="287" t="b">
        <f>IF(I61="Required",0,IF(ISNUMBER(MATCH(J61,Lists!$G$7:$G$8,0)),L61))</f>
        <v>0</v>
      </c>
      <c r="U61" s="287">
        <f>IF(I61="Required",0,IF(ISNUMBER(MATCH(J61,Lists!$H$2:$H$4,0)),K61))</f>
        <v>1</v>
      </c>
      <c r="V61" s="287">
        <f t="shared" si="0"/>
        <v>0</v>
      </c>
      <c r="W61" s="287">
        <f t="shared" si="2"/>
        <v>0</v>
      </c>
    </row>
    <row r="62" spans="1:23" ht="18" hidden="1" thickBot="1">
      <c r="A62" s="354" t="s">
        <v>767</v>
      </c>
      <c r="B62" s="286"/>
      <c r="C62" s="776"/>
      <c r="D62" s="365" t="s">
        <v>767</v>
      </c>
      <c r="E62" s="366" t="s">
        <v>826</v>
      </c>
      <c r="F62" s="367" t="s">
        <v>827</v>
      </c>
      <c r="G62" s="368">
        <f>'Review Comments'!F66</f>
        <v>0</v>
      </c>
      <c r="H62" s="368">
        <f>'Review Comments'!G66</f>
        <v>0</v>
      </c>
      <c r="I62" s="369" t="str">
        <f t="shared" si="3"/>
        <v/>
      </c>
      <c r="J62" s="370" t="str">
        <f>IF('Review Comments'!H66=0,"",'Review Comments'!H66)</f>
        <v/>
      </c>
      <c r="K62" s="371" t="str">
        <f>IF(I62="Required","Required",IF(ISNUMBER(MATCH(J62,Lists!$H$2:$H$9,0)),I62,""))</f>
        <v/>
      </c>
      <c r="L62" s="372" t="str">
        <f>IF(I62="Required","Required",IF(ISNUMBER(MATCH(J62,Lists!$I$2:$I$9,0)),I62,IF(ISNUMBER(MATCH(J62,Lists!$J$2:$J$9,0)),I62,"")))</f>
        <v/>
      </c>
      <c r="Q62" s="287" t="b">
        <f>IF(I62="Required",0,IF(ISNUMBER(MATCH(J62,Lists!$I$2:$I$4,0)),L62))</f>
        <v>0</v>
      </c>
      <c r="R62" s="287" t="b">
        <f>IF(I62="Required",0,IF(ISNUMBER(MATCH(J62,Lists!$K$2:$K$7,0)),L62))</f>
        <v>0</v>
      </c>
      <c r="S62" s="287" t="b">
        <f>IF(I62="Required",0,IF(ISNUMBER(MATCH(J62,Lists!$G$2:$G$4,0)),L62))</f>
        <v>0</v>
      </c>
      <c r="T62" s="287" t="b">
        <f>IF(I62="Required",0,IF(ISNUMBER(MATCH(J62,Lists!$G$7:$G$8,0)),L62))</f>
        <v>0</v>
      </c>
      <c r="U62" s="287" t="b">
        <f>IF(I62="Required",0,IF(ISNUMBER(MATCH(J62,Lists!$H$2:$H$4,0)),K62))</f>
        <v>0</v>
      </c>
      <c r="V62" s="287">
        <f t="shared" si="0"/>
        <v>0</v>
      </c>
      <c r="W62" s="287">
        <f t="shared" si="2"/>
        <v>0</v>
      </c>
    </row>
    <row r="63" spans="1:23" s="346" customFormat="1" ht="17.399999999999999">
      <c r="A63" s="354"/>
      <c r="B63" s="337"/>
      <c r="C63" s="373"/>
      <c r="D63" s="374"/>
      <c r="E63" s="375"/>
      <c r="F63" s="376"/>
      <c r="G63" s="377">
        <f>SUM(G42:G62)</f>
        <v>9</v>
      </c>
      <c r="H63" s="374"/>
      <c r="I63" s="378">
        <f>SUM(I42:I62)</f>
        <v>9</v>
      </c>
      <c r="J63" s="379"/>
      <c r="K63" s="378">
        <f>SUM(K42:K62)</f>
        <v>9</v>
      </c>
      <c r="L63" s="380">
        <f>SUM(L42:L62)</f>
        <v>0</v>
      </c>
      <c r="Q63" s="346" t="b">
        <f>IF(I63="Required",0,IF(ISNUMBER(MATCH(J63,Lists!$I$2:$I$4,0)),L63))</f>
        <v>0</v>
      </c>
      <c r="R63" s="346" t="b">
        <f>IF(I63="Required",0,IF(ISNUMBER(MATCH(J63,Lists!$K$2:$K$7,0)),L63))</f>
        <v>0</v>
      </c>
      <c r="S63" s="346" t="b">
        <f>IF(I63="Required",0,IF(ISNUMBER(MATCH(J63,Lists!$G$2:$G$4,0)),L63))</f>
        <v>0</v>
      </c>
      <c r="T63" s="346" t="b">
        <f>IF(I63="Required",0,IF(ISNUMBER(MATCH(J63,Lists!$G$7:$G$8,0)),L63))</f>
        <v>0</v>
      </c>
      <c r="U63" s="346" t="b">
        <f>IF(I63="Required",0,IF(ISNUMBER(MATCH(J63,Lists!$H$2:$H$4,0)),K63))</f>
        <v>0</v>
      </c>
      <c r="V63" s="346">
        <f t="shared" si="0"/>
        <v>0</v>
      </c>
      <c r="W63" s="287">
        <f t="shared" si="2"/>
        <v>0</v>
      </c>
    </row>
    <row r="64" spans="1:23" ht="6.6" customHeight="1" thickBot="1">
      <c r="A64" s="347"/>
      <c r="B64" s="286"/>
      <c r="C64" s="348"/>
      <c r="D64" s="347"/>
      <c r="E64" s="349"/>
      <c r="F64" s="350"/>
      <c r="G64" s="351"/>
      <c r="H64" s="351"/>
      <c r="I64" s="351"/>
      <c r="J64" s="352"/>
      <c r="K64" s="351"/>
      <c r="L64" s="353"/>
      <c r="Q64" s="287" t="b">
        <f>IF(I64="Required",0,IF(ISNUMBER(MATCH(J64,Lists!$I$2:$I$4,0)),L64))</f>
        <v>0</v>
      </c>
      <c r="R64" s="287" t="b">
        <f>IF(I64="Required",0,IF(ISNUMBER(MATCH(J64,Lists!$K$2:$K$7,0)),L64))</f>
        <v>0</v>
      </c>
      <c r="S64" s="287" t="b">
        <f>IF(I64="Required",0,IF(ISNUMBER(MATCH(J64,Lists!$G$2:$G$4,0)),L64))</f>
        <v>0</v>
      </c>
      <c r="T64" s="287" t="b">
        <f>IF(I64="Required",0,IF(ISNUMBER(MATCH(J64,Lists!$G$7:$G$8,0)),L64))</f>
        <v>0</v>
      </c>
      <c r="U64" s="287" t="b">
        <f>IF(I64="Required",0,IF(ISNUMBER(MATCH(J64,Lists!$H$2:$H$4,0)),K64))</f>
        <v>0</v>
      </c>
      <c r="V64" s="287">
        <f t="shared" si="0"/>
        <v>0</v>
      </c>
      <c r="W64" s="287">
        <f t="shared" si="2"/>
        <v>0</v>
      </c>
    </row>
    <row r="65" spans="1:23" ht="21" customHeight="1">
      <c r="A65" s="354" t="s">
        <v>752</v>
      </c>
      <c r="B65" s="286"/>
      <c r="C65" s="783" t="s">
        <v>828</v>
      </c>
      <c r="D65" s="777" t="s">
        <v>752</v>
      </c>
      <c r="E65" s="779" t="s">
        <v>829</v>
      </c>
      <c r="F65" s="357" t="s">
        <v>830</v>
      </c>
      <c r="G65" s="358">
        <f>'Review Comments'!F72</f>
        <v>0</v>
      </c>
      <c r="H65" s="358" t="str">
        <f>'Review Comments'!G72</f>
        <v>Required</v>
      </c>
      <c r="I65" s="358" t="str">
        <f t="shared" ref="I65:I87" si="4">IF(H65="Yes",G65,IF(H65="Required","Required",""))</f>
        <v>Required</v>
      </c>
      <c r="J65" s="381" t="str">
        <f>IF('Review Comments'!H72=0,"",'Review Comments'!H72)</f>
        <v>Achieved</v>
      </c>
      <c r="K65" s="323" t="str">
        <f>IF(I65="Required","Required",IF(ISNUMBER(MATCH(J65,Lists!$H$2:$H$9,0)),I65,""))</f>
        <v>Required</v>
      </c>
      <c r="L65" s="324" t="str">
        <f>IF(I65="Required","Required",IF(ISNUMBER(MATCH(J65,Lists!$I$2:$I$9,0)),I65,IF(ISNUMBER(MATCH(J65,Lists!$J$2:$J$9,0)),I65,"")))</f>
        <v>Required</v>
      </c>
      <c r="Q65" s="287">
        <f>IF(I65="Required",0,IF(ISNUMBER(MATCH(J65,Lists!$I$2:$I$4,0)),L65))</f>
        <v>0</v>
      </c>
      <c r="R65" s="287">
        <f>IF(I65="Required",0,IF(ISNUMBER(MATCH(J65,Lists!$K$2:$K$7,0)),L65))</f>
        <v>0</v>
      </c>
      <c r="S65" s="287">
        <f>IF(I65="Required",0,IF(ISNUMBER(MATCH(J65,Lists!$G$2:$G$4,0)),L65))</f>
        <v>0</v>
      </c>
      <c r="T65" s="287">
        <f>IF(I65="Required",0,IF(ISNUMBER(MATCH(J65,Lists!$G$7:$G$8,0)),L65))</f>
        <v>0</v>
      </c>
      <c r="U65" s="287">
        <f>IF(I65="Required",0,IF(ISNUMBER(MATCH(J65,Lists!$H$2:$H$4,0)),K65))</f>
        <v>0</v>
      </c>
      <c r="V65" s="287">
        <f t="shared" si="0"/>
        <v>0</v>
      </c>
      <c r="W65" s="287">
        <f t="shared" si="2"/>
        <v>0</v>
      </c>
    </row>
    <row r="66" spans="1:23" ht="21" customHeight="1">
      <c r="A66" s="354" t="s">
        <v>752</v>
      </c>
      <c r="B66" s="286"/>
      <c r="C66" s="784"/>
      <c r="D66" s="778"/>
      <c r="E66" s="780"/>
      <c r="F66" s="361" t="s">
        <v>831</v>
      </c>
      <c r="G66" s="362">
        <f>'Review Comments'!F73</f>
        <v>0</v>
      </c>
      <c r="H66" s="362" t="str">
        <f>'Review Comments'!G73</f>
        <v>Required</v>
      </c>
      <c r="I66" s="362" t="str">
        <f t="shared" si="4"/>
        <v>Required</v>
      </c>
      <c r="J66" s="382" t="str">
        <f>IF('Review Comments'!H73=0,"",'Review Comments'!H73)</f>
        <v>Achieved</v>
      </c>
      <c r="K66" s="329" t="str">
        <f>IF(I66="Required","Required",IF(ISNUMBER(MATCH(J66,Lists!$H$2:$H$9,0)),I66,""))</f>
        <v>Required</v>
      </c>
      <c r="L66" s="330" t="str">
        <f>IF(I66="Required","Required",IF(ISNUMBER(MATCH(J66,Lists!$I$2:$I$9,0)),I66,IF(ISNUMBER(MATCH(J66,Lists!$J$2:$J$9,0)),I66,"")))</f>
        <v>Required</v>
      </c>
      <c r="Q66" s="287">
        <f>IF(I66="Required",0,IF(ISNUMBER(MATCH(J66,Lists!$I$2:$I$4,0)),L66))</f>
        <v>0</v>
      </c>
      <c r="R66" s="287">
        <f>IF(I66="Required",0,IF(ISNUMBER(MATCH(J66,Lists!$K$2:$K$7,0)),L66))</f>
        <v>0</v>
      </c>
      <c r="S66" s="287">
        <f>IF(I66="Required",0,IF(ISNUMBER(MATCH(J66,Lists!$G$2:$G$4,0)),L66))</f>
        <v>0</v>
      </c>
      <c r="T66" s="287">
        <f>IF(I66="Required",0,IF(ISNUMBER(MATCH(J66,Lists!$G$7:$G$8,0)),L66))</f>
        <v>0</v>
      </c>
      <c r="U66" s="287">
        <f>IF(I66="Required",0,IF(ISNUMBER(MATCH(J66,Lists!$H$2:$H$4,0)),K66))</f>
        <v>0</v>
      </c>
      <c r="V66" s="287">
        <f t="shared" si="0"/>
        <v>0</v>
      </c>
      <c r="W66" s="287">
        <f t="shared" si="2"/>
        <v>0</v>
      </c>
    </row>
    <row r="67" spans="1:23" ht="21" customHeight="1">
      <c r="A67" s="354" t="s">
        <v>752</v>
      </c>
      <c r="B67" s="286"/>
      <c r="C67" s="784"/>
      <c r="D67" s="778" t="s">
        <v>752</v>
      </c>
      <c r="E67" s="780" t="s">
        <v>832</v>
      </c>
      <c r="F67" s="361" t="s">
        <v>833</v>
      </c>
      <c r="G67" s="362">
        <f>'Review Comments'!F74</f>
        <v>0</v>
      </c>
      <c r="H67" s="362" t="str">
        <f>'Review Comments'!G74</f>
        <v>Required</v>
      </c>
      <c r="I67" s="362" t="str">
        <f t="shared" si="4"/>
        <v>Required</v>
      </c>
      <c r="J67" s="382" t="str">
        <f>IF('Review Comments'!H74=0,"",'Review Comments'!H74)</f>
        <v>Achieved</v>
      </c>
      <c r="K67" s="329" t="str">
        <f>IF(I67="Required","Required",IF(ISNUMBER(MATCH(J67,Lists!$H$2:$H$9,0)),I67,""))</f>
        <v>Required</v>
      </c>
      <c r="L67" s="330" t="str">
        <f>IF(I67="Required","Required",IF(ISNUMBER(MATCH(J67,Lists!$I$2:$I$9,0)),I67,IF(ISNUMBER(MATCH(J67,Lists!$J$2:$J$9,0)),I67,"")))</f>
        <v>Required</v>
      </c>
      <c r="Q67" s="287">
        <f>IF(I67="Required",0,IF(ISNUMBER(MATCH(J67,Lists!$I$2:$I$4,0)),L67))</f>
        <v>0</v>
      </c>
      <c r="R67" s="287">
        <f>IF(I67="Required",0,IF(ISNUMBER(MATCH(J67,Lists!$K$2:$K$7,0)),L67))</f>
        <v>0</v>
      </c>
      <c r="S67" s="287">
        <f>IF(I67="Required",0,IF(ISNUMBER(MATCH(J67,Lists!$G$2:$G$4,0)),L67))</f>
        <v>0</v>
      </c>
      <c r="T67" s="287">
        <f>IF(I67="Required",0,IF(ISNUMBER(MATCH(J67,Lists!$G$7:$G$8,0)),L67))</f>
        <v>0</v>
      </c>
      <c r="U67" s="287">
        <f>IF(I67="Required",0,IF(ISNUMBER(MATCH(J67,Lists!$H$2:$H$4,0)),K67))</f>
        <v>0</v>
      </c>
      <c r="V67" s="287">
        <f t="shared" si="0"/>
        <v>0</v>
      </c>
      <c r="W67" s="287">
        <f t="shared" si="2"/>
        <v>0</v>
      </c>
    </row>
    <row r="68" spans="1:23" ht="21" customHeight="1">
      <c r="A68" s="354" t="s">
        <v>752</v>
      </c>
      <c r="B68" s="286"/>
      <c r="C68" s="784"/>
      <c r="D68" s="778"/>
      <c r="E68" s="780"/>
      <c r="F68" s="361" t="s">
        <v>834</v>
      </c>
      <c r="G68" s="362">
        <f>'Review Comments'!F75</f>
        <v>0</v>
      </c>
      <c r="H68" s="362" t="str">
        <f>'Review Comments'!G75</f>
        <v>Required</v>
      </c>
      <c r="I68" s="362" t="str">
        <f t="shared" si="4"/>
        <v>Required</v>
      </c>
      <c r="J68" s="382" t="str">
        <f>IF('Review Comments'!H75=0,"",'Review Comments'!H75)</f>
        <v>Achieved</v>
      </c>
      <c r="K68" s="329" t="str">
        <f>IF(I68="Required","Required",IF(ISNUMBER(MATCH(J68,Lists!$H$2:$H$9,0)),I68,""))</f>
        <v>Required</v>
      </c>
      <c r="L68" s="330" t="str">
        <f>IF(I68="Required","Required",IF(ISNUMBER(MATCH(J68,Lists!$I$2:$I$9,0)),I68,IF(ISNUMBER(MATCH(J68,Lists!$J$2:$J$9,0)),I68,"")))</f>
        <v>Required</v>
      </c>
      <c r="Q68" s="287">
        <f>IF(I68="Required",0,IF(ISNUMBER(MATCH(J68,Lists!$I$2:$I$4,0)),L68))</f>
        <v>0</v>
      </c>
      <c r="R68" s="287">
        <f>IF(I68="Required",0,IF(ISNUMBER(MATCH(J68,Lists!$K$2:$K$7,0)),L68))</f>
        <v>0</v>
      </c>
      <c r="S68" s="287">
        <f>IF(I68="Required",0,IF(ISNUMBER(MATCH(J68,Lists!$G$2:$G$4,0)),L68))</f>
        <v>0</v>
      </c>
      <c r="T68" s="287">
        <f>IF(I68="Required",0,IF(ISNUMBER(MATCH(J68,Lists!$G$7:$G$8,0)),L68))</f>
        <v>0</v>
      </c>
      <c r="U68" s="287">
        <f>IF(I68="Required",0,IF(ISNUMBER(MATCH(J68,Lists!$H$2:$H$4,0)),K68))</f>
        <v>0</v>
      </c>
      <c r="V68" s="287">
        <f t="shared" si="0"/>
        <v>0</v>
      </c>
      <c r="W68" s="287">
        <f t="shared" si="2"/>
        <v>0</v>
      </c>
    </row>
    <row r="69" spans="1:23" ht="21" customHeight="1">
      <c r="A69" s="354" t="s">
        <v>752</v>
      </c>
      <c r="B69" s="286"/>
      <c r="C69" s="784"/>
      <c r="D69" s="778"/>
      <c r="E69" s="780"/>
      <c r="F69" s="361" t="s">
        <v>835</v>
      </c>
      <c r="G69" s="362">
        <f>'Review Comments'!F76</f>
        <v>0</v>
      </c>
      <c r="H69" s="362" t="str">
        <f>'Review Comments'!G76</f>
        <v>Required</v>
      </c>
      <c r="I69" s="362" t="str">
        <f t="shared" si="4"/>
        <v>Required</v>
      </c>
      <c r="J69" s="382" t="str">
        <f>IF('Review Comments'!H76=0,"",'Review Comments'!H76)</f>
        <v>Achieved</v>
      </c>
      <c r="K69" s="329" t="str">
        <f>IF(I69="Required","Required",IF(ISNUMBER(MATCH(J69,Lists!$H$2:$H$9,0)),I69,""))</f>
        <v>Required</v>
      </c>
      <c r="L69" s="330" t="str">
        <f>IF(I69="Required","Required",IF(ISNUMBER(MATCH(J69,Lists!$I$2:$I$9,0)),I69,IF(ISNUMBER(MATCH(J69,Lists!$J$2:$J$9,0)),I69,"")))</f>
        <v>Required</v>
      </c>
      <c r="Q69" s="287">
        <f>IF(I69="Required",0,IF(ISNUMBER(MATCH(J69,Lists!$I$2:$I$4,0)),L69))</f>
        <v>0</v>
      </c>
      <c r="R69" s="287">
        <f>IF(I69="Required",0,IF(ISNUMBER(MATCH(J69,Lists!$K$2:$K$7,0)),L69))</f>
        <v>0</v>
      </c>
      <c r="S69" s="287">
        <f>IF(I69="Required",0,IF(ISNUMBER(MATCH(J69,Lists!$G$2:$G$4,0)),L69))</f>
        <v>0</v>
      </c>
      <c r="T69" s="287">
        <f>IF(I69="Required",0,IF(ISNUMBER(MATCH(J69,Lists!$G$7:$G$8,0)),L69))</f>
        <v>0</v>
      </c>
      <c r="U69" s="287">
        <f>IF(I69="Required",0,IF(ISNUMBER(MATCH(J69,Lists!$H$2:$H$4,0)),K69))</f>
        <v>0</v>
      </c>
      <c r="V69" s="287">
        <f t="shared" si="0"/>
        <v>0</v>
      </c>
      <c r="W69" s="287">
        <f t="shared" si="2"/>
        <v>0</v>
      </c>
    </row>
    <row r="70" spans="1:23" ht="21" customHeight="1">
      <c r="A70" s="354" t="s">
        <v>767</v>
      </c>
      <c r="B70" s="286"/>
      <c r="C70" s="784"/>
      <c r="D70" s="778" t="s">
        <v>767</v>
      </c>
      <c r="E70" s="780" t="s">
        <v>836</v>
      </c>
      <c r="F70" s="361" t="s">
        <v>837</v>
      </c>
      <c r="G70" s="362">
        <f>'Review Comments'!F77</f>
        <v>0</v>
      </c>
      <c r="H70" s="362" t="str">
        <f>'Review Comments'!G77</f>
        <v>No</v>
      </c>
      <c r="I70" s="362" t="str">
        <f t="shared" si="4"/>
        <v/>
      </c>
      <c r="J70" s="382" t="str">
        <f>IF('Review Comments'!H77=0,"",'Review Comments'!H77)</f>
        <v>Not Attempted</v>
      </c>
      <c r="K70" s="329" t="str">
        <f>IF(I70="Required","Required",IF(ISNUMBER(MATCH(J70,Lists!$H$2:$H$9,0)),I70,""))</f>
        <v/>
      </c>
      <c r="L70" s="330" t="str">
        <f>IF(I70="Required","Required",IF(ISNUMBER(MATCH(J70,Lists!$I$2:$I$9,0)),I70,IF(ISNUMBER(MATCH(J70,Lists!$J$2:$J$9,0)),I70,"")))</f>
        <v/>
      </c>
      <c r="Q70" s="287" t="b">
        <f>IF(I70="Required",0,IF(ISNUMBER(MATCH(J70,Lists!$I$2:$I$4,0)),L70))</f>
        <v>0</v>
      </c>
      <c r="R70" s="287" t="b">
        <f>IF(I70="Required",0,IF(ISNUMBER(MATCH(J70,Lists!$K$2:$K$7,0)),L70))</f>
        <v>0</v>
      </c>
      <c r="S70" s="287" t="b">
        <f>IF(I70="Required",0,IF(ISNUMBER(MATCH(J70,Lists!$G$2:$G$4,0)),L70))</f>
        <v>0</v>
      </c>
      <c r="T70" s="287" t="b">
        <f>IF(I70="Required",0,IF(ISNUMBER(MATCH(J70,Lists!$G$7:$G$8,0)),L70))</f>
        <v>0</v>
      </c>
      <c r="U70" s="287" t="b">
        <f>IF(I70="Required",0,IF(ISNUMBER(MATCH(J70,Lists!$H$2:$H$4,0)),K70))</f>
        <v>0</v>
      </c>
      <c r="V70" s="287">
        <f t="shared" si="0"/>
        <v>0</v>
      </c>
      <c r="W70" s="287">
        <f t="shared" si="2"/>
        <v>0</v>
      </c>
    </row>
    <row r="71" spans="1:23" ht="21" customHeight="1">
      <c r="A71" s="354" t="s">
        <v>767</v>
      </c>
      <c r="B71" s="286"/>
      <c r="C71" s="784"/>
      <c r="D71" s="778"/>
      <c r="E71" s="780"/>
      <c r="F71" s="361" t="s">
        <v>838</v>
      </c>
      <c r="G71" s="362">
        <f>'Review Comments'!F78</f>
        <v>0</v>
      </c>
      <c r="H71" s="362" t="str">
        <f>'Review Comments'!G78</f>
        <v>No</v>
      </c>
      <c r="I71" s="362" t="str">
        <f t="shared" si="4"/>
        <v/>
      </c>
      <c r="J71" s="382" t="str">
        <f>IF('Review Comments'!H78=0,"",'Review Comments'!H78)</f>
        <v>Not Attempted</v>
      </c>
      <c r="K71" s="329" t="str">
        <f>IF(I71="Required","Required",IF(ISNUMBER(MATCH(J71,Lists!$H$2:$H$9,0)),I71,""))</f>
        <v/>
      </c>
      <c r="L71" s="330" t="str">
        <f>IF(I71="Required","Required",IF(ISNUMBER(MATCH(J71,Lists!$I$2:$I$9,0)),I71,IF(ISNUMBER(MATCH(J71,Lists!$J$2:$J$9,0)),I71,"")))</f>
        <v/>
      </c>
      <c r="Q71" s="287" t="b">
        <f>IF(I71="Required",0,IF(ISNUMBER(MATCH(J71,Lists!$I$2:$I$4,0)),L71))</f>
        <v>0</v>
      </c>
      <c r="R71" s="287" t="b">
        <f>IF(I71="Required",0,IF(ISNUMBER(MATCH(J71,Lists!$K$2:$K$7,0)),L71))</f>
        <v>0</v>
      </c>
      <c r="S71" s="287" t="b">
        <f>IF(I71="Required",0,IF(ISNUMBER(MATCH(J71,Lists!$G$2:$G$4,0)),L71))</f>
        <v>0</v>
      </c>
      <c r="T71" s="287" t="b">
        <f>IF(I71="Required",0,IF(ISNUMBER(MATCH(J71,Lists!$G$7:$G$8,0)),L71))</f>
        <v>0</v>
      </c>
      <c r="U71" s="287" t="b">
        <f>IF(I71="Required",0,IF(ISNUMBER(MATCH(J71,Lists!$H$2:$H$4,0)),K71))</f>
        <v>0</v>
      </c>
      <c r="V71" s="287">
        <f t="shared" si="0"/>
        <v>0</v>
      </c>
      <c r="W71" s="287">
        <f t="shared" si="2"/>
        <v>0</v>
      </c>
    </row>
    <row r="72" spans="1:23" ht="21" customHeight="1">
      <c r="A72" s="354" t="s">
        <v>767</v>
      </c>
      <c r="B72" s="286"/>
      <c r="C72" s="784"/>
      <c r="D72" s="778"/>
      <c r="E72" s="780"/>
      <c r="F72" s="361" t="s">
        <v>839</v>
      </c>
      <c r="G72" s="362">
        <f>'Review Comments'!F79</f>
        <v>0</v>
      </c>
      <c r="H72" s="362" t="str">
        <f>'Review Comments'!G79</f>
        <v>No</v>
      </c>
      <c r="I72" s="362" t="str">
        <f t="shared" si="4"/>
        <v/>
      </c>
      <c r="J72" s="382" t="str">
        <f>IF('Review Comments'!H79=0,"",'Review Comments'!H79)</f>
        <v>Not Attempted</v>
      </c>
      <c r="K72" s="329" t="str">
        <f>IF(I72="Required","Required",IF(ISNUMBER(MATCH(J72,Lists!$H$2:$H$9,0)),I72,""))</f>
        <v/>
      </c>
      <c r="L72" s="330" t="str">
        <f>IF(I72="Required","Required",IF(ISNUMBER(MATCH(J72,Lists!$I$2:$I$9,0)),I72,IF(ISNUMBER(MATCH(J72,Lists!$J$2:$J$9,0)),I72,"")))</f>
        <v/>
      </c>
      <c r="Q72" s="287" t="b">
        <f>IF(I72="Required",0,IF(ISNUMBER(MATCH(J72,Lists!$I$2:$I$4,0)),L72))</f>
        <v>0</v>
      </c>
      <c r="R72" s="287" t="b">
        <f>IF(I72="Required",0,IF(ISNUMBER(MATCH(J72,Lists!$K$2:$K$7,0)),L72))</f>
        <v>0</v>
      </c>
      <c r="S72" s="287" t="b">
        <f>IF(I72="Required",0,IF(ISNUMBER(MATCH(J72,Lists!$G$2:$G$4,0)),L72))</f>
        <v>0</v>
      </c>
      <c r="T72" s="287" t="b">
        <f>IF(I72="Required",0,IF(ISNUMBER(MATCH(J72,Lists!$G$7:$G$8,0)),L72))</f>
        <v>0</v>
      </c>
      <c r="U72" s="287" t="b">
        <f>IF(I72="Required",0,IF(ISNUMBER(MATCH(J72,Lists!$H$2:$H$4,0)),K72))</f>
        <v>0</v>
      </c>
      <c r="V72" s="287">
        <f t="shared" si="0"/>
        <v>0</v>
      </c>
      <c r="W72" s="287">
        <f t="shared" si="2"/>
        <v>0</v>
      </c>
    </row>
    <row r="73" spans="1:23" ht="21" customHeight="1">
      <c r="A73" s="354" t="s">
        <v>767</v>
      </c>
      <c r="B73" s="286"/>
      <c r="C73" s="784"/>
      <c r="D73" s="778" t="s">
        <v>767</v>
      </c>
      <c r="E73" s="780" t="s">
        <v>840</v>
      </c>
      <c r="F73" s="361" t="s">
        <v>841</v>
      </c>
      <c r="G73" s="362">
        <f>'Review Comments'!F80</f>
        <v>1</v>
      </c>
      <c r="H73" s="362" t="str">
        <f>'Review Comments'!G80</f>
        <v>Yes</v>
      </c>
      <c r="I73" s="362">
        <f t="shared" si="4"/>
        <v>1</v>
      </c>
      <c r="J73" s="382" t="str">
        <f>IF('Review Comments'!H80=0,"",'Review Comments'!H80)</f>
        <v>Achieved</v>
      </c>
      <c r="K73" s="329">
        <f>IF(I73="Required","Required",IF(ISNUMBER(MATCH(J73,Lists!$H$2:$H$9,0)),I73,""))</f>
        <v>1</v>
      </c>
      <c r="L73" s="330" t="str">
        <f>IF(I73="Required","Required",IF(ISNUMBER(MATCH(J73,Lists!$I$2:$I$9,0)),I73,IF(ISNUMBER(MATCH(J73,Lists!$J$2:$J$9,0)),I73,"")))</f>
        <v/>
      </c>
      <c r="Q73" s="287" t="b">
        <f>IF(I73="Required",0,IF(ISNUMBER(MATCH(J73,Lists!$I$2:$I$4,0)),L73))</f>
        <v>0</v>
      </c>
      <c r="R73" s="287" t="b">
        <f>IF(I73="Required",0,IF(ISNUMBER(MATCH(J73,Lists!$K$2:$K$7,0)),L73))</f>
        <v>0</v>
      </c>
      <c r="S73" s="287" t="b">
        <f>IF(I73="Required",0,IF(ISNUMBER(MATCH(J73,Lists!$G$2:$G$4,0)),L73))</f>
        <v>0</v>
      </c>
      <c r="T73" s="287" t="b">
        <f>IF(I73="Required",0,IF(ISNUMBER(MATCH(J73,Lists!$G$7:$G$8,0)),L73))</f>
        <v>0</v>
      </c>
      <c r="U73" s="287">
        <f>IF(I73="Required",0,IF(ISNUMBER(MATCH(J73,Lists!$H$2:$H$4,0)),K73))</f>
        <v>1</v>
      </c>
      <c r="V73" s="287">
        <f t="shared" si="0"/>
        <v>0</v>
      </c>
      <c r="W73" s="287">
        <f t="shared" si="2"/>
        <v>0</v>
      </c>
    </row>
    <row r="74" spans="1:23" ht="21" customHeight="1">
      <c r="A74" s="354" t="s">
        <v>767</v>
      </c>
      <c r="B74" s="286"/>
      <c r="C74" s="784"/>
      <c r="D74" s="778"/>
      <c r="E74" s="780"/>
      <c r="F74" s="361" t="s">
        <v>842</v>
      </c>
      <c r="G74" s="362">
        <f>'Review Comments'!F81</f>
        <v>0</v>
      </c>
      <c r="H74" s="362" t="str">
        <f>'Review Comments'!G81</f>
        <v>No</v>
      </c>
      <c r="I74" s="362" t="str">
        <f t="shared" si="4"/>
        <v/>
      </c>
      <c r="J74" s="382" t="str">
        <f>IF('Review Comments'!H81=0,"",'Review Comments'!H81)</f>
        <v>Not Attempted</v>
      </c>
      <c r="K74" s="329" t="str">
        <f>IF(I74="Required","Required",IF(ISNUMBER(MATCH(J74,Lists!$H$2:$H$9,0)),I74,""))</f>
        <v/>
      </c>
      <c r="L74" s="330" t="str">
        <f>IF(I74="Required","Required",IF(ISNUMBER(MATCH(J74,Lists!$I$2:$I$9,0)),I74,IF(ISNUMBER(MATCH(J74,Lists!$J$2:$J$9,0)),I74,"")))</f>
        <v/>
      </c>
      <c r="Q74" s="287" t="b">
        <f>IF(I74="Required",0,IF(ISNUMBER(MATCH(J74,Lists!$I$2:$I$4,0)),L74))</f>
        <v>0</v>
      </c>
      <c r="R74" s="287" t="b">
        <f>IF(I74="Required",0,IF(ISNUMBER(MATCH(J74,Lists!$K$2:$K$7,0)),L74))</f>
        <v>0</v>
      </c>
      <c r="S74" s="287" t="b">
        <f>IF(I74="Required",0,IF(ISNUMBER(MATCH(J74,Lists!$G$2:$G$4,0)),L74))</f>
        <v>0</v>
      </c>
      <c r="T74" s="287" t="b">
        <f>IF(I74="Required",0,IF(ISNUMBER(MATCH(J74,Lists!$G$7:$G$8,0)),L74))</f>
        <v>0</v>
      </c>
      <c r="U74" s="287" t="b">
        <f>IF(I74="Required",0,IF(ISNUMBER(MATCH(J74,Lists!$H$2:$H$4,0)),K74))</f>
        <v>0</v>
      </c>
      <c r="V74" s="287">
        <f t="shared" si="0"/>
        <v>0</v>
      </c>
      <c r="W74" s="287">
        <f t="shared" si="2"/>
        <v>0</v>
      </c>
    </row>
    <row r="75" spans="1:23" ht="21" customHeight="1">
      <c r="A75" s="354" t="s">
        <v>767</v>
      </c>
      <c r="B75" s="286"/>
      <c r="C75" s="784"/>
      <c r="D75" s="359" t="s">
        <v>767</v>
      </c>
      <c r="E75" s="360" t="s">
        <v>843</v>
      </c>
      <c r="F75" s="361" t="s">
        <v>844</v>
      </c>
      <c r="G75" s="362">
        <f>'Review Comments'!F82</f>
        <v>0</v>
      </c>
      <c r="H75" s="362" t="str">
        <f>'Review Comments'!G82</f>
        <v>No</v>
      </c>
      <c r="I75" s="362" t="str">
        <f t="shared" si="4"/>
        <v/>
      </c>
      <c r="J75" s="382" t="str">
        <f>IF('Review Comments'!H82=0,"",'Review Comments'!H82)</f>
        <v>Not Attempted</v>
      </c>
      <c r="K75" s="329" t="str">
        <f>IF(I75="Required","Required",IF(ISNUMBER(MATCH(J75,Lists!$H$2:$H$9,0)),I75,""))</f>
        <v/>
      </c>
      <c r="L75" s="330" t="str">
        <f>IF(I75="Required","Required",IF(ISNUMBER(MATCH(J75,Lists!$I$2:$I$9,0)),I75,IF(ISNUMBER(MATCH(J75,Lists!$J$2:$J$9,0)),I75,"")))</f>
        <v/>
      </c>
      <c r="Q75" s="287" t="b">
        <f>IF(I75="Required",0,IF(ISNUMBER(MATCH(J75,Lists!$I$2:$I$4,0)),L75))</f>
        <v>0</v>
      </c>
      <c r="R75" s="287" t="b">
        <f>IF(I75="Required",0,IF(ISNUMBER(MATCH(J75,Lists!$K$2:$K$7,0)),L75))</f>
        <v>0</v>
      </c>
      <c r="S75" s="287" t="b">
        <f>IF(I75="Required",0,IF(ISNUMBER(MATCH(J75,Lists!$G$2:$G$4,0)),L75))</f>
        <v>0</v>
      </c>
      <c r="T75" s="287" t="b">
        <f>IF(I75="Required",0,IF(ISNUMBER(MATCH(J75,Lists!$G$7:$G$8,0)),L75))</f>
        <v>0</v>
      </c>
      <c r="U75" s="287" t="b">
        <f>IF(I75="Required",0,IF(ISNUMBER(MATCH(J75,Lists!$H$2:$H$4,0)),K75))</f>
        <v>0</v>
      </c>
      <c r="V75" s="287">
        <f t="shared" ref="V75:V140" si="5">IF(A75="P",IF(IFERROR(SEARCH("Pending Documentation",J75),0)&gt;0,IF(I75="Required",1,I75),0),0)</f>
        <v>0</v>
      </c>
      <c r="W75" s="287">
        <f t="shared" si="2"/>
        <v>0</v>
      </c>
    </row>
    <row r="76" spans="1:23" ht="21" customHeight="1">
      <c r="A76" s="354" t="s">
        <v>767</v>
      </c>
      <c r="B76" s="286"/>
      <c r="C76" s="784"/>
      <c r="D76" s="359" t="s">
        <v>767</v>
      </c>
      <c r="E76" s="360" t="s">
        <v>845</v>
      </c>
      <c r="F76" s="361" t="s">
        <v>846</v>
      </c>
      <c r="G76" s="362">
        <f>'Review Comments'!F83</f>
        <v>0</v>
      </c>
      <c r="H76" s="362" t="str">
        <f>'Review Comments'!G83</f>
        <v>No</v>
      </c>
      <c r="I76" s="362" t="str">
        <f t="shared" si="4"/>
        <v/>
      </c>
      <c r="J76" s="382" t="str">
        <f>IF('Review Comments'!H83=0,"",'Review Comments'!H83)</f>
        <v>Not Attempted</v>
      </c>
      <c r="K76" s="329" t="str">
        <f>IF(I76="Required","Required",IF(ISNUMBER(MATCH(J76,Lists!$H$2:$H$9,0)),I76,""))</f>
        <v/>
      </c>
      <c r="L76" s="330" t="str">
        <f>IF(I76="Required","Required",IF(ISNUMBER(MATCH(J76,Lists!$I$2:$I$9,0)),I76,IF(ISNUMBER(MATCH(J76,Lists!$J$2:$J$9,0)),I76,"")))</f>
        <v/>
      </c>
      <c r="Q76" s="287" t="b">
        <f>IF(I76="Required",0,IF(ISNUMBER(MATCH(J76,Lists!$I$2:$I$4,0)),L76))</f>
        <v>0</v>
      </c>
      <c r="R76" s="287" t="b">
        <f>IF(I76="Required",0,IF(ISNUMBER(MATCH(J76,Lists!$K$2:$K$7,0)),L76))</f>
        <v>0</v>
      </c>
      <c r="S76" s="287" t="b">
        <f>IF(I76="Required",0,IF(ISNUMBER(MATCH(J76,Lists!$G$2:$G$4,0)),L76))</f>
        <v>0</v>
      </c>
      <c r="T76" s="287" t="b">
        <f>IF(I76="Required",0,IF(ISNUMBER(MATCH(J76,Lists!$G$7:$G$8,0)),L76))</f>
        <v>0</v>
      </c>
      <c r="U76" s="287" t="b">
        <f>IF(I76="Required",0,IF(ISNUMBER(MATCH(J76,Lists!$H$2:$H$4,0)),K76))</f>
        <v>0</v>
      </c>
      <c r="V76" s="287">
        <f t="shared" si="5"/>
        <v>0</v>
      </c>
      <c r="W76" s="287">
        <f t="shared" ref="W76:W141" si="6">IF(A76="P",IF(IFERROR(SEARCH("Pending On-site Assessment",J76),0)&gt;0,IF(I76="Required",1,I76),0),0)</f>
        <v>0</v>
      </c>
    </row>
    <row r="77" spans="1:23" ht="21" customHeight="1">
      <c r="A77" s="354" t="s">
        <v>767</v>
      </c>
      <c r="B77" s="286"/>
      <c r="C77" s="784"/>
      <c r="D77" s="359" t="s">
        <v>767</v>
      </c>
      <c r="E77" s="360" t="s">
        <v>847</v>
      </c>
      <c r="F77" s="361" t="s">
        <v>848</v>
      </c>
      <c r="G77" s="362">
        <f>'Review Comments'!F84</f>
        <v>1</v>
      </c>
      <c r="H77" s="362" t="str">
        <f>'Review Comments'!G84</f>
        <v>Yes</v>
      </c>
      <c r="I77" s="362">
        <f t="shared" si="4"/>
        <v>1</v>
      </c>
      <c r="J77" s="382" t="str">
        <f>IF('Review Comments'!H84=0,"",'Review Comments'!H84)</f>
        <v>Achieved</v>
      </c>
      <c r="K77" s="329">
        <f>IF(I77="Required","Required",IF(ISNUMBER(MATCH(J77,Lists!$H$2:$H$9,0)),I77,""))</f>
        <v>1</v>
      </c>
      <c r="L77" s="330" t="str">
        <f>IF(I77="Required","Required",IF(ISNUMBER(MATCH(J77,Lists!$I$2:$I$9,0)),I77,IF(ISNUMBER(MATCH(J77,Lists!$J$2:$J$9,0)),I77,"")))</f>
        <v/>
      </c>
      <c r="Q77" s="287" t="b">
        <f>IF(I77="Required",0,IF(ISNUMBER(MATCH(J77,Lists!$I$2:$I$4,0)),L77))</f>
        <v>0</v>
      </c>
      <c r="R77" s="287" t="b">
        <f>IF(I77="Required",0,IF(ISNUMBER(MATCH(J77,Lists!$K$2:$K$7,0)),L77))</f>
        <v>0</v>
      </c>
      <c r="S77" s="287" t="b">
        <f>IF(I77="Required",0,IF(ISNUMBER(MATCH(J77,Lists!$G$2:$G$4,0)),L77))</f>
        <v>0</v>
      </c>
      <c r="T77" s="287" t="b">
        <f>IF(I77="Required",0,IF(ISNUMBER(MATCH(J77,Lists!$G$7:$G$8,0)),L77))</f>
        <v>0</v>
      </c>
      <c r="U77" s="287">
        <f>IF(I77="Required",0,IF(ISNUMBER(MATCH(J77,Lists!$H$2:$H$4,0)),K77))</f>
        <v>1</v>
      </c>
      <c r="V77" s="287">
        <f t="shared" si="5"/>
        <v>0</v>
      </c>
      <c r="W77" s="287">
        <f t="shared" si="6"/>
        <v>0</v>
      </c>
    </row>
    <row r="78" spans="1:23" ht="21" customHeight="1">
      <c r="A78" s="354" t="s">
        <v>767</v>
      </c>
      <c r="B78" s="286"/>
      <c r="C78" s="784"/>
      <c r="D78" s="778" t="s">
        <v>767</v>
      </c>
      <c r="E78" s="780" t="s">
        <v>849</v>
      </c>
      <c r="F78" s="361" t="s">
        <v>850</v>
      </c>
      <c r="G78" s="362">
        <f>'Review Comments'!F85</f>
        <v>0</v>
      </c>
      <c r="H78" s="362" t="str">
        <f>'Review Comments'!G85</f>
        <v>No</v>
      </c>
      <c r="I78" s="362" t="str">
        <f t="shared" si="4"/>
        <v/>
      </c>
      <c r="J78" s="382" t="str">
        <f>IF('Review Comments'!H85=0,"",'Review Comments'!H85)</f>
        <v>Not Attempted</v>
      </c>
      <c r="K78" s="329" t="str">
        <f>IF(I78="Required","Required",IF(ISNUMBER(MATCH(J78,Lists!$H$2:$H$9,0)),I78,""))</f>
        <v/>
      </c>
      <c r="L78" s="330" t="str">
        <f>IF(I78="Required","Required",IF(ISNUMBER(MATCH(J78,Lists!$I$2:$I$9,0)),I78,IF(ISNUMBER(MATCH(J78,Lists!$J$2:$J$9,0)),I78,"")))</f>
        <v/>
      </c>
      <c r="Q78" s="287" t="b">
        <f>IF(I78="Required",0,IF(ISNUMBER(MATCH(J78,Lists!$I$2:$I$4,0)),L78))</f>
        <v>0</v>
      </c>
      <c r="R78" s="287" t="b">
        <f>IF(I78="Required",0,IF(ISNUMBER(MATCH(J78,Lists!$K$2:$K$7,0)),L78))</f>
        <v>0</v>
      </c>
      <c r="S78" s="287" t="b">
        <f>IF(I78="Required",0,IF(ISNUMBER(MATCH(J78,Lists!$G$2:$G$4,0)),L78))</f>
        <v>0</v>
      </c>
      <c r="T78" s="287" t="b">
        <f>IF(I78="Required",0,IF(ISNUMBER(MATCH(J78,Lists!$G$7:$G$8,0)),L78))</f>
        <v>0</v>
      </c>
      <c r="U78" s="287" t="b">
        <f>IF(I78="Required",0,IF(ISNUMBER(MATCH(J78,Lists!$H$2:$H$4,0)),K78))</f>
        <v>0</v>
      </c>
      <c r="V78" s="287">
        <f t="shared" si="5"/>
        <v>0</v>
      </c>
      <c r="W78" s="287">
        <f t="shared" si="6"/>
        <v>0</v>
      </c>
    </row>
    <row r="79" spans="1:23" ht="21" customHeight="1">
      <c r="A79" s="354" t="s">
        <v>767</v>
      </c>
      <c r="B79" s="286"/>
      <c r="C79" s="784"/>
      <c r="D79" s="778"/>
      <c r="E79" s="780"/>
      <c r="F79" s="361" t="s">
        <v>851</v>
      </c>
      <c r="G79" s="362">
        <f>'Review Comments'!F86</f>
        <v>1</v>
      </c>
      <c r="H79" s="362" t="str">
        <f>'Review Comments'!G86</f>
        <v>Yes</v>
      </c>
      <c r="I79" s="362">
        <f t="shared" si="4"/>
        <v>1</v>
      </c>
      <c r="J79" s="382" t="str">
        <f>IF('Review Comments'!H86=0,"",'Review Comments'!H86)</f>
        <v>Achieved</v>
      </c>
      <c r="K79" s="329">
        <f>IF(I79="Required","Required",IF(ISNUMBER(MATCH(J79,Lists!$H$2:$H$9,0)),I79,""))</f>
        <v>1</v>
      </c>
      <c r="L79" s="330" t="str">
        <f>IF(I79="Required","Required",IF(ISNUMBER(MATCH(J79,Lists!$I$2:$I$9,0)),I79,IF(ISNUMBER(MATCH(J79,Lists!$J$2:$J$9,0)),I79,"")))</f>
        <v/>
      </c>
      <c r="Q79" s="287" t="b">
        <f>IF(I79="Required",0,IF(ISNUMBER(MATCH(J79,Lists!$I$2:$I$4,0)),L79))</f>
        <v>0</v>
      </c>
      <c r="R79" s="287" t="b">
        <f>IF(I79="Required",0,IF(ISNUMBER(MATCH(J79,Lists!$K$2:$K$7,0)),L79))</f>
        <v>0</v>
      </c>
      <c r="S79" s="287" t="b">
        <f>IF(I79="Required",0,IF(ISNUMBER(MATCH(J79,Lists!$G$2:$G$4,0)),L79))</f>
        <v>0</v>
      </c>
      <c r="T79" s="287" t="b">
        <f>IF(I79="Required",0,IF(ISNUMBER(MATCH(J79,Lists!$G$7:$G$8,0)),L79))</f>
        <v>0</v>
      </c>
      <c r="U79" s="287">
        <f>IF(I79="Required",0,IF(ISNUMBER(MATCH(J79,Lists!$H$2:$H$4,0)),K79))</f>
        <v>1</v>
      </c>
      <c r="V79" s="287">
        <f t="shared" si="5"/>
        <v>0</v>
      </c>
      <c r="W79" s="287">
        <f t="shared" si="6"/>
        <v>0</v>
      </c>
    </row>
    <row r="80" spans="1:23" ht="21" customHeight="1">
      <c r="A80" s="354" t="s">
        <v>767</v>
      </c>
      <c r="B80" s="286"/>
      <c r="C80" s="784"/>
      <c r="D80" s="778" t="s">
        <v>767</v>
      </c>
      <c r="E80" s="780" t="s">
        <v>852</v>
      </c>
      <c r="F80" s="361" t="s">
        <v>853</v>
      </c>
      <c r="G80" s="362">
        <f>'Review Comments'!F87</f>
        <v>0</v>
      </c>
      <c r="H80" s="362" t="str">
        <f>'Review Comments'!G87</f>
        <v>No</v>
      </c>
      <c r="I80" s="362" t="str">
        <f t="shared" si="4"/>
        <v/>
      </c>
      <c r="J80" s="382" t="str">
        <f>IF('Review Comments'!H87=0,"",'Review Comments'!H87)</f>
        <v>Not Attempted</v>
      </c>
      <c r="K80" s="329" t="str">
        <f>IF(I80="Required","Required",IF(ISNUMBER(MATCH(J80,Lists!$H$2:$H$9,0)),I80,""))</f>
        <v/>
      </c>
      <c r="L80" s="330" t="str">
        <f>IF(I80="Required","Required",IF(ISNUMBER(MATCH(J80,Lists!$I$2:$I$9,0)),I80,IF(ISNUMBER(MATCH(J80,Lists!$J$2:$J$9,0)),I80,"")))</f>
        <v/>
      </c>
      <c r="Q80" s="287" t="b">
        <f>IF(I80="Required",0,IF(ISNUMBER(MATCH(J80,Lists!$I$2:$I$4,0)),L80))</f>
        <v>0</v>
      </c>
      <c r="R80" s="287" t="b">
        <f>IF(I80="Required",0,IF(ISNUMBER(MATCH(J80,Lists!$K$2:$K$7,0)),L80))</f>
        <v>0</v>
      </c>
      <c r="S80" s="287" t="b">
        <f>IF(I80="Required",0,IF(ISNUMBER(MATCH(J80,Lists!$G$2:$G$4,0)),L80))</f>
        <v>0</v>
      </c>
      <c r="T80" s="287" t="b">
        <f>IF(I80="Required",0,IF(ISNUMBER(MATCH(J80,Lists!$G$7:$G$8,0)),L80))</f>
        <v>0</v>
      </c>
      <c r="U80" s="287" t="b">
        <f>IF(I80="Required",0,IF(ISNUMBER(MATCH(J80,Lists!$H$2:$H$4,0)),K80))</f>
        <v>0</v>
      </c>
      <c r="V80" s="287">
        <f t="shared" si="5"/>
        <v>0</v>
      </c>
      <c r="W80" s="287">
        <f t="shared" si="6"/>
        <v>0</v>
      </c>
    </row>
    <row r="81" spans="1:23" ht="21" customHeight="1">
      <c r="A81" s="354" t="s">
        <v>767</v>
      </c>
      <c r="B81" s="286"/>
      <c r="C81" s="784"/>
      <c r="D81" s="778"/>
      <c r="E81" s="780"/>
      <c r="F81" s="361" t="s">
        <v>854</v>
      </c>
      <c r="G81" s="362">
        <f>'Review Comments'!F88</f>
        <v>1</v>
      </c>
      <c r="H81" s="362" t="str">
        <f>'Review Comments'!G88</f>
        <v>Yes</v>
      </c>
      <c r="I81" s="362">
        <f t="shared" si="4"/>
        <v>1</v>
      </c>
      <c r="J81" s="382" t="str">
        <f>IF('Review Comments'!H88=0,"",'Review Comments'!H88)</f>
        <v>Achieved</v>
      </c>
      <c r="K81" s="329">
        <f>IF(I81="Required","Required",IF(ISNUMBER(MATCH(J81,Lists!$H$2:$H$9,0)),I81,""))</f>
        <v>1</v>
      </c>
      <c r="L81" s="330" t="str">
        <f>IF(I81="Required","Required",IF(ISNUMBER(MATCH(J81,Lists!$I$2:$I$9,0)),I81,IF(ISNUMBER(MATCH(J81,Lists!$J$2:$J$9,0)),I81,"")))</f>
        <v/>
      </c>
      <c r="Q81" s="287" t="b">
        <f>IF(I81="Required",0,IF(ISNUMBER(MATCH(J81,Lists!$I$2:$I$4,0)),L81))</f>
        <v>0</v>
      </c>
      <c r="R81" s="287" t="b">
        <f>IF(I81="Required",0,IF(ISNUMBER(MATCH(J81,Lists!$K$2:$K$7,0)),L81))</f>
        <v>0</v>
      </c>
      <c r="S81" s="287" t="b">
        <f>IF(I81="Required",0,IF(ISNUMBER(MATCH(J81,Lists!$G$2:$G$4,0)),L81))</f>
        <v>0</v>
      </c>
      <c r="T81" s="287" t="b">
        <f>IF(I81="Required",0,IF(ISNUMBER(MATCH(J81,Lists!$G$7:$G$8,0)),L81))</f>
        <v>0</v>
      </c>
      <c r="U81" s="287">
        <f>IF(I81="Required",0,IF(ISNUMBER(MATCH(J81,Lists!$H$2:$H$4,0)),K81))</f>
        <v>1</v>
      </c>
      <c r="V81" s="287">
        <f t="shared" si="5"/>
        <v>0</v>
      </c>
      <c r="W81" s="287">
        <f t="shared" si="6"/>
        <v>0</v>
      </c>
    </row>
    <row r="82" spans="1:23" ht="21" customHeight="1">
      <c r="A82" s="354" t="s">
        <v>767</v>
      </c>
      <c r="B82" s="286"/>
      <c r="C82" s="784"/>
      <c r="D82" s="359" t="s">
        <v>767</v>
      </c>
      <c r="E82" s="360" t="s">
        <v>855</v>
      </c>
      <c r="F82" s="361" t="s">
        <v>856</v>
      </c>
      <c r="G82" s="362">
        <f>'Review Comments'!F89</f>
        <v>1</v>
      </c>
      <c r="H82" s="362" t="str">
        <f>'Review Comments'!G89</f>
        <v>Yes</v>
      </c>
      <c r="I82" s="362">
        <f t="shared" si="4"/>
        <v>1</v>
      </c>
      <c r="J82" s="382" t="str">
        <f>IF('Review Comments'!H89=0,"",'Review Comments'!H89)</f>
        <v>Achieved</v>
      </c>
      <c r="K82" s="329">
        <f>IF(I82="Required","Required",IF(ISNUMBER(MATCH(J82,Lists!$H$2:$H$9,0)),I82,""))</f>
        <v>1</v>
      </c>
      <c r="L82" s="330" t="str">
        <f>IF(I82="Required","Required",IF(ISNUMBER(MATCH(J82,Lists!$I$2:$I$9,0)),I82,IF(ISNUMBER(MATCH(J82,Lists!$J$2:$J$9,0)),I82,"")))</f>
        <v/>
      </c>
      <c r="Q82" s="287" t="b">
        <f>IF(I82="Required",0,IF(ISNUMBER(MATCH(J82,Lists!$I$2:$I$4,0)),L82))</f>
        <v>0</v>
      </c>
      <c r="R82" s="287" t="b">
        <f>IF(I82="Required",0,IF(ISNUMBER(MATCH(J82,Lists!$K$2:$K$7,0)),L82))</f>
        <v>0</v>
      </c>
      <c r="S82" s="287" t="b">
        <f>IF(I82="Required",0,IF(ISNUMBER(MATCH(J82,Lists!$G$2:$G$4,0)),L82))</f>
        <v>0</v>
      </c>
      <c r="T82" s="287" t="b">
        <f>IF(I82="Required",0,IF(ISNUMBER(MATCH(J82,Lists!$G$7:$G$8,0)),L82))</f>
        <v>0</v>
      </c>
      <c r="U82" s="287">
        <f>IF(I82="Required",0,IF(ISNUMBER(MATCH(J82,Lists!$H$2:$H$4,0)),K82))</f>
        <v>1</v>
      </c>
      <c r="V82" s="287">
        <f t="shared" si="5"/>
        <v>0</v>
      </c>
      <c r="W82" s="287">
        <f t="shared" si="6"/>
        <v>0</v>
      </c>
    </row>
    <row r="83" spans="1:23" ht="21" customHeight="1">
      <c r="A83" s="354" t="s">
        <v>767</v>
      </c>
      <c r="B83" s="286"/>
      <c r="C83" s="784"/>
      <c r="D83" s="359" t="s">
        <v>767</v>
      </c>
      <c r="E83" s="360" t="s">
        <v>857</v>
      </c>
      <c r="F83" s="361" t="s">
        <v>858</v>
      </c>
      <c r="G83" s="362">
        <f>'Review Comments'!F90</f>
        <v>0</v>
      </c>
      <c r="H83" s="362" t="str">
        <f>'Review Comments'!G90</f>
        <v>No</v>
      </c>
      <c r="I83" s="362" t="str">
        <f t="shared" si="4"/>
        <v/>
      </c>
      <c r="J83" s="382" t="str">
        <f>IF('Review Comments'!H90=0,"",'Review Comments'!H90)</f>
        <v>Not Attempted</v>
      </c>
      <c r="K83" s="329" t="str">
        <f>IF(I83="Required","Required",IF(ISNUMBER(MATCH(J83,Lists!$H$2:$H$9,0)),I83,""))</f>
        <v/>
      </c>
      <c r="L83" s="330" t="str">
        <f>IF(I83="Required","Required",IF(ISNUMBER(MATCH(J83,Lists!$I$2:$I$9,0)),I83,IF(ISNUMBER(MATCH(J83,Lists!$J$2:$J$9,0)),I83,"")))</f>
        <v/>
      </c>
      <c r="Q83" s="287" t="b">
        <f>IF(I83="Required",0,IF(ISNUMBER(MATCH(J83,Lists!$I$2:$I$4,0)),L83))</f>
        <v>0</v>
      </c>
      <c r="R83" s="287" t="b">
        <f>IF(I83="Required",0,IF(ISNUMBER(MATCH(J83,Lists!$K$2:$K$7,0)),L83))</f>
        <v>0</v>
      </c>
      <c r="S83" s="287" t="b">
        <f>IF(I83="Required",0,IF(ISNUMBER(MATCH(J83,Lists!$G$2:$G$4,0)),L83))</f>
        <v>0</v>
      </c>
      <c r="T83" s="287" t="b">
        <f>IF(I83="Required",0,IF(ISNUMBER(MATCH(J83,Lists!$G$7:$G$8,0)),L83))</f>
        <v>0</v>
      </c>
      <c r="U83" s="287" t="b">
        <f>IF(I83="Required",0,IF(ISNUMBER(MATCH(J83,Lists!$H$2:$H$4,0)),K83))</f>
        <v>0</v>
      </c>
      <c r="V83" s="287">
        <f t="shared" si="5"/>
        <v>0</v>
      </c>
      <c r="W83" s="287">
        <f t="shared" si="6"/>
        <v>0</v>
      </c>
    </row>
    <row r="84" spans="1:23" ht="21" customHeight="1">
      <c r="A84" s="354" t="s">
        <v>767</v>
      </c>
      <c r="B84" s="286"/>
      <c r="C84" s="784"/>
      <c r="D84" s="778" t="s">
        <v>767</v>
      </c>
      <c r="E84" s="780" t="s">
        <v>859</v>
      </c>
      <c r="F84" s="361" t="s">
        <v>860</v>
      </c>
      <c r="G84" s="362">
        <f>'Review Comments'!F91</f>
        <v>0</v>
      </c>
      <c r="H84" s="362" t="str">
        <f>'Review Comments'!G91</f>
        <v>No</v>
      </c>
      <c r="I84" s="362" t="str">
        <f t="shared" si="4"/>
        <v/>
      </c>
      <c r="J84" s="382" t="str">
        <f>IF('Review Comments'!H91=0,"",'Review Comments'!H91)</f>
        <v>Not Attempted</v>
      </c>
      <c r="K84" s="329" t="str">
        <f>IF(I84="Required","Required",IF(ISNUMBER(MATCH(J84,Lists!$H$2:$H$9,0)),I84,""))</f>
        <v/>
      </c>
      <c r="L84" s="330" t="str">
        <f>IF(I84="Required","Required",IF(ISNUMBER(MATCH(J84,Lists!$I$2:$I$9,0)),I84,IF(ISNUMBER(MATCH(J84,Lists!$J$2:$J$9,0)),I84,"")))</f>
        <v/>
      </c>
      <c r="Q84" s="287" t="b">
        <f>IF(I84="Required",0,IF(ISNUMBER(MATCH(J84,Lists!$I$2:$I$4,0)),L84))</f>
        <v>0</v>
      </c>
      <c r="R84" s="287" t="b">
        <f>IF(I84="Required",0,IF(ISNUMBER(MATCH(J84,Lists!$K$2:$K$7,0)),L84))</f>
        <v>0</v>
      </c>
      <c r="S84" s="287" t="b">
        <f>IF(I84="Required",0,IF(ISNUMBER(MATCH(J84,Lists!$G$2:$G$4,0)),L84))</f>
        <v>0</v>
      </c>
      <c r="T84" s="287" t="b">
        <f>IF(I84="Required",0,IF(ISNUMBER(MATCH(J84,Lists!$G$7:$G$8,0)),L84))</f>
        <v>0</v>
      </c>
      <c r="U84" s="287" t="b">
        <f>IF(I84="Required",0,IF(ISNUMBER(MATCH(J84,Lists!$H$2:$H$4,0)),K84))</f>
        <v>0</v>
      </c>
      <c r="V84" s="287">
        <f t="shared" si="5"/>
        <v>0</v>
      </c>
      <c r="W84" s="287">
        <f t="shared" si="6"/>
        <v>0</v>
      </c>
    </row>
    <row r="85" spans="1:23" ht="21" customHeight="1">
      <c r="A85" s="354" t="s">
        <v>767</v>
      </c>
      <c r="B85" s="286"/>
      <c r="C85" s="784"/>
      <c r="D85" s="778"/>
      <c r="E85" s="780"/>
      <c r="F85" s="361" t="s">
        <v>861</v>
      </c>
      <c r="G85" s="362">
        <f>'Review Comments'!F92</f>
        <v>0</v>
      </c>
      <c r="H85" s="362" t="str">
        <f>'Review Comments'!G92</f>
        <v>No</v>
      </c>
      <c r="I85" s="362" t="str">
        <f t="shared" si="4"/>
        <v/>
      </c>
      <c r="J85" s="382" t="str">
        <f>IF('Review Comments'!H92=0,"",'Review Comments'!H92)</f>
        <v>Not Attempted</v>
      </c>
      <c r="K85" s="329" t="str">
        <f>IF(I85="Required","Required",IF(ISNUMBER(MATCH(J85,Lists!$H$2:$H$9,0)),I85,""))</f>
        <v/>
      </c>
      <c r="L85" s="330" t="str">
        <f>IF(I85="Required","Required",IF(ISNUMBER(MATCH(J85,Lists!$I$2:$I$9,0)),I85,IF(ISNUMBER(MATCH(J85,Lists!$J$2:$J$9,0)),I85,"")))</f>
        <v/>
      </c>
      <c r="Q85" s="287" t="b">
        <f>IF(I85="Required",0,IF(ISNUMBER(MATCH(J85,Lists!$I$2:$I$4,0)),L85))</f>
        <v>0</v>
      </c>
      <c r="R85" s="287" t="b">
        <f>IF(I85="Required",0,IF(ISNUMBER(MATCH(J85,Lists!$K$2:$K$7,0)),L85))</f>
        <v>0</v>
      </c>
      <c r="S85" s="287" t="b">
        <f>IF(I85="Required",0,IF(ISNUMBER(MATCH(J85,Lists!$G$2:$G$4,0)),L85))</f>
        <v>0</v>
      </c>
      <c r="T85" s="287" t="b">
        <f>IF(I85="Required",0,IF(ISNUMBER(MATCH(J85,Lists!$G$7:$G$8,0)),L85))</f>
        <v>0</v>
      </c>
      <c r="U85" s="287" t="b">
        <f>IF(I85="Required",0,IF(ISNUMBER(MATCH(J85,Lists!$H$2:$H$4,0)),K85))</f>
        <v>0</v>
      </c>
      <c r="V85" s="287">
        <f t="shared" si="5"/>
        <v>0</v>
      </c>
      <c r="W85" s="287">
        <f t="shared" si="6"/>
        <v>0</v>
      </c>
    </row>
    <row r="86" spans="1:23" ht="21" customHeight="1" thickBot="1">
      <c r="A86" s="354" t="s">
        <v>767</v>
      </c>
      <c r="B86" s="286"/>
      <c r="C86" s="784"/>
      <c r="D86" s="359" t="s">
        <v>767</v>
      </c>
      <c r="E86" s="360" t="s">
        <v>862</v>
      </c>
      <c r="F86" s="361" t="s">
        <v>863</v>
      </c>
      <c r="G86" s="362">
        <f>'Review Comments'!F93</f>
        <v>0</v>
      </c>
      <c r="H86" s="362" t="str">
        <f>'Review Comments'!G93</f>
        <v>No</v>
      </c>
      <c r="I86" s="362" t="str">
        <f t="shared" si="4"/>
        <v/>
      </c>
      <c r="J86" s="382" t="str">
        <f>IF('Review Comments'!H93=0,"",'Review Comments'!H93)</f>
        <v>Not Attempted</v>
      </c>
      <c r="K86" s="329" t="str">
        <f>IF(I86="Required","Required",IF(ISNUMBER(MATCH(J86,Lists!$H$2:$H$9,0)),I86,""))</f>
        <v/>
      </c>
      <c r="L86" s="330" t="str">
        <f>IF(I86="Required","Required",IF(ISNUMBER(MATCH(J86,Lists!$I$2:$I$9,0)),I86,IF(ISNUMBER(MATCH(J86,Lists!$J$2:$J$9,0)),I86,"")))</f>
        <v/>
      </c>
      <c r="N86" s="363" t="s">
        <v>864</v>
      </c>
      <c r="Q86" s="287" t="b">
        <f>IF(I86="Required",0,IF(ISNUMBER(MATCH(J86,Lists!$I$2:$I$4,0)),L86))</f>
        <v>0</v>
      </c>
      <c r="R86" s="287" t="b">
        <f>IF(I86="Required",0,IF(ISNUMBER(MATCH(J86,Lists!$K$2:$K$7,0)),L86))</f>
        <v>0</v>
      </c>
      <c r="S86" s="287" t="b">
        <f>IF(I86="Required",0,IF(ISNUMBER(MATCH(J86,Lists!$G$2:$G$4,0)),L86))</f>
        <v>0</v>
      </c>
      <c r="T86" s="287" t="b">
        <f>IF(I86="Required",0,IF(ISNUMBER(MATCH(J86,Lists!$G$7:$G$8,0)),L86))</f>
        <v>0</v>
      </c>
      <c r="U86" s="287" t="b">
        <f>IF(I86="Required",0,IF(ISNUMBER(MATCH(J86,Lists!$H$2:$H$4,0)),K86))</f>
        <v>0</v>
      </c>
      <c r="V86" s="287">
        <f t="shared" si="5"/>
        <v>0</v>
      </c>
      <c r="W86" s="287">
        <f t="shared" si="6"/>
        <v>0</v>
      </c>
    </row>
    <row r="87" spans="1:23" ht="21" hidden="1" customHeight="1" thickBot="1">
      <c r="A87" s="354" t="s">
        <v>767</v>
      </c>
      <c r="B87" s="286"/>
      <c r="C87" s="784"/>
      <c r="D87" s="365" t="s">
        <v>767</v>
      </c>
      <c r="E87" s="366" t="s">
        <v>865</v>
      </c>
      <c r="F87" s="367" t="s">
        <v>866</v>
      </c>
      <c r="G87" s="368">
        <f>'Review Comments'!F94</f>
        <v>0</v>
      </c>
      <c r="H87" s="368">
        <f>'Review Comments'!G94</f>
        <v>0</v>
      </c>
      <c r="I87" s="369" t="str">
        <f t="shared" si="4"/>
        <v/>
      </c>
      <c r="J87" s="370" t="str">
        <f>IF('Review Comments'!H94=0,"",'Review Comments'!H94)</f>
        <v/>
      </c>
      <c r="K87" s="371" t="str">
        <f>IF(I87="Required","Required",IF(ISNUMBER(MATCH(J87,Lists!$H$2:$H$9,0)),I87,""))</f>
        <v/>
      </c>
      <c r="L87" s="372" t="str">
        <f>IF(I87="Required","Required",IF(ISNUMBER(MATCH(J87,Lists!$I$2:$I$9,0)),I87,IF(ISNUMBER(MATCH(J87,Lists!$J$2:$J$9,0)),I87,"")))</f>
        <v/>
      </c>
      <c r="O87" s="364"/>
      <c r="Q87" s="287" t="b">
        <f>IF(I87="Required",0,IF(ISNUMBER(MATCH(J87,Lists!$I$2:$I$4,0)),L87))</f>
        <v>0</v>
      </c>
      <c r="R87" s="287" t="b">
        <f>IF(I87="Required",0,IF(ISNUMBER(MATCH(J87,Lists!$K$2:$K$7,0)),L87))</f>
        <v>0</v>
      </c>
      <c r="S87" s="287" t="b">
        <f>IF(I87="Required",0,IF(ISNUMBER(MATCH(J87,Lists!$G$2:$G$4,0)),L87))</f>
        <v>0</v>
      </c>
      <c r="T87" s="287" t="b">
        <f>IF(I87="Required",0,IF(ISNUMBER(MATCH(J87,Lists!$G$7:$G$8,0)),L87))</f>
        <v>0</v>
      </c>
      <c r="U87" s="287" t="b">
        <f>IF(I87="Required",0,IF(ISNUMBER(MATCH(J87,Lists!$H$2:$H$4,0)),K87))</f>
        <v>0</v>
      </c>
      <c r="V87" s="287">
        <f t="shared" si="5"/>
        <v>0</v>
      </c>
      <c r="W87" s="287">
        <f t="shared" si="6"/>
        <v>0</v>
      </c>
    </row>
    <row r="88" spans="1:23" s="346" customFormat="1" ht="16.2" customHeight="1">
      <c r="A88" s="383"/>
      <c r="B88" s="337"/>
      <c r="C88" s="384"/>
      <c r="D88" s="385"/>
      <c r="E88" s="386"/>
      <c r="F88" s="387"/>
      <c r="G88" s="388">
        <f>SUM(G65:G87)</f>
        <v>5</v>
      </c>
      <c r="H88" s="385"/>
      <c r="I88" s="389">
        <f>SUM(I65:I87)</f>
        <v>5</v>
      </c>
      <c r="J88" s="390"/>
      <c r="K88" s="389">
        <f>SUM(K65:K87)</f>
        <v>5</v>
      </c>
      <c r="L88" s="391">
        <f>SUM(L65:L87)</f>
        <v>0</v>
      </c>
      <c r="Q88" s="346" t="b">
        <f>IF(I88="Required",0,IF(ISNUMBER(MATCH(J88,Lists!$I$2:$I$4,0)),L88))</f>
        <v>0</v>
      </c>
      <c r="R88" s="346" t="b">
        <f>IF(I88="Required",0,IF(ISNUMBER(MATCH(J88,Lists!$K$2:$K$7,0)),L88))</f>
        <v>0</v>
      </c>
      <c r="S88" s="346" t="b">
        <f>IF(I88="Required",0,IF(ISNUMBER(MATCH(J88,Lists!$G$2:$G$4,0)),L88))</f>
        <v>0</v>
      </c>
      <c r="T88" s="346" t="b">
        <f>IF(I88="Required",0,IF(ISNUMBER(MATCH(J88,Lists!$G$7:$G$8,0)),L88))</f>
        <v>0</v>
      </c>
      <c r="U88" s="346" t="b">
        <f>IF(I88="Required",0,IF(ISNUMBER(MATCH(J88,Lists!$H$2:$H$4,0)),K88))</f>
        <v>0</v>
      </c>
      <c r="V88" s="346">
        <f t="shared" si="5"/>
        <v>0</v>
      </c>
      <c r="W88" s="287">
        <f t="shared" si="6"/>
        <v>0</v>
      </c>
    </row>
    <row r="89" spans="1:23" ht="6.6" customHeight="1" thickBot="1">
      <c r="A89" s="347"/>
      <c r="B89" s="286"/>
      <c r="C89" s="348"/>
      <c r="D89" s="347"/>
      <c r="E89" s="349"/>
      <c r="F89" s="350"/>
      <c r="G89" s="351"/>
      <c r="H89" s="351"/>
      <c r="I89" s="351"/>
      <c r="J89" s="352"/>
      <c r="K89" s="351"/>
      <c r="L89" s="353"/>
      <c r="Q89" s="287" t="b">
        <f>IF(I89="Required",0,IF(ISNUMBER(MATCH(J89,Lists!$I$2:$I$4,0)),L89))</f>
        <v>0</v>
      </c>
      <c r="R89" s="287" t="b">
        <f>IF(I89="Required",0,IF(ISNUMBER(MATCH(J89,Lists!$K$2:$K$7,0)),L89))</f>
        <v>0</v>
      </c>
      <c r="S89" s="287" t="b">
        <f>IF(I89="Required",0,IF(ISNUMBER(MATCH(J89,Lists!$G$2:$G$4,0)),L89))</f>
        <v>0</v>
      </c>
      <c r="T89" s="287" t="b">
        <f>IF(I89="Required",0,IF(ISNUMBER(MATCH(J89,Lists!$G$7:$G$8,0)),L89))</f>
        <v>0</v>
      </c>
      <c r="U89" s="287" t="b">
        <f>IF(I89="Required",0,IF(ISNUMBER(MATCH(J89,Lists!$H$2:$H$4,0)),K89))</f>
        <v>0</v>
      </c>
      <c r="V89" s="287">
        <f t="shared" si="5"/>
        <v>0</v>
      </c>
      <c r="W89" s="287">
        <f t="shared" si="6"/>
        <v>0</v>
      </c>
    </row>
    <row r="90" spans="1:23" ht="21" customHeight="1">
      <c r="A90" s="354" t="s">
        <v>752</v>
      </c>
      <c r="B90" s="286"/>
      <c r="C90" s="781" t="s">
        <v>137</v>
      </c>
      <c r="D90" s="777" t="s">
        <v>752</v>
      </c>
      <c r="E90" s="779" t="s">
        <v>867</v>
      </c>
      <c r="F90" s="357" t="s">
        <v>868</v>
      </c>
      <c r="G90" s="358">
        <f>'Review Comments'!F100</f>
        <v>0</v>
      </c>
      <c r="H90" s="358" t="str">
        <f>'Review Comments'!G100</f>
        <v>Required</v>
      </c>
      <c r="I90" s="358" t="str">
        <f t="shared" ref="I90:I103" si="7">IF(H90="Yes",G90,IF(H90="Required","Required",""))</f>
        <v>Required</v>
      </c>
      <c r="J90" s="381" t="str">
        <f>IF('Review Comments'!H100=0,"",'Review Comments'!H100)</f>
        <v>Achieved</v>
      </c>
      <c r="K90" s="323" t="str">
        <f>IF(I90="Required","Required",IF(ISNUMBER(MATCH(J90,Lists!$H$2:$H$9,0)),I90,""))</f>
        <v>Required</v>
      </c>
      <c r="L90" s="324" t="str">
        <f>IF(I90="Required","Required",IF(ISNUMBER(MATCH(J90,Lists!$I$2:$I$9,0)),I90,IF(ISNUMBER(MATCH(J90,Lists!$J$2:$J$9,0)),I90,"")))</f>
        <v>Required</v>
      </c>
      <c r="Q90" s="287">
        <f>IF(I90="Required",0,IF(ISNUMBER(MATCH(J90,Lists!$I$2:$I$4,0)),L90))</f>
        <v>0</v>
      </c>
      <c r="R90" s="287">
        <f>IF(I90="Required",0,IF(ISNUMBER(MATCH(J90,Lists!$K$2:$K$7,0)),L90))</f>
        <v>0</v>
      </c>
      <c r="S90" s="287">
        <f>IF(I90="Required",0,IF(ISNUMBER(MATCH(J90,Lists!$G$2:$G$4,0)),L90))</f>
        <v>0</v>
      </c>
      <c r="T90" s="287">
        <f>IF(I90="Required",0,IF(ISNUMBER(MATCH(J90,Lists!$G$7:$G$8,0)),L90))</f>
        <v>0</v>
      </c>
      <c r="U90" s="287">
        <f>IF(I90="Required",0,IF(ISNUMBER(MATCH(J90,Lists!$H$2:$H$4,0)),K90))</f>
        <v>0</v>
      </c>
      <c r="V90" s="287">
        <f t="shared" si="5"/>
        <v>0</v>
      </c>
      <c r="W90" s="287">
        <f t="shared" si="6"/>
        <v>0</v>
      </c>
    </row>
    <row r="91" spans="1:23" ht="21" customHeight="1">
      <c r="A91" s="354" t="s">
        <v>752</v>
      </c>
      <c r="B91" s="286"/>
      <c r="C91" s="782"/>
      <c r="D91" s="778"/>
      <c r="E91" s="780"/>
      <c r="F91" s="361" t="s">
        <v>869</v>
      </c>
      <c r="G91" s="362">
        <f>'Review Comments'!F101</f>
        <v>0</v>
      </c>
      <c r="H91" s="362" t="str">
        <f>'Review Comments'!G101</f>
        <v>Required</v>
      </c>
      <c r="I91" s="362" t="str">
        <f t="shared" si="7"/>
        <v>Required</v>
      </c>
      <c r="J91" s="382" t="str">
        <f>IF('Review Comments'!H101=0,"",'Review Comments'!H101)</f>
        <v>Achieved</v>
      </c>
      <c r="K91" s="329" t="str">
        <f>IF(I91="Required","Required",IF(ISNUMBER(MATCH(J91,Lists!$H$2:$H$9,0)),I91,""))</f>
        <v>Required</v>
      </c>
      <c r="L91" s="330" t="str">
        <f>IF(I91="Required","Required",IF(ISNUMBER(MATCH(J91,Lists!$I$2:$I$9,0)),I91,IF(ISNUMBER(MATCH(J91,Lists!$J$2:$J$9,0)),I91,"")))</f>
        <v>Required</v>
      </c>
      <c r="Q91" s="287">
        <f>IF(I91="Required",0,IF(ISNUMBER(MATCH(J91,Lists!$I$2:$I$4,0)),L91))</f>
        <v>0</v>
      </c>
      <c r="R91" s="287">
        <f>IF(I91="Required",0,IF(ISNUMBER(MATCH(J91,Lists!$K$2:$K$7,0)),L91))</f>
        <v>0</v>
      </c>
      <c r="S91" s="287">
        <f>IF(I91="Required",0,IF(ISNUMBER(MATCH(J91,Lists!$G$2:$G$4,0)),L91))</f>
        <v>0</v>
      </c>
      <c r="T91" s="287">
        <f>IF(I91="Required",0,IF(ISNUMBER(MATCH(J91,Lists!$G$7:$G$8,0)),L91))</f>
        <v>0</v>
      </c>
      <c r="U91" s="287">
        <f>IF(I91="Required",0,IF(ISNUMBER(MATCH(J91,Lists!$H$2:$H$4,0)),K91))</f>
        <v>0</v>
      </c>
      <c r="V91" s="287">
        <f t="shared" si="5"/>
        <v>0</v>
      </c>
      <c r="W91" s="287">
        <f t="shared" si="6"/>
        <v>0</v>
      </c>
    </row>
    <row r="92" spans="1:23" ht="21" customHeight="1">
      <c r="A92" s="354" t="s">
        <v>752</v>
      </c>
      <c r="B92" s="286"/>
      <c r="C92" s="782"/>
      <c r="D92" s="359" t="s">
        <v>752</v>
      </c>
      <c r="E92" s="360" t="s">
        <v>870</v>
      </c>
      <c r="F92" s="361" t="s">
        <v>871</v>
      </c>
      <c r="G92" s="362">
        <f>'Review Comments'!F102</f>
        <v>0</v>
      </c>
      <c r="H92" s="362" t="str">
        <f>'Review Comments'!G102</f>
        <v>Required</v>
      </c>
      <c r="I92" s="362" t="str">
        <f t="shared" si="7"/>
        <v>Required</v>
      </c>
      <c r="J92" s="382" t="str">
        <f>IF('Review Comments'!H102=0,"",'Review Comments'!H102)</f>
        <v>Achieved</v>
      </c>
      <c r="K92" s="329" t="str">
        <f>IF(I92="Required","Required",IF(ISNUMBER(MATCH(J92,Lists!$H$2:$H$9,0)),I92,""))</f>
        <v>Required</v>
      </c>
      <c r="L92" s="330" t="str">
        <f>IF(I92="Required","Required",IF(ISNUMBER(MATCH(J92,Lists!$I$2:$I$9,0)),I92,IF(ISNUMBER(MATCH(J92,Lists!$J$2:$J$9,0)),I92,"")))</f>
        <v>Required</v>
      </c>
      <c r="Q92" s="287">
        <f>IF(I92="Required",0,IF(ISNUMBER(MATCH(J92,Lists!$I$2:$I$4,0)),L92))</f>
        <v>0</v>
      </c>
      <c r="R92" s="287">
        <f>IF(I92="Required",0,IF(ISNUMBER(MATCH(J92,Lists!$K$2:$K$7,0)),L92))</f>
        <v>0</v>
      </c>
      <c r="S92" s="287">
        <f>IF(I92="Required",0,IF(ISNUMBER(MATCH(J92,Lists!$G$2:$G$4,0)),L92))</f>
        <v>0</v>
      </c>
      <c r="T92" s="287">
        <f>IF(I92="Required",0,IF(ISNUMBER(MATCH(J92,Lists!$G$7:$G$8,0)),L92))</f>
        <v>0</v>
      </c>
      <c r="U92" s="287">
        <f>IF(I92="Required",0,IF(ISNUMBER(MATCH(J92,Lists!$H$2:$H$4,0)),K92))</f>
        <v>0</v>
      </c>
      <c r="V92" s="287">
        <f t="shared" si="5"/>
        <v>0</v>
      </c>
      <c r="W92" s="287">
        <f t="shared" si="6"/>
        <v>0</v>
      </c>
    </row>
    <row r="93" spans="1:23" ht="21" customHeight="1">
      <c r="A93" s="354" t="s">
        <v>767</v>
      </c>
      <c r="B93" s="286"/>
      <c r="C93" s="782"/>
      <c r="D93" s="359" t="s">
        <v>767</v>
      </c>
      <c r="E93" s="360" t="s">
        <v>872</v>
      </c>
      <c r="F93" s="361" t="s">
        <v>873</v>
      </c>
      <c r="G93" s="362">
        <f>'Review Comments'!F103</f>
        <v>0</v>
      </c>
      <c r="H93" s="362" t="str">
        <f>'Review Comments'!G103</f>
        <v>No</v>
      </c>
      <c r="I93" s="362" t="str">
        <f t="shared" si="7"/>
        <v/>
      </c>
      <c r="J93" s="382" t="str">
        <f>IF('Review Comments'!H103=0,"",'Review Comments'!H103)</f>
        <v>Not Attempted</v>
      </c>
      <c r="K93" s="329" t="str">
        <f>IF(I93="Required","Required",IF(ISNUMBER(MATCH(J93,Lists!$H$2:$H$9,0)),I93,""))</f>
        <v/>
      </c>
      <c r="L93" s="330" t="str">
        <f>IF(I93="Required","Required",IF(ISNUMBER(MATCH(J93,Lists!$I$2:$I$9,0)),I93,IF(ISNUMBER(MATCH(J93,Lists!$J$2:$J$9,0)),I93,"")))</f>
        <v/>
      </c>
      <c r="Q93" s="287" t="b">
        <f>IF(I93="Required",0,IF(ISNUMBER(MATCH(J93,Lists!$I$2:$I$4,0)),L93))</f>
        <v>0</v>
      </c>
      <c r="R93" s="287" t="b">
        <f>IF(I93="Required",0,IF(ISNUMBER(MATCH(J93,Lists!$K$2:$K$7,0)),L93))</f>
        <v>0</v>
      </c>
      <c r="S93" s="287" t="b">
        <f>IF(I93="Required",0,IF(ISNUMBER(MATCH(J93,Lists!$G$2:$G$4,0)),L93))</f>
        <v>0</v>
      </c>
      <c r="T93" s="287" t="b">
        <f>IF(I93="Required",0,IF(ISNUMBER(MATCH(J93,Lists!$G$7:$G$8,0)),L93))</f>
        <v>0</v>
      </c>
      <c r="U93" s="287" t="b">
        <f>IF(I93="Required",0,IF(ISNUMBER(MATCH(J93,Lists!$H$2:$H$4,0)),K93))</f>
        <v>0</v>
      </c>
      <c r="V93" s="287">
        <f t="shared" si="5"/>
        <v>0</v>
      </c>
      <c r="W93" s="287">
        <f t="shared" si="6"/>
        <v>0</v>
      </c>
    </row>
    <row r="94" spans="1:23" ht="21" customHeight="1">
      <c r="A94" s="354" t="s">
        <v>767</v>
      </c>
      <c r="B94" s="286"/>
      <c r="C94" s="782"/>
      <c r="D94" s="778" t="s">
        <v>767</v>
      </c>
      <c r="E94" s="780" t="s">
        <v>874</v>
      </c>
      <c r="F94" s="361" t="s">
        <v>875</v>
      </c>
      <c r="G94" s="362">
        <f>'Review Comments'!F104</f>
        <v>0</v>
      </c>
      <c r="H94" s="362" t="str">
        <f>'Review Comments'!G104</f>
        <v>No</v>
      </c>
      <c r="I94" s="362" t="str">
        <f t="shared" si="7"/>
        <v/>
      </c>
      <c r="J94" s="382" t="str">
        <f>IF('Review Comments'!H104=0,"",'Review Comments'!H104)</f>
        <v>Not Attempted</v>
      </c>
      <c r="K94" s="329" t="str">
        <f>IF(I94="Required","Required",IF(ISNUMBER(MATCH(J94,Lists!$H$2:$H$9,0)),I94,""))</f>
        <v/>
      </c>
      <c r="L94" s="330" t="str">
        <f>IF(I94="Required","Required",IF(ISNUMBER(MATCH(J94,Lists!$I$2:$I$9,0)),I94,IF(ISNUMBER(MATCH(J94,Lists!$J$2:$J$9,0)),I94,"")))</f>
        <v/>
      </c>
      <c r="Q94" s="287" t="b">
        <f>IF(I94="Required",0,IF(ISNUMBER(MATCH(J94,Lists!$I$2:$I$4,0)),L94))</f>
        <v>0</v>
      </c>
      <c r="R94" s="287" t="b">
        <f>IF(I94="Required",0,IF(ISNUMBER(MATCH(J94,Lists!$K$2:$K$7,0)),L94))</f>
        <v>0</v>
      </c>
      <c r="S94" s="287" t="b">
        <f>IF(I94="Required",0,IF(ISNUMBER(MATCH(J94,Lists!$G$2:$G$4,0)),L94))</f>
        <v>0</v>
      </c>
      <c r="T94" s="287" t="b">
        <f>IF(I94="Required",0,IF(ISNUMBER(MATCH(J94,Lists!$G$7:$G$8,0)),L94))</f>
        <v>0</v>
      </c>
      <c r="U94" s="287" t="b">
        <f>IF(I94="Required",0,IF(ISNUMBER(MATCH(J94,Lists!$H$2:$H$4,0)),K94))</f>
        <v>0</v>
      </c>
      <c r="V94" s="287">
        <f t="shared" si="5"/>
        <v>0</v>
      </c>
      <c r="W94" s="287">
        <f t="shared" si="6"/>
        <v>0</v>
      </c>
    </row>
    <row r="95" spans="1:23" ht="21" customHeight="1">
      <c r="A95" s="354" t="s">
        <v>767</v>
      </c>
      <c r="B95" s="286"/>
      <c r="C95" s="782"/>
      <c r="D95" s="778"/>
      <c r="E95" s="780"/>
      <c r="F95" s="361" t="s">
        <v>876</v>
      </c>
      <c r="G95" s="362">
        <f>'Review Comments'!F105</f>
        <v>2</v>
      </c>
      <c r="H95" s="362" t="str">
        <f>'Review Comments'!G105</f>
        <v>Yes</v>
      </c>
      <c r="I95" s="362">
        <f t="shared" si="7"/>
        <v>2</v>
      </c>
      <c r="J95" s="382" t="str">
        <f>IF('Review Comments'!H105=0,"",'Review Comments'!H105)</f>
        <v>Achieved</v>
      </c>
      <c r="K95" s="329">
        <f>IF(I95="Required","Required",IF(ISNUMBER(MATCH(J95,Lists!$H$2:$H$9,0)),I95,""))</f>
        <v>2</v>
      </c>
      <c r="L95" s="330" t="str">
        <f>IF(I95="Required","Required",IF(ISNUMBER(MATCH(J95,Lists!$I$2:$I$9,0)),I95,IF(ISNUMBER(MATCH(J95,Lists!$J$2:$J$9,0)),I95,"")))</f>
        <v/>
      </c>
      <c r="Q95" s="287" t="b">
        <f>IF(I95="Required",0,IF(ISNUMBER(MATCH(J95,Lists!$I$2:$I$4,0)),L95))</f>
        <v>0</v>
      </c>
      <c r="R95" s="287" t="b">
        <f>IF(I95="Required",0,IF(ISNUMBER(MATCH(J95,Lists!$K$2:$K$7,0)),L95))</f>
        <v>0</v>
      </c>
      <c r="S95" s="287" t="b">
        <f>IF(I95="Required",0,IF(ISNUMBER(MATCH(J95,Lists!$G$2:$G$4,0)),L95))</f>
        <v>0</v>
      </c>
      <c r="T95" s="287" t="b">
        <f>IF(I95="Required",0,IF(ISNUMBER(MATCH(J95,Lists!$G$7:$G$8,0)),L95))</f>
        <v>0</v>
      </c>
      <c r="U95" s="287">
        <f>IF(I95="Required",0,IF(ISNUMBER(MATCH(J95,Lists!$H$2:$H$4,0)),K95))</f>
        <v>2</v>
      </c>
      <c r="V95" s="287">
        <f t="shared" si="5"/>
        <v>0</v>
      </c>
      <c r="W95" s="287">
        <f t="shared" si="6"/>
        <v>0</v>
      </c>
    </row>
    <row r="96" spans="1:23" ht="21" customHeight="1">
      <c r="A96" s="354" t="s">
        <v>767</v>
      </c>
      <c r="B96" s="286"/>
      <c r="C96" s="782"/>
      <c r="D96" s="778" t="s">
        <v>767</v>
      </c>
      <c r="E96" s="780" t="s">
        <v>877</v>
      </c>
      <c r="F96" s="361" t="s">
        <v>878</v>
      </c>
      <c r="G96" s="362">
        <f>'Review Comments'!F106</f>
        <v>1</v>
      </c>
      <c r="H96" s="362" t="str">
        <f>'Review Comments'!G106</f>
        <v>Yes</v>
      </c>
      <c r="I96" s="362">
        <f t="shared" si="7"/>
        <v>1</v>
      </c>
      <c r="J96" s="382" t="str">
        <f>IF('Review Comments'!H106=0,"",'Review Comments'!H106)</f>
        <v>Achieved</v>
      </c>
      <c r="K96" s="329">
        <f>IF(I96="Required","Required",IF(ISNUMBER(MATCH(J96,Lists!$H$2:$H$9,0)),I96,""))</f>
        <v>1</v>
      </c>
      <c r="L96" s="330" t="str">
        <f>IF(I96="Required","Required",IF(ISNUMBER(MATCH(J96,Lists!$I$2:$I$9,0)),I96,IF(ISNUMBER(MATCH(J96,Lists!$J$2:$J$9,0)),I96,"")))</f>
        <v/>
      </c>
      <c r="Q96" s="287" t="b">
        <f>IF(I96="Required",0,IF(ISNUMBER(MATCH(J96,Lists!$I$2:$I$4,0)),L96))</f>
        <v>0</v>
      </c>
      <c r="R96" s="287" t="b">
        <f>IF(I96="Required",0,IF(ISNUMBER(MATCH(J96,Lists!$K$2:$K$7,0)),L96))</f>
        <v>0</v>
      </c>
      <c r="S96" s="287" t="b">
        <f>IF(I96="Required",0,IF(ISNUMBER(MATCH(J96,Lists!$G$2:$G$4,0)),L96))</f>
        <v>0</v>
      </c>
      <c r="T96" s="287" t="b">
        <f>IF(I96="Required",0,IF(ISNUMBER(MATCH(J96,Lists!$G$7:$G$8,0)),L96))</f>
        <v>0</v>
      </c>
      <c r="U96" s="287">
        <f>IF(I96="Required",0,IF(ISNUMBER(MATCH(J96,Lists!$H$2:$H$4,0)),K96))</f>
        <v>1</v>
      </c>
      <c r="V96" s="287">
        <f t="shared" si="5"/>
        <v>0</v>
      </c>
      <c r="W96" s="287">
        <f t="shared" si="6"/>
        <v>0</v>
      </c>
    </row>
    <row r="97" spans="1:23" ht="21" customHeight="1">
      <c r="A97" s="354" t="s">
        <v>767</v>
      </c>
      <c r="B97" s="286"/>
      <c r="C97" s="782"/>
      <c r="D97" s="778"/>
      <c r="E97" s="780"/>
      <c r="F97" s="361" t="s">
        <v>879</v>
      </c>
      <c r="G97" s="362">
        <f>'Review Comments'!F107</f>
        <v>0</v>
      </c>
      <c r="H97" s="362" t="str">
        <f>'Review Comments'!G107</f>
        <v>No</v>
      </c>
      <c r="I97" s="362" t="str">
        <f t="shared" si="7"/>
        <v/>
      </c>
      <c r="J97" s="382" t="str">
        <f>IF('Review Comments'!H107=0,"",'Review Comments'!H107)</f>
        <v>Not Attempted</v>
      </c>
      <c r="K97" s="329" t="str">
        <f>IF(I97="Required","Required",IF(ISNUMBER(MATCH(J97,Lists!$H$2:$H$9,0)),I97,""))</f>
        <v/>
      </c>
      <c r="L97" s="330" t="str">
        <f>IF(I97="Required","Required",IF(ISNUMBER(MATCH(J97,Lists!$I$2:$I$9,0)),I97,IF(ISNUMBER(MATCH(J97,Lists!$J$2:$J$9,0)),I97,"")))</f>
        <v/>
      </c>
      <c r="Q97" s="287" t="b">
        <f>IF(I97="Required",0,IF(ISNUMBER(MATCH(J97,Lists!$I$2:$I$4,0)),L97))</f>
        <v>0</v>
      </c>
      <c r="R97" s="287" t="b">
        <f>IF(I97="Required",0,IF(ISNUMBER(MATCH(J97,Lists!$K$2:$K$7,0)),L97))</f>
        <v>0</v>
      </c>
      <c r="S97" s="287" t="b">
        <f>IF(I97="Required",0,IF(ISNUMBER(MATCH(J97,Lists!$G$2:$G$4,0)),L97))</f>
        <v>0</v>
      </c>
      <c r="T97" s="287" t="b">
        <f>IF(I97="Required",0,IF(ISNUMBER(MATCH(J97,Lists!$G$7:$G$8,0)),L97))</f>
        <v>0</v>
      </c>
      <c r="U97" s="287" t="b">
        <f>IF(I97="Required",0,IF(ISNUMBER(MATCH(J97,Lists!$H$2:$H$4,0)),K97))</f>
        <v>0</v>
      </c>
      <c r="V97" s="287">
        <f t="shared" si="5"/>
        <v>0</v>
      </c>
      <c r="W97" s="287">
        <f t="shared" si="6"/>
        <v>0</v>
      </c>
    </row>
    <row r="98" spans="1:23" ht="21" customHeight="1">
      <c r="A98" s="354" t="s">
        <v>767</v>
      </c>
      <c r="B98" s="286"/>
      <c r="C98" s="782"/>
      <c r="D98" s="778"/>
      <c r="E98" s="780"/>
      <c r="F98" s="361" t="s">
        <v>880</v>
      </c>
      <c r="G98" s="362">
        <f>'Review Comments'!F108</f>
        <v>1</v>
      </c>
      <c r="H98" s="362" t="str">
        <f>'Review Comments'!G108</f>
        <v>Yes</v>
      </c>
      <c r="I98" s="362">
        <f t="shared" si="7"/>
        <v>1</v>
      </c>
      <c r="J98" s="382" t="str">
        <f>IF('Review Comments'!H108=0,"",'Review Comments'!H108)</f>
        <v>Achieved</v>
      </c>
      <c r="K98" s="329">
        <f>IF(I98="Required","Required",IF(ISNUMBER(MATCH(J98,Lists!$H$2:$H$9,0)),I98,""))</f>
        <v>1</v>
      </c>
      <c r="L98" s="330" t="str">
        <f>IF(I98="Required","Required",IF(ISNUMBER(MATCH(J98,Lists!$I$2:$I$9,0)),I98,IF(ISNUMBER(MATCH(J98,Lists!$J$2:$J$9,0)),I98,"")))</f>
        <v/>
      </c>
      <c r="Q98" s="287" t="b">
        <f>IF(I98="Required",0,IF(ISNUMBER(MATCH(J98,Lists!$I$2:$I$4,0)),L98))</f>
        <v>0</v>
      </c>
      <c r="R98" s="287" t="b">
        <f>IF(I98="Required",0,IF(ISNUMBER(MATCH(J98,Lists!$K$2:$K$7,0)),L98))</f>
        <v>0</v>
      </c>
      <c r="S98" s="287" t="b">
        <f>IF(I98="Required",0,IF(ISNUMBER(MATCH(J98,Lists!$G$2:$G$4,0)),L98))</f>
        <v>0</v>
      </c>
      <c r="T98" s="287" t="b">
        <f>IF(I98="Required",0,IF(ISNUMBER(MATCH(J98,Lists!$G$7:$G$8,0)),L98))</f>
        <v>0</v>
      </c>
      <c r="U98" s="287">
        <f>IF(I98="Required",0,IF(ISNUMBER(MATCH(J98,Lists!$H$2:$H$4,0)),K98))</f>
        <v>1</v>
      </c>
      <c r="V98" s="287">
        <f t="shared" si="5"/>
        <v>0</v>
      </c>
      <c r="W98" s="287">
        <f t="shared" si="6"/>
        <v>0</v>
      </c>
    </row>
    <row r="99" spans="1:23" ht="21" customHeight="1">
      <c r="A99" s="354" t="s">
        <v>767</v>
      </c>
      <c r="B99" s="286"/>
      <c r="C99" s="782"/>
      <c r="D99" s="359" t="s">
        <v>767</v>
      </c>
      <c r="E99" s="360" t="s">
        <v>881</v>
      </c>
      <c r="F99" s="361" t="s">
        <v>882</v>
      </c>
      <c r="G99" s="362">
        <f>'Review Comments'!F109</f>
        <v>0</v>
      </c>
      <c r="H99" s="362" t="str">
        <f>'Review Comments'!G109</f>
        <v>No</v>
      </c>
      <c r="I99" s="362" t="str">
        <f t="shared" si="7"/>
        <v/>
      </c>
      <c r="J99" s="382" t="str">
        <f>IF('Review Comments'!H109=0,"",'Review Comments'!H109)</f>
        <v>Not Attempted</v>
      </c>
      <c r="K99" s="329" t="str">
        <f>IF(I99="Required","Required",IF(ISNUMBER(MATCH(J99,Lists!$H$2:$H$9,0)),I99,""))</f>
        <v/>
      </c>
      <c r="L99" s="330" t="str">
        <f>IF(I99="Required","Required",IF(ISNUMBER(MATCH(J99,Lists!$I$2:$I$9,0)),I99,IF(ISNUMBER(MATCH(J99,Lists!$J$2:$J$9,0)),I99,"")))</f>
        <v/>
      </c>
      <c r="Q99" s="287" t="b">
        <f>IF(I99="Required",0,IF(ISNUMBER(MATCH(J99,Lists!$I$2:$I$4,0)),L99))</f>
        <v>0</v>
      </c>
      <c r="R99" s="287" t="b">
        <f>IF(I99="Required",0,IF(ISNUMBER(MATCH(J99,Lists!$K$2:$K$7,0)),L99))</f>
        <v>0</v>
      </c>
      <c r="S99" s="287" t="b">
        <f>IF(I99="Required",0,IF(ISNUMBER(MATCH(J99,Lists!$G$2:$G$4,0)),L99))</f>
        <v>0</v>
      </c>
      <c r="T99" s="287" t="b">
        <f>IF(I99="Required",0,IF(ISNUMBER(MATCH(J99,Lists!$G$7:$G$8,0)),L99))</f>
        <v>0</v>
      </c>
      <c r="U99" s="287" t="b">
        <f>IF(I99="Required",0,IF(ISNUMBER(MATCH(J99,Lists!$H$2:$H$4,0)),K99))</f>
        <v>0</v>
      </c>
      <c r="V99" s="287">
        <f t="shared" si="5"/>
        <v>0</v>
      </c>
      <c r="W99" s="287">
        <f t="shared" si="6"/>
        <v>0</v>
      </c>
    </row>
    <row r="100" spans="1:23" ht="21" customHeight="1">
      <c r="A100" s="354" t="s">
        <v>767</v>
      </c>
      <c r="B100" s="286"/>
      <c r="C100" s="782"/>
      <c r="D100" s="778" t="s">
        <v>767</v>
      </c>
      <c r="E100" s="780" t="s">
        <v>883</v>
      </c>
      <c r="F100" s="361" t="s">
        <v>884</v>
      </c>
      <c r="G100" s="362">
        <f>'Review Comments'!F110</f>
        <v>0</v>
      </c>
      <c r="H100" s="362" t="str">
        <f>'Review Comments'!G110</f>
        <v>No</v>
      </c>
      <c r="I100" s="362" t="str">
        <f t="shared" si="7"/>
        <v/>
      </c>
      <c r="J100" s="382" t="str">
        <f>IF('Review Comments'!H110=0,"",'Review Comments'!H110)</f>
        <v>Not Attempted</v>
      </c>
      <c r="K100" s="329" t="str">
        <f>IF(I100="Required","Required",IF(ISNUMBER(MATCH(J100,Lists!$H$2:$H$9,0)),I100,""))</f>
        <v/>
      </c>
      <c r="L100" s="330" t="str">
        <f>IF(I100="Required","Required",IF(ISNUMBER(MATCH(J100,Lists!$I$2:$I$9,0)),I100,IF(ISNUMBER(MATCH(J100,Lists!$J$2:$J$9,0)),I100,"")))</f>
        <v/>
      </c>
      <c r="Q100" s="287" t="b">
        <f>IF(I100="Required",0,IF(ISNUMBER(MATCH(J100,Lists!$I$2:$I$4,0)),L100))</f>
        <v>0</v>
      </c>
      <c r="R100" s="287" t="b">
        <f>IF(I100="Required",0,IF(ISNUMBER(MATCH(J100,Lists!$K$2:$K$7,0)),L100))</f>
        <v>0</v>
      </c>
      <c r="S100" s="287" t="b">
        <f>IF(I100="Required",0,IF(ISNUMBER(MATCH(J100,Lists!$G$2:$G$4,0)),L100))</f>
        <v>0</v>
      </c>
      <c r="T100" s="287" t="b">
        <f>IF(I100="Required",0,IF(ISNUMBER(MATCH(J100,Lists!$G$7:$G$8,0)),L100))</f>
        <v>0</v>
      </c>
      <c r="U100" s="287" t="b">
        <f>IF(I100="Required",0,IF(ISNUMBER(MATCH(J100,Lists!$H$2:$H$4,0)),K100))</f>
        <v>0</v>
      </c>
      <c r="V100" s="287">
        <f t="shared" si="5"/>
        <v>0</v>
      </c>
      <c r="W100" s="287">
        <f t="shared" si="6"/>
        <v>0</v>
      </c>
    </row>
    <row r="101" spans="1:23" ht="21" customHeight="1">
      <c r="A101" s="354" t="s">
        <v>767</v>
      </c>
      <c r="B101" s="286"/>
      <c r="C101" s="782"/>
      <c r="D101" s="778"/>
      <c r="E101" s="780"/>
      <c r="F101" s="361" t="s">
        <v>885</v>
      </c>
      <c r="G101" s="362">
        <f>'Review Comments'!F111</f>
        <v>1</v>
      </c>
      <c r="H101" s="362" t="str">
        <f>'Review Comments'!G111</f>
        <v>Yes</v>
      </c>
      <c r="I101" s="362">
        <f t="shared" si="7"/>
        <v>1</v>
      </c>
      <c r="J101" s="382" t="str">
        <f>IF('Review Comments'!H111=0,"",'Review Comments'!H111)</f>
        <v>Achieved</v>
      </c>
      <c r="K101" s="329">
        <f>IF(I101="Required","Required",IF(ISNUMBER(MATCH(J101,Lists!$H$2:$H$9,0)),I101,""))</f>
        <v>1</v>
      </c>
      <c r="L101" s="330" t="str">
        <f>IF(I101="Required","Required",IF(ISNUMBER(MATCH(J101,Lists!$I$2:$I$9,0)),I101,IF(ISNUMBER(MATCH(J101,Lists!$J$2:$J$9,0)),I101,"")))</f>
        <v/>
      </c>
      <c r="Q101" s="287" t="b">
        <f>IF(I101="Required",0,IF(ISNUMBER(MATCH(J101,Lists!$I$2:$I$4,0)),L101))</f>
        <v>0</v>
      </c>
      <c r="R101" s="287" t="b">
        <f>IF(I101="Required",0,IF(ISNUMBER(MATCH(J101,Lists!$K$2:$K$7,0)),L101))</f>
        <v>0</v>
      </c>
      <c r="S101" s="287" t="b">
        <f>IF(I101="Required",0,IF(ISNUMBER(MATCH(J101,Lists!$G$2:$G$4,0)),L101))</f>
        <v>0</v>
      </c>
      <c r="T101" s="287" t="b">
        <f>IF(I101="Required",0,IF(ISNUMBER(MATCH(J101,Lists!$G$7:$G$8,0)),L101))</f>
        <v>0</v>
      </c>
      <c r="U101" s="287">
        <f>IF(I101="Required",0,IF(ISNUMBER(MATCH(J101,Lists!$H$2:$H$4,0)),K101))</f>
        <v>1</v>
      </c>
      <c r="V101" s="287">
        <f t="shared" si="5"/>
        <v>0</v>
      </c>
      <c r="W101" s="287">
        <f t="shared" si="6"/>
        <v>0</v>
      </c>
    </row>
    <row r="102" spans="1:23" ht="21" customHeight="1">
      <c r="A102" s="354" t="s">
        <v>767</v>
      </c>
      <c r="B102" s="286"/>
      <c r="C102" s="782"/>
      <c r="D102" s="778" t="s">
        <v>767</v>
      </c>
      <c r="E102" s="780" t="s">
        <v>886</v>
      </c>
      <c r="F102" s="361" t="s">
        <v>887</v>
      </c>
      <c r="G102" s="362">
        <f>'Review Comments'!F112</f>
        <v>0</v>
      </c>
      <c r="H102" s="362" t="str">
        <f>'Review Comments'!G112</f>
        <v>No</v>
      </c>
      <c r="I102" s="362" t="str">
        <f t="shared" si="7"/>
        <v/>
      </c>
      <c r="J102" s="382" t="str">
        <f>IF('Review Comments'!H112=0,"",'Review Comments'!H112)</f>
        <v>Not Attempted</v>
      </c>
      <c r="K102" s="329" t="str">
        <f>IF(I102="Required","Required",IF(ISNUMBER(MATCH(J102,Lists!$H$2:$H$9,0)),I102,""))</f>
        <v/>
      </c>
      <c r="L102" s="330" t="str">
        <f>IF(I102="Required","Required",IF(ISNUMBER(MATCH(J102,Lists!$I$2:$I$9,0)),I102,IF(ISNUMBER(MATCH(J102,Lists!$J$2:$J$9,0)),I102,"")))</f>
        <v/>
      </c>
      <c r="Q102" s="287" t="b">
        <f>IF(I102="Required",0,IF(ISNUMBER(MATCH(J102,Lists!$I$2:$I$4,0)),L102))</f>
        <v>0</v>
      </c>
      <c r="R102" s="287" t="b">
        <f>IF(I102="Required",0,IF(ISNUMBER(MATCH(J102,Lists!$K$2:$K$7,0)),L102))</f>
        <v>0</v>
      </c>
      <c r="S102" s="287" t="b">
        <f>IF(I102="Required",0,IF(ISNUMBER(MATCH(J102,Lists!$G$2:$G$4,0)),L102))</f>
        <v>0</v>
      </c>
      <c r="T102" s="287" t="b">
        <f>IF(I102="Required",0,IF(ISNUMBER(MATCH(J102,Lists!$G$7:$G$8,0)),L102))</f>
        <v>0</v>
      </c>
      <c r="U102" s="287" t="b">
        <f>IF(I102="Required",0,IF(ISNUMBER(MATCH(J102,Lists!$H$2:$H$4,0)),K102))</f>
        <v>0</v>
      </c>
      <c r="V102" s="287">
        <f t="shared" si="5"/>
        <v>0</v>
      </c>
      <c r="W102" s="287">
        <f t="shared" si="6"/>
        <v>0</v>
      </c>
    </row>
    <row r="103" spans="1:23" ht="21" customHeight="1" thickBot="1">
      <c r="A103" s="354" t="s">
        <v>767</v>
      </c>
      <c r="B103" s="286"/>
      <c r="C103" s="782"/>
      <c r="D103" s="785"/>
      <c r="E103" s="786"/>
      <c r="F103" s="394" t="s">
        <v>888</v>
      </c>
      <c r="G103" s="368">
        <f>'Review Comments'!F113</f>
        <v>0</v>
      </c>
      <c r="H103" s="368" t="str">
        <f>'Review Comments'!G113</f>
        <v>No</v>
      </c>
      <c r="I103" s="368" t="str">
        <f t="shared" si="7"/>
        <v/>
      </c>
      <c r="J103" s="395" t="str">
        <f>IF('Review Comments'!H113=0,"",'Review Comments'!H113)</f>
        <v>Not Attempted</v>
      </c>
      <c r="K103" s="335" t="str">
        <f>IF(I103="Required","Required",IF(ISNUMBER(MATCH(J103,Lists!$H$2:$H$9,0)),I103,""))</f>
        <v/>
      </c>
      <c r="L103" s="336" t="str">
        <f>IF(I103="Required","Required",IF(ISNUMBER(MATCH(J103,Lists!$I$2:$I$9,0)),I103,IF(ISNUMBER(MATCH(J103,Lists!$J$2:$J$9,0)),I103,"")))</f>
        <v/>
      </c>
      <c r="Q103" s="287" t="b">
        <f>IF(I103="Required",0,IF(ISNUMBER(MATCH(J103,Lists!$I$2:$I$4,0)),L103))</f>
        <v>0</v>
      </c>
      <c r="R103" s="287" t="b">
        <f>IF(I103="Required",0,IF(ISNUMBER(MATCH(J103,Lists!$K$2:$K$7,0)),L103))</f>
        <v>0</v>
      </c>
      <c r="S103" s="287" t="b">
        <f>IF(I103="Required",0,IF(ISNUMBER(MATCH(J103,Lists!$G$2:$G$4,0)),L103))</f>
        <v>0</v>
      </c>
      <c r="T103" s="287" t="b">
        <f>IF(I103="Required",0,IF(ISNUMBER(MATCH(J103,Lists!$G$7:$G$8,0)),L103))</f>
        <v>0</v>
      </c>
      <c r="U103" s="287" t="b">
        <f>IF(I103="Required",0,IF(ISNUMBER(MATCH(J103,Lists!$H$2:$H$4,0)),K103))</f>
        <v>0</v>
      </c>
      <c r="V103" s="287">
        <f t="shared" si="5"/>
        <v>0</v>
      </c>
      <c r="W103" s="287">
        <f t="shared" si="6"/>
        <v>0</v>
      </c>
    </row>
    <row r="104" spans="1:23" s="346" customFormat="1" ht="16.2" customHeight="1">
      <c r="A104" s="396"/>
      <c r="B104" s="337"/>
      <c r="C104" s="397"/>
      <c r="D104" s="398"/>
      <c r="E104" s="399"/>
      <c r="F104" s="400"/>
      <c r="G104" s="401">
        <f>SUM(G90:G103)</f>
        <v>5</v>
      </c>
      <c r="H104" s="398"/>
      <c r="I104" s="402">
        <f>SUM(I90:I103)</f>
        <v>5</v>
      </c>
      <c r="J104" s="403"/>
      <c r="K104" s="402">
        <f>SUM(K90:K103)</f>
        <v>5</v>
      </c>
      <c r="L104" s="404">
        <f>SUM(L90:L103)</f>
        <v>0</v>
      </c>
      <c r="Q104" s="346" t="b">
        <f>IF(I104="Required",0,IF(ISNUMBER(MATCH(J104,Lists!$I$2:$I$4,0)),L104))</f>
        <v>0</v>
      </c>
      <c r="R104" s="346" t="b">
        <f>IF(I104="Required",0,IF(ISNUMBER(MATCH(J104,Lists!$K$2:$K$7,0)),L104))</f>
        <v>0</v>
      </c>
      <c r="S104" s="346" t="b">
        <f>IF(I104="Required",0,IF(ISNUMBER(MATCH(J104,Lists!$G$2:$G$4,0)),L104))</f>
        <v>0</v>
      </c>
      <c r="T104" s="346" t="b">
        <f>IF(I104="Required",0,IF(ISNUMBER(MATCH(J104,Lists!$G$7:$G$8,0)),L104))</f>
        <v>0</v>
      </c>
      <c r="U104" s="346" t="b">
        <f>IF(I104="Required",0,IF(ISNUMBER(MATCH(J104,Lists!$H$2:$H$4,0)),K104))</f>
        <v>0</v>
      </c>
      <c r="V104" s="346">
        <f t="shared" si="5"/>
        <v>0</v>
      </c>
      <c r="W104" s="287">
        <f t="shared" si="6"/>
        <v>0</v>
      </c>
    </row>
    <row r="105" spans="1:23" ht="6.6" customHeight="1" thickBot="1">
      <c r="A105" s="347"/>
      <c r="B105" s="286"/>
      <c r="C105" s="348"/>
      <c r="D105" s="347"/>
      <c r="E105" s="349"/>
      <c r="F105" s="350"/>
      <c r="G105" s="351"/>
      <c r="H105" s="351"/>
      <c r="I105" s="351"/>
      <c r="J105" s="352"/>
      <c r="K105" s="351"/>
      <c r="L105" s="353"/>
      <c r="Q105" s="287" t="b">
        <f>IF(I105="Required",0,IF(ISNUMBER(MATCH(J105,Lists!$I$2:$I$4,0)),L105))</f>
        <v>0</v>
      </c>
      <c r="R105" s="287" t="b">
        <f>IF(I105="Required",0,IF(ISNUMBER(MATCH(J105,Lists!$K$2:$K$7,0)),L105))</f>
        <v>0</v>
      </c>
      <c r="S105" s="287" t="b">
        <f>IF(I105="Required",0,IF(ISNUMBER(MATCH(J105,Lists!$G$2:$G$4,0)),L105))</f>
        <v>0</v>
      </c>
      <c r="T105" s="287" t="b">
        <f>IF(I105="Required",0,IF(ISNUMBER(MATCH(J105,Lists!$G$7:$G$8,0)),L105))</f>
        <v>0</v>
      </c>
      <c r="U105" s="287" t="b">
        <f>IF(I105="Required",0,IF(ISNUMBER(MATCH(J105,Lists!$H$2:$H$4,0)),K105))</f>
        <v>0</v>
      </c>
      <c r="V105" s="287">
        <f t="shared" si="5"/>
        <v>0</v>
      </c>
      <c r="W105" s="287">
        <f t="shared" si="6"/>
        <v>0</v>
      </c>
    </row>
    <row r="106" spans="1:23" ht="21" customHeight="1">
      <c r="A106" s="354" t="s">
        <v>752</v>
      </c>
      <c r="B106" s="286"/>
      <c r="C106" s="787" t="s">
        <v>889</v>
      </c>
      <c r="D106" s="355" t="s">
        <v>752</v>
      </c>
      <c r="E106" s="356" t="s">
        <v>890</v>
      </c>
      <c r="F106" s="357" t="s">
        <v>891</v>
      </c>
      <c r="G106" s="358">
        <f>'Review Comments'!F119</f>
        <v>0</v>
      </c>
      <c r="H106" s="358" t="str">
        <f>'Review Comments'!G119</f>
        <v>Required</v>
      </c>
      <c r="I106" s="358" t="str">
        <f t="shared" ref="I106:I134" si="8">IF(H106="Yes",G106,IF(H106="Required","Required",""))</f>
        <v>Required</v>
      </c>
      <c r="J106" s="381" t="str">
        <f>IF('Review Comments'!H119=0,"",'Review Comments'!H119)</f>
        <v>Achieved</v>
      </c>
      <c r="K106" s="323" t="str">
        <f>IF(I106="Required","Required",IF(ISNUMBER(MATCH(J106,Lists!$H$2:$H$9,0)),I106,""))</f>
        <v>Required</v>
      </c>
      <c r="L106" s="324" t="str">
        <f>IF(I106="Required","Required",IF(ISNUMBER(MATCH(J106,Lists!$I$2:$I$9,0)),I106,IF(ISNUMBER(MATCH(J106,Lists!$J$2:$J$9,0)),I106,"")))</f>
        <v>Required</v>
      </c>
      <c r="Q106" s="287">
        <f>IF(I106="Required",0,IF(ISNUMBER(MATCH(J106,Lists!$I$2:$I$4,0)),L106))</f>
        <v>0</v>
      </c>
      <c r="R106" s="287">
        <f>IF(I106="Required",0,IF(ISNUMBER(MATCH(J106,Lists!$K$2:$K$7,0)),L106))</f>
        <v>0</v>
      </c>
      <c r="S106" s="287">
        <f>IF(I106="Required",0,IF(ISNUMBER(MATCH(J106,Lists!$G$2:$G$4,0)),L106))</f>
        <v>0</v>
      </c>
      <c r="T106" s="287">
        <f>IF(I106="Required",0,IF(ISNUMBER(MATCH(J106,Lists!$G$7:$G$8,0)),L106))</f>
        <v>0</v>
      </c>
      <c r="U106" s="287">
        <f>IF(I106="Required",0,IF(ISNUMBER(MATCH(J106,Lists!$H$2:$H$4,0)),K106))</f>
        <v>0</v>
      </c>
      <c r="V106" s="287">
        <f t="shared" si="5"/>
        <v>0</v>
      </c>
      <c r="W106" s="287">
        <f t="shared" si="6"/>
        <v>0</v>
      </c>
    </row>
    <row r="107" spans="1:23" ht="21" customHeight="1">
      <c r="A107" s="354" t="s">
        <v>752</v>
      </c>
      <c r="B107" s="286"/>
      <c r="C107" s="788"/>
      <c r="D107" s="778" t="s">
        <v>752</v>
      </c>
      <c r="E107" s="780" t="s">
        <v>892</v>
      </c>
      <c r="F107" s="361" t="s">
        <v>893</v>
      </c>
      <c r="G107" s="362">
        <f>'Review Comments'!F120</f>
        <v>0</v>
      </c>
      <c r="H107" s="362" t="str">
        <f>'Review Comments'!G120</f>
        <v>Required</v>
      </c>
      <c r="I107" s="362" t="str">
        <f t="shared" si="8"/>
        <v>Required</v>
      </c>
      <c r="J107" s="382" t="str">
        <f>IF('Review Comments'!H120=0,"",'Review Comments'!H120)</f>
        <v>Achieved</v>
      </c>
      <c r="K107" s="329" t="str">
        <f>IF(I107="Required","Required",IF(ISNUMBER(MATCH(J107,Lists!$H$2:$H$9,0)),I107,""))</f>
        <v>Required</v>
      </c>
      <c r="L107" s="330" t="str">
        <f>IF(I107="Required","Required",IF(ISNUMBER(MATCH(J107,Lists!$I$2:$I$9,0)),I107,IF(ISNUMBER(MATCH(J107,Lists!$J$2:$J$9,0)),I107,"")))</f>
        <v>Required</v>
      </c>
      <c r="Q107" s="287">
        <f>IF(I107="Required",0,IF(ISNUMBER(MATCH(J107,Lists!$I$2:$I$4,0)),L107))</f>
        <v>0</v>
      </c>
      <c r="R107" s="287">
        <f>IF(I107="Required",0,IF(ISNUMBER(MATCH(J107,Lists!$K$2:$K$7,0)),L107))</f>
        <v>0</v>
      </c>
      <c r="S107" s="287">
        <f>IF(I107="Required",0,IF(ISNUMBER(MATCH(J107,Lists!$G$2:$G$4,0)),L107))</f>
        <v>0</v>
      </c>
      <c r="T107" s="287">
        <f>IF(I107="Required",0,IF(ISNUMBER(MATCH(J107,Lists!$G$7:$G$8,0)),L107))</f>
        <v>0</v>
      </c>
      <c r="U107" s="287">
        <f>IF(I107="Required",0,IF(ISNUMBER(MATCH(J107,Lists!$H$2:$H$4,0)),K107))</f>
        <v>0</v>
      </c>
      <c r="V107" s="287">
        <f t="shared" si="5"/>
        <v>0</v>
      </c>
      <c r="W107" s="287">
        <f t="shared" si="6"/>
        <v>0</v>
      </c>
    </row>
    <row r="108" spans="1:23" ht="21" customHeight="1">
      <c r="A108" s="354" t="s">
        <v>752</v>
      </c>
      <c r="B108" s="286"/>
      <c r="C108" s="788"/>
      <c r="D108" s="778"/>
      <c r="E108" s="780"/>
      <c r="F108" s="361" t="s">
        <v>894</v>
      </c>
      <c r="G108" s="362">
        <f>'Review Comments'!F121</f>
        <v>0</v>
      </c>
      <c r="H108" s="362" t="str">
        <f>'Review Comments'!G121</f>
        <v>Required</v>
      </c>
      <c r="I108" s="362" t="str">
        <f t="shared" si="8"/>
        <v>Required</v>
      </c>
      <c r="J108" s="382" t="str">
        <f>IF('Review Comments'!H121=0,"",'Review Comments'!H121)</f>
        <v>Achieved</v>
      </c>
      <c r="K108" s="329" t="str">
        <f>IF(I108="Required","Required",IF(ISNUMBER(MATCH(J108,Lists!$H$2:$H$9,0)),I108,""))</f>
        <v>Required</v>
      </c>
      <c r="L108" s="330" t="str">
        <f>IF(I108="Required","Required",IF(ISNUMBER(MATCH(J108,Lists!$I$2:$I$9,0)),I108,IF(ISNUMBER(MATCH(J108,Lists!$J$2:$J$9,0)),I108,"")))</f>
        <v>Required</v>
      </c>
      <c r="Q108" s="287">
        <f>IF(I108="Required",0,IF(ISNUMBER(MATCH(J108,Lists!$I$2:$I$4,0)),L108))</f>
        <v>0</v>
      </c>
      <c r="R108" s="287">
        <f>IF(I108="Required",0,IF(ISNUMBER(MATCH(J108,Lists!$K$2:$K$7,0)),L108))</f>
        <v>0</v>
      </c>
      <c r="S108" s="287">
        <f>IF(I108="Required",0,IF(ISNUMBER(MATCH(J108,Lists!$G$2:$G$4,0)),L108))</f>
        <v>0</v>
      </c>
      <c r="T108" s="287">
        <f>IF(I108="Required",0,IF(ISNUMBER(MATCH(J108,Lists!$G$7:$G$8,0)),L108))</f>
        <v>0</v>
      </c>
      <c r="U108" s="287">
        <f>IF(I108="Required",0,IF(ISNUMBER(MATCH(J108,Lists!$H$2:$H$4,0)),K108))</f>
        <v>0</v>
      </c>
      <c r="V108" s="287">
        <f t="shared" si="5"/>
        <v>0</v>
      </c>
      <c r="W108" s="287">
        <f t="shared" si="6"/>
        <v>0</v>
      </c>
    </row>
    <row r="109" spans="1:23" ht="21" customHeight="1">
      <c r="A109" s="354" t="s">
        <v>752</v>
      </c>
      <c r="B109" s="286"/>
      <c r="C109" s="788"/>
      <c r="D109" s="778"/>
      <c r="E109" s="780"/>
      <c r="F109" s="361" t="s">
        <v>895</v>
      </c>
      <c r="G109" s="362">
        <f>'Review Comments'!F122</f>
        <v>0</v>
      </c>
      <c r="H109" s="362" t="str">
        <f>'Review Comments'!G122</f>
        <v>Required</v>
      </c>
      <c r="I109" s="362" t="str">
        <f t="shared" si="8"/>
        <v>Required</v>
      </c>
      <c r="J109" s="382" t="str">
        <f>IF('Review Comments'!H122=0,"",'Review Comments'!H122)</f>
        <v>Achieved</v>
      </c>
      <c r="K109" s="329" t="str">
        <f>IF(I109="Required","Required",IF(ISNUMBER(MATCH(J109,Lists!$H$2:$H$9,0)),I109,""))</f>
        <v>Required</v>
      </c>
      <c r="L109" s="330" t="str">
        <f>IF(I109="Required","Required",IF(ISNUMBER(MATCH(J109,Lists!$I$2:$I$9,0)),I109,IF(ISNUMBER(MATCH(J109,Lists!$J$2:$J$9,0)),I109,"")))</f>
        <v>Required</v>
      </c>
      <c r="Q109" s="287">
        <f>IF(I109="Required",0,IF(ISNUMBER(MATCH(J109,Lists!$I$2:$I$4,0)),L109))</f>
        <v>0</v>
      </c>
      <c r="R109" s="287">
        <f>IF(I109="Required",0,IF(ISNUMBER(MATCH(J109,Lists!$K$2:$K$7,0)),L109))</f>
        <v>0</v>
      </c>
      <c r="S109" s="287">
        <f>IF(I109="Required",0,IF(ISNUMBER(MATCH(J109,Lists!$G$2:$G$4,0)),L109))</f>
        <v>0</v>
      </c>
      <c r="T109" s="287">
        <f>IF(I109="Required",0,IF(ISNUMBER(MATCH(J109,Lists!$G$7:$G$8,0)),L109))</f>
        <v>0</v>
      </c>
      <c r="U109" s="287">
        <f>IF(I109="Required",0,IF(ISNUMBER(MATCH(J109,Lists!$H$2:$H$4,0)),K109))</f>
        <v>0</v>
      </c>
      <c r="V109" s="287">
        <f t="shared" si="5"/>
        <v>0</v>
      </c>
      <c r="W109" s="287">
        <f t="shared" si="6"/>
        <v>0</v>
      </c>
    </row>
    <row r="110" spans="1:23" ht="21" customHeight="1">
      <c r="A110" s="354" t="s">
        <v>752</v>
      </c>
      <c r="B110" s="286"/>
      <c r="C110" s="788"/>
      <c r="D110" s="778"/>
      <c r="E110" s="780"/>
      <c r="F110" s="361" t="s">
        <v>896</v>
      </c>
      <c r="G110" s="362">
        <f>'Review Comments'!F123</f>
        <v>0</v>
      </c>
      <c r="H110" s="362" t="str">
        <f>'Review Comments'!G123</f>
        <v>Required</v>
      </c>
      <c r="I110" s="362" t="str">
        <f t="shared" si="8"/>
        <v>Required</v>
      </c>
      <c r="J110" s="382" t="str">
        <f>IF('Review Comments'!H123=0,"",'Review Comments'!H123)</f>
        <v>Achieved</v>
      </c>
      <c r="K110" s="329" t="str">
        <f>IF(I110="Required","Required",IF(ISNUMBER(MATCH(J110,Lists!$H$2:$H$9,0)),I110,""))</f>
        <v>Required</v>
      </c>
      <c r="L110" s="330" t="str">
        <f>IF(I110="Required","Required",IF(ISNUMBER(MATCH(J110,Lists!$I$2:$I$9,0)),I110,IF(ISNUMBER(MATCH(J110,Lists!$J$2:$J$9,0)),I110,"")))</f>
        <v>Required</v>
      </c>
      <c r="Q110" s="287">
        <f>IF(I110="Required",0,IF(ISNUMBER(MATCH(J110,Lists!$I$2:$I$4,0)),L110))</f>
        <v>0</v>
      </c>
      <c r="R110" s="287">
        <f>IF(I110="Required",0,IF(ISNUMBER(MATCH(J110,Lists!$K$2:$K$7,0)),L110))</f>
        <v>0</v>
      </c>
      <c r="S110" s="287">
        <f>IF(I110="Required",0,IF(ISNUMBER(MATCH(J110,Lists!$G$2:$G$4,0)),L110))</f>
        <v>0</v>
      </c>
      <c r="T110" s="287">
        <f>IF(I110="Required",0,IF(ISNUMBER(MATCH(J110,Lists!$G$7:$G$8,0)),L110))</f>
        <v>0</v>
      </c>
      <c r="U110" s="287">
        <f>IF(I110="Required",0,IF(ISNUMBER(MATCH(J110,Lists!$H$2:$H$4,0)),K110))</f>
        <v>0</v>
      </c>
      <c r="V110" s="287">
        <f t="shared" si="5"/>
        <v>0</v>
      </c>
      <c r="W110" s="287">
        <f t="shared" si="6"/>
        <v>0</v>
      </c>
    </row>
    <row r="111" spans="1:23" ht="21" customHeight="1">
      <c r="A111" s="354" t="s">
        <v>752</v>
      </c>
      <c r="B111" s="286"/>
      <c r="C111" s="788"/>
      <c r="D111" s="778"/>
      <c r="E111" s="780"/>
      <c r="F111" s="361" t="s">
        <v>897</v>
      </c>
      <c r="G111" s="362">
        <f>'Review Comments'!F124</f>
        <v>0</v>
      </c>
      <c r="H111" s="362" t="str">
        <f>'Review Comments'!G124</f>
        <v>Required</v>
      </c>
      <c r="I111" s="362" t="str">
        <f t="shared" si="8"/>
        <v>Required</v>
      </c>
      <c r="J111" s="382" t="str">
        <f>IF('Review Comments'!H124=0,"",'Review Comments'!H124)</f>
        <v>Achieved</v>
      </c>
      <c r="K111" s="329" t="str">
        <f>IF(I111="Required","Required",IF(ISNUMBER(MATCH(J111,Lists!$H$2:$H$9,0)),I111,""))</f>
        <v>Required</v>
      </c>
      <c r="L111" s="330" t="str">
        <f>IF(I111="Required","Required",IF(ISNUMBER(MATCH(J111,Lists!$I$2:$I$9,0)),I111,IF(ISNUMBER(MATCH(J111,Lists!$J$2:$J$9,0)),I111,"")))</f>
        <v>Required</v>
      </c>
      <c r="Q111" s="287">
        <f>IF(I111="Required",0,IF(ISNUMBER(MATCH(J111,Lists!$I$2:$I$4,0)),L111))</f>
        <v>0</v>
      </c>
      <c r="R111" s="287">
        <f>IF(I111="Required",0,IF(ISNUMBER(MATCH(J111,Lists!$K$2:$K$7,0)),L111))</f>
        <v>0</v>
      </c>
      <c r="S111" s="287">
        <f>IF(I111="Required",0,IF(ISNUMBER(MATCH(J111,Lists!$G$2:$G$4,0)),L111))</f>
        <v>0</v>
      </c>
      <c r="T111" s="287">
        <f>IF(I111="Required",0,IF(ISNUMBER(MATCH(J111,Lists!$G$7:$G$8,0)),L111))</f>
        <v>0</v>
      </c>
      <c r="U111" s="287">
        <f>IF(I111="Required",0,IF(ISNUMBER(MATCH(J111,Lists!$H$2:$H$4,0)),K111))</f>
        <v>0</v>
      </c>
      <c r="V111" s="287">
        <f t="shared" si="5"/>
        <v>0</v>
      </c>
      <c r="W111" s="287">
        <f t="shared" si="6"/>
        <v>0</v>
      </c>
    </row>
    <row r="112" spans="1:23" ht="21" customHeight="1">
      <c r="A112" s="354" t="s">
        <v>767</v>
      </c>
      <c r="B112" s="286"/>
      <c r="C112" s="788"/>
      <c r="D112" s="778" t="s">
        <v>767</v>
      </c>
      <c r="E112" s="780" t="s">
        <v>898</v>
      </c>
      <c r="F112" s="361" t="s">
        <v>899</v>
      </c>
      <c r="G112" s="362">
        <f>'Review Comments'!F125</f>
        <v>1</v>
      </c>
      <c r="H112" s="362" t="str">
        <f>'Review Comments'!G125</f>
        <v>Yes</v>
      </c>
      <c r="I112" s="362">
        <f t="shared" si="8"/>
        <v>1</v>
      </c>
      <c r="J112" s="382" t="str">
        <f>IF('Review Comments'!H125=0,"",'Review Comments'!H125)</f>
        <v>Achieved</v>
      </c>
      <c r="K112" s="329">
        <f>IF(I112="Required","Required",IF(ISNUMBER(MATCH(J112,Lists!$H$2:$H$9,0)),I112,""))</f>
        <v>1</v>
      </c>
      <c r="L112" s="330" t="str">
        <f>IF(I112="Required","Required",IF(ISNUMBER(MATCH(J112,Lists!$I$2:$I$9,0)),I112,IF(ISNUMBER(MATCH(J112,Lists!$J$2:$J$9,0)),I112,"")))</f>
        <v/>
      </c>
      <c r="Q112" s="287" t="b">
        <f>IF(I112="Required",0,IF(ISNUMBER(MATCH(J112,Lists!$I$2:$I$4,0)),L112))</f>
        <v>0</v>
      </c>
      <c r="R112" s="287" t="b">
        <f>IF(I112="Required",0,IF(ISNUMBER(MATCH(J112,Lists!$K$2:$K$7,0)),L112))</f>
        <v>0</v>
      </c>
      <c r="S112" s="287" t="b">
        <f>IF(I112="Required",0,IF(ISNUMBER(MATCH(J112,Lists!$G$2:$G$4,0)),L112))</f>
        <v>0</v>
      </c>
      <c r="T112" s="287" t="b">
        <f>IF(I112="Required",0,IF(ISNUMBER(MATCH(J112,Lists!$G$7:$G$8,0)),L112))</f>
        <v>0</v>
      </c>
      <c r="U112" s="287">
        <f>IF(I112="Required",0,IF(ISNUMBER(MATCH(J112,Lists!$H$2:$H$4,0)),K112))</f>
        <v>1</v>
      </c>
      <c r="V112" s="287">
        <f t="shared" si="5"/>
        <v>0</v>
      </c>
      <c r="W112" s="287">
        <f t="shared" si="6"/>
        <v>0</v>
      </c>
    </row>
    <row r="113" spans="1:23" ht="21" customHeight="1">
      <c r="A113" s="354" t="s">
        <v>767</v>
      </c>
      <c r="B113" s="286"/>
      <c r="C113" s="788"/>
      <c r="D113" s="778"/>
      <c r="E113" s="780"/>
      <c r="F113" s="361" t="s">
        <v>900</v>
      </c>
      <c r="G113" s="362">
        <f>'Review Comments'!F126</f>
        <v>1</v>
      </c>
      <c r="H113" s="362" t="str">
        <f>'Review Comments'!G126</f>
        <v>Yes</v>
      </c>
      <c r="I113" s="362">
        <f t="shared" si="8"/>
        <v>1</v>
      </c>
      <c r="J113" s="382" t="str">
        <f>IF('Review Comments'!H126=0,"",'Review Comments'!H126)</f>
        <v>Achieved</v>
      </c>
      <c r="K113" s="329">
        <f>IF(I113="Required","Required",IF(ISNUMBER(MATCH(J113,Lists!$H$2:$H$9,0)),I113,""))</f>
        <v>1</v>
      </c>
      <c r="L113" s="330" t="str">
        <f>IF(I113="Required","Required",IF(ISNUMBER(MATCH(J113,Lists!$I$2:$I$9,0)),I113,IF(ISNUMBER(MATCH(J113,Lists!$J$2:$J$9,0)),I113,"")))</f>
        <v/>
      </c>
      <c r="Q113" s="287" t="b">
        <f>IF(I113="Required",0,IF(ISNUMBER(MATCH(J113,Lists!$I$2:$I$4,0)),L113))</f>
        <v>0</v>
      </c>
      <c r="R113" s="287" t="b">
        <f>IF(I113="Required",0,IF(ISNUMBER(MATCH(J113,Lists!$K$2:$K$7,0)),L113))</f>
        <v>0</v>
      </c>
      <c r="S113" s="287" t="b">
        <f>IF(I113="Required",0,IF(ISNUMBER(MATCH(J113,Lists!$G$2:$G$4,0)),L113))</f>
        <v>0</v>
      </c>
      <c r="T113" s="287" t="b">
        <f>IF(I113="Required",0,IF(ISNUMBER(MATCH(J113,Lists!$G$7:$G$8,0)),L113))</f>
        <v>0</v>
      </c>
      <c r="U113" s="287">
        <f>IF(I113="Required",0,IF(ISNUMBER(MATCH(J113,Lists!$H$2:$H$4,0)),K113))</f>
        <v>1</v>
      </c>
      <c r="V113" s="287">
        <f t="shared" si="5"/>
        <v>0</v>
      </c>
      <c r="W113" s="287">
        <f t="shared" si="6"/>
        <v>0</v>
      </c>
    </row>
    <row r="114" spans="1:23" ht="21" customHeight="1">
      <c r="A114" s="354" t="s">
        <v>767</v>
      </c>
      <c r="B114" s="286"/>
      <c r="C114" s="788"/>
      <c r="D114" s="778"/>
      <c r="E114" s="780"/>
      <c r="F114" s="361" t="s">
        <v>901</v>
      </c>
      <c r="G114" s="362">
        <f>'Review Comments'!F127</f>
        <v>0</v>
      </c>
      <c r="H114" s="362" t="str">
        <f>'Review Comments'!G127</f>
        <v>No</v>
      </c>
      <c r="I114" s="362" t="str">
        <f t="shared" si="8"/>
        <v/>
      </c>
      <c r="J114" s="382" t="str">
        <f>IF('Review Comments'!H127=0,"",'Review Comments'!H127)</f>
        <v>Not Attempted</v>
      </c>
      <c r="K114" s="329" t="str">
        <f>IF(I114="Required","Required",IF(ISNUMBER(MATCH(J114,Lists!$H$2:$H$9,0)),I114,""))</f>
        <v/>
      </c>
      <c r="L114" s="330" t="str">
        <f>IF(I114="Required","Required",IF(ISNUMBER(MATCH(J114,Lists!$I$2:$I$9,0)),I114,IF(ISNUMBER(MATCH(J114,Lists!$J$2:$J$9,0)),I114,"")))</f>
        <v/>
      </c>
      <c r="Q114" s="287" t="b">
        <f>IF(I114="Required",0,IF(ISNUMBER(MATCH(J114,Lists!$I$2:$I$4,0)),L114))</f>
        <v>0</v>
      </c>
      <c r="R114" s="287" t="b">
        <f>IF(I114="Required",0,IF(ISNUMBER(MATCH(J114,Lists!$K$2:$K$7,0)),L114))</f>
        <v>0</v>
      </c>
      <c r="S114" s="287" t="b">
        <f>IF(I114="Required",0,IF(ISNUMBER(MATCH(J114,Lists!$G$2:$G$4,0)),L114))</f>
        <v>0</v>
      </c>
      <c r="T114" s="287" t="b">
        <f>IF(I114="Required",0,IF(ISNUMBER(MATCH(J114,Lists!$G$7:$G$8,0)),L114))</f>
        <v>0</v>
      </c>
      <c r="U114" s="287" t="b">
        <f>IF(I114="Required",0,IF(ISNUMBER(MATCH(J114,Lists!$H$2:$H$4,0)),K114))</f>
        <v>0</v>
      </c>
      <c r="V114" s="287">
        <f t="shared" si="5"/>
        <v>0</v>
      </c>
      <c r="W114" s="287">
        <f t="shared" si="6"/>
        <v>0</v>
      </c>
    </row>
    <row r="115" spans="1:23" ht="21" customHeight="1">
      <c r="A115" s="354" t="s">
        <v>767</v>
      </c>
      <c r="B115" s="286"/>
      <c r="C115" s="788"/>
      <c r="D115" s="778" t="s">
        <v>767</v>
      </c>
      <c r="E115" s="780" t="s">
        <v>902</v>
      </c>
      <c r="F115" s="361" t="s">
        <v>903</v>
      </c>
      <c r="G115" s="362">
        <f>'Review Comments'!F128</f>
        <v>2</v>
      </c>
      <c r="H115" s="362" t="str">
        <f>'Review Comments'!G128</f>
        <v>Yes</v>
      </c>
      <c r="I115" s="362">
        <f t="shared" si="8"/>
        <v>2</v>
      </c>
      <c r="J115" s="382" t="str">
        <f>IF('Review Comments'!H128=0,"",'Review Comments'!H128)</f>
        <v>Achieved</v>
      </c>
      <c r="K115" s="329">
        <f>IF(I115="Required","Required",IF(ISNUMBER(MATCH(J115,Lists!$H$2:$H$9,0)),I115,""))</f>
        <v>2</v>
      </c>
      <c r="L115" s="330" t="str">
        <f>IF(I115="Required","Required",IF(ISNUMBER(MATCH(J115,Lists!$I$2:$I$9,0)),I115,IF(ISNUMBER(MATCH(J115,Lists!$J$2:$J$9,0)),I115,"")))</f>
        <v/>
      </c>
      <c r="Q115" s="287" t="b">
        <f>IF(I115="Required",0,IF(ISNUMBER(MATCH(J115,Lists!$I$2:$I$4,0)),L115))</f>
        <v>0</v>
      </c>
      <c r="R115" s="287" t="b">
        <f>IF(I115="Required",0,IF(ISNUMBER(MATCH(J115,Lists!$K$2:$K$7,0)),L115))</f>
        <v>0</v>
      </c>
      <c r="S115" s="287" t="b">
        <f>IF(I115="Required",0,IF(ISNUMBER(MATCH(J115,Lists!$G$2:$G$4,0)),L115))</f>
        <v>0</v>
      </c>
      <c r="T115" s="287" t="b">
        <f>IF(I115="Required",0,IF(ISNUMBER(MATCH(J115,Lists!$G$7:$G$8,0)),L115))</f>
        <v>0</v>
      </c>
      <c r="U115" s="287">
        <f>IF(I115="Required",0,IF(ISNUMBER(MATCH(J115,Lists!$H$2:$H$4,0)),K115))</f>
        <v>2</v>
      </c>
      <c r="V115" s="287">
        <f t="shared" si="5"/>
        <v>0</v>
      </c>
      <c r="W115" s="287">
        <f t="shared" si="6"/>
        <v>0</v>
      </c>
    </row>
    <row r="116" spans="1:23" ht="21" customHeight="1">
      <c r="A116" s="354" t="s">
        <v>767</v>
      </c>
      <c r="B116" s="286"/>
      <c r="C116" s="788"/>
      <c r="D116" s="778"/>
      <c r="E116" s="780"/>
      <c r="F116" s="361" t="s">
        <v>904</v>
      </c>
      <c r="G116" s="362">
        <f>'Review Comments'!F129</f>
        <v>0</v>
      </c>
      <c r="H116" s="362" t="str">
        <f>'Review Comments'!G129</f>
        <v>No</v>
      </c>
      <c r="I116" s="362" t="str">
        <f t="shared" si="8"/>
        <v/>
      </c>
      <c r="J116" s="382" t="str">
        <f>IF('Review Comments'!H129=0,"",'Review Comments'!H129)</f>
        <v>Not Attempted</v>
      </c>
      <c r="K116" s="329" t="str">
        <f>IF(I116="Required","Required",IF(ISNUMBER(MATCH(J116,Lists!$H$2:$H$9,0)),I116,""))</f>
        <v/>
      </c>
      <c r="L116" s="330" t="str">
        <f>IF(I116="Required","Required",IF(ISNUMBER(MATCH(J116,Lists!$I$2:$I$9,0)),I116,IF(ISNUMBER(MATCH(J116,Lists!$J$2:$J$9,0)),I116,"")))</f>
        <v/>
      </c>
      <c r="Q116" s="287" t="b">
        <f>IF(I116="Required",0,IF(ISNUMBER(MATCH(J116,Lists!$I$2:$I$4,0)),L116))</f>
        <v>0</v>
      </c>
      <c r="R116" s="287" t="b">
        <f>IF(I116="Required",0,IF(ISNUMBER(MATCH(J116,Lists!$K$2:$K$7,0)),L116))</f>
        <v>0</v>
      </c>
      <c r="S116" s="287" t="b">
        <f>IF(I116="Required",0,IF(ISNUMBER(MATCH(J116,Lists!$G$2:$G$4,0)),L116))</f>
        <v>0</v>
      </c>
      <c r="T116" s="287" t="b">
        <f>IF(I116="Required",0,IF(ISNUMBER(MATCH(J116,Lists!$G$7:$G$8,0)),L116))</f>
        <v>0</v>
      </c>
      <c r="U116" s="287" t="b">
        <f>IF(I116="Required",0,IF(ISNUMBER(MATCH(J116,Lists!$H$2:$H$4,0)),K116))</f>
        <v>0</v>
      </c>
      <c r="V116" s="287">
        <f t="shared" si="5"/>
        <v>0</v>
      </c>
      <c r="W116" s="287">
        <f t="shared" si="6"/>
        <v>0</v>
      </c>
    </row>
    <row r="117" spans="1:23" ht="21" customHeight="1">
      <c r="A117" s="354" t="s">
        <v>767</v>
      </c>
      <c r="B117" s="286"/>
      <c r="C117" s="788"/>
      <c r="D117" s="778" t="s">
        <v>767</v>
      </c>
      <c r="E117" s="780" t="s">
        <v>905</v>
      </c>
      <c r="F117" s="361" t="s">
        <v>906</v>
      </c>
      <c r="G117" s="362">
        <f>'Review Comments'!F130</f>
        <v>2</v>
      </c>
      <c r="H117" s="362" t="str">
        <f>'Review Comments'!G130</f>
        <v>Yes</v>
      </c>
      <c r="I117" s="362">
        <f t="shared" si="8"/>
        <v>2</v>
      </c>
      <c r="J117" s="382" t="str">
        <f>IF('Review Comments'!H130=0,"",'Review Comments'!H130)</f>
        <v>Achieved</v>
      </c>
      <c r="K117" s="329">
        <f>IF(I117="Required","Required",IF(ISNUMBER(MATCH(J117,Lists!$H$2:$H$9,0)),I117,""))</f>
        <v>2</v>
      </c>
      <c r="L117" s="330" t="str">
        <f>IF(I117="Required","Required",IF(ISNUMBER(MATCH(J117,Lists!$I$2:$I$9,0)),I117,IF(ISNUMBER(MATCH(J117,Lists!$J$2:$J$9,0)),I117,"")))</f>
        <v/>
      </c>
      <c r="Q117" s="287" t="b">
        <f>IF(I117="Required",0,IF(ISNUMBER(MATCH(J117,Lists!$I$2:$I$4,0)),L117))</f>
        <v>0</v>
      </c>
      <c r="R117" s="287" t="b">
        <f>IF(I117="Required",0,IF(ISNUMBER(MATCH(J117,Lists!$K$2:$K$7,0)),L117))</f>
        <v>0</v>
      </c>
      <c r="S117" s="287" t="b">
        <f>IF(I117="Required",0,IF(ISNUMBER(MATCH(J117,Lists!$G$2:$G$4,0)),L117))</f>
        <v>0</v>
      </c>
      <c r="T117" s="287" t="b">
        <f>IF(I117="Required",0,IF(ISNUMBER(MATCH(J117,Lists!$G$7:$G$8,0)),L117))</f>
        <v>0</v>
      </c>
      <c r="U117" s="287">
        <f>IF(I117="Required",0,IF(ISNUMBER(MATCH(J117,Lists!$H$2:$H$4,0)),K117))</f>
        <v>2</v>
      </c>
      <c r="V117" s="287">
        <f t="shared" si="5"/>
        <v>0</v>
      </c>
      <c r="W117" s="287">
        <f t="shared" si="6"/>
        <v>0</v>
      </c>
    </row>
    <row r="118" spans="1:23" ht="21" customHeight="1">
      <c r="A118" s="354" t="s">
        <v>767</v>
      </c>
      <c r="B118" s="286"/>
      <c r="C118" s="788"/>
      <c r="D118" s="778"/>
      <c r="E118" s="780"/>
      <c r="F118" s="361" t="s">
        <v>907</v>
      </c>
      <c r="G118" s="362">
        <f>'Review Comments'!F131</f>
        <v>1</v>
      </c>
      <c r="H118" s="362" t="str">
        <f>'Review Comments'!G131</f>
        <v>Yes</v>
      </c>
      <c r="I118" s="362">
        <f t="shared" si="8"/>
        <v>1</v>
      </c>
      <c r="J118" s="382" t="str">
        <f>IF('Review Comments'!H131=0,"",'Review Comments'!H131)</f>
        <v>Achieved</v>
      </c>
      <c r="K118" s="329">
        <f>IF(I118="Required","Required",IF(ISNUMBER(MATCH(J118,Lists!$H$2:$H$9,0)),I118,""))</f>
        <v>1</v>
      </c>
      <c r="L118" s="330" t="str">
        <f>IF(I118="Required","Required",IF(ISNUMBER(MATCH(J118,Lists!$I$2:$I$9,0)),I118,IF(ISNUMBER(MATCH(J118,Lists!$J$2:$J$9,0)),I118,"")))</f>
        <v/>
      </c>
      <c r="Q118" s="287" t="b">
        <f>IF(I118="Required",0,IF(ISNUMBER(MATCH(J118,Lists!$I$2:$I$4,0)),L118))</f>
        <v>0</v>
      </c>
      <c r="R118" s="287" t="b">
        <f>IF(I118="Required",0,IF(ISNUMBER(MATCH(J118,Lists!$K$2:$K$7,0)),L118))</f>
        <v>0</v>
      </c>
      <c r="S118" s="287" t="b">
        <f>IF(I118="Required",0,IF(ISNUMBER(MATCH(J118,Lists!$G$2:$G$4,0)),L118))</f>
        <v>0</v>
      </c>
      <c r="T118" s="287" t="b">
        <f>IF(I118="Required",0,IF(ISNUMBER(MATCH(J118,Lists!$G$7:$G$8,0)),L118))</f>
        <v>0</v>
      </c>
      <c r="U118" s="287">
        <f>IF(I118="Required",0,IF(ISNUMBER(MATCH(J118,Lists!$H$2:$H$4,0)),K118))</f>
        <v>1</v>
      </c>
      <c r="V118" s="287">
        <f t="shared" si="5"/>
        <v>0</v>
      </c>
      <c r="W118" s="287">
        <f t="shared" si="6"/>
        <v>0</v>
      </c>
    </row>
    <row r="119" spans="1:23" ht="21" customHeight="1">
      <c r="A119" s="354" t="s">
        <v>767</v>
      </c>
      <c r="B119" s="286"/>
      <c r="C119" s="788"/>
      <c r="D119" s="778"/>
      <c r="E119" s="780"/>
      <c r="F119" s="361" t="s">
        <v>908</v>
      </c>
      <c r="G119" s="362">
        <f>'Review Comments'!F132</f>
        <v>0</v>
      </c>
      <c r="H119" s="362" t="str">
        <f>'Review Comments'!G132</f>
        <v>No</v>
      </c>
      <c r="I119" s="362" t="str">
        <f t="shared" si="8"/>
        <v/>
      </c>
      <c r="J119" s="382" t="str">
        <f>IF('Review Comments'!H132=0,"",'Review Comments'!H132)</f>
        <v>Not Attempted</v>
      </c>
      <c r="K119" s="329" t="str">
        <f>IF(I119="Required","Required",IF(ISNUMBER(MATCH(J119,Lists!$H$2:$H$9,0)),I119,""))</f>
        <v/>
      </c>
      <c r="L119" s="330" t="str">
        <f>IF(I119="Required","Required",IF(ISNUMBER(MATCH(J119,Lists!$I$2:$I$9,0)),I119,IF(ISNUMBER(MATCH(J119,Lists!$J$2:$J$9,0)),I119,"")))</f>
        <v/>
      </c>
      <c r="Q119" s="287" t="b">
        <f>IF(I119="Required",0,IF(ISNUMBER(MATCH(J119,Lists!$I$2:$I$4,0)),L119))</f>
        <v>0</v>
      </c>
      <c r="R119" s="287" t="b">
        <f>IF(I119="Required",0,IF(ISNUMBER(MATCH(J119,Lists!$K$2:$K$7,0)),L119))</f>
        <v>0</v>
      </c>
      <c r="S119" s="287" t="b">
        <f>IF(I119="Required",0,IF(ISNUMBER(MATCH(J119,Lists!$G$2:$G$4,0)),L119))</f>
        <v>0</v>
      </c>
      <c r="T119" s="287" t="b">
        <f>IF(I119="Required",0,IF(ISNUMBER(MATCH(J119,Lists!$G$7:$G$8,0)),L119))</f>
        <v>0</v>
      </c>
      <c r="U119" s="287" t="b">
        <f>IF(I119="Required",0,IF(ISNUMBER(MATCH(J119,Lists!$H$2:$H$4,0)),K119))</f>
        <v>0</v>
      </c>
      <c r="V119" s="287">
        <f t="shared" si="5"/>
        <v>0</v>
      </c>
      <c r="W119" s="287">
        <f t="shared" si="6"/>
        <v>0</v>
      </c>
    </row>
    <row r="120" spans="1:23" ht="21" customHeight="1">
      <c r="A120" s="354" t="s">
        <v>767</v>
      </c>
      <c r="B120" s="286"/>
      <c r="C120" s="788"/>
      <c r="D120" s="778"/>
      <c r="E120" s="780"/>
      <c r="F120" s="361" t="s">
        <v>909</v>
      </c>
      <c r="G120" s="362">
        <f>'Review Comments'!F133</f>
        <v>0</v>
      </c>
      <c r="H120" s="362" t="str">
        <f>'Review Comments'!G133</f>
        <v>No</v>
      </c>
      <c r="I120" s="362" t="str">
        <f t="shared" si="8"/>
        <v/>
      </c>
      <c r="J120" s="382" t="str">
        <f>IF('Review Comments'!H133=0,"",'Review Comments'!H133)</f>
        <v>Not Attempted</v>
      </c>
      <c r="K120" s="329" t="str">
        <f>IF(I120="Required","Required",IF(ISNUMBER(MATCH(J120,Lists!$H$2:$H$9,0)),I120,""))</f>
        <v/>
      </c>
      <c r="L120" s="330" t="str">
        <f>IF(I120="Required","Required",IF(ISNUMBER(MATCH(J120,Lists!$I$2:$I$9,0)),I120,IF(ISNUMBER(MATCH(J120,Lists!$J$2:$J$9,0)),I120,"")))</f>
        <v/>
      </c>
      <c r="Q120" s="287" t="b">
        <f>IF(I120="Required",0,IF(ISNUMBER(MATCH(J120,Lists!$I$2:$I$4,0)),L120))</f>
        <v>0</v>
      </c>
      <c r="R120" s="287" t="b">
        <f>IF(I120="Required",0,IF(ISNUMBER(MATCH(J120,Lists!$K$2:$K$7,0)),L120))</f>
        <v>0</v>
      </c>
      <c r="S120" s="287" t="b">
        <f>IF(I120="Required",0,IF(ISNUMBER(MATCH(J120,Lists!$G$2:$G$4,0)),L120))</f>
        <v>0</v>
      </c>
      <c r="T120" s="287" t="b">
        <f>IF(I120="Required",0,IF(ISNUMBER(MATCH(J120,Lists!$G$7:$G$8,0)),L120))</f>
        <v>0</v>
      </c>
      <c r="U120" s="287" t="b">
        <f>IF(I120="Required",0,IF(ISNUMBER(MATCH(J120,Lists!$H$2:$H$4,0)),K120))</f>
        <v>0</v>
      </c>
      <c r="V120" s="287">
        <f t="shared" si="5"/>
        <v>0</v>
      </c>
      <c r="W120" s="287">
        <f t="shared" si="6"/>
        <v>0</v>
      </c>
    </row>
    <row r="121" spans="1:23" ht="21" customHeight="1">
      <c r="A121" s="354" t="s">
        <v>767</v>
      </c>
      <c r="B121" s="286"/>
      <c r="C121" s="788"/>
      <c r="D121" s="778" t="s">
        <v>767</v>
      </c>
      <c r="E121" s="780" t="s">
        <v>910</v>
      </c>
      <c r="F121" s="361" t="s">
        <v>911</v>
      </c>
      <c r="G121" s="362">
        <f>'Review Comments'!F134</f>
        <v>0</v>
      </c>
      <c r="H121" s="362" t="str">
        <f>'Review Comments'!G134</f>
        <v>No</v>
      </c>
      <c r="I121" s="362" t="str">
        <f t="shared" si="8"/>
        <v/>
      </c>
      <c r="J121" s="382" t="str">
        <f>IF('Review Comments'!H134=0,"",'Review Comments'!H134)</f>
        <v>Not Attempted</v>
      </c>
      <c r="K121" s="329" t="str">
        <f>IF(I121="Required","Required",IF(ISNUMBER(MATCH(J121,Lists!$H$2:$H$9,0)),I121,""))</f>
        <v/>
      </c>
      <c r="L121" s="330" t="str">
        <f>IF(I121="Required","Required",IF(ISNUMBER(MATCH(J121,Lists!$I$2:$I$9,0)),I121,IF(ISNUMBER(MATCH(J121,Lists!$J$2:$J$9,0)),I121,"")))</f>
        <v/>
      </c>
      <c r="Q121" s="287" t="b">
        <f>IF(I121="Required",0,IF(ISNUMBER(MATCH(J121,Lists!$I$2:$I$4,0)),L121))</f>
        <v>0</v>
      </c>
      <c r="R121" s="287" t="b">
        <f>IF(I121="Required",0,IF(ISNUMBER(MATCH(J121,Lists!$K$2:$K$7,0)),L121))</f>
        <v>0</v>
      </c>
      <c r="S121" s="287" t="b">
        <f>IF(I121="Required",0,IF(ISNUMBER(MATCH(J121,Lists!$G$2:$G$4,0)),L121))</f>
        <v>0</v>
      </c>
      <c r="T121" s="287" t="b">
        <f>IF(I121="Required",0,IF(ISNUMBER(MATCH(J121,Lists!$G$7:$G$8,0)),L121))</f>
        <v>0</v>
      </c>
      <c r="U121" s="287" t="b">
        <f>IF(I121="Required",0,IF(ISNUMBER(MATCH(J121,Lists!$H$2:$H$4,0)),K121))</f>
        <v>0</v>
      </c>
      <c r="V121" s="287">
        <f t="shared" si="5"/>
        <v>0</v>
      </c>
      <c r="W121" s="287">
        <f t="shared" si="6"/>
        <v>0</v>
      </c>
    </row>
    <row r="122" spans="1:23" ht="21" customHeight="1">
      <c r="A122" s="354" t="s">
        <v>767</v>
      </c>
      <c r="B122" s="286"/>
      <c r="C122" s="788"/>
      <c r="D122" s="778"/>
      <c r="E122" s="780"/>
      <c r="F122" s="361" t="s">
        <v>912</v>
      </c>
      <c r="G122" s="362">
        <f>'Review Comments'!F135</f>
        <v>0</v>
      </c>
      <c r="H122" s="362" t="str">
        <f>'Review Comments'!G135</f>
        <v>No</v>
      </c>
      <c r="I122" s="362" t="str">
        <f t="shared" si="8"/>
        <v/>
      </c>
      <c r="J122" s="382" t="str">
        <f>IF('Review Comments'!H135=0,"",'Review Comments'!H135)</f>
        <v>Not Attempted</v>
      </c>
      <c r="K122" s="329" t="str">
        <f>IF(I122="Required","Required",IF(ISNUMBER(MATCH(J122,Lists!$H$2:$H$9,0)),I122,""))</f>
        <v/>
      </c>
      <c r="L122" s="330" t="str">
        <f>IF(I122="Required","Required",IF(ISNUMBER(MATCH(J122,Lists!$I$2:$I$9,0)),I122,IF(ISNUMBER(MATCH(J122,Lists!$J$2:$J$9,0)),I122,"")))</f>
        <v/>
      </c>
      <c r="Q122" s="287" t="b">
        <f>IF(I122="Required",0,IF(ISNUMBER(MATCH(J122,Lists!$I$2:$I$4,0)),L122))</f>
        <v>0</v>
      </c>
      <c r="R122" s="287" t="b">
        <f>IF(I122="Required",0,IF(ISNUMBER(MATCH(J122,Lists!$K$2:$K$7,0)),L122))</f>
        <v>0</v>
      </c>
      <c r="S122" s="287" t="b">
        <f>IF(I122="Required",0,IF(ISNUMBER(MATCH(J122,Lists!$G$2:$G$4,0)),L122))</f>
        <v>0</v>
      </c>
      <c r="T122" s="287" t="b">
        <f>IF(I122="Required",0,IF(ISNUMBER(MATCH(J122,Lists!$G$7:$G$8,0)),L122))</f>
        <v>0</v>
      </c>
      <c r="U122" s="287" t="b">
        <f>IF(I122="Required",0,IF(ISNUMBER(MATCH(J122,Lists!$H$2:$H$4,0)),K122))</f>
        <v>0</v>
      </c>
      <c r="V122" s="287">
        <f t="shared" si="5"/>
        <v>0</v>
      </c>
      <c r="W122" s="287">
        <f t="shared" si="6"/>
        <v>0</v>
      </c>
    </row>
    <row r="123" spans="1:23" ht="21" customHeight="1">
      <c r="A123" s="354" t="s">
        <v>767</v>
      </c>
      <c r="B123" s="286"/>
      <c r="C123" s="788"/>
      <c r="D123" s="359" t="s">
        <v>767</v>
      </c>
      <c r="E123" s="360" t="s">
        <v>913</v>
      </c>
      <c r="F123" s="361" t="s">
        <v>914</v>
      </c>
      <c r="G123" s="362">
        <f>'Review Comments'!F136</f>
        <v>0</v>
      </c>
      <c r="H123" s="362" t="str">
        <f>'Review Comments'!G136</f>
        <v>No</v>
      </c>
      <c r="I123" s="362" t="str">
        <f t="shared" si="8"/>
        <v/>
      </c>
      <c r="J123" s="382" t="str">
        <f>IF('Review Comments'!H136=0,"",'Review Comments'!H136)</f>
        <v>Not Attempted</v>
      </c>
      <c r="K123" s="329" t="str">
        <f>IF(I123="Required","Required",IF(ISNUMBER(MATCH(J123,Lists!$H$2:$H$9,0)),I123,""))</f>
        <v/>
      </c>
      <c r="L123" s="330" t="str">
        <f>IF(I123="Required","Required",IF(ISNUMBER(MATCH(J123,Lists!$I$2:$I$9,0)),I123,IF(ISNUMBER(MATCH(J123,Lists!$J$2:$J$9,0)),I123,"")))</f>
        <v/>
      </c>
      <c r="Q123" s="287" t="b">
        <f>IF(I123="Required",0,IF(ISNUMBER(MATCH(J123,Lists!$I$2:$I$4,0)),L123))</f>
        <v>0</v>
      </c>
      <c r="R123" s="287" t="b">
        <f>IF(I123="Required",0,IF(ISNUMBER(MATCH(J123,Lists!$K$2:$K$7,0)),L123))</f>
        <v>0</v>
      </c>
      <c r="S123" s="287" t="b">
        <f>IF(I123="Required",0,IF(ISNUMBER(MATCH(J123,Lists!$G$2:$G$4,0)),L123))</f>
        <v>0</v>
      </c>
      <c r="T123" s="287" t="b">
        <f>IF(I123="Required",0,IF(ISNUMBER(MATCH(J123,Lists!$G$7:$G$8,0)),L123))</f>
        <v>0</v>
      </c>
      <c r="U123" s="287" t="b">
        <f>IF(I123="Required",0,IF(ISNUMBER(MATCH(J123,Lists!$H$2:$H$4,0)),K123))</f>
        <v>0</v>
      </c>
      <c r="V123" s="287">
        <f t="shared" si="5"/>
        <v>0</v>
      </c>
      <c r="W123" s="287">
        <f t="shared" si="6"/>
        <v>0</v>
      </c>
    </row>
    <row r="124" spans="1:23" ht="21" customHeight="1">
      <c r="A124" s="354" t="s">
        <v>767</v>
      </c>
      <c r="B124" s="286"/>
      <c r="C124" s="788"/>
      <c r="D124" s="778" t="s">
        <v>767</v>
      </c>
      <c r="E124" s="780" t="s">
        <v>915</v>
      </c>
      <c r="F124" s="361" t="s">
        <v>916</v>
      </c>
      <c r="G124" s="362">
        <f>'Review Comments'!F137</f>
        <v>0</v>
      </c>
      <c r="H124" s="362" t="str">
        <f>'Review Comments'!G137</f>
        <v>No</v>
      </c>
      <c r="I124" s="362" t="str">
        <f t="shared" si="8"/>
        <v/>
      </c>
      <c r="J124" s="382" t="str">
        <f>IF('Review Comments'!H137=0,"",'Review Comments'!H137)</f>
        <v>Not Attempted</v>
      </c>
      <c r="K124" s="329" t="str">
        <f>IF(I124="Required","Required",IF(ISNUMBER(MATCH(J124,Lists!$H$2:$H$9,0)),I124,""))</f>
        <v/>
      </c>
      <c r="L124" s="330" t="str">
        <f>IF(I124="Required","Required",IF(ISNUMBER(MATCH(J124,Lists!$I$2:$I$9,0)),I124,IF(ISNUMBER(MATCH(J124,Lists!$J$2:$J$9,0)),I124,"")))</f>
        <v/>
      </c>
      <c r="Q124" s="287" t="b">
        <f>IF(I124="Required",0,IF(ISNUMBER(MATCH(J124,Lists!$I$2:$I$4,0)),L124))</f>
        <v>0</v>
      </c>
      <c r="R124" s="287" t="b">
        <f>IF(I124="Required",0,IF(ISNUMBER(MATCH(J124,Lists!$K$2:$K$7,0)),L124))</f>
        <v>0</v>
      </c>
      <c r="S124" s="287" t="b">
        <f>IF(I124="Required",0,IF(ISNUMBER(MATCH(J124,Lists!$G$2:$G$4,0)),L124))</f>
        <v>0</v>
      </c>
      <c r="T124" s="287" t="b">
        <f>IF(I124="Required",0,IF(ISNUMBER(MATCH(J124,Lists!$G$7:$G$8,0)),L124))</f>
        <v>0</v>
      </c>
      <c r="U124" s="287" t="b">
        <f>IF(I124="Required",0,IF(ISNUMBER(MATCH(J124,Lists!$H$2:$H$4,0)),K124))</f>
        <v>0</v>
      </c>
      <c r="V124" s="287">
        <f t="shared" si="5"/>
        <v>0</v>
      </c>
      <c r="W124" s="287">
        <f t="shared" si="6"/>
        <v>0</v>
      </c>
    </row>
    <row r="125" spans="1:23" ht="21" customHeight="1">
      <c r="A125" s="354" t="s">
        <v>767</v>
      </c>
      <c r="B125" s="286"/>
      <c r="C125" s="788"/>
      <c r="D125" s="778"/>
      <c r="E125" s="780"/>
      <c r="F125" s="361" t="s">
        <v>917</v>
      </c>
      <c r="G125" s="362">
        <f>'Review Comments'!F138</f>
        <v>0</v>
      </c>
      <c r="H125" s="362" t="str">
        <f>'Review Comments'!G138</f>
        <v>No</v>
      </c>
      <c r="I125" s="362" t="str">
        <f t="shared" si="8"/>
        <v/>
      </c>
      <c r="J125" s="382" t="str">
        <f>IF('Review Comments'!H138=0,"",'Review Comments'!H138)</f>
        <v>Not Attempted</v>
      </c>
      <c r="K125" s="329" t="str">
        <f>IF(I125="Required","Required",IF(ISNUMBER(MATCH(J125,Lists!$H$2:$H$9,0)),I125,""))</f>
        <v/>
      </c>
      <c r="L125" s="330" t="str">
        <f>IF(I125="Required","Required",IF(ISNUMBER(MATCH(J125,Lists!$I$2:$I$9,0)),I125,IF(ISNUMBER(MATCH(J125,Lists!$J$2:$J$9,0)),I125,"")))</f>
        <v/>
      </c>
      <c r="Q125" s="287" t="b">
        <f>IF(I125="Required",0,IF(ISNUMBER(MATCH(J125,Lists!$I$2:$I$4,0)),L125))</f>
        <v>0</v>
      </c>
      <c r="R125" s="287" t="b">
        <f>IF(I125="Required",0,IF(ISNUMBER(MATCH(J125,Lists!$K$2:$K$7,0)),L125))</f>
        <v>0</v>
      </c>
      <c r="S125" s="287" t="b">
        <f>IF(I125="Required",0,IF(ISNUMBER(MATCH(J125,Lists!$G$2:$G$4,0)),L125))</f>
        <v>0</v>
      </c>
      <c r="T125" s="287" t="b">
        <f>IF(I125="Required",0,IF(ISNUMBER(MATCH(J125,Lists!$G$7:$G$8,0)),L125))</f>
        <v>0</v>
      </c>
      <c r="U125" s="287" t="b">
        <f>IF(I125="Required",0,IF(ISNUMBER(MATCH(J125,Lists!$H$2:$H$4,0)),K125))</f>
        <v>0</v>
      </c>
      <c r="V125" s="287">
        <f t="shared" si="5"/>
        <v>0</v>
      </c>
      <c r="W125" s="287">
        <f t="shared" si="6"/>
        <v>0</v>
      </c>
    </row>
    <row r="126" spans="1:23" ht="21" customHeight="1">
      <c r="A126" s="354" t="s">
        <v>767</v>
      </c>
      <c r="B126" s="286"/>
      <c r="C126" s="788"/>
      <c r="D126" s="778"/>
      <c r="E126" s="780"/>
      <c r="F126" s="361" t="s">
        <v>918</v>
      </c>
      <c r="G126" s="362">
        <f>'Review Comments'!F139</f>
        <v>1</v>
      </c>
      <c r="H126" s="362" t="str">
        <f>'Review Comments'!G139</f>
        <v>Yes</v>
      </c>
      <c r="I126" s="362">
        <f t="shared" si="8"/>
        <v>1</v>
      </c>
      <c r="J126" s="382" t="str">
        <f>IF('Review Comments'!H139=0,"",'Review Comments'!H139)</f>
        <v>Achieved</v>
      </c>
      <c r="K126" s="329">
        <f>IF(I126="Required","Required",IF(ISNUMBER(MATCH(J126,Lists!$H$2:$H$9,0)),I126,""))</f>
        <v>1</v>
      </c>
      <c r="L126" s="330" t="str">
        <f>IF(I126="Required","Required",IF(ISNUMBER(MATCH(J126,Lists!$I$2:$I$9,0)),I126,IF(ISNUMBER(MATCH(J126,Lists!$J$2:$J$9,0)),I126,"")))</f>
        <v/>
      </c>
      <c r="Q126" s="287" t="b">
        <f>IF(I126="Required",0,IF(ISNUMBER(MATCH(J126,Lists!$I$2:$I$4,0)),L126))</f>
        <v>0</v>
      </c>
      <c r="R126" s="287" t="b">
        <f>IF(I126="Required",0,IF(ISNUMBER(MATCH(J126,Lists!$K$2:$K$7,0)),L126))</f>
        <v>0</v>
      </c>
      <c r="S126" s="287" t="b">
        <f>IF(I126="Required",0,IF(ISNUMBER(MATCH(J126,Lists!$G$2:$G$4,0)),L126))</f>
        <v>0</v>
      </c>
      <c r="T126" s="287" t="b">
        <f>IF(I126="Required",0,IF(ISNUMBER(MATCH(J126,Lists!$G$7:$G$8,0)),L126))</f>
        <v>0</v>
      </c>
      <c r="U126" s="287">
        <f>IF(I126="Required",0,IF(ISNUMBER(MATCH(J126,Lists!$H$2:$H$4,0)),K126))</f>
        <v>1</v>
      </c>
      <c r="V126" s="287">
        <f t="shared" si="5"/>
        <v>0</v>
      </c>
      <c r="W126" s="287">
        <f t="shared" si="6"/>
        <v>0</v>
      </c>
    </row>
    <row r="127" spans="1:23" ht="21" customHeight="1">
      <c r="A127" s="354" t="s">
        <v>767</v>
      </c>
      <c r="B127" s="286"/>
      <c r="C127" s="788"/>
      <c r="D127" s="778" t="s">
        <v>767</v>
      </c>
      <c r="E127" s="780" t="s">
        <v>919</v>
      </c>
      <c r="F127" s="361" t="s">
        <v>920</v>
      </c>
      <c r="G127" s="362">
        <f>'Review Comments'!F140</f>
        <v>0</v>
      </c>
      <c r="H127" s="362" t="str">
        <f>'Review Comments'!G140</f>
        <v>No</v>
      </c>
      <c r="I127" s="362" t="str">
        <f t="shared" si="8"/>
        <v/>
      </c>
      <c r="J127" s="382" t="str">
        <f>IF('Review Comments'!H140=0,"",'Review Comments'!H140)</f>
        <v>Not Attempted</v>
      </c>
      <c r="K127" s="329" t="str">
        <f>IF(I127="Required","Required",IF(ISNUMBER(MATCH(J127,Lists!$H$2:$H$9,0)),I127,""))</f>
        <v/>
      </c>
      <c r="L127" s="330" t="str">
        <f>IF(I127="Required","Required",IF(ISNUMBER(MATCH(J127,Lists!$I$2:$I$9,0)),I127,IF(ISNUMBER(MATCH(J127,Lists!$J$2:$J$9,0)),I127,"")))</f>
        <v/>
      </c>
      <c r="Q127" s="287" t="b">
        <f>IF(I127="Required",0,IF(ISNUMBER(MATCH(J127,Lists!$I$2:$I$4,0)),L127))</f>
        <v>0</v>
      </c>
      <c r="R127" s="287" t="b">
        <f>IF(I127="Required",0,IF(ISNUMBER(MATCH(J127,Lists!$K$2:$K$7,0)),L127))</f>
        <v>0</v>
      </c>
      <c r="S127" s="287" t="b">
        <f>IF(I127="Required",0,IF(ISNUMBER(MATCH(J127,Lists!$G$2:$G$4,0)),L127))</f>
        <v>0</v>
      </c>
      <c r="T127" s="287" t="b">
        <f>IF(I127="Required",0,IF(ISNUMBER(MATCH(J127,Lists!$G$7:$G$8,0)),L127))</f>
        <v>0</v>
      </c>
      <c r="U127" s="287" t="b">
        <f>IF(I127="Required",0,IF(ISNUMBER(MATCH(J127,Lists!$H$2:$H$4,0)),K127))</f>
        <v>0</v>
      </c>
      <c r="V127" s="287">
        <f t="shared" si="5"/>
        <v>0</v>
      </c>
      <c r="W127" s="287">
        <f t="shared" si="6"/>
        <v>0</v>
      </c>
    </row>
    <row r="128" spans="1:23" ht="21" customHeight="1">
      <c r="A128" s="354" t="s">
        <v>767</v>
      </c>
      <c r="B128" s="286"/>
      <c r="C128" s="788"/>
      <c r="D128" s="778"/>
      <c r="E128" s="780"/>
      <c r="F128" s="361" t="s">
        <v>921</v>
      </c>
      <c r="G128" s="362">
        <f>'Review Comments'!F141</f>
        <v>1</v>
      </c>
      <c r="H128" s="362" t="str">
        <f>'Review Comments'!G141</f>
        <v>Yes</v>
      </c>
      <c r="I128" s="362">
        <f t="shared" si="8"/>
        <v>1</v>
      </c>
      <c r="J128" s="382" t="str">
        <f>IF('Review Comments'!H141=0,"",'Review Comments'!H141)</f>
        <v>Achieved</v>
      </c>
      <c r="K128" s="329">
        <f>IF(I128="Required","Required",IF(ISNUMBER(MATCH(J128,Lists!$H$2:$H$9,0)),I128,""))</f>
        <v>1</v>
      </c>
      <c r="L128" s="330" t="str">
        <f>IF(I128="Required","Required",IF(ISNUMBER(MATCH(J128,Lists!$I$2:$I$9,0)),I128,IF(ISNUMBER(MATCH(J128,Lists!$J$2:$J$9,0)),I128,"")))</f>
        <v/>
      </c>
      <c r="Q128" s="287" t="b">
        <f>IF(I128="Required",0,IF(ISNUMBER(MATCH(J128,Lists!$I$2:$I$4,0)),L128))</f>
        <v>0</v>
      </c>
      <c r="R128" s="287" t="b">
        <f>IF(I128="Required",0,IF(ISNUMBER(MATCH(J128,Lists!$K$2:$K$7,0)),L128))</f>
        <v>0</v>
      </c>
      <c r="S128" s="287" t="b">
        <f>IF(I128="Required",0,IF(ISNUMBER(MATCH(J128,Lists!$G$2:$G$4,0)),L128))</f>
        <v>0</v>
      </c>
      <c r="T128" s="287" t="b">
        <f>IF(I128="Required",0,IF(ISNUMBER(MATCH(J128,Lists!$G$7:$G$8,0)),L128))</f>
        <v>0</v>
      </c>
      <c r="U128" s="287">
        <f>IF(I128="Required",0,IF(ISNUMBER(MATCH(J128,Lists!$H$2:$H$4,0)),K128))</f>
        <v>1</v>
      </c>
      <c r="V128" s="287">
        <f t="shared" si="5"/>
        <v>0</v>
      </c>
      <c r="W128" s="287">
        <f t="shared" si="6"/>
        <v>0</v>
      </c>
    </row>
    <row r="129" spans="1:23" ht="21" customHeight="1">
      <c r="A129" s="354" t="s">
        <v>767</v>
      </c>
      <c r="B129" s="286"/>
      <c r="C129" s="788"/>
      <c r="D129" s="789" t="s">
        <v>767</v>
      </c>
      <c r="E129" s="792" t="s">
        <v>922</v>
      </c>
      <c r="F129" s="361" t="s">
        <v>923</v>
      </c>
      <c r="G129" s="362">
        <f>'Review Comments'!F142</f>
        <v>1</v>
      </c>
      <c r="H129" s="362" t="str">
        <f>'Review Comments'!G142</f>
        <v>Yes</v>
      </c>
      <c r="I129" s="362">
        <f t="shared" si="8"/>
        <v>1</v>
      </c>
      <c r="J129" s="382" t="str">
        <f>IF('Review Comments'!H142=0,"",'Review Comments'!H142)</f>
        <v>Achieved</v>
      </c>
      <c r="K129" s="329">
        <f>IF(I129="Required","Required",IF(ISNUMBER(MATCH(J129,Lists!$H$2:$H$9,0)),I129,""))</f>
        <v>1</v>
      </c>
      <c r="L129" s="330" t="str">
        <f>IF(I129="Required","Required",IF(ISNUMBER(MATCH(J129,Lists!$I$2:$I$9,0)),I129,IF(ISNUMBER(MATCH(J129,Lists!$J$2:$J$9,0)),I129,"")))</f>
        <v/>
      </c>
      <c r="N129" s="363" t="s">
        <v>924</v>
      </c>
      <c r="Q129" s="287" t="b">
        <f>IF(I129="Required",0,IF(ISNUMBER(MATCH(J129,Lists!$I$2:$I$4,0)),L129))</f>
        <v>0</v>
      </c>
      <c r="R129" s="287" t="b">
        <f>IF(I129="Required",0,IF(ISNUMBER(MATCH(J129,Lists!$K$2:$K$7,0)),L129))</f>
        <v>0</v>
      </c>
      <c r="S129" s="287" t="b">
        <f>IF(I129="Required",0,IF(ISNUMBER(MATCH(J129,Lists!$G$2:$G$4,0)),L129))</f>
        <v>0</v>
      </c>
      <c r="T129" s="287" t="b">
        <f>IF(I129="Required",0,IF(ISNUMBER(MATCH(J129,Lists!$G$7:$G$8,0)),L129))</f>
        <v>0</v>
      </c>
      <c r="U129" s="287">
        <f>IF(I129="Required",0,IF(ISNUMBER(MATCH(J129,Lists!$H$2:$H$4,0)),K129))</f>
        <v>1</v>
      </c>
      <c r="V129" s="287">
        <f t="shared" si="5"/>
        <v>0</v>
      </c>
      <c r="W129" s="287">
        <f t="shared" si="6"/>
        <v>0</v>
      </c>
    </row>
    <row r="130" spans="1:23" ht="21" customHeight="1">
      <c r="A130" s="354" t="s">
        <v>767</v>
      </c>
      <c r="B130" s="286"/>
      <c r="C130" s="788"/>
      <c r="D130" s="790"/>
      <c r="E130" s="793"/>
      <c r="F130" s="361" t="s">
        <v>925</v>
      </c>
      <c r="G130" s="362">
        <f>'Review Comments'!F143</f>
        <v>0</v>
      </c>
      <c r="H130" s="362" t="str">
        <f>'Review Comments'!G143</f>
        <v>No</v>
      </c>
      <c r="I130" s="362" t="str">
        <f t="shared" si="8"/>
        <v/>
      </c>
      <c r="J130" s="382" t="str">
        <f>IF('Review Comments'!H143=0,"",'Review Comments'!H143)</f>
        <v>Not Attempted</v>
      </c>
      <c r="K130" s="329" t="str">
        <f>IF(I130="Required","Required",IF(ISNUMBER(MATCH(J130,Lists!$H$2:$H$9,0)),I130,""))</f>
        <v/>
      </c>
      <c r="L130" s="330" t="str">
        <f>IF(I130="Required","Required",IF(ISNUMBER(MATCH(J130,Lists!$I$2:$I$9,0)),I130,IF(ISNUMBER(MATCH(J130,Lists!$J$2:$J$9,0)),I130,"")))</f>
        <v/>
      </c>
      <c r="Q130" s="287" t="b">
        <f>IF(I130="Required",0,IF(ISNUMBER(MATCH(J130,Lists!$I$2:$I$4,0)),L130))</f>
        <v>0</v>
      </c>
      <c r="R130" s="287" t="b">
        <f>IF(I130="Required",0,IF(ISNUMBER(MATCH(J130,Lists!$K$2:$K$7,0)),L130))</f>
        <v>0</v>
      </c>
      <c r="S130" s="287" t="b">
        <f>IF(I130="Required",0,IF(ISNUMBER(MATCH(J130,Lists!$G$2:$G$4,0)),L130))</f>
        <v>0</v>
      </c>
      <c r="T130" s="287" t="b">
        <f>IF(I130="Required",0,IF(ISNUMBER(MATCH(J130,Lists!$G$7:$G$8,0)),L130))</f>
        <v>0</v>
      </c>
      <c r="U130" s="287" t="b">
        <f>IF(I130="Required",0,IF(ISNUMBER(MATCH(J130,Lists!$H$2:$H$4,0)),K130))</f>
        <v>0</v>
      </c>
      <c r="V130" s="287">
        <f t="shared" si="5"/>
        <v>0</v>
      </c>
      <c r="W130" s="287">
        <f t="shared" si="6"/>
        <v>0</v>
      </c>
    </row>
    <row r="131" spans="1:23" ht="21" customHeight="1">
      <c r="A131" s="354" t="s">
        <v>767</v>
      </c>
      <c r="B131" s="286"/>
      <c r="C131" s="788"/>
      <c r="D131" s="791"/>
      <c r="E131" s="794"/>
      <c r="F131" s="361" t="s">
        <v>926</v>
      </c>
      <c r="G131" s="362">
        <f>'Review Comments'!F144</f>
        <v>0</v>
      </c>
      <c r="H131" s="362" t="str">
        <f>'Review Comments'!G144</f>
        <v>No</v>
      </c>
      <c r="I131" s="362" t="str">
        <f t="shared" si="8"/>
        <v/>
      </c>
      <c r="J131" s="382" t="str">
        <f>IF('Review Comments'!H144=0,"",'Review Comments'!H144)</f>
        <v>Not Attempted</v>
      </c>
      <c r="K131" s="329" t="str">
        <f>IF(I131="Required","Required",IF(ISNUMBER(MATCH(J131,Lists!$H$2:$H$9,0)),I131,""))</f>
        <v/>
      </c>
      <c r="L131" s="330" t="str">
        <f>IF(I131="Required","Required",IF(ISNUMBER(MATCH(J131,Lists!$I$2:$I$9,0)),I131,IF(ISNUMBER(MATCH(J131,Lists!$J$2:$J$9,0)),I131,"")))</f>
        <v/>
      </c>
      <c r="Q131" s="287" t="b">
        <f>IF(I131="Required",0,IF(ISNUMBER(MATCH(J131,Lists!$I$2:$I$4,0)),L131))</f>
        <v>0</v>
      </c>
      <c r="R131" s="287" t="b">
        <f>IF(I131="Required",0,IF(ISNUMBER(MATCH(J131,Lists!$K$2:$K$7,0)),L131))</f>
        <v>0</v>
      </c>
      <c r="S131" s="287" t="b">
        <f>IF(I131="Required",0,IF(ISNUMBER(MATCH(J131,Lists!$G$2:$G$4,0)),L131))</f>
        <v>0</v>
      </c>
      <c r="T131" s="287" t="b">
        <f>IF(I131="Required",0,IF(ISNUMBER(MATCH(J131,Lists!$G$7:$G$8,0)),L131))</f>
        <v>0</v>
      </c>
      <c r="U131" s="287" t="b">
        <f>IF(I131="Required",0,IF(ISNUMBER(MATCH(J131,Lists!$H$2:$H$4,0)),K131))</f>
        <v>0</v>
      </c>
      <c r="V131" s="287">
        <f t="shared" si="5"/>
        <v>0</v>
      </c>
      <c r="W131" s="287">
        <f t="shared" si="6"/>
        <v>0</v>
      </c>
    </row>
    <row r="132" spans="1:23" ht="21" customHeight="1">
      <c r="A132" s="354" t="s">
        <v>767</v>
      </c>
      <c r="B132" s="286"/>
      <c r="C132" s="788"/>
      <c r="D132" s="778" t="s">
        <v>767</v>
      </c>
      <c r="E132" s="780" t="s">
        <v>927</v>
      </c>
      <c r="F132" s="361" t="s">
        <v>928</v>
      </c>
      <c r="G132" s="362">
        <f>'Review Comments'!F145</f>
        <v>1</v>
      </c>
      <c r="H132" s="362" t="str">
        <f>'Review Comments'!G145</f>
        <v>Yes</v>
      </c>
      <c r="I132" s="362">
        <f t="shared" si="8"/>
        <v>1</v>
      </c>
      <c r="J132" s="382" t="str">
        <f>IF('Review Comments'!H145=0,"",'Review Comments'!H145)</f>
        <v>Achieved</v>
      </c>
      <c r="K132" s="329">
        <f>IF(I132="Required","Required",IF(ISNUMBER(MATCH(J132,Lists!$H$2:$H$9,0)),I132,""))</f>
        <v>1</v>
      </c>
      <c r="L132" s="330" t="str">
        <f>IF(I132="Required","Required",IF(ISNUMBER(MATCH(J132,Lists!$I$2:$I$9,0)),I132,IF(ISNUMBER(MATCH(J132,Lists!$J$2:$J$9,0)),I132,"")))</f>
        <v/>
      </c>
      <c r="Q132" s="287" t="b">
        <f>IF(I132="Required",0,IF(ISNUMBER(MATCH(J132,Lists!$I$2:$I$4,0)),L132))</f>
        <v>0</v>
      </c>
      <c r="R132" s="287" t="b">
        <f>IF(I132="Required",0,IF(ISNUMBER(MATCH(J132,Lists!$K$2:$K$7,0)),L132))</f>
        <v>0</v>
      </c>
      <c r="S132" s="287" t="b">
        <f>IF(I132="Required",0,IF(ISNUMBER(MATCH(J132,Lists!$G$2:$G$4,0)),L132))</f>
        <v>0</v>
      </c>
      <c r="T132" s="287" t="b">
        <f>IF(I132="Required",0,IF(ISNUMBER(MATCH(J132,Lists!$G$7:$G$8,0)),L132))</f>
        <v>0</v>
      </c>
      <c r="U132" s="287">
        <f>IF(I132="Required",0,IF(ISNUMBER(MATCH(J132,Lists!$H$2:$H$4,0)),K132))</f>
        <v>1</v>
      </c>
      <c r="V132" s="287">
        <f t="shared" si="5"/>
        <v>0</v>
      </c>
      <c r="W132" s="287">
        <f t="shared" si="6"/>
        <v>0</v>
      </c>
    </row>
    <row r="133" spans="1:23" ht="21" customHeight="1">
      <c r="A133" s="354" t="s">
        <v>767</v>
      </c>
      <c r="B133" s="286"/>
      <c r="C133" s="788"/>
      <c r="D133" s="778"/>
      <c r="E133" s="780"/>
      <c r="F133" s="361" t="s">
        <v>929</v>
      </c>
      <c r="G133" s="362">
        <f>'Review Comments'!F146</f>
        <v>0</v>
      </c>
      <c r="H133" s="362" t="str">
        <f>'Review Comments'!G146</f>
        <v>No</v>
      </c>
      <c r="I133" s="362" t="str">
        <f t="shared" si="8"/>
        <v/>
      </c>
      <c r="J133" s="382" t="str">
        <f>IF('Review Comments'!H146=0,"",'Review Comments'!H146)</f>
        <v>Not Attempted</v>
      </c>
      <c r="K133" s="329" t="str">
        <f>IF(I133="Required","Required",IF(ISNUMBER(MATCH(J133,Lists!$H$2:$H$9,0)),I133,""))</f>
        <v/>
      </c>
      <c r="L133" s="330" t="str">
        <f>IF(I133="Required","Required",IF(ISNUMBER(MATCH(J133,Lists!$I$2:$I$9,0)),I133,IF(ISNUMBER(MATCH(J133,Lists!$J$2:$J$9,0)),I133,"")))</f>
        <v/>
      </c>
      <c r="Q133" s="287" t="b">
        <f>IF(I133="Required",0,IF(ISNUMBER(MATCH(J133,Lists!$I$2:$I$4,0)),L133))</f>
        <v>0</v>
      </c>
      <c r="R133" s="287" t="b">
        <f>IF(I133="Required",0,IF(ISNUMBER(MATCH(J133,Lists!$K$2:$K$7,0)),L133))</f>
        <v>0</v>
      </c>
      <c r="S133" s="287" t="b">
        <f>IF(I133="Required",0,IF(ISNUMBER(MATCH(J133,Lists!$G$2:$G$4,0)),L133))</f>
        <v>0</v>
      </c>
      <c r="T133" s="287" t="b">
        <f>IF(I133="Required",0,IF(ISNUMBER(MATCH(J133,Lists!$G$7:$G$8,0)),L133))</f>
        <v>0</v>
      </c>
      <c r="U133" s="287" t="b">
        <f>IF(I133="Required",0,IF(ISNUMBER(MATCH(J133,Lists!$H$2:$H$4,0)),K133))</f>
        <v>0</v>
      </c>
      <c r="V133" s="287">
        <f t="shared" si="5"/>
        <v>0</v>
      </c>
      <c r="W133" s="287">
        <f t="shared" si="6"/>
        <v>0</v>
      </c>
    </row>
    <row r="134" spans="1:23" ht="21" customHeight="1" thickBot="1">
      <c r="A134" s="354" t="s">
        <v>767</v>
      </c>
      <c r="B134" s="286"/>
      <c r="C134" s="788"/>
      <c r="D134" s="392" t="s">
        <v>767</v>
      </c>
      <c r="E134" s="393" t="s">
        <v>930</v>
      </c>
      <c r="F134" s="394" t="s">
        <v>931</v>
      </c>
      <c r="G134" s="368">
        <f>'Review Comments'!F147</f>
        <v>0</v>
      </c>
      <c r="H134" s="368" t="str">
        <f>'Review Comments'!G147</f>
        <v>No</v>
      </c>
      <c r="I134" s="368" t="str">
        <f t="shared" si="8"/>
        <v/>
      </c>
      <c r="J134" s="395" t="str">
        <f>IF('Review Comments'!H147=0,"",'Review Comments'!H147)</f>
        <v>Not Attempted</v>
      </c>
      <c r="K134" s="335" t="str">
        <f>IF(I134="Required","Required",IF(ISNUMBER(MATCH(J134,Lists!$H$2:$H$9,0)),I134,""))</f>
        <v/>
      </c>
      <c r="L134" s="336" t="str">
        <f>IF(I134="Required","Required",IF(ISNUMBER(MATCH(J134,Lists!$I$2:$I$9,0)),I134,IF(ISNUMBER(MATCH(J134,Lists!$J$2:$J$9,0)),I134,"")))</f>
        <v/>
      </c>
      <c r="Q134" s="287" t="b">
        <f>IF(I134="Required",0,IF(ISNUMBER(MATCH(J134,Lists!$I$2:$I$4,0)),L134))</f>
        <v>0</v>
      </c>
      <c r="R134" s="287" t="b">
        <f>IF(I134="Required",0,IF(ISNUMBER(MATCH(J134,Lists!$K$2:$K$7,0)),L134))</f>
        <v>0</v>
      </c>
      <c r="S134" s="287" t="b">
        <f>IF(I134="Required",0,IF(ISNUMBER(MATCH(J134,Lists!$G$2:$G$4,0)),L134))</f>
        <v>0</v>
      </c>
      <c r="T134" s="287" t="b">
        <f>IF(I134="Required",0,IF(ISNUMBER(MATCH(J134,Lists!$G$7:$G$8,0)),L134))</f>
        <v>0</v>
      </c>
      <c r="U134" s="287" t="b">
        <f>IF(I134="Required",0,IF(ISNUMBER(MATCH(J134,Lists!$H$2:$H$4,0)),K134))</f>
        <v>0</v>
      </c>
      <c r="V134" s="287">
        <f t="shared" si="5"/>
        <v>0</v>
      </c>
      <c r="W134" s="287">
        <f t="shared" si="6"/>
        <v>0</v>
      </c>
    </row>
    <row r="135" spans="1:23" s="346" customFormat="1" ht="16.2" customHeight="1">
      <c r="A135" s="407"/>
      <c r="B135" s="337"/>
      <c r="C135" s="408"/>
      <c r="D135" s="409"/>
      <c r="E135" s="410"/>
      <c r="F135" s="411"/>
      <c r="G135" s="412">
        <f>SUM(G106:G134)</f>
        <v>11</v>
      </c>
      <c r="H135" s="409"/>
      <c r="I135" s="413">
        <f>(SUM(I106:I134))</f>
        <v>11</v>
      </c>
      <c r="J135" s="414"/>
      <c r="K135" s="413">
        <f>SUM(K106:K134)</f>
        <v>11</v>
      </c>
      <c r="L135" s="415">
        <f>SUM(L106:L134)</f>
        <v>0</v>
      </c>
      <c r="Q135" s="346" t="b">
        <f>IF(I135="Required",0,IF(ISNUMBER(MATCH(J135,Lists!$I$2:$I$4,0)),L135))</f>
        <v>0</v>
      </c>
      <c r="R135" s="346" t="b">
        <f>IF(I135="Required",0,IF(ISNUMBER(MATCH(J135,Lists!$K$2:$K$7,0)),L135))</f>
        <v>0</v>
      </c>
      <c r="S135" s="346" t="b">
        <f>IF(I135="Required",0,IF(ISNUMBER(MATCH(J135,Lists!$G$2:$G$4,0)),L135))</f>
        <v>0</v>
      </c>
      <c r="T135" s="346" t="b">
        <f>IF(I135="Required",0,IF(ISNUMBER(MATCH(J135,Lists!$G$7:$G$8,0)),L135))</f>
        <v>0</v>
      </c>
      <c r="U135" s="346" t="b">
        <f>IF(I135="Required",0,IF(ISNUMBER(MATCH(J135,Lists!$H$2:$H$4,0)),K135))</f>
        <v>0</v>
      </c>
      <c r="V135" s="346">
        <f t="shared" si="5"/>
        <v>0</v>
      </c>
      <c r="W135" s="287">
        <f t="shared" si="6"/>
        <v>0</v>
      </c>
    </row>
    <row r="136" spans="1:23" ht="6.6" customHeight="1" thickBot="1">
      <c r="A136" s="347"/>
      <c r="B136" s="286"/>
      <c r="C136" s="416"/>
      <c r="D136" s="417"/>
      <c r="E136" s="418"/>
      <c r="F136" s="419"/>
      <c r="G136" s="420"/>
      <c r="H136" s="420"/>
      <c r="I136" s="420"/>
      <c r="J136" s="421"/>
      <c r="K136" s="420"/>
      <c r="L136" s="422"/>
      <c r="Q136" s="287" t="b">
        <f>IF(I136="Required",0,IF(ISNUMBER(MATCH(J136,Lists!$I$2:$I$4,0)),L136))</f>
        <v>0</v>
      </c>
      <c r="R136" s="287" t="b">
        <f>IF(I136="Required",0,IF(ISNUMBER(MATCH(J136,Lists!$K$2:$K$7,0)),L136))</f>
        <v>0</v>
      </c>
      <c r="S136" s="287" t="b">
        <f>IF(I136="Required",0,IF(ISNUMBER(MATCH(J136,Lists!$G$2:$G$4,0)),L136))</f>
        <v>0</v>
      </c>
      <c r="T136" s="287" t="b">
        <f>IF(I136="Required",0,IF(ISNUMBER(MATCH(J136,Lists!$G$7:$G$8,0)),L136))</f>
        <v>0</v>
      </c>
      <c r="U136" s="287" t="b">
        <f>IF(I136="Required",0,IF(ISNUMBER(MATCH(J136,Lists!$H$2:$H$4,0)),K136))</f>
        <v>0</v>
      </c>
      <c r="V136" s="287">
        <f t="shared" si="5"/>
        <v>0</v>
      </c>
      <c r="W136" s="287">
        <f t="shared" si="6"/>
        <v>0</v>
      </c>
    </row>
    <row r="137" spans="1:23" ht="21" customHeight="1">
      <c r="A137" s="354" t="s">
        <v>752</v>
      </c>
      <c r="B137" s="286"/>
      <c r="C137" s="799" t="s">
        <v>149</v>
      </c>
      <c r="D137" s="777" t="s">
        <v>752</v>
      </c>
      <c r="E137" s="779" t="s">
        <v>932</v>
      </c>
      <c r="F137" s="357" t="s">
        <v>933</v>
      </c>
      <c r="G137" s="358">
        <f>'Review Comments'!F153</f>
        <v>0</v>
      </c>
      <c r="H137" s="358" t="str">
        <f>'Review Comments'!G153</f>
        <v>Required</v>
      </c>
      <c r="I137" s="358" t="str">
        <f t="shared" ref="I137:I152" si="9">IF(H137="Yes",G137,IF(H137="Required","Required",""))</f>
        <v>Required</v>
      </c>
      <c r="J137" s="381" t="str">
        <f>IF('Review Comments'!H153=0,"",'Review Comments'!H153)</f>
        <v>Achieved</v>
      </c>
      <c r="K137" s="323" t="str">
        <f>IF(I137="Required","Required",IF(ISNUMBER(MATCH(J137,Lists!$H$2:$H$9,0)),I137,""))</f>
        <v>Required</v>
      </c>
      <c r="L137" s="324" t="str">
        <f>IF(I137="Required","Required",IF(ISNUMBER(MATCH(J137,Lists!$I$2:$I$9,0)),I137,IF(ISNUMBER(MATCH(J137,Lists!$J$2:$J$9,0)),I137,"")))</f>
        <v>Required</v>
      </c>
      <c r="Q137" s="287">
        <f>IF(I137="Required",0,IF(ISNUMBER(MATCH(J137,Lists!$I$2:$I$4,0)),L137))</f>
        <v>0</v>
      </c>
      <c r="R137" s="287">
        <f>IF(I137="Required",0,IF(ISNUMBER(MATCH(J137,Lists!$K$2:$K$7,0)),L137))</f>
        <v>0</v>
      </c>
      <c r="S137" s="287">
        <f>IF(I137="Required",0,IF(ISNUMBER(MATCH(J137,Lists!$G$2:$G$4,0)),L137))</f>
        <v>0</v>
      </c>
      <c r="T137" s="287">
        <f>IF(I137="Required",0,IF(ISNUMBER(MATCH(J137,Lists!$G$7:$G$8,0)),L137))</f>
        <v>0</v>
      </c>
      <c r="U137" s="287">
        <f>IF(I137="Required",0,IF(ISNUMBER(MATCH(J137,Lists!$H$2:$H$4,0)),K137))</f>
        <v>0</v>
      </c>
      <c r="V137" s="287">
        <f t="shared" si="5"/>
        <v>0</v>
      </c>
      <c r="W137" s="287">
        <f t="shared" si="6"/>
        <v>0</v>
      </c>
    </row>
    <row r="138" spans="1:23" ht="21" customHeight="1">
      <c r="A138" s="354" t="s">
        <v>752</v>
      </c>
      <c r="B138" s="286"/>
      <c r="C138" s="800"/>
      <c r="D138" s="778"/>
      <c r="E138" s="780"/>
      <c r="F138" s="361" t="s">
        <v>934</v>
      </c>
      <c r="G138" s="362">
        <f>'Review Comments'!F154</f>
        <v>0</v>
      </c>
      <c r="H138" s="362" t="str">
        <f>'Review Comments'!G154</f>
        <v>Required</v>
      </c>
      <c r="I138" s="362" t="str">
        <f t="shared" si="9"/>
        <v>Required</v>
      </c>
      <c r="J138" s="382" t="str">
        <f>IF('Review Comments'!H154=0,"",'Review Comments'!H154)</f>
        <v>Achieved</v>
      </c>
      <c r="K138" s="329" t="str">
        <f>IF(I138="Required","Required",IF(ISNUMBER(MATCH(J138,Lists!$H$2:$H$9,0)),I138,""))</f>
        <v>Required</v>
      </c>
      <c r="L138" s="330" t="str">
        <f>IF(I138="Required","Required",IF(ISNUMBER(MATCH(J138,Lists!$I$2:$I$9,0)),I138,IF(ISNUMBER(MATCH(J138,Lists!$J$2:$J$9,0)),I138,"")))</f>
        <v>Required</v>
      </c>
      <c r="Q138" s="287">
        <f>IF(I138="Required",0,IF(ISNUMBER(MATCH(J138,Lists!$I$2:$I$4,0)),L138))</f>
        <v>0</v>
      </c>
      <c r="R138" s="287">
        <f>IF(I138="Required",0,IF(ISNUMBER(MATCH(J138,Lists!$K$2:$K$7,0)),L138))</f>
        <v>0</v>
      </c>
      <c r="S138" s="287">
        <f>IF(I138="Required",0,IF(ISNUMBER(MATCH(J138,Lists!$G$2:$G$4,0)),L138))</f>
        <v>0</v>
      </c>
      <c r="T138" s="287">
        <f>IF(I138="Required",0,IF(ISNUMBER(MATCH(J138,Lists!$G$7:$G$8,0)),L138))</f>
        <v>0</v>
      </c>
      <c r="U138" s="287">
        <f>IF(I138="Required",0,IF(ISNUMBER(MATCH(J138,Lists!$H$2:$H$4,0)),K138))</f>
        <v>0</v>
      </c>
      <c r="V138" s="287">
        <f t="shared" si="5"/>
        <v>0</v>
      </c>
      <c r="W138" s="287">
        <f t="shared" si="6"/>
        <v>0</v>
      </c>
    </row>
    <row r="139" spans="1:23" ht="21" customHeight="1">
      <c r="A139" s="354" t="s">
        <v>767</v>
      </c>
      <c r="B139" s="286"/>
      <c r="C139" s="800"/>
      <c r="D139" s="778" t="s">
        <v>767</v>
      </c>
      <c r="E139" s="780" t="s">
        <v>935</v>
      </c>
      <c r="F139" s="361" t="s">
        <v>936</v>
      </c>
      <c r="G139" s="362">
        <f>'Review Comments'!F155</f>
        <v>1</v>
      </c>
      <c r="H139" s="362" t="str">
        <f>'Review Comments'!G155</f>
        <v>Yes</v>
      </c>
      <c r="I139" s="362">
        <f t="shared" si="9"/>
        <v>1</v>
      </c>
      <c r="J139" s="382" t="str">
        <f>IF('Review Comments'!H155=0,"",'Review Comments'!H155)</f>
        <v>Achieved</v>
      </c>
      <c r="K139" s="329">
        <f>IF(I139="Required","Required",IF(ISNUMBER(MATCH(J139,Lists!$H$2:$H$9,0)),I139,""))</f>
        <v>1</v>
      </c>
      <c r="L139" s="330" t="str">
        <f>IF(I139="Required","Required",IF(ISNUMBER(MATCH(J139,Lists!$I$2:$I$9,0)),I139,IF(ISNUMBER(MATCH(J139,Lists!$J$2:$J$9,0)),I139,"")))</f>
        <v/>
      </c>
      <c r="Q139" s="287" t="b">
        <f>IF(I139="Required",0,IF(ISNUMBER(MATCH(J139,Lists!$I$2:$I$4,0)),L139))</f>
        <v>0</v>
      </c>
      <c r="R139" s="287" t="b">
        <f>IF(I139="Required",0,IF(ISNUMBER(MATCH(J139,Lists!$K$2:$K$7,0)),L139))</f>
        <v>0</v>
      </c>
      <c r="S139" s="287" t="b">
        <f>IF(I139="Required",0,IF(ISNUMBER(MATCH(J139,Lists!$G$2:$G$4,0)),L139))</f>
        <v>0</v>
      </c>
      <c r="T139" s="287" t="b">
        <f>IF(I139="Required",0,IF(ISNUMBER(MATCH(J139,Lists!$G$7:$G$8,0)),L139))</f>
        <v>0</v>
      </c>
      <c r="U139" s="287">
        <f>IF(I139="Required",0,IF(ISNUMBER(MATCH(J139,Lists!$H$2:$H$4,0)),K139))</f>
        <v>1</v>
      </c>
      <c r="V139" s="287">
        <f t="shared" si="5"/>
        <v>0</v>
      </c>
      <c r="W139" s="287">
        <f t="shared" si="6"/>
        <v>0</v>
      </c>
    </row>
    <row r="140" spans="1:23" ht="21" customHeight="1">
      <c r="A140" s="354" t="s">
        <v>767</v>
      </c>
      <c r="B140" s="286"/>
      <c r="C140" s="800"/>
      <c r="D140" s="778"/>
      <c r="E140" s="780"/>
      <c r="F140" s="361" t="s">
        <v>937</v>
      </c>
      <c r="G140" s="362">
        <f>'Review Comments'!F156</f>
        <v>0</v>
      </c>
      <c r="H140" s="362" t="str">
        <f>'Review Comments'!G156</f>
        <v>No</v>
      </c>
      <c r="I140" s="362" t="str">
        <f t="shared" si="9"/>
        <v/>
      </c>
      <c r="J140" s="382" t="str">
        <f>IF('Review Comments'!H156=0,"",'Review Comments'!H156)</f>
        <v>Withdrawn</v>
      </c>
      <c r="K140" s="329" t="str">
        <f>IF(I140="Required","Required",IF(ISNUMBER(MATCH(J140,Lists!$H$2:$H$9,0)),I140,""))</f>
        <v/>
      </c>
      <c r="L140" s="330" t="str">
        <f>IF(I140="Required","Required",IF(ISNUMBER(MATCH(J140,Lists!$I$2:$I$9,0)),I140,IF(ISNUMBER(MATCH(J140,Lists!$J$2:$J$9,0)),I140,"")))</f>
        <v/>
      </c>
      <c r="Q140" s="287" t="b">
        <f>IF(I140="Required",0,IF(ISNUMBER(MATCH(J140,Lists!$I$2:$I$4,0)),L140))</f>
        <v>0</v>
      </c>
      <c r="R140" s="287" t="b">
        <f>IF(I140="Required",0,IF(ISNUMBER(MATCH(J140,Lists!$K$2:$K$7,0)),L140))</f>
        <v>0</v>
      </c>
      <c r="S140" s="287" t="b">
        <f>IF(I140="Required",0,IF(ISNUMBER(MATCH(J140,Lists!$G$2:$G$4,0)),L140))</f>
        <v>0</v>
      </c>
      <c r="T140" s="287" t="b">
        <f>IF(I140="Required",0,IF(ISNUMBER(MATCH(J140,Lists!$G$7:$G$8,0)),L140))</f>
        <v>0</v>
      </c>
      <c r="U140" s="287" t="b">
        <f>IF(I140="Required",0,IF(ISNUMBER(MATCH(J140,Lists!$H$2:$H$4,0)),K140))</f>
        <v>0</v>
      </c>
      <c r="V140" s="287">
        <f t="shared" si="5"/>
        <v>0</v>
      </c>
      <c r="W140" s="287">
        <f t="shared" si="6"/>
        <v>0</v>
      </c>
    </row>
    <row r="141" spans="1:23" ht="21" customHeight="1">
      <c r="A141" s="354" t="s">
        <v>767</v>
      </c>
      <c r="B141" s="286"/>
      <c r="C141" s="800"/>
      <c r="D141" s="778" t="s">
        <v>767</v>
      </c>
      <c r="E141" s="780" t="s">
        <v>938</v>
      </c>
      <c r="F141" s="361" t="s">
        <v>939</v>
      </c>
      <c r="G141" s="362">
        <f>'Review Comments'!F157</f>
        <v>0</v>
      </c>
      <c r="H141" s="362" t="str">
        <f>'Review Comments'!G157</f>
        <v>No</v>
      </c>
      <c r="I141" s="362" t="str">
        <f t="shared" si="9"/>
        <v/>
      </c>
      <c r="J141" s="382" t="str">
        <f>IF('Review Comments'!H157=0,"",'Review Comments'!H157)</f>
        <v>Not Attempted</v>
      </c>
      <c r="K141" s="329" t="str">
        <f>IF(I141="Required","Required",IF(ISNUMBER(MATCH(J141,Lists!$H$2:$H$9,0)),I141,""))</f>
        <v/>
      </c>
      <c r="L141" s="330" t="str">
        <f>IF(I141="Required","Required",IF(ISNUMBER(MATCH(J141,Lists!$I$2:$I$9,0)),I141,IF(ISNUMBER(MATCH(J141,Lists!$J$2:$J$9,0)),I141,"")))</f>
        <v/>
      </c>
      <c r="Q141" s="287" t="b">
        <f>IF(I141="Required",0,IF(ISNUMBER(MATCH(J141,Lists!$I$2:$I$4,0)),L141))</f>
        <v>0</v>
      </c>
      <c r="R141" s="287" t="b">
        <f>IF(I141="Required",0,IF(ISNUMBER(MATCH(J141,Lists!$K$2:$K$7,0)),L141))</f>
        <v>0</v>
      </c>
      <c r="S141" s="287" t="b">
        <f>IF(I141="Required",0,IF(ISNUMBER(MATCH(J141,Lists!$G$2:$G$4,0)),L141))</f>
        <v>0</v>
      </c>
      <c r="T141" s="287" t="b">
        <f>IF(I141="Required",0,IF(ISNUMBER(MATCH(J141,Lists!$G$7:$G$8,0)),L141))</f>
        <v>0</v>
      </c>
      <c r="U141" s="287" t="b">
        <f>IF(I141="Required",0,IF(ISNUMBER(MATCH(J141,Lists!$H$2:$H$4,0)),K141))</f>
        <v>0</v>
      </c>
      <c r="V141" s="287">
        <f t="shared" ref="V141:V204" si="10">IF(A141="P",IF(IFERROR(SEARCH("Pending Documentation",J141),0)&gt;0,IF(I141="Required",1,I141),0),0)</f>
        <v>0</v>
      </c>
      <c r="W141" s="287">
        <f t="shared" si="6"/>
        <v>0</v>
      </c>
    </row>
    <row r="142" spans="1:23" ht="21" customHeight="1">
      <c r="A142" s="354" t="s">
        <v>767</v>
      </c>
      <c r="B142" s="286"/>
      <c r="C142" s="800"/>
      <c r="D142" s="778"/>
      <c r="E142" s="780"/>
      <c r="F142" s="361" t="s">
        <v>940</v>
      </c>
      <c r="G142" s="362">
        <f>'Review Comments'!F158</f>
        <v>0</v>
      </c>
      <c r="H142" s="362" t="str">
        <f>'Review Comments'!G158</f>
        <v>No</v>
      </c>
      <c r="I142" s="362" t="str">
        <f t="shared" si="9"/>
        <v/>
      </c>
      <c r="J142" s="382" t="str">
        <f>IF('Review Comments'!H158=0,"",'Review Comments'!H158)</f>
        <v>Not Attempted</v>
      </c>
      <c r="K142" s="329" t="str">
        <f>IF(I142="Required","Required",IF(ISNUMBER(MATCH(J142,Lists!$H$2:$H$9,0)),I142,""))</f>
        <v/>
      </c>
      <c r="L142" s="330" t="str">
        <f>IF(I142="Required","Required",IF(ISNUMBER(MATCH(J142,Lists!$I$2:$I$9,0)),I142,IF(ISNUMBER(MATCH(J142,Lists!$J$2:$J$9,0)),I142,"")))</f>
        <v/>
      </c>
      <c r="Q142" s="287" t="b">
        <f>IF(I142="Required",0,IF(ISNUMBER(MATCH(J142,Lists!$I$2:$I$4,0)),L142))</f>
        <v>0</v>
      </c>
      <c r="R142" s="287" t="b">
        <f>IF(I142="Required",0,IF(ISNUMBER(MATCH(J142,Lists!$K$2:$K$7,0)),L142))</f>
        <v>0</v>
      </c>
      <c r="S142" s="287" t="b">
        <f>IF(I142="Required",0,IF(ISNUMBER(MATCH(J142,Lists!$G$2:$G$4,0)),L142))</f>
        <v>0</v>
      </c>
      <c r="T142" s="287" t="b">
        <f>IF(I142="Required",0,IF(ISNUMBER(MATCH(J142,Lists!$G$7:$G$8,0)),L142))</f>
        <v>0</v>
      </c>
      <c r="U142" s="287" t="b">
        <f>IF(I142="Required",0,IF(ISNUMBER(MATCH(J142,Lists!$H$2:$H$4,0)),K142))</f>
        <v>0</v>
      </c>
      <c r="V142" s="287">
        <f t="shared" si="10"/>
        <v>0</v>
      </c>
      <c r="W142" s="287">
        <f t="shared" ref="W142:W205" si="11">IF(A142="P",IF(IFERROR(SEARCH("Pending On-site Assessment",J142),0)&gt;0,IF(I142="Required",1,I142),0),0)</f>
        <v>0</v>
      </c>
    </row>
    <row r="143" spans="1:23" ht="21" customHeight="1">
      <c r="A143" s="354" t="s">
        <v>767</v>
      </c>
      <c r="B143" s="286"/>
      <c r="C143" s="800"/>
      <c r="D143" s="778" t="s">
        <v>767</v>
      </c>
      <c r="E143" s="780" t="s">
        <v>941</v>
      </c>
      <c r="F143" s="361" t="s">
        <v>942</v>
      </c>
      <c r="G143" s="362">
        <f>'Review Comments'!F159</f>
        <v>0</v>
      </c>
      <c r="H143" s="362" t="str">
        <f>'Review Comments'!G159</f>
        <v>No</v>
      </c>
      <c r="I143" s="362" t="str">
        <f t="shared" si="9"/>
        <v/>
      </c>
      <c r="J143" s="382" t="str">
        <f>IF('Review Comments'!H159=0,"",'Review Comments'!H159)</f>
        <v>Not Attempted</v>
      </c>
      <c r="K143" s="329" t="str">
        <f>IF(I143="Required","Required",IF(ISNUMBER(MATCH(J143,Lists!$H$2:$H$9,0)),I143,""))</f>
        <v/>
      </c>
      <c r="L143" s="330" t="str">
        <f>IF(I143="Required","Required",IF(ISNUMBER(MATCH(J143,Lists!$I$2:$I$9,0)),I143,IF(ISNUMBER(MATCH(J143,Lists!$J$2:$J$9,0)),I143,"")))</f>
        <v/>
      </c>
      <c r="Q143" s="287" t="b">
        <f>IF(I143="Required",0,IF(ISNUMBER(MATCH(J143,Lists!$I$2:$I$4,0)),L143))</f>
        <v>0</v>
      </c>
      <c r="R143" s="287" t="b">
        <f>IF(I143="Required",0,IF(ISNUMBER(MATCH(J143,Lists!$K$2:$K$7,0)),L143))</f>
        <v>0</v>
      </c>
      <c r="S143" s="287" t="b">
        <f>IF(I143="Required",0,IF(ISNUMBER(MATCH(J143,Lists!$G$2:$G$4,0)),L143))</f>
        <v>0</v>
      </c>
      <c r="T143" s="287" t="b">
        <f>IF(I143="Required",0,IF(ISNUMBER(MATCH(J143,Lists!$G$7:$G$8,0)),L143))</f>
        <v>0</v>
      </c>
      <c r="U143" s="287" t="b">
        <f>IF(I143="Required",0,IF(ISNUMBER(MATCH(J143,Lists!$H$2:$H$4,0)),K143))</f>
        <v>0</v>
      </c>
      <c r="V143" s="287">
        <f t="shared" si="10"/>
        <v>0</v>
      </c>
      <c r="W143" s="287">
        <f t="shared" si="11"/>
        <v>0</v>
      </c>
    </row>
    <row r="144" spans="1:23" ht="21" customHeight="1">
      <c r="A144" s="354" t="s">
        <v>767</v>
      </c>
      <c r="B144" s="286"/>
      <c r="C144" s="800"/>
      <c r="D144" s="778"/>
      <c r="E144" s="780"/>
      <c r="F144" s="361" t="s">
        <v>943</v>
      </c>
      <c r="G144" s="362">
        <f>'Review Comments'!F160</f>
        <v>0</v>
      </c>
      <c r="H144" s="362" t="str">
        <f>'Review Comments'!G160</f>
        <v>No</v>
      </c>
      <c r="I144" s="362" t="str">
        <f t="shared" si="9"/>
        <v/>
      </c>
      <c r="J144" s="382" t="str">
        <f>IF('Review Comments'!H160=0,"",'Review Comments'!H160)</f>
        <v>Not Attempted</v>
      </c>
      <c r="K144" s="329" t="str">
        <f>IF(I144="Required","Required",IF(ISNUMBER(MATCH(J144,Lists!$H$2:$H$9,0)),I144,""))</f>
        <v/>
      </c>
      <c r="L144" s="330" t="str">
        <f>IF(I144="Required","Required",IF(ISNUMBER(MATCH(J144,Lists!$I$2:$I$9,0)),I144,IF(ISNUMBER(MATCH(J144,Lists!$J$2:$J$9,0)),I144,"")))</f>
        <v/>
      </c>
      <c r="Q144" s="287" t="b">
        <f>IF(I144="Required",0,IF(ISNUMBER(MATCH(J144,Lists!$I$2:$I$4,0)),L144))</f>
        <v>0</v>
      </c>
      <c r="R144" s="287" t="b">
        <f>IF(I144="Required",0,IF(ISNUMBER(MATCH(J144,Lists!$K$2:$K$7,0)),L144))</f>
        <v>0</v>
      </c>
      <c r="S144" s="287" t="b">
        <f>IF(I144="Required",0,IF(ISNUMBER(MATCH(J144,Lists!$G$2:$G$4,0)),L144))</f>
        <v>0</v>
      </c>
      <c r="T144" s="287" t="b">
        <f>IF(I144="Required",0,IF(ISNUMBER(MATCH(J144,Lists!$G$7:$G$8,0)),L144))</f>
        <v>0</v>
      </c>
      <c r="U144" s="287" t="b">
        <f>IF(I144="Required",0,IF(ISNUMBER(MATCH(J144,Lists!$H$2:$H$4,0)),K144))</f>
        <v>0</v>
      </c>
      <c r="V144" s="287">
        <f t="shared" si="10"/>
        <v>0</v>
      </c>
      <c r="W144" s="287">
        <f t="shared" si="11"/>
        <v>0</v>
      </c>
    </row>
    <row r="145" spans="1:23" ht="21" customHeight="1">
      <c r="A145" s="354" t="s">
        <v>767</v>
      </c>
      <c r="B145" s="286"/>
      <c r="C145" s="800"/>
      <c r="D145" s="778" t="s">
        <v>767</v>
      </c>
      <c r="E145" s="780" t="s">
        <v>944</v>
      </c>
      <c r="F145" s="361" t="s">
        <v>945</v>
      </c>
      <c r="G145" s="362">
        <f>'Review Comments'!F161</f>
        <v>0</v>
      </c>
      <c r="H145" s="362" t="str">
        <f>'Review Comments'!G161</f>
        <v>No</v>
      </c>
      <c r="I145" s="362" t="str">
        <f t="shared" si="9"/>
        <v/>
      </c>
      <c r="J145" s="382" t="str">
        <f>IF('Review Comments'!H161=0,"",'Review Comments'!H161)</f>
        <v>Not Attempted</v>
      </c>
      <c r="K145" s="329" t="str">
        <f>IF(I145="Required","Required",IF(ISNUMBER(MATCH(J145,Lists!$H$2:$H$9,0)),I145,""))</f>
        <v/>
      </c>
      <c r="L145" s="330" t="str">
        <f>IF(I145="Required","Required",IF(ISNUMBER(MATCH(J145,Lists!$I$2:$I$9,0)),I145,IF(ISNUMBER(MATCH(J145,Lists!$J$2:$J$9,0)),I145,"")))</f>
        <v/>
      </c>
      <c r="Q145" s="287" t="b">
        <f>IF(I145="Required",0,IF(ISNUMBER(MATCH(J145,Lists!$I$2:$I$4,0)),L145))</f>
        <v>0</v>
      </c>
      <c r="R145" s="287" t="b">
        <f>IF(I145="Required",0,IF(ISNUMBER(MATCH(J145,Lists!$K$2:$K$7,0)),L145))</f>
        <v>0</v>
      </c>
      <c r="S145" s="287" t="b">
        <f>IF(I145="Required",0,IF(ISNUMBER(MATCH(J145,Lists!$G$2:$G$4,0)),L145))</f>
        <v>0</v>
      </c>
      <c r="T145" s="287" t="b">
        <f>IF(I145="Required",0,IF(ISNUMBER(MATCH(J145,Lists!$G$7:$G$8,0)),L145))</f>
        <v>0</v>
      </c>
      <c r="U145" s="287" t="b">
        <f>IF(I145="Required",0,IF(ISNUMBER(MATCH(J145,Lists!$H$2:$H$4,0)),K145))</f>
        <v>0</v>
      </c>
      <c r="V145" s="287">
        <f t="shared" si="10"/>
        <v>0</v>
      </c>
      <c r="W145" s="287">
        <f t="shared" si="11"/>
        <v>0</v>
      </c>
    </row>
    <row r="146" spans="1:23" ht="21" customHeight="1">
      <c r="A146" s="354" t="s">
        <v>767</v>
      </c>
      <c r="B146" s="286"/>
      <c r="C146" s="800"/>
      <c r="D146" s="778"/>
      <c r="E146" s="780"/>
      <c r="F146" s="361" t="s">
        <v>946</v>
      </c>
      <c r="G146" s="362">
        <f>'Review Comments'!F162</f>
        <v>1</v>
      </c>
      <c r="H146" s="362" t="str">
        <f>'Review Comments'!G162</f>
        <v>Yes</v>
      </c>
      <c r="I146" s="362">
        <f t="shared" si="9"/>
        <v>1</v>
      </c>
      <c r="J146" s="382" t="str">
        <f>IF('Review Comments'!H162=0,"",'Review Comments'!H162)</f>
        <v>Achieved</v>
      </c>
      <c r="K146" s="329">
        <f>IF(I146="Required","Required",IF(ISNUMBER(MATCH(J146,Lists!$H$2:$H$9,0)),I146,""))</f>
        <v>1</v>
      </c>
      <c r="L146" s="330" t="str">
        <f>IF(I146="Required","Required",IF(ISNUMBER(MATCH(J146,Lists!$I$2:$I$9,0)),I146,IF(ISNUMBER(MATCH(J146,Lists!$J$2:$J$9,0)),I146,"")))</f>
        <v/>
      </c>
      <c r="Q146" s="287" t="b">
        <f>IF(I146="Required",0,IF(ISNUMBER(MATCH(J146,Lists!$I$2:$I$4,0)),L146))</f>
        <v>0</v>
      </c>
      <c r="R146" s="287" t="b">
        <f>IF(I146="Required",0,IF(ISNUMBER(MATCH(J146,Lists!$K$2:$K$7,0)),L146))</f>
        <v>0</v>
      </c>
      <c r="S146" s="287" t="b">
        <f>IF(I146="Required",0,IF(ISNUMBER(MATCH(J146,Lists!$G$2:$G$4,0)),L146))</f>
        <v>0</v>
      </c>
      <c r="T146" s="287" t="b">
        <f>IF(I146="Required",0,IF(ISNUMBER(MATCH(J146,Lists!$G$7:$G$8,0)),L146))</f>
        <v>0</v>
      </c>
      <c r="U146" s="287">
        <f>IF(I146="Required",0,IF(ISNUMBER(MATCH(J146,Lists!$H$2:$H$4,0)),K146))</f>
        <v>1</v>
      </c>
      <c r="V146" s="287">
        <f t="shared" si="10"/>
        <v>0</v>
      </c>
      <c r="W146" s="287">
        <f t="shared" si="11"/>
        <v>0</v>
      </c>
    </row>
    <row r="147" spans="1:23" ht="21" customHeight="1">
      <c r="A147" s="354" t="s">
        <v>767</v>
      </c>
      <c r="B147" s="286"/>
      <c r="C147" s="800"/>
      <c r="D147" s="359" t="s">
        <v>767</v>
      </c>
      <c r="E147" s="360" t="s">
        <v>947</v>
      </c>
      <c r="F147" s="361" t="s">
        <v>948</v>
      </c>
      <c r="G147" s="362">
        <f>'Review Comments'!F163</f>
        <v>0</v>
      </c>
      <c r="H147" s="362" t="str">
        <f>'Review Comments'!G163</f>
        <v>No</v>
      </c>
      <c r="I147" s="362" t="str">
        <f t="shared" si="9"/>
        <v/>
      </c>
      <c r="J147" s="382" t="str">
        <f>IF('Review Comments'!H163=0,"",'Review Comments'!H163)</f>
        <v>Not Attempted</v>
      </c>
      <c r="K147" s="329" t="str">
        <f>IF(I147="Required","Required",IF(ISNUMBER(MATCH(J147,Lists!$H$2:$H$9,0)),I147,""))</f>
        <v/>
      </c>
      <c r="L147" s="330" t="str">
        <f>IF(I147="Required","Required",IF(ISNUMBER(MATCH(J147,Lists!$I$2:$I$9,0)),I147,IF(ISNUMBER(MATCH(J147,Lists!$J$2:$J$9,0)),I147,"")))</f>
        <v/>
      </c>
      <c r="Q147" s="287" t="b">
        <f>IF(I147="Required",0,IF(ISNUMBER(MATCH(J147,Lists!$I$2:$I$4,0)),L147))</f>
        <v>0</v>
      </c>
      <c r="R147" s="287" t="b">
        <f>IF(I147="Required",0,IF(ISNUMBER(MATCH(J147,Lists!$K$2:$K$7,0)),L147))</f>
        <v>0</v>
      </c>
      <c r="S147" s="287" t="b">
        <f>IF(I147="Required",0,IF(ISNUMBER(MATCH(J147,Lists!$G$2:$G$4,0)),L147))</f>
        <v>0</v>
      </c>
      <c r="T147" s="287" t="b">
        <f>IF(I147="Required",0,IF(ISNUMBER(MATCH(J147,Lists!$G$7:$G$8,0)),L147))</f>
        <v>0</v>
      </c>
      <c r="U147" s="287" t="b">
        <f>IF(I147="Required",0,IF(ISNUMBER(MATCH(J147,Lists!$H$2:$H$4,0)),K147))</f>
        <v>0</v>
      </c>
      <c r="V147" s="287">
        <f t="shared" si="10"/>
        <v>0</v>
      </c>
      <c r="W147" s="287">
        <f t="shared" si="11"/>
        <v>0</v>
      </c>
    </row>
    <row r="148" spans="1:23" ht="21" customHeight="1" thickBot="1">
      <c r="A148" s="354" t="s">
        <v>767</v>
      </c>
      <c r="B148" s="286"/>
      <c r="C148" s="800"/>
      <c r="D148" s="359" t="s">
        <v>767</v>
      </c>
      <c r="E148" s="360" t="s">
        <v>949</v>
      </c>
      <c r="F148" s="361" t="s">
        <v>950</v>
      </c>
      <c r="G148" s="362">
        <f>'Review Comments'!F164</f>
        <v>1</v>
      </c>
      <c r="H148" s="362" t="str">
        <f>'Review Comments'!G164</f>
        <v>Yes</v>
      </c>
      <c r="I148" s="362">
        <f t="shared" si="9"/>
        <v>1</v>
      </c>
      <c r="J148" s="382" t="str">
        <f>IF('Review Comments'!H164=0,"",'Review Comments'!H164)</f>
        <v>Achieved</v>
      </c>
      <c r="K148" s="329">
        <f>IF(I148="Required","Required",IF(ISNUMBER(MATCH(J148,Lists!$H$2:$H$9,0)),I148,""))</f>
        <v>1</v>
      </c>
      <c r="L148" s="330" t="str">
        <f>IF(I148="Required","Required",IF(ISNUMBER(MATCH(J148,Lists!$I$2:$I$9,0)),I148,IF(ISNUMBER(MATCH(J148,Lists!$J$2:$J$9,0)),I148,"")))</f>
        <v/>
      </c>
      <c r="N148" s="363" t="s">
        <v>951</v>
      </c>
      <c r="O148" s="364"/>
      <c r="Q148" s="287" t="b">
        <f>IF(I148="Required",0,IF(ISNUMBER(MATCH(J148,Lists!$I$2:$I$4,0)),L148))</f>
        <v>0</v>
      </c>
      <c r="R148" s="287" t="b">
        <f>IF(I148="Required",0,IF(ISNUMBER(MATCH(J148,Lists!$K$2:$K$7,0)),L148))</f>
        <v>0</v>
      </c>
      <c r="S148" s="287" t="b">
        <f>IF(I148="Required",0,IF(ISNUMBER(MATCH(J148,Lists!$G$2:$G$4,0)),L148))</f>
        <v>0</v>
      </c>
      <c r="T148" s="287" t="b">
        <f>IF(I148="Required",0,IF(ISNUMBER(MATCH(J148,Lists!$G$7:$G$8,0)),L148))</f>
        <v>0</v>
      </c>
      <c r="U148" s="287">
        <f>IF(I148="Required",0,IF(ISNUMBER(MATCH(J148,Lists!$H$2:$H$4,0)),K148))</f>
        <v>1</v>
      </c>
      <c r="V148" s="287">
        <f t="shared" si="10"/>
        <v>0</v>
      </c>
      <c r="W148" s="287">
        <f t="shared" si="11"/>
        <v>0</v>
      </c>
    </row>
    <row r="149" spans="1:23" ht="21" hidden="1" customHeight="1">
      <c r="A149" s="354" t="s">
        <v>767</v>
      </c>
      <c r="B149" s="286"/>
      <c r="C149" s="800"/>
      <c r="D149" s="359" t="s">
        <v>767</v>
      </c>
      <c r="E149" s="360" t="s">
        <v>952</v>
      </c>
      <c r="F149" s="361" t="s">
        <v>953</v>
      </c>
      <c r="G149" s="362">
        <f>'Review Comments'!F165</f>
        <v>0</v>
      </c>
      <c r="H149" s="362">
        <f>'Review Comments'!G165</f>
        <v>0</v>
      </c>
      <c r="I149" s="362" t="str">
        <f t="shared" si="9"/>
        <v/>
      </c>
      <c r="J149" s="382" t="str">
        <f>IF('Review Comments'!H165=0,"",'Review Comments'!H165)</f>
        <v/>
      </c>
      <c r="K149" s="329" t="str">
        <f>IF(I149="Required","Required",IF(ISNUMBER(MATCH(J149,Lists!$H$2:$H$9,0)),I149,""))</f>
        <v/>
      </c>
      <c r="L149" s="330" t="str">
        <f>IF(I149="Required","Required",IF(ISNUMBER(MATCH(J149,Lists!$I$2:$I$9,0)),I149,IF(ISNUMBER(MATCH(J149,Lists!$J$2:$J$9,0)),I149,"")))</f>
        <v/>
      </c>
      <c r="Q149" s="287" t="b">
        <f>IF(I149="Required",0,IF(ISNUMBER(MATCH(J149,Lists!$I$2:$I$4,0)),L149))</f>
        <v>0</v>
      </c>
      <c r="R149" s="287" t="b">
        <f>IF(I149="Required",0,IF(ISNUMBER(MATCH(J149,Lists!$K$2:$K$7,0)),L149))</f>
        <v>0</v>
      </c>
      <c r="S149" s="287" t="b">
        <f>IF(I149="Required",0,IF(ISNUMBER(MATCH(J149,Lists!$G$2:$G$4,0)),L149))</f>
        <v>0</v>
      </c>
      <c r="T149" s="287" t="b">
        <f>IF(I149="Required",0,IF(ISNUMBER(MATCH(J149,Lists!$G$7:$G$8,0)),L149))</f>
        <v>0</v>
      </c>
      <c r="U149" s="287" t="b">
        <f>IF(I149="Required",0,IF(ISNUMBER(MATCH(J149,Lists!$H$2:$H$4,0)),K149))</f>
        <v>0</v>
      </c>
      <c r="V149" s="287">
        <f t="shared" si="10"/>
        <v>0</v>
      </c>
      <c r="W149" s="287">
        <f t="shared" si="11"/>
        <v>0</v>
      </c>
    </row>
    <row r="150" spans="1:23" ht="21" hidden="1" customHeight="1">
      <c r="A150" s="354" t="s">
        <v>767</v>
      </c>
      <c r="B150" s="286"/>
      <c r="C150" s="800"/>
      <c r="D150" s="789" t="s">
        <v>767</v>
      </c>
      <c r="E150" s="792" t="s">
        <v>954</v>
      </c>
      <c r="F150" s="361" t="s">
        <v>955</v>
      </c>
      <c r="G150" s="362">
        <f>'Review Comments'!F166</f>
        <v>0</v>
      </c>
      <c r="H150" s="362">
        <f>'Review Comments'!G166</f>
        <v>0</v>
      </c>
      <c r="I150" s="362" t="str">
        <f t="shared" si="9"/>
        <v/>
      </c>
      <c r="J150" s="382" t="str">
        <f>IF('Review Comments'!H166=0,"",'Review Comments'!H166)</f>
        <v/>
      </c>
      <c r="K150" s="329" t="str">
        <f>IF(I150="Required","Required",IF(ISNUMBER(MATCH(J150,Lists!$H$2:$H$9,0)),I150,""))</f>
        <v/>
      </c>
      <c r="L150" s="330" t="str">
        <f>IF(I150="Required","Required",IF(ISNUMBER(MATCH(J150,Lists!$I$2:$I$9,0)),I150,IF(ISNUMBER(MATCH(J150,Lists!$J$2:$J$9,0)),I150,"")))</f>
        <v/>
      </c>
      <c r="Q150" s="287" t="b">
        <f>IF(I150="Required",0,IF(ISNUMBER(MATCH(J150,Lists!$I$2:$I$4,0)),L150))</f>
        <v>0</v>
      </c>
      <c r="R150" s="287" t="b">
        <f>IF(I150="Required",0,IF(ISNUMBER(MATCH(J150,Lists!$K$2:$K$7,0)),L150))</f>
        <v>0</v>
      </c>
      <c r="S150" s="287" t="b">
        <f>IF(I150="Required",0,IF(ISNUMBER(MATCH(J150,Lists!$G$2:$G$4,0)),L150))</f>
        <v>0</v>
      </c>
      <c r="T150" s="287" t="b">
        <f>IF(I150="Required",0,IF(ISNUMBER(MATCH(J150,Lists!$G$7:$G$8,0)),L150))</f>
        <v>0</v>
      </c>
      <c r="U150" s="287" t="b">
        <f>IF(I150="Required",0,IF(ISNUMBER(MATCH(J150,Lists!$H$2:$H$4,0)),K150))</f>
        <v>0</v>
      </c>
      <c r="V150" s="287">
        <f t="shared" si="10"/>
        <v>0</v>
      </c>
      <c r="W150" s="287">
        <f t="shared" si="11"/>
        <v>0</v>
      </c>
    </row>
    <row r="151" spans="1:23" ht="21" hidden="1" customHeight="1">
      <c r="A151" s="354" t="s">
        <v>767</v>
      </c>
      <c r="B151" s="286"/>
      <c r="C151" s="800"/>
      <c r="D151" s="790"/>
      <c r="E151" s="793"/>
      <c r="F151" s="361" t="s">
        <v>956</v>
      </c>
      <c r="G151" s="362">
        <f>'Review Comments'!F167</f>
        <v>0</v>
      </c>
      <c r="H151" s="362">
        <f>'Review Comments'!G167</f>
        <v>0</v>
      </c>
      <c r="I151" s="362" t="str">
        <f t="shared" si="9"/>
        <v/>
      </c>
      <c r="J151" s="382" t="str">
        <f>IF('Review Comments'!H167=0,"",'Review Comments'!H167)</f>
        <v/>
      </c>
      <c r="K151" s="329" t="str">
        <f>IF(I151="Required","Required",IF(ISNUMBER(MATCH(J151,Lists!$H$2:$H$9,0)),I151,""))</f>
        <v/>
      </c>
      <c r="L151" s="330" t="str">
        <f>IF(I151="Required","Required",IF(ISNUMBER(MATCH(J151,Lists!$I$2:$I$9,0)),I151,IF(ISNUMBER(MATCH(J151,Lists!$J$2:$J$9,0)),I151,"")))</f>
        <v/>
      </c>
      <c r="Q151" s="287" t="b">
        <f>IF(I151="Required",0,IF(ISNUMBER(MATCH(J151,Lists!$I$2:$I$4,0)),L151))</f>
        <v>0</v>
      </c>
      <c r="R151" s="287" t="b">
        <f>IF(I151="Required",0,IF(ISNUMBER(MATCH(J151,Lists!$K$2:$K$7,0)),L151))</f>
        <v>0</v>
      </c>
      <c r="S151" s="287" t="b">
        <f>IF(I151="Required",0,IF(ISNUMBER(MATCH(J151,Lists!$G$2:$G$4,0)),L151))</f>
        <v>0</v>
      </c>
      <c r="T151" s="287" t="b">
        <f>IF(I151="Required",0,IF(ISNUMBER(MATCH(J151,Lists!$G$7:$G$8,0)),L151))</f>
        <v>0</v>
      </c>
      <c r="U151" s="287" t="b">
        <f>IF(I151="Required",0,IF(ISNUMBER(MATCH(J151,Lists!$H$2:$H$4,0)),K151))</f>
        <v>0</v>
      </c>
      <c r="V151" s="287">
        <f t="shared" si="10"/>
        <v>0</v>
      </c>
      <c r="W151" s="287">
        <f t="shared" si="11"/>
        <v>0</v>
      </c>
    </row>
    <row r="152" spans="1:23" ht="21" hidden="1" customHeight="1" thickBot="1">
      <c r="A152" s="354" t="s">
        <v>767</v>
      </c>
      <c r="B152" s="286"/>
      <c r="C152" s="800"/>
      <c r="D152" s="795"/>
      <c r="E152" s="796"/>
      <c r="F152" s="394" t="s">
        <v>957</v>
      </c>
      <c r="G152" s="368">
        <f>'Review Comments'!F168</f>
        <v>0</v>
      </c>
      <c r="H152" s="368">
        <f>'Review Comments'!G168</f>
        <v>0</v>
      </c>
      <c r="I152" s="368" t="str">
        <f t="shared" si="9"/>
        <v/>
      </c>
      <c r="J152" s="395" t="str">
        <f>IF('Review Comments'!H168=0,"",'Review Comments'!H168)</f>
        <v/>
      </c>
      <c r="K152" s="335" t="str">
        <f>IF(I152="Required","Required",IF(ISNUMBER(MATCH(J152,Lists!$H$2:$H$9,0)),I152,""))</f>
        <v/>
      </c>
      <c r="L152" s="336" t="str">
        <f>IF(I152="Required","Required",IF(ISNUMBER(MATCH(J152,Lists!$I$2:$I$9,0)),I152,IF(ISNUMBER(MATCH(J152,Lists!$J$2:$J$9,0)),I152,"")))</f>
        <v/>
      </c>
      <c r="Q152" s="287" t="b">
        <f>IF(I152="Required",0,IF(ISNUMBER(MATCH(J152,Lists!$I$2:$I$4,0)),L152))</f>
        <v>0</v>
      </c>
      <c r="R152" s="287" t="b">
        <f>IF(I152="Required",0,IF(ISNUMBER(MATCH(J152,Lists!$K$2:$K$7,0)),L152))</f>
        <v>0</v>
      </c>
      <c r="S152" s="287" t="b">
        <f>IF(I152="Required",0,IF(ISNUMBER(MATCH(J152,Lists!$G$2:$G$4,0)),L152))</f>
        <v>0</v>
      </c>
      <c r="T152" s="287" t="b">
        <f>IF(I152="Required",0,IF(ISNUMBER(MATCH(J152,Lists!$G$7:$G$8,0)),L152))</f>
        <v>0</v>
      </c>
      <c r="U152" s="287" t="b">
        <f>IF(I152="Required",0,IF(ISNUMBER(MATCH(J152,Lists!$H$2:$H$4,0)),K152))</f>
        <v>0</v>
      </c>
      <c r="V152" s="287">
        <f t="shared" si="10"/>
        <v>0</v>
      </c>
      <c r="W152" s="287">
        <f t="shared" si="11"/>
        <v>0</v>
      </c>
    </row>
    <row r="153" spans="1:23" s="346" customFormat="1" ht="16.2" customHeight="1">
      <c r="A153" s="423"/>
      <c r="B153" s="337"/>
      <c r="C153" s="800"/>
      <c r="D153" s="424"/>
      <c r="E153" s="425"/>
      <c r="F153" s="426"/>
      <c r="G153" s="427">
        <f>SUM(G138:G152)</f>
        <v>3</v>
      </c>
      <c r="H153" s="424"/>
      <c r="I153" s="428">
        <f>SUM(I138:I152)</f>
        <v>3</v>
      </c>
      <c r="J153" s="429"/>
      <c r="K153" s="428">
        <f>SUM(K138:K152)</f>
        <v>3</v>
      </c>
      <c r="L153" s="430">
        <f>SUM(L138:L152)</f>
        <v>0</v>
      </c>
      <c r="Q153" s="346" t="b">
        <f>IF(I153="Required",0,IF(ISNUMBER(MATCH(J153,Lists!$I$2:$I$4,0)),L153))</f>
        <v>0</v>
      </c>
      <c r="R153" s="346" t="b">
        <f>IF(I153="Required",0,IF(ISNUMBER(MATCH(J153,Lists!$K$2:$K$7,0)),L153))</f>
        <v>0</v>
      </c>
      <c r="S153" s="346" t="b">
        <f>IF(I153="Required",0,IF(ISNUMBER(MATCH(J153,Lists!$G$2:$G$4,0)),L153))</f>
        <v>0</v>
      </c>
      <c r="T153" s="346" t="b">
        <f>IF(I153="Required",0,IF(ISNUMBER(MATCH(J153,Lists!$G$7:$G$8,0)),L153))</f>
        <v>0</v>
      </c>
      <c r="U153" s="346" t="b">
        <f>IF(I153="Required",0,IF(ISNUMBER(MATCH(J153,Lists!$H$2:$H$4,0)),K153))</f>
        <v>0</v>
      </c>
      <c r="V153" s="346">
        <f t="shared" si="10"/>
        <v>0</v>
      </c>
      <c r="W153" s="287">
        <f t="shared" si="11"/>
        <v>0</v>
      </c>
    </row>
    <row r="154" spans="1:23" ht="6.6" customHeight="1" thickBot="1">
      <c r="A154" s="347"/>
      <c r="B154" s="286"/>
      <c r="C154" s="416"/>
      <c r="D154" s="417"/>
      <c r="E154" s="418"/>
      <c r="F154" s="419"/>
      <c r="G154" s="420"/>
      <c r="H154" s="420"/>
      <c r="I154" s="420"/>
      <c r="J154" s="421"/>
      <c r="K154" s="420"/>
      <c r="L154" s="422"/>
      <c r="Q154" s="287" t="b">
        <f>IF(I154="Required",0,IF(ISNUMBER(MATCH(J154,Lists!$I$2:$I$4,0)),L154))</f>
        <v>0</v>
      </c>
      <c r="R154" s="287" t="b">
        <f>IF(I154="Required",0,IF(ISNUMBER(MATCH(J154,Lists!$K$2:$K$7,0)),L154))</f>
        <v>0</v>
      </c>
      <c r="S154" s="287" t="b">
        <f>IF(I154="Required",0,IF(ISNUMBER(MATCH(J154,Lists!$G$2:$G$4,0)),L154))</f>
        <v>0</v>
      </c>
      <c r="T154" s="287" t="b">
        <f>IF(I154="Required",0,IF(ISNUMBER(MATCH(J154,Lists!$G$7:$G$8,0)),L154))</f>
        <v>0</v>
      </c>
      <c r="U154" s="287" t="b">
        <f>IF(I154="Required",0,IF(ISNUMBER(MATCH(J154,Lists!$H$2:$H$4,0)),K154))</f>
        <v>0</v>
      </c>
      <c r="V154" s="287">
        <f t="shared" si="10"/>
        <v>0</v>
      </c>
      <c r="W154" s="287">
        <f t="shared" si="11"/>
        <v>0</v>
      </c>
    </row>
    <row r="155" spans="1:23" ht="21" customHeight="1">
      <c r="A155" s="354" t="s">
        <v>752</v>
      </c>
      <c r="B155" s="286"/>
      <c r="C155" s="797" t="s">
        <v>239</v>
      </c>
      <c r="D155" s="777" t="s">
        <v>752</v>
      </c>
      <c r="E155" s="779" t="s">
        <v>958</v>
      </c>
      <c r="F155" s="357" t="s">
        <v>959</v>
      </c>
      <c r="G155" s="358">
        <f>'Review Comments'!F174</f>
        <v>0</v>
      </c>
      <c r="H155" s="358" t="str">
        <f>'Review Comments'!G174</f>
        <v>Required</v>
      </c>
      <c r="I155" s="358" t="str">
        <f>IF(H155="Yes",G155,IF(H155="Required","Required",""))</f>
        <v>Required</v>
      </c>
      <c r="J155" s="381" t="str">
        <f>IF('Review Comments'!H174=0,"",'Review Comments'!H174)</f>
        <v>Achieved</v>
      </c>
      <c r="K155" s="358" t="str">
        <f>IF(I155="Required","Required",IF(ISNUMBER(MATCH(J155,Lists!$H$2:$H$9,0)),I155,""))</f>
        <v>Required</v>
      </c>
      <c r="L155" s="431" t="str">
        <f>IF(I155="Required","Required",IF(ISNUMBER(MATCH(J155,Lists!$I$2:$I$9,0)),I155,IF(ISNUMBER(MATCH(J155,Lists!$J$2:$J$9,0)),I155,"")))</f>
        <v>Required</v>
      </c>
      <c r="Q155" s="287">
        <f>IF(I155="Required",0,IF(ISNUMBER(MATCH(J155,Lists!$I$2:$I$4,0)),L155))</f>
        <v>0</v>
      </c>
      <c r="R155" s="287">
        <f>IF(I155="Required",0,IF(ISNUMBER(MATCH(J155,Lists!$K$2:$K$7,0)),L155))</f>
        <v>0</v>
      </c>
      <c r="S155" s="287">
        <f>IF(I155="Required",0,IF(ISNUMBER(MATCH(J155,Lists!$G$2:$G$4,0)),L155))</f>
        <v>0</v>
      </c>
      <c r="T155" s="287">
        <f>IF(I155="Required",0,IF(ISNUMBER(MATCH(J155,Lists!$G$7:$G$8,0)),L155))</f>
        <v>0</v>
      </c>
      <c r="U155" s="287">
        <f>IF(I155="Required",0,IF(ISNUMBER(MATCH(J155,Lists!$H$2:$H$4,0)),K155))</f>
        <v>0</v>
      </c>
      <c r="V155" s="287">
        <f t="shared" si="10"/>
        <v>0</v>
      </c>
      <c r="W155" s="287">
        <f t="shared" si="11"/>
        <v>0</v>
      </c>
    </row>
    <row r="156" spans="1:23" ht="21" customHeight="1">
      <c r="A156" s="354" t="s">
        <v>752</v>
      </c>
      <c r="B156" s="286"/>
      <c r="C156" s="798"/>
      <c r="D156" s="778"/>
      <c r="E156" s="780"/>
      <c r="F156" s="361" t="s">
        <v>960</v>
      </c>
      <c r="G156" s="362">
        <f>'Review Comments'!F175</f>
        <v>0</v>
      </c>
      <c r="H156" s="362" t="str">
        <f>'Review Comments'!G175</f>
        <v>Required</v>
      </c>
      <c r="I156" s="362" t="str">
        <f t="shared" ref="I156:I168" si="12">IF(H156="Yes",G156,IF(H156="Required","Required",""))</f>
        <v>Required</v>
      </c>
      <c r="J156" s="382" t="str">
        <f>IF('Review Comments'!H175=0,"",'Review Comments'!H175)</f>
        <v>Achieved</v>
      </c>
      <c r="K156" s="362" t="str">
        <f>IF(I156="Required","Required",IF(ISNUMBER(MATCH(J156,Lists!$H$2:$H$9,0)),I156,""))</f>
        <v>Required</v>
      </c>
      <c r="L156" s="432" t="str">
        <f>IF(I156="Required","Required",IF(ISNUMBER(MATCH(J156,Lists!$I$2:$I$9,0)),I156,IF(ISNUMBER(MATCH(J156,Lists!$J$2:$J$9,0)),I156,"")))</f>
        <v>Required</v>
      </c>
      <c r="Q156" s="287">
        <f>IF(I156="Required",0,IF(ISNUMBER(MATCH(J156,Lists!$I$2:$I$4,0)),L156))</f>
        <v>0</v>
      </c>
      <c r="R156" s="287">
        <f>IF(I156="Required",0,IF(ISNUMBER(MATCH(J156,Lists!$K$2:$K$7,0)),L156))</f>
        <v>0</v>
      </c>
      <c r="S156" s="287">
        <f>IF(I156="Required",0,IF(ISNUMBER(MATCH(J156,Lists!$G$2:$G$4,0)),L156))</f>
        <v>0</v>
      </c>
      <c r="T156" s="287">
        <f>IF(I156="Required",0,IF(ISNUMBER(MATCH(J156,Lists!$G$7:$G$8,0)),L156))</f>
        <v>0</v>
      </c>
      <c r="U156" s="287">
        <f>IF(I156="Required",0,IF(ISNUMBER(MATCH(J156,Lists!$H$2:$H$4,0)),K156))</f>
        <v>0</v>
      </c>
      <c r="V156" s="287">
        <f t="shared" si="10"/>
        <v>0</v>
      </c>
      <c r="W156" s="287">
        <f t="shared" si="11"/>
        <v>0</v>
      </c>
    </row>
    <row r="157" spans="1:23" ht="21" customHeight="1">
      <c r="A157" s="354" t="s">
        <v>752</v>
      </c>
      <c r="B157" s="286"/>
      <c r="C157" s="798"/>
      <c r="D157" s="778"/>
      <c r="E157" s="780"/>
      <c r="F157" s="361" t="s">
        <v>961</v>
      </c>
      <c r="G157" s="362">
        <f>'Review Comments'!F176</f>
        <v>0</v>
      </c>
      <c r="H157" s="362" t="str">
        <f>'Review Comments'!G176</f>
        <v>Required</v>
      </c>
      <c r="I157" s="362" t="str">
        <f t="shared" si="12"/>
        <v>Required</v>
      </c>
      <c r="J157" s="382" t="str">
        <f>IF('Review Comments'!H176=0,"",'Review Comments'!H176)</f>
        <v>Achieved</v>
      </c>
      <c r="K157" s="362" t="str">
        <f>IF(I157="Required","Required",IF(ISNUMBER(MATCH(J157,Lists!$H$2:$H$9,0)),I157,""))</f>
        <v>Required</v>
      </c>
      <c r="L157" s="432" t="str">
        <f>IF(I157="Required","Required",IF(ISNUMBER(MATCH(J157,Lists!$I$2:$I$9,0)),I157,IF(ISNUMBER(MATCH(J157,Lists!$J$2:$J$9,0)),I157,"")))</f>
        <v>Required</v>
      </c>
      <c r="Q157" s="287">
        <f>IF(I157="Required",0,IF(ISNUMBER(MATCH(J157,Lists!$I$2:$I$4,0)),L157))</f>
        <v>0</v>
      </c>
      <c r="R157" s="287">
        <f>IF(I157="Required",0,IF(ISNUMBER(MATCH(J157,Lists!$K$2:$K$7,0)),L157))</f>
        <v>0</v>
      </c>
      <c r="S157" s="287">
        <f>IF(I157="Required",0,IF(ISNUMBER(MATCH(J157,Lists!$G$2:$G$4,0)),L157))</f>
        <v>0</v>
      </c>
      <c r="T157" s="287">
        <f>IF(I157="Required",0,IF(ISNUMBER(MATCH(J157,Lists!$G$7:$G$8,0)),L157))</f>
        <v>0</v>
      </c>
      <c r="U157" s="287">
        <f>IF(I157="Required",0,IF(ISNUMBER(MATCH(J157,Lists!$H$2:$H$4,0)),K157))</f>
        <v>0</v>
      </c>
      <c r="V157" s="287">
        <f t="shared" si="10"/>
        <v>0</v>
      </c>
      <c r="W157" s="287">
        <f t="shared" si="11"/>
        <v>0</v>
      </c>
    </row>
    <row r="158" spans="1:23" ht="21" customHeight="1">
      <c r="A158" s="354" t="s">
        <v>767</v>
      </c>
      <c r="B158" s="286"/>
      <c r="C158" s="798"/>
      <c r="D158" s="359" t="s">
        <v>767</v>
      </c>
      <c r="E158" s="360" t="s">
        <v>962</v>
      </c>
      <c r="F158" s="361" t="s">
        <v>963</v>
      </c>
      <c r="G158" s="362">
        <f>'Review Comments'!F177</f>
        <v>2</v>
      </c>
      <c r="H158" s="362" t="str">
        <f>'Review Comments'!G177</f>
        <v>Yes</v>
      </c>
      <c r="I158" s="362">
        <f t="shared" si="12"/>
        <v>2</v>
      </c>
      <c r="J158" s="382" t="str">
        <f>IF('Review Comments'!H177=0,"",'Review Comments'!H177)</f>
        <v>Achieved</v>
      </c>
      <c r="K158" s="362">
        <f>IF(I158="Required","Required",IF(ISNUMBER(MATCH(J158,Lists!$H$2:$H$9,0)),I158,""))</f>
        <v>2</v>
      </c>
      <c r="L158" s="432" t="str">
        <f>IF(I158="Required","Required",IF(ISNUMBER(MATCH(J158,Lists!$I$2:$I$9,0)),I158,IF(ISNUMBER(MATCH(J158,Lists!$J$2:$J$9,0)),I158,"")))</f>
        <v/>
      </c>
      <c r="Q158" s="287" t="b">
        <f>IF(I158="Required",0,IF(ISNUMBER(MATCH(J158,Lists!$I$2:$I$4,0)),L158))</f>
        <v>0</v>
      </c>
      <c r="R158" s="287" t="b">
        <f>IF(I158="Required",0,IF(ISNUMBER(MATCH(J158,Lists!$K$2:$K$7,0)),L158))</f>
        <v>0</v>
      </c>
      <c r="S158" s="287" t="b">
        <f>IF(I158="Required",0,IF(ISNUMBER(MATCH(J158,Lists!$G$2:$G$4,0)),L158))</f>
        <v>0</v>
      </c>
      <c r="T158" s="287" t="b">
        <f>IF(I158="Required",0,IF(ISNUMBER(MATCH(J158,Lists!$G$7:$G$8,0)),L158))</f>
        <v>0</v>
      </c>
      <c r="U158" s="287">
        <f>IF(I158="Required",0,IF(ISNUMBER(MATCH(J158,Lists!$H$2:$H$4,0)),K158))</f>
        <v>2</v>
      </c>
      <c r="V158" s="287">
        <f t="shared" si="10"/>
        <v>0</v>
      </c>
      <c r="W158" s="287">
        <f t="shared" si="11"/>
        <v>0</v>
      </c>
    </row>
    <row r="159" spans="1:23" ht="21" customHeight="1">
      <c r="A159" s="354" t="s">
        <v>767</v>
      </c>
      <c r="B159" s="286"/>
      <c r="C159" s="798"/>
      <c r="D159" s="778" t="s">
        <v>767</v>
      </c>
      <c r="E159" s="780" t="s">
        <v>964</v>
      </c>
      <c r="F159" s="361" t="s">
        <v>965</v>
      </c>
      <c r="G159" s="362">
        <f>'Review Comments'!F178</f>
        <v>0</v>
      </c>
      <c r="H159" s="362" t="str">
        <f>'Review Comments'!G178</f>
        <v>No</v>
      </c>
      <c r="I159" s="362" t="str">
        <f t="shared" si="12"/>
        <v/>
      </c>
      <c r="J159" s="382" t="str">
        <f>IF('Review Comments'!H178=0,"",'Review Comments'!H178)</f>
        <v>Not Attempted</v>
      </c>
      <c r="K159" s="362" t="str">
        <f>IF(I159="Required","Required",IF(ISNUMBER(MATCH(J159,Lists!$H$2:$H$9,0)),I159,""))</f>
        <v/>
      </c>
      <c r="L159" s="432" t="str">
        <f>IF(I159="Required","Required",IF(ISNUMBER(MATCH(J159,Lists!$I$2:$I$9,0)),I159,IF(ISNUMBER(MATCH(J159,Lists!$J$2:$J$9,0)),I159,"")))</f>
        <v/>
      </c>
      <c r="Q159" s="287" t="b">
        <f>IF(I159="Required",0,IF(ISNUMBER(MATCH(J159,Lists!$I$2:$I$4,0)),L159))</f>
        <v>0</v>
      </c>
      <c r="R159" s="287" t="b">
        <f>IF(I159="Required",0,IF(ISNUMBER(MATCH(J159,Lists!$K$2:$K$7,0)),L159))</f>
        <v>0</v>
      </c>
      <c r="S159" s="287" t="b">
        <f>IF(I159="Required",0,IF(ISNUMBER(MATCH(J159,Lists!$G$2:$G$4,0)),L159))</f>
        <v>0</v>
      </c>
      <c r="T159" s="287" t="b">
        <f>IF(I159="Required",0,IF(ISNUMBER(MATCH(J159,Lists!$G$7:$G$8,0)),L159))</f>
        <v>0</v>
      </c>
      <c r="U159" s="287" t="b">
        <f>IF(I159="Required",0,IF(ISNUMBER(MATCH(J159,Lists!$H$2:$H$4,0)),K159))</f>
        <v>0</v>
      </c>
      <c r="V159" s="287">
        <f t="shared" si="10"/>
        <v>0</v>
      </c>
      <c r="W159" s="287">
        <f t="shared" si="11"/>
        <v>0</v>
      </c>
    </row>
    <row r="160" spans="1:23" ht="21" customHeight="1">
      <c r="A160" s="354" t="s">
        <v>767</v>
      </c>
      <c r="B160" s="286"/>
      <c r="C160" s="798"/>
      <c r="D160" s="778"/>
      <c r="E160" s="780"/>
      <c r="F160" s="361" t="s">
        <v>966</v>
      </c>
      <c r="G160" s="362">
        <f>'Review Comments'!F179</f>
        <v>1</v>
      </c>
      <c r="H160" s="362" t="str">
        <f>'Review Comments'!G179</f>
        <v>Yes</v>
      </c>
      <c r="I160" s="362">
        <f t="shared" si="12"/>
        <v>1</v>
      </c>
      <c r="J160" s="382" t="str">
        <f>IF('Review Comments'!H179=0,"",'Review Comments'!H179)</f>
        <v>Achieved</v>
      </c>
      <c r="K160" s="362">
        <f>IF(I160="Required","Required",IF(ISNUMBER(MATCH(J160,Lists!$H$2:$H$9,0)),I160,""))</f>
        <v>1</v>
      </c>
      <c r="L160" s="432" t="str">
        <f>IF(I160="Required","Required",IF(ISNUMBER(MATCH(J160,Lists!$I$2:$I$9,0)),I160,IF(ISNUMBER(MATCH(J160,Lists!$J$2:$J$9,0)),I160,"")))</f>
        <v/>
      </c>
      <c r="Q160" s="287" t="b">
        <f>IF(I160="Required",0,IF(ISNUMBER(MATCH(J160,Lists!$I$2:$I$4,0)),L160))</f>
        <v>0</v>
      </c>
      <c r="R160" s="287" t="b">
        <f>IF(I160="Required",0,IF(ISNUMBER(MATCH(J160,Lists!$K$2:$K$7,0)),L160))</f>
        <v>0</v>
      </c>
      <c r="S160" s="287" t="b">
        <f>IF(I160="Required",0,IF(ISNUMBER(MATCH(J160,Lists!$G$2:$G$4,0)),L160))</f>
        <v>0</v>
      </c>
      <c r="T160" s="287" t="b">
        <f>IF(I160="Required",0,IF(ISNUMBER(MATCH(J160,Lists!$G$7:$G$8,0)),L160))</f>
        <v>0</v>
      </c>
      <c r="U160" s="287">
        <f>IF(I160="Required",0,IF(ISNUMBER(MATCH(J160,Lists!$H$2:$H$4,0)),K160))</f>
        <v>1</v>
      </c>
      <c r="V160" s="287">
        <f t="shared" si="10"/>
        <v>0</v>
      </c>
      <c r="W160" s="287">
        <f t="shared" si="11"/>
        <v>0</v>
      </c>
    </row>
    <row r="161" spans="1:23" ht="21" customHeight="1">
      <c r="A161" s="354" t="s">
        <v>767</v>
      </c>
      <c r="B161" s="286"/>
      <c r="C161" s="798"/>
      <c r="D161" s="778" t="s">
        <v>767</v>
      </c>
      <c r="E161" s="780" t="s">
        <v>967</v>
      </c>
      <c r="F161" s="361" t="s">
        <v>968</v>
      </c>
      <c r="G161" s="362">
        <f>'Review Comments'!F180</f>
        <v>0</v>
      </c>
      <c r="H161" s="362" t="str">
        <f>'Review Comments'!G180</f>
        <v>No</v>
      </c>
      <c r="I161" s="362" t="str">
        <f t="shared" si="12"/>
        <v/>
      </c>
      <c r="J161" s="382" t="str">
        <f>IF('Review Comments'!H180=0,"",'Review Comments'!H180)</f>
        <v>Withdrawn</v>
      </c>
      <c r="K161" s="362" t="str">
        <f>IF(I161="Required","Required",IF(ISNUMBER(MATCH(J161,Lists!$H$2:$H$9,0)),I161,""))</f>
        <v/>
      </c>
      <c r="L161" s="432" t="str">
        <f>IF(I161="Required","Required",IF(ISNUMBER(MATCH(J161,Lists!$I$2:$I$9,0)),I161,IF(ISNUMBER(MATCH(J161,Lists!$J$2:$J$9,0)),I161,"")))</f>
        <v/>
      </c>
      <c r="Q161" s="287" t="b">
        <f>IF(I161="Required",0,IF(ISNUMBER(MATCH(J161,Lists!$I$2:$I$4,0)),L161))</f>
        <v>0</v>
      </c>
      <c r="R161" s="287" t="b">
        <f>IF(I161="Required",0,IF(ISNUMBER(MATCH(J161,Lists!$K$2:$K$7,0)),L161))</f>
        <v>0</v>
      </c>
      <c r="S161" s="287" t="b">
        <f>IF(I161="Required",0,IF(ISNUMBER(MATCH(J161,Lists!$G$2:$G$4,0)),L161))</f>
        <v>0</v>
      </c>
      <c r="T161" s="287" t="b">
        <f>IF(I161="Required",0,IF(ISNUMBER(MATCH(J161,Lists!$G$7:$G$8,0)),L161))</f>
        <v>0</v>
      </c>
      <c r="U161" s="287" t="b">
        <f>IF(I161="Required",0,IF(ISNUMBER(MATCH(J161,Lists!$H$2:$H$4,0)),K161))</f>
        <v>0</v>
      </c>
      <c r="V161" s="287">
        <f t="shared" si="10"/>
        <v>0</v>
      </c>
      <c r="W161" s="287">
        <f t="shared" si="11"/>
        <v>0</v>
      </c>
    </row>
    <row r="162" spans="1:23" ht="21" customHeight="1">
      <c r="A162" s="354" t="s">
        <v>767</v>
      </c>
      <c r="B162" s="286"/>
      <c r="C162" s="798"/>
      <c r="D162" s="778"/>
      <c r="E162" s="780"/>
      <c r="F162" s="361" t="s">
        <v>969</v>
      </c>
      <c r="G162" s="362">
        <f>'Review Comments'!F181</f>
        <v>1</v>
      </c>
      <c r="H162" s="362" t="str">
        <f>'Review Comments'!G181</f>
        <v>Yes</v>
      </c>
      <c r="I162" s="362">
        <f t="shared" si="12"/>
        <v>1</v>
      </c>
      <c r="J162" s="382" t="str">
        <f>IF('Review Comments'!H181=0,"",'Review Comments'!H181)</f>
        <v>Achieved</v>
      </c>
      <c r="K162" s="362">
        <f>IF(I162="Required","Required",IF(ISNUMBER(MATCH(J162,Lists!$H$2:$H$9,0)),I162,""))</f>
        <v>1</v>
      </c>
      <c r="L162" s="432" t="str">
        <f>IF(I162="Required","Required",IF(ISNUMBER(MATCH(J162,Lists!$I$2:$I$9,0)),I162,IF(ISNUMBER(MATCH(J162,Lists!$J$2:$J$9,0)),I162,"")))</f>
        <v/>
      </c>
      <c r="Q162" s="287" t="b">
        <f>IF(I162="Required",0,IF(ISNUMBER(MATCH(J162,Lists!$I$2:$I$4,0)),L162))</f>
        <v>0</v>
      </c>
      <c r="R162" s="287" t="b">
        <f>IF(I162="Required",0,IF(ISNUMBER(MATCH(J162,Lists!$K$2:$K$7,0)),L162))</f>
        <v>0</v>
      </c>
      <c r="S162" s="287" t="b">
        <f>IF(I162="Required",0,IF(ISNUMBER(MATCH(J162,Lists!$G$2:$G$4,0)),L162))</f>
        <v>0</v>
      </c>
      <c r="T162" s="287" t="b">
        <f>IF(I162="Required",0,IF(ISNUMBER(MATCH(J162,Lists!$G$7:$G$8,0)),L162))</f>
        <v>0</v>
      </c>
      <c r="U162" s="287">
        <f>IF(I162="Required",0,IF(ISNUMBER(MATCH(J162,Lists!$H$2:$H$4,0)),K162))</f>
        <v>1</v>
      </c>
      <c r="V162" s="287">
        <f t="shared" si="10"/>
        <v>0</v>
      </c>
      <c r="W162" s="287">
        <f t="shared" si="11"/>
        <v>0</v>
      </c>
    </row>
    <row r="163" spans="1:23" ht="21" customHeight="1">
      <c r="A163" s="354" t="s">
        <v>767</v>
      </c>
      <c r="B163" s="286"/>
      <c r="C163" s="798"/>
      <c r="D163" s="778"/>
      <c r="E163" s="780"/>
      <c r="F163" s="361" t="s">
        <v>970</v>
      </c>
      <c r="G163" s="362">
        <f>'Review Comments'!F182</f>
        <v>0</v>
      </c>
      <c r="H163" s="362" t="str">
        <f>'Review Comments'!G182</f>
        <v>No</v>
      </c>
      <c r="I163" s="362" t="str">
        <f t="shared" si="12"/>
        <v/>
      </c>
      <c r="J163" s="382" t="str">
        <f>IF('Review Comments'!H182=0,"",'Review Comments'!H182)</f>
        <v>Not Attempted</v>
      </c>
      <c r="K163" s="362" t="str">
        <f>IF(I163="Required","Required",IF(ISNUMBER(MATCH(J163,Lists!$H$2:$H$9,0)),I163,""))</f>
        <v/>
      </c>
      <c r="L163" s="432" t="str">
        <f>IF(I163="Required","Required",IF(ISNUMBER(MATCH(J163,Lists!$I$2:$I$9,0)),I163,IF(ISNUMBER(MATCH(J163,Lists!$J$2:$J$9,0)),I163,"")))</f>
        <v/>
      </c>
      <c r="Q163" s="287" t="b">
        <f>IF(I163="Required",0,IF(ISNUMBER(MATCH(J163,Lists!$I$2:$I$4,0)),L163))</f>
        <v>0</v>
      </c>
      <c r="R163" s="287" t="b">
        <f>IF(I163="Required",0,IF(ISNUMBER(MATCH(J163,Lists!$K$2:$K$7,0)),L163))</f>
        <v>0</v>
      </c>
      <c r="S163" s="287" t="b">
        <f>IF(I163="Required",0,IF(ISNUMBER(MATCH(J163,Lists!$G$2:$G$4,0)),L163))</f>
        <v>0</v>
      </c>
      <c r="T163" s="287" t="b">
        <f>IF(I163="Required",0,IF(ISNUMBER(MATCH(J163,Lists!$G$7:$G$8,0)),L163))</f>
        <v>0</v>
      </c>
      <c r="U163" s="287" t="b">
        <f>IF(I163="Required",0,IF(ISNUMBER(MATCH(J163,Lists!$H$2:$H$4,0)),K163))</f>
        <v>0</v>
      </c>
      <c r="V163" s="287">
        <f t="shared" si="10"/>
        <v>0</v>
      </c>
      <c r="W163" s="287">
        <f t="shared" si="11"/>
        <v>0</v>
      </c>
    </row>
    <row r="164" spans="1:23" ht="21" customHeight="1">
      <c r="A164" s="354" t="s">
        <v>767</v>
      </c>
      <c r="B164" s="286"/>
      <c r="C164" s="798"/>
      <c r="D164" s="359" t="s">
        <v>767</v>
      </c>
      <c r="E164" s="360" t="s">
        <v>971</v>
      </c>
      <c r="F164" s="361" t="s">
        <v>972</v>
      </c>
      <c r="G164" s="362">
        <f>'Review Comments'!F183</f>
        <v>0</v>
      </c>
      <c r="H164" s="362" t="str">
        <f>'Review Comments'!G183</f>
        <v>No</v>
      </c>
      <c r="I164" s="362" t="str">
        <f t="shared" si="12"/>
        <v/>
      </c>
      <c r="J164" s="382" t="str">
        <f>IF('Review Comments'!H183=0,"",'Review Comments'!H183)</f>
        <v>Not Attempted</v>
      </c>
      <c r="K164" s="329" t="str">
        <f>IF(I164="Required","Required",IF(ISNUMBER(MATCH(J164,Lists!$H$2:$H$9,0)),I164,""))</f>
        <v/>
      </c>
      <c r="L164" s="330" t="str">
        <f>IF(I164="Required","Required",IF(ISNUMBER(MATCH(J164,Lists!$I$2:$I$9,0)),I164,IF(ISNUMBER(MATCH(J164,Lists!$J$2:$J$9,0)),I164,"")))</f>
        <v/>
      </c>
      <c r="N164" s="363" t="s">
        <v>973</v>
      </c>
      <c r="O164" s="364"/>
      <c r="Q164" s="287" t="b">
        <f>IF(I164="Required",0,IF(ISNUMBER(MATCH(J164,Lists!$I$2:$I$4,0)),L164))</f>
        <v>0</v>
      </c>
      <c r="R164" s="287" t="b">
        <f>IF(I164="Required",0,IF(ISNUMBER(MATCH(J164,Lists!$K$2:$K$7,0)),L164))</f>
        <v>0</v>
      </c>
      <c r="S164" s="287" t="b">
        <f>IF(I164="Required",0,IF(ISNUMBER(MATCH(J164,Lists!$G$2:$G$4,0)),L164))</f>
        <v>0</v>
      </c>
      <c r="T164" s="287" t="b">
        <f>IF(I164="Required",0,IF(ISNUMBER(MATCH(J164,Lists!$G$7:$G$8,0)),L164))</f>
        <v>0</v>
      </c>
      <c r="U164" s="287" t="b">
        <f>IF(I164="Required",0,IF(ISNUMBER(MATCH(J164,Lists!$H$2:$H$4,0)),K164))</f>
        <v>0</v>
      </c>
      <c r="V164" s="287">
        <f t="shared" si="10"/>
        <v>0</v>
      </c>
      <c r="W164" s="287">
        <f t="shared" si="11"/>
        <v>0</v>
      </c>
    </row>
    <row r="165" spans="1:23" ht="21" customHeight="1">
      <c r="A165" s="354" t="s">
        <v>767</v>
      </c>
      <c r="B165" s="286"/>
      <c r="C165" s="798"/>
      <c r="D165" s="791" t="s">
        <v>767</v>
      </c>
      <c r="E165" s="794" t="s">
        <v>974</v>
      </c>
      <c r="F165" s="433" t="s">
        <v>975</v>
      </c>
      <c r="G165" s="362">
        <f>'Review Comments'!F184</f>
        <v>1</v>
      </c>
      <c r="H165" s="362" t="str">
        <f>'Review Comments'!G184</f>
        <v>Yes</v>
      </c>
      <c r="I165" s="434">
        <f t="shared" si="12"/>
        <v>1</v>
      </c>
      <c r="J165" s="435" t="str">
        <f>IF('Review Comments'!H184=0,"",'Review Comments'!H184)</f>
        <v>Achieved</v>
      </c>
      <c r="K165" s="434">
        <f>IF(I165="Required","Required",IF(ISNUMBER(MATCH(J165,Lists!$H$2:$H$9,0)),I165,""))</f>
        <v>1</v>
      </c>
      <c r="L165" s="436" t="str">
        <f>IF(I165="Required","Required",IF(ISNUMBER(MATCH(J165,Lists!$I$2:$I$9,0)),I165,IF(ISNUMBER(MATCH(J165,Lists!$J$2:$J$9,0)),I165,"")))</f>
        <v/>
      </c>
      <c r="Q165" s="287" t="b">
        <f>IF(I165="Required",0,IF(ISNUMBER(MATCH(J165,Lists!$I$2:$I$4,0)),L165))</f>
        <v>0</v>
      </c>
      <c r="R165" s="287" t="b">
        <f>IF(I165="Required",0,IF(ISNUMBER(MATCH(J165,Lists!$K$2:$K$7,0)),L165))</f>
        <v>0</v>
      </c>
      <c r="S165" s="287" t="b">
        <f>IF(I165="Required",0,IF(ISNUMBER(MATCH(J165,Lists!$G$2:$G$4,0)),L165))</f>
        <v>0</v>
      </c>
      <c r="T165" s="287" t="b">
        <f>IF(I165="Required",0,IF(ISNUMBER(MATCH(J165,Lists!$G$7:$G$8,0)),L165))</f>
        <v>0</v>
      </c>
      <c r="U165" s="287">
        <f>IF(I165="Required",0,IF(ISNUMBER(MATCH(J165,Lists!$H$2:$H$4,0)),K165))</f>
        <v>1</v>
      </c>
      <c r="V165" s="287">
        <f t="shared" si="10"/>
        <v>0</v>
      </c>
      <c r="W165" s="287">
        <f t="shared" si="11"/>
        <v>0</v>
      </c>
    </row>
    <row r="166" spans="1:23" ht="21" customHeight="1" thickBot="1">
      <c r="A166" s="354" t="s">
        <v>767</v>
      </c>
      <c r="B166" s="286"/>
      <c r="C166" s="798"/>
      <c r="D166" s="778"/>
      <c r="E166" s="780"/>
      <c r="F166" s="361" t="s">
        <v>976</v>
      </c>
      <c r="G166" s="362">
        <f>'Review Comments'!F185</f>
        <v>0</v>
      </c>
      <c r="H166" s="362" t="str">
        <f>'Review Comments'!G185</f>
        <v>No</v>
      </c>
      <c r="I166" s="362" t="str">
        <f t="shared" si="12"/>
        <v/>
      </c>
      <c r="J166" s="382" t="str">
        <f>IF('Review Comments'!H185=0,"",'Review Comments'!H185)</f>
        <v>Not Attempted</v>
      </c>
      <c r="K166" s="362" t="str">
        <f>IF(I166="Required","Required",IF(ISNUMBER(MATCH(J166,Lists!$H$2:$H$9,0)),I166,""))</f>
        <v/>
      </c>
      <c r="L166" s="432" t="str">
        <f>IF(I166="Required","Required",IF(ISNUMBER(MATCH(J166,Lists!$I$2:$I$9,0)),I166,IF(ISNUMBER(MATCH(J166,Lists!$J$2:$J$9,0)),I166,"")))</f>
        <v/>
      </c>
      <c r="Q166" s="287" t="b">
        <f>IF(I166="Required",0,IF(ISNUMBER(MATCH(J166,Lists!$I$2:$I$4,0)),L166))</f>
        <v>0</v>
      </c>
      <c r="R166" s="287" t="b">
        <f>IF(I166="Required",0,IF(ISNUMBER(MATCH(J166,Lists!$K$2:$K$7,0)),L166))</f>
        <v>0</v>
      </c>
      <c r="S166" s="287" t="b">
        <f>IF(I166="Required",0,IF(ISNUMBER(MATCH(J166,Lists!$G$2:$G$4,0)),L166))</f>
        <v>0</v>
      </c>
      <c r="T166" s="287" t="b">
        <f>IF(I166="Required",0,IF(ISNUMBER(MATCH(J166,Lists!$G$7:$G$8,0)),L166))</f>
        <v>0</v>
      </c>
      <c r="U166" s="287" t="b">
        <f>IF(I166="Required",0,IF(ISNUMBER(MATCH(J166,Lists!$H$2:$H$4,0)),K166))</f>
        <v>0</v>
      </c>
      <c r="V166" s="287">
        <f t="shared" si="10"/>
        <v>0</v>
      </c>
      <c r="W166" s="287">
        <f t="shared" si="11"/>
        <v>0</v>
      </c>
    </row>
    <row r="167" spans="1:23" ht="21" hidden="1" customHeight="1">
      <c r="A167" s="354" t="s">
        <v>767</v>
      </c>
      <c r="B167" s="286"/>
      <c r="C167" s="798"/>
      <c r="D167" s="778" t="s">
        <v>767</v>
      </c>
      <c r="E167" s="780" t="s">
        <v>977</v>
      </c>
      <c r="F167" s="361" t="s">
        <v>978</v>
      </c>
      <c r="G167" s="362">
        <f>'Review Comments'!F186</f>
        <v>0</v>
      </c>
      <c r="H167" s="362">
        <f>'Review Comments'!G186</f>
        <v>0</v>
      </c>
      <c r="I167" s="362" t="str">
        <f t="shared" si="12"/>
        <v/>
      </c>
      <c r="J167" s="382" t="str">
        <f>IF('Review Comments'!H186=0,"",'Review Comments'!H186)</f>
        <v/>
      </c>
      <c r="K167" s="362" t="str">
        <f>IF(I167="Required","Required",IF(ISNUMBER(MATCH(J167,Lists!$H$2:$H$9,0)),I167,""))</f>
        <v/>
      </c>
      <c r="L167" s="432" t="str">
        <f>IF(I167="Required","Required",IF(ISNUMBER(MATCH(J167,Lists!$I$2:$I$9,0)),I167,IF(ISNUMBER(MATCH(J167,Lists!$J$2:$J$9,0)),I167,"")))</f>
        <v/>
      </c>
      <c r="Q167" s="287" t="b">
        <f>IF(I167="Required",0,IF(ISNUMBER(MATCH(J167,Lists!$I$2:$I$4,0)),L167))</f>
        <v>0</v>
      </c>
      <c r="R167" s="287" t="b">
        <f>IF(I167="Required",0,IF(ISNUMBER(MATCH(J167,Lists!$K$2:$K$7,0)),L167))</f>
        <v>0</v>
      </c>
      <c r="S167" s="287" t="b">
        <f>IF(I167="Required",0,IF(ISNUMBER(MATCH(J167,Lists!$G$2:$G$4,0)),L167))</f>
        <v>0</v>
      </c>
      <c r="T167" s="287" t="b">
        <f>IF(I167="Required",0,IF(ISNUMBER(MATCH(J167,Lists!$G$7:$G$8,0)),L167))</f>
        <v>0</v>
      </c>
      <c r="U167" s="287" t="b">
        <f>IF(I167="Required",0,IF(ISNUMBER(MATCH(J167,Lists!$H$2:$H$4,0)),K167))</f>
        <v>0</v>
      </c>
      <c r="V167" s="287">
        <f t="shared" si="10"/>
        <v>0</v>
      </c>
      <c r="W167" s="287">
        <f t="shared" si="11"/>
        <v>0</v>
      </c>
    </row>
    <row r="168" spans="1:23" ht="21" hidden="1" customHeight="1" thickBot="1">
      <c r="A168" s="354" t="s">
        <v>767</v>
      </c>
      <c r="B168" s="286"/>
      <c r="C168" s="798"/>
      <c r="D168" s="785"/>
      <c r="E168" s="786"/>
      <c r="F168" s="394" t="s">
        <v>979</v>
      </c>
      <c r="G168" s="368">
        <f>'Review Comments'!F187</f>
        <v>0</v>
      </c>
      <c r="H168" s="368">
        <f>'Review Comments'!G187</f>
        <v>0</v>
      </c>
      <c r="I168" s="368" t="str">
        <f t="shared" si="12"/>
        <v/>
      </c>
      <c r="J168" s="395" t="str">
        <f>IF('Review Comments'!H187=0,"",'Review Comments'!H187)</f>
        <v/>
      </c>
      <c r="K168" s="368" t="str">
        <f>IF(I168="Required","Required",IF(ISNUMBER(MATCH(J168,Lists!$H$2:$H$9,0)),I168,""))</f>
        <v/>
      </c>
      <c r="L168" s="437" t="str">
        <f>IF(I168="Required","Required",IF(ISNUMBER(MATCH(J168,Lists!$I$2:$I$9,0)),I168,IF(ISNUMBER(MATCH(J168,Lists!$J$2:$J$9,0)),I168,"")))</f>
        <v/>
      </c>
      <c r="Q168" s="287" t="b">
        <f>IF(I168="Required",0,IF(ISNUMBER(MATCH(J168,Lists!$I$2:$I$4,0)),L168))</f>
        <v>0</v>
      </c>
      <c r="R168" s="287" t="b">
        <f>IF(I168="Required",0,IF(ISNUMBER(MATCH(J168,Lists!$K$2:$K$7,0)),L168))</f>
        <v>0</v>
      </c>
      <c r="S168" s="287" t="b">
        <f>IF(I168="Required",0,IF(ISNUMBER(MATCH(J168,Lists!$G$2:$G$4,0)),L168))</f>
        <v>0</v>
      </c>
      <c r="T168" s="287" t="b">
        <f>IF(I168="Required",0,IF(ISNUMBER(MATCH(J168,Lists!$G$7:$G$8,0)),L168))</f>
        <v>0</v>
      </c>
      <c r="U168" s="287" t="b">
        <f>IF(I168="Required",0,IF(ISNUMBER(MATCH(J168,Lists!$H$2:$H$4,0)),K168))</f>
        <v>0</v>
      </c>
      <c r="V168" s="287">
        <f t="shared" si="10"/>
        <v>0</v>
      </c>
      <c r="W168" s="287">
        <f t="shared" si="11"/>
        <v>0</v>
      </c>
    </row>
    <row r="169" spans="1:23" s="346" customFormat="1" ht="16.2" customHeight="1">
      <c r="A169" s="438"/>
      <c r="B169" s="337"/>
      <c r="C169" s="439"/>
      <c r="D169" s="440"/>
      <c r="E169" s="441"/>
      <c r="F169" s="442"/>
      <c r="G169" s="443">
        <f>SUM(G155:G168)</f>
        <v>5</v>
      </c>
      <c r="H169" s="440"/>
      <c r="I169" s="444">
        <f>SUM(I155:I168)</f>
        <v>5</v>
      </c>
      <c r="J169" s="445"/>
      <c r="K169" s="444">
        <f>SUM(K155:K168)</f>
        <v>5</v>
      </c>
      <c r="L169" s="446">
        <f>SUM(L155:L168)</f>
        <v>0</v>
      </c>
      <c r="Q169" s="346" t="b">
        <f>IF(I169="Required",0,IF(ISNUMBER(MATCH(J169,Lists!$I$2:$I$4,0)),L169))</f>
        <v>0</v>
      </c>
      <c r="R169" s="346" t="b">
        <f>IF(I169="Required",0,IF(ISNUMBER(MATCH(J169,Lists!$K$2:$K$7,0)),L169))</f>
        <v>0</v>
      </c>
      <c r="S169" s="346" t="b">
        <f>IF(I169="Required",0,IF(ISNUMBER(MATCH(J169,Lists!$G$2:$G$4,0)),L169))</f>
        <v>0</v>
      </c>
      <c r="T169" s="346" t="b">
        <f>IF(I169="Required",0,IF(ISNUMBER(MATCH(J169,Lists!$G$7:$G$8,0)),L169))</f>
        <v>0</v>
      </c>
      <c r="U169" s="346" t="b">
        <f>IF(I169="Required",0,IF(ISNUMBER(MATCH(J169,Lists!$H$2:$H$4,0)),K169))</f>
        <v>0</v>
      </c>
      <c r="V169" s="346">
        <f t="shared" si="10"/>
        <v>0</v>
      </c>
      <c r="W169" s="287">
        <f t="shared" si="11"/>
        <v>0</v>
      </c>
    </row>
    <row r="170" spans="1:23" ht="6.6" customHeight="1" thickBot="1">
      <c r="A170" s="347"/>
      <c r="B170" s="286"/>
      <c r="C170" s="348"/>
      <c r="D170" s="347"/>
      <c r="E170" s="349"/>
      <c r="F170" s="350"/>
      <c r="G170" s="351"/>
      <c r="H170" s="351"/>
      <c r="I170" s="351"/>
      <c r="J170" s="352"/>
      <c r="K170" s="351"/>
      <c r="L170" s="353"/>
      <c r="Q170" s="287" t="b">
        <f>IF(I170="Required",0,IF(ISNUMBER(MATCH(J170,Lists!$I$2:$I$4,0)),L170))</f>
        <v>0</v>
      </c>
      <c r="R170" s="287" t="b">
        <f>IF(I170="Required",0,IF(ISNUMBER(MATCH(J170,Lists!$K$2:$K$7,0)),L170))</f>
        <v>0</v>
      </c>
      <c r="S170" s="287" t="b">
        <f>IF(I170="Required",0,IF(ISNUMBER(MATCH(J170,Lists!$G$2:$G$4,0)),L170))</f>
        <v>0</v>
      </c>
      <c r="T170" s="287" t="b">
        <f>IF(I170="Required",0,IF(ISNUMBER(MATCH(J170,Lists!$G$7:$G$8,0)),L170))</f>
        <v>0</v>
      </c>
      <c r="U170" s="287" t="b">
        <f>IF(I170="Required",0,IF(ISNUMBER(MATCH(J170,Lists!$H$2:$H$4,0)),K170))</f>
        <v>0</v>
      </c>
      <c r="V170" s="287">
        <f t="shared" si="10"/>
        <v>0</v>
      </c>
      <c r="W170" s="287">
        <f t="shared" si="11"/>
        <v>0</v>
      </c>
    </row>
    <row r="171" spans="1:23" ht="21" customHeight="1">
      <c r="A171" s="354" t="s">
        <v>752</v>
      </c>
      <c r="B171" s="286"/>
      <c r="C171" s="806" t="s">
        <v>980</v>
      </c>
      <c r="D171" s="777" t="s">
        <v>752</v>
      </c>
      <c r="E171" s="802" t="s">
        <v>981</v>
      </c>
      <c r="F171" s="357" t="s">
        <v>982</v>
      </c>
      <c r="G171" s="358">
        <f>'Review Comments'!F193</f>
        <v>0</v>
      </c>
      <c r="H171" s="358" t="str">
        <f>'Review Comments'!G193</f>
        <v>Required</v>
      </c>
      <c r="I171" s="358" t="str">
        <f t="shared" ref="I171:I196" si="13">IF(H171="Yes",G171,IF(H171="Required","Required",""))</f>
        <v>Required</v>
      </c>
      <c r="J171" s="381" t="str">
        <f>IF('Review Comments'!H193=0,"",'Review Comments'!H193)</f>
        <v>Achieved</v>
      </c>
      <c r="K171" s="323" t="str">
        <f>IF(I171="Required","Required",IF(ISNUMBER(MATCH(J171,Lists!$H$2:$H$9,0)),I171,""))</f>
        <v>Required</v>
      </c>
      <c r="L171" s="324" t="str">
        <f>IF(I171="Required","Required",IF(ISNUMBER(MATCH(J171,Lists!$I$2:$I$9,0)),I171,IF(ISNUMBER(MATCH(J171,Lists!$J$2:$J$9,0)),I171,"")))</f>
        <v>Required</v>
      </c>
      <c r="Q171" s="287">
        <f>IF(I171="Required",0,IF(ISNUMBER(MATCH(J171,Lists!$I$2:$I$4,0)),L171))</f>
        <v>0</v>
      </c>
      <c r="R171" s="287">
        <f>IF(I171="Required",0,IF(ISNUMBER(MATCH(J171,Lists!$K$2:$K$7,0)),L171))</f>
        <v>0</v>
      </c>
      <c r="S171" s="287">
        <f>IF(I171="Required",0,IF(ISNUMBER(MATCH(J171,Lists!$G$2:$G$4,0)),L171))</f>
        <v>0</v>
      </c>
      <c r="T171" s="287">
        <f>IF(I171="Required",0,IF(ISNUMBER(MATCH(J171,Lists!$G$7:$G$8,0)),L171))</f>
        <v>0</v>
      </c>
      <c r="U171" s="287">
        <f>IF(I171="Required",0,IF(ISNUMBER(MATCH(J171,Lists!$H$2:$H$4,0)),K171))</f>
        <v>0</v>
      </c>
      <c r="V171" s="287">
        <f t="shared" si="10"/>
        <v>0</v>
      </c>
      <c r="W171" s="287">
        <f t="shared" si="11"/>
        <v>0</v>
      </c>
    </row>
    <row r="172" spans="1:23" ht="21" customHeight="1">
      <c r="A172" s="354" t="s">
        <v>752</v>
      </c>
      <c r="B172" s="286"/>
      <c r="C172" s="807"/>
      <c r="D172" s="778"/>
      <c r="E172" s="793"/>
      <c r="F172" s="361" t="s">
        <v>983</v>
      </c>
      <c r="G172" s="362">
        <f>'Review Comments'!F194</f>
        <v>0</v>
      </c>
      <c r="H172" s="362" t="str">
        <f>'Review Comments'!G194</f>
        <v>Required</v>
      </c>
      <c r="I172" s="362" t="str">
        <f t="shared" si="13"/>
        <v>Required</v>
      </c>
      <c r="J172" s="382" t="str">
        <f>IF('Review Comments'!H194=0,"",'Review Comments'!H194)</f>
        <v>Achieved</v>
      </c>
      <c r="K172" s="329" t="str">
        <f>IF(I172="Required","Required",IF(ISNUMBER(MATCH(J172,Lists!$H$2:$H$9,0)),I172,""))</f>
        <v>Required</v>
      </c>
      <c r="L172" s="330" t="str">
        <f>IF(I172="Required","Required",IF(ISNUMBER(MATCH(J172,Lists!$I$2:$I$9,0)),I172,IF(ISNUMBER(MATCH(J172,Lists!$J$2:$J$9,0)),I172,"")))</f>
        <v>Required</v>
      </c>
      <c r="Q172" s="287">
        <f>IF(I172="Required",0,IF(ISNUMBER(MATCH(J172,Lists!$I$2:$I$4,0)),L172))</f>
        <v>0</v>
      </c>
      <c r="R172" s="287">
        <f>IF(I172="Required",0,IF(ISNUMBER(MATCH(J172,Lists!$K$2:$K$7,0)),L172))</f>
        <v>0</v>
      </c>
      <c r="S172" s="287">
        <f>IF(I172="Required",0,IF(ISNUMBER(MATCH(J172,Lists!$G$2:$G$4,0)),L172))</f>
        <v>0</v>
      </c>
      <c r="T172" s="287">
        <f>IF(I172="Required",0,IF(ISNUMBER(MATCH(J172,Lists!$G$7:$G$8,0)),L172))</f>
        <v>0</v>
      </c>
      <c r="U172" s="287">
        <f>IF(I172="Required",0,IF(ISNUMBER(MATCH(J172,Lists!$H$2:$H$4,0)),K172))</f>
        <v>0</v>
      </c>
      <c r="V172" s="287">
        <f t="shared" si="10"/>
        <v>0</v>
      </c>
      <c r="W172" s="287">
        <f t="shared" si="11"/>
        <v>0</v>
      </c>
    </row>
    <row r="173" spans="1:23" ht="21" customHeight="1">
      <c r="A173" s="354" t="s">
        <v>752</v>
      </c>
      <c r="B173" s="286"/>
      <c r="C173" s="807"/>
      <c r="D173" s="778"/>
      <c r="E173" s="794"/>
      <c r="F173" s="361" t="s">
        <v>984</v>
      </c>
      <c r="G173" s="362">
        <f>'Review Comments'!F195</f>
        <v>0</v>
      </c>
      <c r="H173" s="362" t="str">
        <f>'Review Comments'!G195</f>
        <v>Required</v>
      </c>
      <c r="I173" s="362" t="str">
        <f t="shared" si="13"/>
        <v>Required</v>
      </c>
      <c r="J173" s="382" t="str">
        <f>IF('Review Comments'!H195=0,"",'Review Comments'!H195)</f>
        <v>Achieved</v>
      </c>
      <c r="K173" s="329" t="str">
        <f>IF(I173="Required","Required",IF(ISNUMBER(MATCH(J173,Lists!$H$2:$H$9,0)),I173,""))</f>
        <v>Required</v>
      </c>
      <c r="L173" s="330" t="str">
        <f>IF(I173="Required","Required",IF(ISNUMBER(MATCH(J173,Lists!$I$2:$I$9,0)),I173,IF(ISNUMBER(MATCH(J173,Lists!$J$2:$J$9,0)),I173,"")))</f>
        <v>Required</v>
      </c>
      <c r="Q173" s="287">
        <f>IF(I173="Required",0,IF(ISNUMBER(MATCH(J173,Lists!$I$2:$I$4,0)),L173))</f>
        <v>0</v>
      </c>
      <c r="R173" s="287">
        <f>IF(I173="Required",0,IF(ISNUMBER(MATCH(J173,Lists!$K$2:$K$7,0)),L173))</f>
        <v>0</v>
      </c>
      <c r="S173" s="287">
        <f>IF(I173="Required",0,IF(ISNUMBER(MATCH(J173,Lists!$G$2:$G$4,0)),L173))</f>
        <v>0</v>
      </c>
      <c r="T173" s="287">
        <f>IF(I173="Required",0,IF(ISNUMBER(MATCH(J173,Lists!$G$7:$G$8,0)),L173))</f>
        <v>0</v>
      </c>
      <c r="U173" s="287">
        <f>IF(I173="Required",0,IF(ISNUMBER(MATCH(J173,Lists!$H$2:$H$4,0)),K173))</f>
        <v>0</v>
      </c>
      <c r="V173" s="287">
        <f t="shared" si="10"/>
        <v>0</v>
      </c>
      <c r="W173" s="287">
        <f t="shared" si="11"/>
        <v>0</v>
      </c>
    </row>
    <row r="174" spans="1:23" ht="21" customHeight="1">
      <c r="A174" s="354" t="s">
        <v>752</v>
      </c>
      <c r="B174" s="286"/>
      <c r="C174" s="807"/>
      <c r="D174" s="789" t="s">
        <v>752</v>
      </c>
      <c r="E174" s="792" t="s">
        <v>985</v>
      </c>
      <c r="F174" s="361" t="s">
        <v>986</v>
      </c>
      <c r="G174" s="362">
        <f>'Review Comments'!F196</f>
        <v>0</v>
      </c>
      <c r="H174" s="362" t="str">
        <f>'Review Comments'!G196</f>
        <v>Required</v>
      </c>
      <c r="I174" s="362" t="str">
        <f t="shared" si="13"/>
        <v>Required</v>
      </c>
      <c r="J174" s="382" t="str">
        <f>IF('Review Comments'!H196=0,"",'Review Comments'!H196)</f>
        <v>Achieved</v>
      </c>
      <c r="K174" s="329" t="str">
        <f>IF(I174="Required","Required",IF(ISNUMBER(MATCH(J174,Lists!$H$2:$H$9,0)),I174,""))</f>
        <v>Required</v>
      </c>
      <c r="L174" s="330" t="str">
        <f>IF(I174="Required","Required",IF(ISNUMBER(MATCH(J174,Lists!$I$2:$I$9,0)),I174,IF(ISNUMBER(MATCH(J174,Lists!$J$2:$J$9,0)),I174,"")))</f>
        <v>Required</v>
      </c>
      <c r="Q174" s="287">
        <f>IF(I174="Required",0,IF(ISNUMBER(MATCH(J174,Lists!$I$2:$I$4,0)),L174))</f>
        <v>0</v>
      </c>
      <c r="R174" s="287">
        <f>IF(I174="Required",0,IF(ISNUMBER(MATCH(J174,Lists!$K$2:$K$7,0)),L174))</f>
        <v>0</v>
      </c>
      <c r="S174" s="287">
        <f>IF(I174="Required",0,IF(ISNUMBER(MATCH(J174,Lists!$G$2:$G$4,0)),L174))</f>
        <v>0</v>
      </c>
      <c r="T174" s="287">
        <f>IF(I174="Required",0,IF(ISNUMBER(MATCH(J174,Lists!$G$7:$G$8,0)),L174))</f>
        <v>0</v>
      </c>
      <c r="U174" s="287">
        <f>IF(I174="Required",0,IF(ISNUMBER(MATCH(J174,Lists!$H$2:$H$4,0)),K174))</f>
        <v>0</v>
      </c>
      <c r="V174" s="287">
        <f t="shared" si="10"/>
        <v>0</v>
      </c>
      <c r="W174" s="287">
        <f t="shared" si="11"/>
        <v>0</v>
      </c>
    </row>
    <row r="175" spans="1:23" ht="21" customHeight="1">
      <c r="A175" s="354" t="s">
        <v>752</v>
      </c>
      <c r="B175" s="286"/>
      <c r="C175" s="807"/>
      <c r="D175" s="790"/>
      <c r="E175" s="793"/>
      <c r="F175" s="361" t="s">
        <v>987</v>
      </c>
      <c r="G175" s="362">
        <f>'Review Comments'!F197</f>
        <v>0</v>
      </c>
      <c r="H175" s="362" t="str">
        <f>'Review Comments'!G197</f>
        <v>Required</v>
      </c>
      <c r="I175" s="362" t="str">
        <f t="shared" si="13"/>
        <v>Required</v>
      </c>
      <c r="J175" s="382" t="str">
        <f>IF('Review Comments'!H197=0,"",'Review Comments'!H197)</f>
        <v>Achieved</v>
      </c>
      <c r="K175" s="329" t="str">
        <f>IF(I175="Required","Required",IF(ISNUMBER(MATCH(J175,Lists!$H$2:$H$9,0)),I175,""))</f>
        <v>Required</v>
      </c>
      <c r="L175" s="330" t="str">
        <f>IF(I175="Required","Required",IF(ISNUMBER(MATCH(J175,Lists!$I$2:$I$9,0)),I175,IF(ISNUMBER(MATCH(J175,Lists!$J$2:$J$9,0)),I175,"")))</f>
        <v>Required</v>
      </c>
      <c r="Q175" s="287">
        <f>IF(I175="Required",0,IF(ISNUMBER(MATCH(J175,Lists!$I$2:$I$4,0)),L175))</f>
        <v>0</v>
      </c>
      <c r="R175" s="287">
        <f>IF(I175="Required",0,IF(ISNUMBER(MATCH(J175,Lists!$K$2:$K$7,0)),L175))</f>
        <v>0</v>
      </c>
      <c r="S175" s="287">
        <f>IF(I175="Required",0,IF(ISNUMBER(MATCH(J175,Lists!$G$2:$G$4,0)),L175))</f>
        <v>0</v>
      </c>
      <c r="T175" s="287">
        <f>IF(I175="Required",0,IF(ISNUMBER(MATCH(J175,Lists!$G$7:$G$8,0)),L175))</f>
        <v>0</v>
      </c>
      <c r="U175" s="287">
        <f>IF(I175="Required",0,IF(ISNUMBER(MATCH(J175,Lists!$H$2:$H$4,0)),K175))</f>
        <v>0</v>
      </c>
      <c r="V175" s="287">
        <f t="shared" si="10"/>
        <v>0</v>
      </c>
      <c r="W175" s="287">
        <f t="shared" si="11"/>
        <v>0</v>
      </c>
    </row>
    <row r="176" spans="1:23" ht="21" customHeight="1">
      <c r="A176" s="354" t="s">
        <v>752</v>
      </c>
      <c r="B176" s="286"/>
      <c r="C176" s="807"/>
      <c r="D176" s="791"/>
      <c r="E176" s="794"/>
      <c r="F176" s="361" t="s">
        <v>988</v>
      </c>
      <c r="G176" s="362">
        <f>'Review Comments'!F198</f>
        <v>0</v>
      </c>
      <c r="H176" s="362" t="str">
        <f>'Review Comments'!G198</f>
        <v>Required</v>
      </c>
      <c r="I176" s="362" t="str">
        <f t="shared" si="13"/>
        <v>Required</v>
      </c>
      <c r="J176" s="382" t="str">
        <f>IF('Review Comments'!H198=0,"",'Review Comments'!H198)</f>
        <v>Achieved</v>
      </c>
      <c r="K176" s="329" t="str">
        <f>IF(I176="Required","Required",IF(ISNUMBER(MATCH(J176,Lists!$H$2:$H$9,0)),I176,""))</f>
        <v>Required</v>
      </c>
      <c r="L176" s="330" t="str">
        <f>IF(I176="Required","Required",IF(ISNUMBER(MATCH(J176,Lists!$I$2:$I$9,0)),I176,IF(ISNUMBER(MATCH(J176,Lists!$J$2:$J$9,0)),I176,"")))</f>
        <v>Required</v>
      </c>
      <c r="Q176" s="287">
        <f>IF(I176="Required",0,IF(ISNUMBER(MATCH(J176,Lists!$I$2:$I$4,0)),L176))</f>
        <v>0</v>
      </c>
      <c r="R176" s="287">
        <f>IF(I176="Required",0,IF(ISNUMBER(MATCH(J176,Lists!$K$2:$K$7,0)),L176))</f>
        <v>0</v>
      </c>
      <c r="S176" s="287">
        <f>IF(I176="Required",0,IF(ISNUMBER(MATCH(J176,Lists!$G$2:$G$4,0)),L176))</f>
        <v>0</v>
      </c>
      <c r="T176" s="287">
        <f>IF(I176="Required",0,IF(ISNUMBER(MATCH(J176,Lists!$G$7:$G$8,0)),L176))</f>
        <v>0</v>
      </c>
      <c r="U176" s="287">
        <f>IF(I176="Required",0,IF(ISNUMBER(MATCH(J176,Lists!$H$2:$H$4,0)),K176))</f>
        <v>0</v>
      </c>
      <c r="V176" s="287">
        <f t="shared" si="10"/>
        <v>0</v>
      </c>
      <c r="W176" s="287">
        <f t="shared" si="11"/>
        <v>0</v>
      </c>
    </row>
    <row r="177" spans="1:23" ht="21" customHeight="1">
      <c r="A177" s="354" t="s">
        <v>752</v>
      </c>
      <c r="B177" s="286"/>
      <c r="C177" s="807"/>
      <c r="D177" s="789" t="s">
        <v>752</v>
      </c>
      <c r="E177" s="792" t="s">
        <v>989</v>
      </c>
      <c r="F177" s="361" t="s">
        <v>990</v>
      </c>
      <c r="G177" s="362">
        <f>'Review Comments'!F199</f>
        <v>0</v>
      </c>
      <c r="H177" s="362" t="str">
        <f>'Review Comments'!G199</f>
        <v>Required</v>
      </c>
      <c r="I177" s="362" t="str">
        <f t="shared" si="13"/>
        <v>Required</v>
      </c>
      <c r="J177" s="382" t="str">
        <f>IF('Review Comments'!H199=0,"",'Review Comments'!H199)</f>
        <v>Achieved</v>
      </c>
      <c r="K177" s="329" t="str">
        <f>IF(I177="Required","Required",IF(ISNUMBER(MATCH(J177,Lists!$H$2:$H$9,0)),I177,""))</f>
        <v>Required</v>
      </c>
      <c r="L177" s="330" t="str">
        <f>IF(I177="Required","Required",IF(ISNUMBER(MATCH(J177,Lists!$I$2:$I$9,0)),I177,IF(ISNUMBER(MATCH(J177,Lists!$J$2:$J$9,0)),I177,"")))</f>
        <v>Required</v>
      </c>
      <c r="Q177" s="287">
        <f>IF(I177="Required",0,IF(ISNUMBER(MATCH(J177,Lists!$I$2:$I$4,0)),L177))</f>
        <v>0</v>
      </c>
      <c r="R177" s="287">
        <f>IF(I177="Required",0,IF(ISNUMBER(MATCH(J177,Lists!$K$2:$K$7,0)),L177))</f>
        <v>0</v>
      </c>
      <c r="S177" s="287">
        <f>IF(I177="Required",0,IF(ISNUMBER(MATCH(J177,Lists!$G$2:$G$4,0)),L177))</f>
        <v>0</v>
      </c>
      <c r="T177" s="287">
        <f>IF(I177="Required",0,IF(ISNUMBER(MATCH(J177,Lists!$G$7:$G$8,0)),L177))</f>
        <v>0</v>
      </c>
      <c r="U177" s="287">
        <f>IF(I177="Required",0,IF(ISNUMBER(MATCH(J177,Lists!$H$2:$H$4,0)),K177))</f>
        <v>0</v>
      </c>
      <c r="V177" s="287">
        <f t="shared" si="10"/>
        <v>0</v>
      </c>
      <c r="W177" s="287">
        <f t="shared" si="11"/>
        <v>0</v>
      </c>
    </row>
    <row r="178" spans="1:23" ht="21" customHeight="1">
      <c r="A178" s="354" t="s">
        <v>752</v>
      </c>
      <c r="B178" s="286"/>
      <c r="C178" s="807"/>
      <c r="D178" s="791"/>
      <c r="E178" s="794"/>
      <c r="F178" s="361" t="s">
        <v>991</v>
      </c>
      <c r="G178" s="362">
        <f>'Review Comments'!F200</f>
        <v>0</v>
      </c>
      <c r="H178" s="362" t="str">
        <f>'Review Comments'!G200</f>
        <v>Required</v>
      </c>
      <c r="I178" s="362" t="str">
        <f t="shared" si="13"/>
        <v>Required</v>
      </c>
      <c r="J178" s="382" t="str">
        <f>IF('Review Comments'!H200=0,"",'Review Comments'!H200)</f>
        <v>Achieved</v>
      </c>
      <c r="K178" s="329" t="str">
        <f>IF(I178="Required","Required",IF(ISNUMBER(MATCH(J178,Lists!$H$2:$H$9,0)),I178,""))</f>
        <v>Required</v>
      </c>
      <c r="L178" s="330" t="str">
        <f>IF(I178="Required","Required",IF(ISNUMBER(MATCH(J178,Lists!$I$2:$I$9,0)),I178,IF(ISNUMBER(MATCH(J178,Lists!$J$2:$J$9,0)),I178,"")))</f>
        <v>Required</v>
      </c>
      <c r="Q178" s="287">
        <f>IF(I178="Required",0,IF(ISNUMBER(MATCH(J178,Lists!$I$2:$I$4,0)),L178))</f>
        <v>0</v>
      </c>
      <c r="R178" s="287">
        <f>IF(I178="Required",0,IF(ISNUMBER(MATCH(J178,Lists!$K$2:$K$7,0)),L178))</f>
        <v>0</v>
      </c>
      <c r="S178" s="287">
        <f>IF(I178="Required",0,IF(ISNUMBER(MATCH(J178,Lists!$G$2:$G$4,0)),L178))</f>
        <v>0</v>
      </c>
      <c r="T178" s="287">
        <f>IF(I178="Required",0,IF(ISNUMBER(MATCH(J178,Lists!$G$7:$G$8,0)),L178))</f>
        <v>0</v>
      </c>
      <c r="U178" s="287">
        <f>IF(I178="Required",0,IF(ISNUMBER(MATCH(J178,Lists!$H$2:$H$4,0)),K178))</f>
        <v>0</v>
      </c>
      <c r="V178" s="287">
        <f t="shared" si="10"/>
        <v>0</v>
      </c>
      <c r="W178" s="287">
        <f t="shared" si="11"/>
        <v>0</v>
      </c>
    </row>
    <row r="179" spans="1:23" ht="21" customHeight="1">
      <c r="A179" s="354" t="s">
        <v>767</v>
      </c>
      <c r="B179" s="286"/>
      <c r="C179" s="807"/>
      <c r="D179" s="359" t="s">
        <v>767</v>
      </c>
      <c r="E179" s="360" t="s">
        <v>992</v>
      </c>
      <c r="F179" s="361" t="s">
        <v>993</v>
      </c>
      <c r="G179" s="362">
        <f>'Review Comments'!F201</f>
        <v>1</v>
      </c>
      <c r="H179" s="362" t="str">
        <f>'Review Comments'!G201</f>
        <v>Yes</v>
      </c>
      <c r="I179" s="362">
        <f t="shared" si="13"/>
        <v>1</v>
      </c>
      <c r="J179" s="382" t="str">
        <f>IF('Review Comments'!H201=0,"",'Review Comments'!H201)</f>
        <v>Achieved</v>
      </c>
      <c r="K179" s="329">
        <f>IF(I179="Required","Required",IF(ISNUMBER(MATCH(J179,Lists!$H$2:$H$9,0)),I179,""))</f>
        <v>1</v>
      </c>
      <c r="L179" s="330" t="str">
        <f>IF(I179="Required","Required",IF(ISNUMBER(MATCH(J179,Lists!$I$2:$I$9,0)),I179,IF(ISNUMBER(MATCH(J179,Lists!$J$2:$J$9,0)),I179,"")))</f>
        <v/>
      </c>
      <c r="Q179" s="287" t="b">
        <f>IF(I179="Required",0,IF(ISNUMBER(MATCH(J179,Lists!$I$2:$I$4,0)),L179))</f>
        <v>0</v>
      </c>
      <c r="R179" s="287" t="b">
        <f>IF(I179="Required",0,IF(ISNUMBER(MATCH(J179,Lists!$K$2:$K$7,0)),L179))</f>
        <v>0</v>
      </c>
      <c r="S179" s="287" t="b">
        <f>IF(I179="Required",0,IF(ISNUMBER(MATCH(J179,Lists!$G$2:$G$4,0)),L179))</f>
        <v>0</v>
      </c>
      <c r="T179" s="287" t="b">
        <f>IF(I179="Required",0,IF(ISNUMBER(MATCH(J179,Lists!$G$7:$G$8,0)),L179))</f>
        <v>0</v>
      </c>
      <c r="U179" s="287">
        <f>IF(I179="Required",0,IF(ISNUMBER(MATCH(J179,Lists!$H$2:$H$4,0)),K179))</f>
        <v>1</v>
      </c>
      <c r="V179" s="287">
        <f t="shared" si="10"/>
        <v>0</v>
      </c>
      <c r="W179" s="287">
        <f t="shared" si="11"/>
        <v>0</v>
      </c>
    </row>
    <row r="180" spans="1:23" ht="21" customHeight="1">
      <c r="A180" s="354" t="s">
        <v>767</v>
      </c>
      <c r="B180" s="286"/>
      <c r="C180" s="807"/>
      <c r="D180" s="359" t="s">
        <v>767</v>
      </c>
      <c r="E180" s="360" t="s">
        <v>994</v>
      </c>
      <c r="F180" s="361" t="s">
        <v>995</v>
      </c>
      <c r="G180" s="362">
        <f>'Review Comments'!F202</f>
        <v>0</v>
      </c>
      <c r="H180" s="362" t="str">
        <f>'Review Comments'!G202</f>
        <v>No</v>
      </c>
      <c r="I180" s="362" t="str">
        <f t="shared" si="13"/>
        <v/>
      </c>
      <c r="J180" s="382" t="str">
        <f>IF('Review Comments'!H202=0,"",'Review Comments'!H202)</f>
        <v>Not Attempted</v>
      </c>
      <c r="K180" s="329" t="str">
        <f>IF(I180="Required","Required",IF(ISNUMBER(MATCH(J180,Lists!$H$2:$H$9,0)),I180,""))</f>
        <v/>
      </c>
      <c r="L180" s="330" t="str">
        <f>IF(I180="Required","Required",IF(ISNUMBER(MATCH(J180,Lists!$I$2:$I$9,0)),I180,IF(ISNUMBER(MATCH(J180,Lists!$J$2:$J$9,0)),I180,"")))</f>
        <v/>
      </c>
      <c r="Q180" s="287" t="b">
        <f>IF(I180="Required",0,IF(ISNUMBER(MATCH(J180,Lists!$I$2:$I$4,0)),L180))</f>
        <v>0</v>
      </c>
      <c r="R180" s="287" t="b">
        <f>IF(I180="Required",0,IF(ISNUMBER(MATCH(J180,Lists!$K$2:$K$7,0)),L180))</f>
        <v>0</v>
      </c>
      <c r="S180" s="287" t="b">
        <f>IF(I180="Required",0,IF(ISNUMBER(MATCH(J180,Lists!$G$2:$G$4,0)),L180))</f>
        <v>0</v>
      </c>
      <c r="T180" s="287" t="b">
        <f>IF(I180="Required",0,IF(ISNUMBER(MATCH(J180,Lists!$G$7:$G$8,0)),L180))</f>
        <v>0</v>
      </c>
      <c r="U180" s="287" t="b">
        <f>IF(I180="Required",0,IF(ISNUMBER(MATCH(J180,Lists!$H$2:$H$4,0)),K180))</f>
        <v>0</v>
      </c>
      <c r="V180" s="287">
        <f t="shared" si="10"/>
        <v>0</v>
      </c>
      <c r="W180" s="287">
        <f t="shared" si="11"/>
        <v>0</v>
      </c>
    </row>
    <row r="181" spans="1:23" ht="21" customHeight="1">
      <c r="A181" s="354" t="s">
        <v>767</v>
      </c>
      <c r="B181" s="286"/>
      <c r="C181" s="807"/>
      <c r="D181" s="359" t="s">
        <v>767</v>
      </c>
      <c r="E181" s="360" t="s">
        <v>996</v>
      </c>
      <c r="F181" s="361" t="s">
        <v>997</v>
      </c>
      <c r="G181" s="362">
        <f>'Review Comments'!F203</f>
        <v>0</v>
      </c>
      <c r="H181" s="362" t="str">
        <f>'Review Comments'!G203</f>
        <v>No</v>
      </c>
      <c r="I181" s="362" t="str">
        <f t="shared" si="13"/>
        <v/>
      </c>
      <c r="J181" s="382" t="str">
        <f>IF('Review Comments'!H203=0,"",'Review Comments'!H203)</f>
        <v>Not Attempted</v>
      </c>
      <c r="K181" s="329" t="str">
        <f>IF(I181="Required","Required",IF(ISNUMBER(MATCH(J181,Lists!$H$2:$H$9,0)),I181,""))</f>
        <v/>
      </c>
      <c r="L181" s="330" t="str">
        <f>IF(I181="Required","Required",IF(ISNUMBER(MATCH(J181,Lists!$I$2:$I$9,0)),I181,IF(ISNUMBER(MATCH(J181,Lists!$J$2:$J$9,0)),I181,"")))</f>
        <v/>
      </c>
      <c r="Q181" s="287" t="b">
        <f>IF(I181="Required",0,IF(ISNUMBER(MATCH(J181,Lists!$I$2:$I$4,0)),L181))</f>
        <v>0</v>
      </c>
      <c r="R181" s="287" t="b">
        <f>IF(I181="Required",0,IF(ISNUMBER(MATCH(J181,Lists!$K$2:$K$7,0)),L181))</f>
        <v>0</v>
      </c>
      <c r="S181" s="287" t="b">
        <f>IF(I181="Required",0,IF(ISNUMBER(MATCH(J181,Lists!$G$2:$G$4,0)),L181))</f>
        <v>0</v>
      </c>
      <c r="T181" s="287" t="b">
        <f>IF(I181="Required",0,IF(ISNUMBER(MATCH(J181,Lists!$G$7:$G$8,0)),L181))</f>
        <v>0</v>
      </c>
      <c r="U181" s="287" t="b">
        <f>IF(I181="Required",0,IF(ISNUMBER(MATCH(J181,Lists!$H$2:$H$4,0)),K181))</f>
        <v>0</v>
      </c>
      <c r="V181" s="287">
        <f t="shared" si="10"/>
        <v>0</v>
      </c>
      <c r="W181" s="287">
        <f t="shared" si="11"/>
        <v>0</v>
      </c>
    </row>
    <row r="182" spans="1:23" ht="21" customHeight="1">
      <c r="A182" s="354" t="s">
        <v>767</v>
      </c>
      <c r="B182" s="286"/>
      <c r="C182" s="807"/>
      <c r="D182" s="359" t="s">
        <v>767</v>
      </c>
      <c r="E182" s="447" t="s">
        <v>998</v>
      </c>
      <c r="F182" s="361" t="s">
        <v>999</v>
      </c>
      <c r="G182" s="362">
        <f>'Review Comments'!F204</f>
        <v>1</v>
      </c>
      <c r="H182" s="362" t="str">
        <f>'Review Comments'!G204</f>
        <v>Yes</v>
      </c>
      <c r="I182" s="362">
        <f t="shared" si="13"/>
        <v>1</v>
      </c>
      <c r="J182" s="382" t="str">
        <f>IF('Review Comments'!H204=0,"",'Review Comments'!H204)</f>
        <v>Achieved</v>
      </c>
      <c r="K182" s="329">
        <f>IF(I182="Required","Required",IF(ISNUMBER(MATCH(J182,Lists!$H$2:$H$9,0)),I182,""))</f>
        <v>1</v>
      </c>
      <c r="L182" s="330" t="str">
        <f>IF(I182="Required","Required",IF(ISNUMBER(MATCH(J182,Lists!$I$2:$I$9,0)),I182,IF(ISNUMBER(MATCH(J182,Lists!$J$2:$J$9,0)),I182,"")))</f>
        <v/>
      </c>
      <c r="Q182" s="287" t="b">
        <f>IF(I182="Required",0,IF(ISNUMBER(MATCH(J182,Lists!$I$2:$I$4,0)),L182))</f>
        <v>0</v>
      </c>
      <c r="R182" s="287" t="b">
        <f>IF(I182="Required",0,IF(ISNUMBER(MATCH(J182,Lists!$K$2:$K$7,0)),L182))</f>
        <v>0</v>
      </c>
      <c r="S182" s="287" t="b">
        <f>IF(I182="Required",0,IF(ISNUMBER(MATCH(J182,Lists!$G$2:$G$4,0)),L182))</f>
        <v>0</v>
      </c>
      <c r="T182" s="287" t="b">
        <f>IF(I182="Required",0,IF(ISNUMBER(MATCH(J182,Lists!$G$7:$G$8,0)),L182))</f>
        <v>0</v>
      </c>
      <c r="U182" s="287">
        <f>IF(I182="Required",0,IF(ISNUMBER(MATCH(J182,Lists!$H$2:$H$4,0)),K182))</f>
        <v>1</v>
      </c>
      <c r="V182" s="287">
        <f t="shared" si="10"/>
        <v>0</v>
      </c>
      <c r="W182" s="287">
        <f t="shared" si="11"/>
        <v>0</v>
      </c>
    </row>
    <row r="183" spans="1:23" ht="21" customHeight="1">
      <c r="A183" s="354" t="s">
        <v>767</v>
      </c>
      <c r="B183" s="286"/>
      <c r="C183" s="807"/>
      <c r="D183" s="359" t="s">
        <v>767</v>
      </c>
      <c r="E183" s="448" t="s">
        <v>1000</v>
      </c>
      <c r="F183" s="361" t="s">
        <v>1001</v>
      </c>
      <c r="G183" s="362">
        <f>'Review Comments'!F205</f>
        <v>1</v>
      </c>
      <c r="H183" s="362" t="str">
        <f>'Review Comments'!G205</f>
        <v>Yes</v>
      </c>
      <c r="I183" s="362">
        <f t="shared" si="13"/>
        <v>1</v>
      </c>
      <c r="J183" s="382" t="str">
        <f>IF('Review Comments'!H205=0,"",'Review Comments'!H205)</f>
        <v>Achieved</v>
      </c>
      <c r="K183" s="329">
        <f>IF(I183="Required","Required",IF(ISNUMBER(MATCH(J183,Lists!$H$2:$H$9,0)),I183,""))</f>
        <v>1</v>
      </c>
      <c r="L183" s="330" t="str">
        <f>IF(I183="Required","Required",IF(ISNUMBER(MATCH(J183,Lists!$I$2:$I$9,0)),I183,IF(ISNUMBER(MATCH(J183,Lists!$J$2:$J$9,0)),I183,"")))</f>
        <v/>
      </c>
      <c r="Q183" s="287" t="b">
        <f>IF(I183="Required",0,IF(ISNUMBER(MATCH(J183,Lists!$I$2:$I$4,0)),L183))</f>
        <v>0</v>
      </c>
      <c r="R183" s="287" t="b">
        <f>IF(I183="Required",0,IF(ISNUMBER(MATCH(J183,Lists!$K$2:$K$7,0)),L183))</f>
        <v>0</v>
      </c>
      <c r="S183" s="287" t="b">
        <f>IF(I183="Required",0,IF(ISNUMBER(MATCH(J183,Lists!$G$2:$G$4,0)),L183))</f>
        <v>0</v>
      </c>
      <c r="T183" s="287" t="b">
        <f>IF(I183="Required",0,IF(ISNUMBER(MATCH(J183,Lists!$G$7:$G$8,0)),L183))</f>
        <v>0</v>
      </c>
      <c r="U183" s="287">
        <f>IF(I183="Required",0,IF(ISNUMBER(MATCH(J183,Lists!$H$2:$H$4,0)),K183))</f>
        <v>1</v>
      </c>
      <c r="V183" s="287">
        <f t="shared" si="10"/>
        <v>0</v>
      </c>
      <c r="W183" s="287">
        <f t="shared" si="11"/>
        <v>0</v>
      </c>
    </row>
    <row r="184" spans="1:23" ht="21" customHeight="1">
      <c r="A184" s="354" t="s">
        <v>767</v>
      </c>
      <c r="B184" s="286"/>
      <c r="C184" s="807"/>
      <c r="D184" s="789" t="s">
        <v>767</v>
      </c>
      <c r="E184" s="801" t="s">
        <v>1002</v>
      </c>
      <c r="F184" s="361" t="s">
        <v>1003</v>
      </c>
      <c r="G184" s="362">
        <f>'Review Comments'!F206</f>
        <v>1</v>
      </c>
      <c r="H184" s="362" t="str">
        <f>'Review Comments'!G206</f>
        <v>Yes</v>
      </c>
      <c r="I184" s="362">
        <f t="shared" si="13"/>
        <v>1</v>
      </c>
      <c r="J184" s="382" t="str">
        <f>IF('Review Comments'!H206=0,"",'Review Comments'!H206)</f>
        <v>Achieved</v>
      </c>
      <c r="K184" s="329">
        <f>IF(I184="Required","Required",IF(ISNUMBER(MATCH(J184,Lists!$H$2:$H$9,0)),I184,""))</f>
        <v>1</v>
      </c>
      <c r="L184" s="330" t="str">
        <f>IF(I184="Required","Required",IF(ISNUMBER(MATCH(J184,Lists!$I$2:$I$9,0)),I184,IF(ISNUMBER(MATCH(J184,Lists!$J$2:$J$9,0)),I184,"")))</f>
        <v/>
      </c>
      <c r="Q184" s="287" t="b">
        <f>IF(I184="Required",0,IF(ISNUMBER(MATCH(J184,Lists!$I$2:$I$4,0)),L184))</f>
        <v>0</v>
      </c>
      <c r="R184" s="287" t="b">
        <f>IF(I184="Required",0,IF(ISNUMBER(MATCH(J184,Lists!$K$2:$K$7,0)),L184))</f>
        <v>0</v>
      </c>
      <c r="S184" s="287" t="b">
        <f>IF(I184="Required",0,IF(ISNUMBER(MATCH(J184,Lists!$G$2:$G$4,0)),L184))</f>
        <v>0</v>
      </c>
      <c r="T184" s="287" t="b">
        <f>IF(I184="Required",0,IF(ISNUMBER(MATCH(J184,Lists!$G$7:$G$8,0)),L184))</f>
        <v>0</v>
      </c>
      <c r="U184" s="287">
        <f>IF(I184="Required",0,IF(ISNUMBER(MATCH(J184,Lists!$H$2:$H$4,0)),K184))</f>
        <v>1</v>
      </c>
      <c r="V184" s="287">
        <f t="shared" si="10"/>
        <v>0</v>
      </c>
      <c r="W184" s="287">
        <f t="shared" si="11"/>
        <v>0</v>
      </c>
    </row>
    <row r="185" spans="1:23" ht="21" customHeight="1">
      <c r="A185" s="354" t="s">
        <v>767</v>
      </c>
      <c r="B185" s="286"/>
      <c r="C185" s="807"/>
      <c r="D185" s="791"/>
      <c r="E185" s="801"/>
      <c r="F185" s="361" t="s">
        <v>1004</v>
      </c>
      <c r="G185" s="362">
        <f>'Review Comments'!F207</f>
        <v>1</v>
      </c>
      <c r="H185" s="362" t="str">
        <f>'Review Comments'!G207</f>
        <v>Yes</v>
      </c>
      <c r="I185" s="362">
        <f t="shared" si="13"/>
        <v>1</v>
      </c>
      <c r="J185" s="382" t="str">
        <f>IF('Review Comments'!H207=0,"",'Review Comments'!H207)</f>
        <v>Achieved</v>
      </c>
      <c r="K185" s="329">
        <f>IF(I185="Required","Required",IF(ISNUMBER(MATCH(J185,Lists!$H$2:$H$9,0)),I185,""))</f>
        <v>1</v>
      </c>
      <c r="L185" s="330" t="str">
        <f>IF(I185="Required","Required",IF(ISNUMBER(MATCH(J185,Lists!$I$2:$I$9,0)),I185,IF(ISNUMBER(MATCH(J185,Lists!$J$2:$J$9,0)),I185,"")))</f>
        <v/>
      </c>
      <c r="Q185" s="287" t="b">
        <f>IF(I185="Required",0,IF(ISNUMBER(MATCH(J185,Lists!$I$2:$I$4,0)),L185))</f>
        <v>0</v>
      </c>
      <c r="R185" s="287" t="b">
        <f>IF(I185="Required",0,IF(ISNUMBER(MATCH(J185,Lists!$K$2:$K$7,0)),L185))</f>
        <v>0</v>
      </c>
      <c r="S185" s="287" t="b">
        <f>IF(I185="Required",0,IF(ISNUMBER(MATCH(J185,Lists!$G$2:$G$4,0)),L185))</f>
        <v>0</v>
      </c>
      <c r="T185" s="287" t="b">
        <f>IF(I185="Required",0,IF(ISNUMBER(MATCH(J185,Lists!$G$7:$G$8,0)),L185))</f>
        <v>0</v>
      </c>
      <c r="U185" s="287">
        <f>IF(I185="Required",0,IF(ISNUMBER(MATCH(J185,Lists!$H$2:$H$4,0)),K185))</f>
        <v>1</v>
      </c>
      <c r="V185" s="287">
        <f t="shared" si="10"/>
        <v>0</v>
      </c>
      <c r="W185" s="287">
        <f t="shared" si="11"/>
        <v>0</v>
      </c>
    </row>
    <row r="186" spans="1:23" ht="21" customHeight="1">
      <c r="A186" s="354" t="s">
        <v>767</v>
      </c>
      <c r="B186" s="286"/>
      <c r="C186" s="807"/>
      <c r="D186" s="789" t="s">
        <v>767</v>
      </c>
      <c r="E186" s="801" t="s">
        <v>1005</v>
      </c>
      <c r="F186" s="361" t="s">
        <v>1006</v>
      </c>
      <c r="G186" s="362">
        <f>'Review Comments'!F208</f>
        <v>0</v>
      </c>
      <c r="H186" s="362" t="str">
        <f>'Review Comments'!G208</f>
        <v>No</v>
      </c>
      <c r="I186" s="362" t="str">
        <f t="shared" si="13"/>
        <v/>
      </c>
      <c r="J186" s="382" t="str">
        <f>IF('Review Comments'!H208=0,"",'Review Comments'!H208)</f>
        <v>Not Attempted</v>
      </c>
      <c r="K186" s="329" t="str">
        <f>IF(I186="Required","Required",IF(ISNUMBER(MATCH(J186,Lists!$H$2:$H$9,0)),I186,""))</f>
        <v/>
      </c>
      <c r="L186" s="330" t="str">
        <f>IF(I186="Required","Required",IF(ISNUMBER(MATCH(J186,Lists!$I$2:$I$9,0)),I186,IF(ISNUMBER(MATCH(J186,Lists!$J$2:$J$9,0)),I186,"")))</f>
        <v/>
      </c>
      <c r="Q186" s="287" t="b">
        <f>IF(I186="Required",0,IF(ISNUMBER(MATCH(J186,Lists!$I$2:$I$4,0)),L186))</f>
        <v>0</v>
      </c>
      <c r="R186" s="287" t="b">
        <f>IF(I186="Required",0,IF(ISNUMBER(MATCH(J186,Lists!$K$2:$K$7,0)),L186))</f>
        <v>0</v>
      </c>
      <c r="S186" s="287" t="b">
        <f>IF(I186="Required",0,IF(ISNUMBER(MATCH(J186,Lists!$G$2:$G$4,0)),L186))</f>
        <v>0</v>
      </c>
      <c r="T186" s="287" t="b">
        <f>IF(I186="Required",0,IF(ISNUMBER(MATCH(J186,Lists!$G$7:$G$8,0)),L186))</f>
        <v>0</v>
      </c>
      <c r="U186" s="287" t="b">
        <f>IF(I186="Required",0,IF(ISNUMBER(MATCH(J186,Lists!$H$2:$H$4,0)),K186))</f>
        <v>0</v>
      </c>
      <c r="V186" s="287">
        <f t="shared" si="10"/>
        <v>0</v>
      </c>
      <c r="W186" s="287">
        <f t="shared" si="11"/>
        <v>0</v>
      </c>
    </row>
    <row r="187" spans="1:23" ht="21" customHeight="1">
      <c r="A187" s="354" t="s">
        <v>767</v>
      </c>
      <c r="B187" s="286"/>
      <c r="C187" s="807"/>
      <c r="D187" s="790"/>
      <c r="E187" s="801"/>
      <c r="F187" s="361" t="s">
        <v>1007</v>
      </c>
      <c r="G187" s="362">
        <f>'Review Comments'!F209</f>
        <v>0</v>
      </c>
      <c r="H187" s="362" t="str">
        <f>'Review Comments'!G209</f>
        <v>No</v>
      </c>
      <c r="I187" s="362" t="str">
        <f t="shared" si="13"/>
        <v/>
      </c>
      <c r="J187" s="382" t="str">
        <f>IF('Review Comments'!H209=0,"",'Review Comments'!H209)</f>
        <v>Not Attempted</v>
      </c>
      <c r="K187" s="329" t="str">
        <f>IF(I187="Required","Required",IF(ISNUMBER(MATCH(J187,Lists!$H$2:$H$9,0)),I187,""))</f>
        <v/>
      </c>
      <c r="L187" s="330" t="str">
        <f>IF(I187="Required","Required",IF(ISNUMBER(MATCH(J187,Lists!$I$2:$I$9,0)),I187,IF(ISNUMBER(MATCH(J187,Lists!$J$2:$J$9,0)),I187,"")))</f>
        <v/>
      </c>
      <c r="Q187" s="287" t="b">
        <f>IF(I187="Required",0,IF(ISNUMBER(MATCH(J187,Lists!$I$2:$I$4,0)),L187))</f>
        <v>0</v>
      </c>
      <c r="R187" s="287" t="b">
        <f>IF(I187="Required",0,IF(ISNUMBER(MATCH(J187,Lists!$K$2:$K$7,0)),L187))</f>
        <v>0</v>
      </c>
      <c r="S187" s="287" t="b">
        <f>IF(I187="Required",0,IF(ISNUMBER(MATCH(J187,Lists!$G$2:$G$4,0)),L187))</f>
        <v>0</v>
      </c>
      <c r="T187" s="287" t="b">
        <f>IF(I187="Required",0,IF(ISNUMBER(MATCH(J187,Lists!$G$7:$G$8,0)),L187))</f>
        <v>0</v>
      </c>
      <c r="U187" s="287" t="b">
        <f>IF(I187="Required",0,IF(ISNUMBER(MATCH(J187,Lists!$H$2:$H$4,0)),K187))</f>
        <v>0</v>
      </c>
      <c r="V187" s="287">
        <f t="shared" si="10"/>
        <v>0</v>
      </c>
      <c r="W187" s="287">
        <f t="shared" si="11"/>
        <v>0</v>
      </c>
    </row>
    <row r="188" spans="1:23" ht="21" customHeight="1">
      <c r="A188" s="354" t="s">
        <v>767</v>
      </c>
      <c r="B188" s="286"/>
      <c r="C188" s="807"/>
      <c r="D188" s="791"/>
      <c r="E188" s="801"/>
      <c r="F188" s="361" t="s">
        <v>1008</v>
      </c>
      <c r="G188" s="362">
        <f>'Review Comments'!F210</f>
        <v>0</v>
      </c>
      <c r="H188" s="362" t="str">
        <f>'Review Comments'!G210</f>
        <v>No</v>
      </c>
      <c r="I188" s="362" t="str">
        <f t="shared" si="13"/>
        <v/>
      </c>
      <c r="J188" s="382" t="str">
        <f>IF('Review Comments'!H210=0,"",'Review Comments'!H210)</f>
        <v>Not Attempted</v>
      </c>
      <c r="K188" s="329" t="str">
        <f>IF(I188="Required","Required",IF(ISNUMBER(MATCH(J188,Lists!$H$2:$H$9,0)),I188,""))</f>
        <v/>
      </c>
      <c r="L188" s="330" t="str">
        <f>IF(I188="Required","Required",IF(ISNUMBER(MATCH(J188,Lists!$I$2:$I$9,0)),I188,IF(ISNUMBER(MATCH(J188,Lists!$J$2:$J$9,0)),I188,"")))</f>
        <v/>
      </c>
      <c r="Q188" s="287" t="b">
        <f>IF(I188="Required",0,IF(ISNUMBER(MATCH(J188,Lists!$I$2:$I$4,0)),L188))</f>
        <v>0</v>
      </c>
      <c r="R188" s="287" t="b">
        <f>IF(I188="Required",0,IF(ISNUMBER(MATCH(J188,Lists!$K$2:$K$7,0)),L188))</f>
        <v>0</v>
      </c>
      <c r="S188" s="287" t="b">
        <f>IF(I188="Required",0,IF(ISNUMBER(MATCH(J188,Lists!$G$2:$G$4,0)),L188))</f>
        <v>0</v>
      </c>
      <c r="T188" s="287" t="b">
        <f>IF(I188="Required",0,IF(ISNUMBER(MATCH(J188,Lists!$G$7:$G$8,0)),L188))</f>
        <v>0</v>
      </c>
      <c r="U188" s="287" t="b">
        <f>IF(I188="Required",0,IF(ISNUMBER(MATCH(J188,Lists!$H$2:$H$4,0)),K188))</f>
        <v>0</v>
      </c>
      <c r="V188" s="287">
        <f t="shared" si="10"/>
        <v>0</v>
      </c>
      <c r="W188" s="287">
        <f t="shared" si="11"/>
        <v>0</v>
      </c>
    </row>
    <row r="189" spans="1:23" ht="21" customHeight="1">
      <c r="A189" s="354" t="s">
        <v>767</v>
      </c>
      <c r="B189" s="286"/>
      <c r="C189" s="807"/>
      <c r="D189" s="789" t="s">
        <v>767</v>
      </c>
      <c r="E189" s="801" t="s">
        <v>1009</v>
      </c>
      <c r="F189" s="361" t="s">
        <v>1010</v>
      </c>
      <c r="G189" s="362">
        <f>'Review Comments'!F211</f>
        <v>0</v>
      </c>
      <c r="H189" s="362" t="str">
        <f>'Review Comments'!G211</f>
        <v>No</v>
      </c>
      <c r="I189" s="362" t="str">
        <f t="shared" si="13"/>
        <v/>
      </c>
      <c r="J189" s="382" t="str">
        <f>IF('Review Comments'!H211=0,"",'Review Comments'!H211)</f>
        <v>Not Attempted</v>
      </c>
      <c r="K189" s="329" t="str">
        <f>IF(I189="Required","Required",IF(ISNUMBER(MATCH(J189,Lists!$H$2:$H$9,0)),I189,""))</f>
        <v/>
      </c>
      <c r="L189" s="330" t="str">
        <f>IF(I189="Required","Required",IF(ISNUMBER(MATCH(J189,Lists!$I$2:$I$9,0)),I189,IF(ISNUMBER(MATCH(J189,Lists!$J$2:$J$9,0)),I189,"")))</f>
        <v/>
      </c>
      <c r="Q189" s="287" t="b">
        <f>IF(I189="Required",0,IF(ISNUMBER(MATCH(J189,Lists!$I$2:$I$4,0)),L189))</f>
        <v>0</v>
      </c>
      <c r="R189" s="287" t="b">
        <f>IF(I189="Required",0,IF(ISNUMBER(MATCH(J189,Lists!$K$2:$K$7,0)),L189))</f>
        <v>0</v>
      </c>
      <c r="S189" s="287" t="b">
        <f>IF(I189="Required",0,IF(ISNUMBER(MATCH(J189,Lists!$G$2:$G$4,0)),L189))</f>
        <v>0</v>
      </c>
      <c r="T189" s="287" t="b">
        <f>IF(I189="Required",0,IF(ISNUMBER(MATCH(J189,Lists!$G$7:$G$8,0)),L189))</f>
        <v>0</v>
      </c>
      <c r="U189" s="287" t="b">
        <f>IF(I189="Required",0,IF(ISNUMBER(MATCH(J189,Lists!$H$2:$H$4,0)),K189))</f>
        <v>0</v>
      </c>
      <c r="V189" s="287">
        <f t="shared" si="10"/>
        <v>0</v>
      </c>
      <c r="W189" s="287">
        <f t="shared" si="11"/>
        <v>0</v>
      </c>
    </row>
    <row r="190" spans="1:23" ht="21" customHeight="1">
      <c r="A190" s="354" t="s">
        <v>767</v>
      </c>
      <c r="B190" s="286"/>
      <c r="C190" s="807"/>
      <c r="D190" s="791"/>
      <c r="E190" s="801"/>
      <c r="F190" s="361" t="s">
        <v>1011</v>
      </c>
      <c r="G190" s="362">
        <f>'Review Comments'!F212</f>
        <v>1</v>
      </c>
      <c r="H190" s="362" t="str">
        <f>'Review Comments'!G212</f>
        <v>Yes</v>
      </c>
      <c r="I190" s="362">
        <f t="shared" si="13"/>
        <v>1</v>
      </c>
      <c r="J190" s="382" t="str">
        <f>IF('Review Comments'!H212=0,"",'Review Comments'!H212)</f>
        <v>Achieved</v>
      </c>
      <c r="K190" s="329">
        <f>IF(I190="Required","Required",IF(ISNUMBER(MATCH(J190,Lists!$H$2:$H$9,0)),I190,""))</f>
        <v>1</v>
      </c>
      <c r="L190" s="330" t="str">
        <f>IF(I190="Required","Required",IF(ISNUMBER(MATCH(J190,Lists!$I$2:$I$9,0)),I190,IF(ISNUMBER(MATCH(J190,Lists!$J$2:$J$9,0)),I190,"")))</f>
        <v/>
      </c>
      <c r="Q190" s="287" t="b">
        <f>IF(I190="Required",0,IF(ISNUMBER(MATCH(J190,Lists!$I$2:$I$4,0)),L190))</f>
        <v>0</v>
      </c>
      <c r="R190" s="287" t="b">
        <f>IF(I190="Required",0,IF(ISNUMBER(MATCH(J190,Lists!$K$2:$K$7,0)),L190))</f>
        <v>0</v>
      </c>
      <c r="S190" s="287" t="b">
        <f>IF(I190="Required",0,IF(ISNUMBER(MATCH(J190,Lists!$G$2:$G$4,0)),L190))</f>
        <v>0</v>
      </c>
      <c r="T190" s="287" t="b">
        <f>IF(I190="Required",0,IF(ISNUMBER(MATCH(J190,Lists!$G$7:$G$8,0)),L190))</f>
        <v>0</v>
      </c>
      <c r="U190" s="287">
        <f>IF(I190="Required",0,IF(ISNUMBER(MATCH(J190,Lists!$H$2:$H$4,0)),K190))</f>
        <v>1</v>
      </c>
      <c r="V190" s="287">
        <f t="shared" si="10"/>
        <v>0</v>
      </c>
      <c r="W190" s="287">
        <f t="shared" si="11"/>
        <v>0</v>
      </c>
    </row>
    <row r="191" spans="1:23" ht="21" customHeight="1">
      <c r="A191" s="354" t="s">
        <v>767</v>
      </c>
      <c r="B191" s="286"/>
      <c r="C191" s="807"/>
      <c r="D191" s="789" t="s">
        <v>767</v>
      </c>
      <c r="E191" s="801" t="s">
        <v>1012</v>
      </c>
      <c r="F191" s="361" t="s">
        <v>1013</v>
      </c>
      <c r="G191" s="362">
        <f>'Review Comments'!F213</f>
        <v>2</v>
      </c>
      <c r="H191" s="362" t="str">
        <f>'Review Comments'!G213</f>
        <v>Yes</v>
      </c>
      <c r="I191" s="362">
        <f t="shared" si="13"/>
        <v>2</v>
      </c>
      <c r="J191" s="382" t="str">
        <f>IF('Review Comments'!H213=0,"",'Review Comments'!H213)</f>
        <v>Achieved</v>
      </c>
      <c r="K191" s="329">
        <f>IF(I191="Required","Required",IF(ISNUMBER(MATCH(J191,Lists!$H$2:$H$9,0)),I191,""))</f>
        <v>2</v>
      </c>
      <c r="L191" s="330" t="str">
        <f>IF(I191="Required","Required",IF(ISNUMBER(MATCH(J191,Lists!$I$2:$I$9,0)),I191,IF(ISNUMBER(MATCH(J191,Lists!$J$2:$J$9,0)),I191,"")))</f>
        <v/>
      </c>
      <c r="Q191" s="287" t="b">
        <f>IF(I191="Required",0,IF(ISNUMBER(MATCH(J191,Lists!$I$2:$I$4,0)),L191))</f>
        <v>0</v>
      </c>
      <c r="R191" s="287" t="b">
        <f>IF(I191="Required",0,IF(ISNUMBER(MATCH(J191,Lists!$K$2:$K$7,0)),L191))</f>
        <v>0</v>
      </c>
      <c r="S191" s="287" t="b">
        <f>IF(I191="Required",0,IF(ISNUMBER(MATCH(J191,Lists!$G$2:$G$4,0)),L191))</f>
        <v>0</v>
      </c>
      <c r="T191" s="287" t="b">
        <f>IF(I191="Required",0,IF(ISNUMBER(MATCH(J191,Lists!$G$7:$G$8,0)),L191))</f>
        <v>0</v>
      </c>
      <c r="U191" s="287">
        <f>IF(I191="Required",0,IF(ISNUMBER(MATCH(J191,Lists!$H$2:$H$4,0)),K191))</f>
        <v>2</v>
      </c>
      <c r="V191" s="287">
        <f t="shared" si="10"/>
        <v>0</v>
      </c>
      <c r="W191" s="287">
        <f t="shared" si="11"/>
        <v>0</v>
      </c>
    </row>
    <row r="192" spans="1:23" ht="21" customHeight="1">
      <c r="A192" s="354" t="s">
        <v>767</v>
      </c>
      <c r="B192" s="286"/>
      <c r="C192" s="807"/>
      <c r="D192" s="791"/>
      <c r="E192" s="803"/>
      <c r="F192" s="361" t="s">
        <v>1014</v>
      </c>
      <c r="G192" s="362">
        <f>'Review Comments'!F214</f>
        <v>1</v>
      </c>
      <c r="H192" s="362" t="str">
        <f>'Review Comments'!G214</f>
        <v>Yes</v>
      </c>
      <c r="I192" s="362">
        <f t="shared" si="13"/>
        <v>1</v>
      </c>
      <c r="J192" s="382" t="str">
        <f>IF('Review Comments'!H214=0,"",'Review Comments'!H214)</f>
        <v>Achieved</v>
      </c>
      <c r="K192" s="329">
        <f>IF(I192="Required","Required",IF(ISNUMBER(MATCH(J192,Lists!$H$2:$H$9,0)),I192,""))</f>
        <v>1</v>
      </c>
      <c r="L192" s="330" t="str">
        <f>IF(I192="Required","Required",IF(ISNUMBER(MATCH(J192,Lists!$I$2:$I$9,0)),I192,IF(ISNUMBER(MATCH(J192,Lists!$J$2:$J$9,0)),I192,"")))</f>
        <v/>
      </c>
      <c r="Q192" s="287" t="b">
        <f>IF(I192="Required",0,IF(ISNUMBER(MATCH(J192,Lists!$I$2:$I$4,0)),L192))</f>
        <v>0</v>
      </c>
      <c r="R192" s="287" t="b">
        <f>IF(I192="Required",0,IF(ISNUMBER(MATCH(J192,Lists!$K$2:$K$7,0)),L192))</f>
        <v>0</v>
      </c>
      <c r="S192" s="287" t="b">
        <f>IF(I192="Required",0,IF(ISNUMBER(MATCH(J192,Lists!$G$2:$G$4,0)),L192))</f>
        <v>0</v>
      </c>
      <c r="T192" s="287" t="b">
        <f>IF(I192="Required",0,IF(ISNUMBER(MATCH(J192,Lists!$G$7:$G$8,0)),L192))</f>
        <v>0</v>
      </c>
      <c r="U192" s="287">
        <f>IF(I192="Required",0,IF(ISNUMBER(MATCH(J192,Lists!$H$2:$H$4,0)),K192))</f>
        <v>1</v>
      </c>
      <c r="V192" s="287">
        <f t="shared" si="10"/>
        <v>0</v>
      </c>
      <c r="W192" s="287">
        <f t="shared" si="11"/>
        <v>0</v>
      </c>
    </row>
    <row r="193" spans="1:23" ht="21" customHeight="1">
      <c r="A193" s="354" t="s">
        <v>767</v>
      </c>
      <c r="B193" s="286"/>
      <c r="C193" s="807"/>
      <c r="D193" s="359" t="s">
        <v>767</v>
      </c>
      <c r="E193" s="360" t="s">
        <v>1015</v>
      </c>
      <c r="F193" s="361" t="s">
        <v>1016</v>
      </c>
      <c r="G193" s="362">
        <f>'Review Comments'!F215</f>
        <v>0</v>
      </c>
      <c r="H193" s="362" t="str">
        <f>'Review Comments'!G215</f>
        <v>No</v>
      </c>
      <c r="I193" s="362" t="str">
        <f t="shared" si="13"/>
        <v/>
      </c>
      <c r="J193" s="382" t="str">
        <f>IF('Review Comments'!H215=0,"",'Review Comments'!H215)</f>
        <v>Not Attempted</v>
      </c>
      <c r="K193" s="329" t="str">
        <f>IF(I193="Required","Required",IF(ISNUMBER(MATCH(J193,Lists!$H$2:$H$9,0)),I193,""))</f>
        <v/>
      </c>
      <c r="L193" s="330" t="str">
        <f>IF(I193="Required","Required",IF(ISNUMBER(MATCH(J193,Lists!$I$2:$I$9,0)),I193,IF(ISNUMBER(MATCH(J193,Lists!$J$2:$J$9,0)),I193,"")))</f>
        <v/>
      </c>
      <c r="Q193" s="287" t="b">
        <f>IF(I193="Required",0,IF(ISNUMBER(MATCH(J193,Lists!$I$2:$I$4,0)),L193))</f>
        <v>0</v>
      </c>
      <c r="R193" s="287" t="b">
        <f>IF(I193="Required",0,IF(ISNUMBER(MATCH(J193,Lists!$K$2:$K$7,0)),L193))</f>
        <v>0</v>
      </c>
      <c r="S193" s="287" t="b">
        <f>IF(I193="Required",0,IF(ISNUMBER(MATCH(J193,Lists!$G$2:$G$4,0)),L193))</f>
        <v>0</v>
      </c>
      <c r="T193" s="287" t="b">
        <f>IF(I193="Required",0,IF(ISNUMBER(MATCH(J193,Lists!$G$7:$G$8,0)),L193))</f>
        <v>0</v>
      </c>
      <c r="U193" s="287" t="b">
        <f>IF(I193="Required",0,IF(ISNUMBER(MATCH(J193,Lists!$H$2:$H$4,0)),K193))</f>
        <v>0</v>
      </c>
      <c r="V193" s="287">
        <f t="shared" si="10"/>
        <v>0</v>
      </c>
      <c r="W193" s="287">
        <f t="shared" si="11"/>
        <v>0</v>
      </c>
    </row>
    <row r="194" spans="1:23" ht="21" customHeight="1" thickBot="1">
      <c r="A194" s="354" t="s">
        <v>767</v>
      </c>
      <c r="B194" s="286"/>
      <c r="C194" s="807"/>
      <c r="D194" s="359" t="s">
        <v>767</v>
      </c>
      <c r="E194" s="360" t="s">
        <v>1017</v>
      </c>
      <c r="F194" s="361" t="s">
        <v>1018</v>
      </c>
      <c r="G194" s="362">
        <f>'Review Comments'!F216</f>
        <v>0</v>
      </c>
      <c r="H194" s="362" t="str">
        <f>'Review Comments'!G216</f>
        <v>No</v>
      </c>
      <c r="I194" s="362" t="str">
        <f t="shared" si="13"/>
        <v/>
      </c>
      <c r="J194" s="382" t="str">
        <f>IF('Review Comments'!H216=0,"",'Review Comments'!H216)</f>
        <v>Not Attempted</v>
      </c>
      <c r="K194" s="329" t="str">
        <f>IF(I194="Required","Required",IF(ISNUMBER(MATCH(J194,Lists!$H$2:$H$9,0)),I194,""))</f>
        <v/>
      </c>
      <c r="L194" s="330" t="str">
        <f>IF(I194="Required","Required",IF(ISNUMBER(MATCH(J194,Lists!$I$2:$I$9,0)),I194,IF(ISNUMBER(MATCH(J194,Lists!$J$2:$J$9,0)),I194,"")))</f>
        <v/>
      </c>
      <c r="N194" s="363" t="s">
        <v>1019</v>
      </c>
      <c r="Q194" s="287" t="b">
        <f>IF(I194="Required",0,IF(ISNUMBER(MATCH(J194,Lists!$I$2:$I$4,0)),L194))</f>
        <v>0</v>
      </c>
      <c r="R194" s="287" t="b">
        <f>IF(I194="Required",0,IF(ISNUMBER(MATCH(J194,Lists!$K$2:$K$7,0)),L194))</f>
        <v>0</v>
      </c>
      <c r="S194" s="287" t="b">
        <f>IF(I194="Required",0,IF(ISNUMBER(MATCH(J194,Lists!$G$2:$G$4,0)),L194))</f>
        <v>0</v>
      </c>
      <c r="T194" s="287" t="b">
        <f>IF(I194="Required",0,IF(ISNUMBER(MATCH(J194,Lists!$G$7:$G$8,0)),L194))</f>
        <v>0</v>
      </c>
      <c r="U194" s="287" t="b">
        <f>IF(I194="Required",0,IF(ISNUMBER(MATCH(J194,Lists!$H$2:$H$4,0)),K194))</f>
        <v>0</v>
      </c>
      <c r="V194" s="287">
        <f t="shared" si="10"/>
        <v>0</v>
      </c>
      <c r="W194" s="287">
        <f t="shared" si="11"/>
        <v>0</v>
      </c>
    </row>
    <row r="195" spans="1:23" ht="21" hidden="1" customHeight="1">
      <c r="A195" s="354" t="s">
        <v>767</v>
      </c>
      <c r="B195" s="286"/>
      <c r="C195" s="807"/>
      <c r="D195" s="790" t="s">
        <v>767</v>
      </c>
      <c r="E195" s="793" t="s">
        <v>1020</v>
      </c>
      <c r="F195" s="433" t="s">
        <v>1021</v>
      </c>
      <c r="G195" s="362">
        <f>'Review Comments'!F217</f>
        <v>0</v>
      </c>
      <c r="H195" s="362">
        <f>'Review Comments'!G217</f>
        <v>0</v>
      </c>
      <c r="I195" s="434" t="str">
        <f t="shared" si="13"/>
        <v/>
      </c>
      <c r="J195" s="435" t="str">
        <f>IF('Review Comments'!H217=0,"",'Review Comments'!H217)</f>
        <v/>
      </c>
      <c r="K195" s="449" t="str">
        <f>IF(I195="Required","Required",IF(ISNUMBER(MATCH(J195,Lists!$H$2:$H$9,0)),I195,""))</f>
        <v/>
      </c>
      <c r="L195" s="450" t="str">
        <f>IF(I195="Required","Required",IF(ISNUMBER(MATCH(J195,Lists!$I$2:$I$9,0)),I195,IF(ISNUMBER(MATCH(J195,Lists!$J$2:$J$9,0)),I195,"")))</f>
        <v/>
      </c>
      <c r="N195" s="364"/>
      <c r="O195" s="364"/>
      <c r="Q195" s="287" t="b">
        <f>IF(I195="Required",0,IF(ISNUMBER(MATCH(J195,Lists!$I$2:$I$4,0)),L195))</f>
        <v>0</v>
      </c>
      <c r="R195" s="287" t="b">
        <f>IF(I195="Required",0,IF(ISNUMBER(MATCH(J195,Lists!$K$2:$K$7,0)),L195))</f>
        <v>0</v>
      </c>
      <c r="S195" s="287" t="b">
        <f>IF(I195="Required",0,IF(ISNUMBER(MATCH(J195,Lists!$G$2:$G$4,0)),L195))</f>
        <v>0</v>
      </c>
      <c r="T195" s="287" t="b">
        <f>IF(I195="Required",0,IF(ISNUMBER(MATCH(J195,Lists!$G$7:$G$8,0)),L195))</f>
        <v>0</v>
      </c>
      <c r="U195" s="287" t="b">
        <f>IF(I195="Required",0,IF(ISNUMBER(MATCH(J195,Lists!$H$2:$H$4,0)),K195))</f>
        <v>0</v>
      </c>
      <c r="V195" s="287">
        <f t="shared" si="10"/>
        <v>0</v>
      </c>
      <c r="W195" s="287">
        <f t="shared" si="11"/>
        <v>0</v>
      </c>
    </row>
    <row r="196" spans="1:23" ht="21" hidden="1" customHeight="1" thickBot="1">
      <c r="A196" s="354" t="s">
        <v>767</v>
      </c>
      <c r="B196" s="286"/>
      <c r="C196" s="807"/>
      <c r="D196" s="795"/>
      <c r="E196" s="796"/>
      <c r="F196" s="394" t="s">
        <v>1022</v>
      </c>
      <c r="G196" s="368">
        <f>'Review Comments'!F218</f>
        <v>0</v>
      </c>
      <c r="H196" s="368">
        <f>'Review Comments'!G218</f>
        <v>0</v>
      </c>
      <c r="I196" s="368" t="str">
        <f t="shared" si="13"/>
        <v/>
      </c>
      <c r="J196" s="395" t="str">
        <f>IF('Review Comments'!H218=0,"",'Review Comments'!H218)</f>
        <v/>
      </c>
      <c r="K196" s="335" t="str">
        <f>IF(I196="Required","Required",IF(ISNUMBER(MATCH(J196,Lists!$H$2:$H$9,0)),I196,""))</f>
        <v/>
      </c>
      <c r="L196" s="336" t="str">
        <f>IF(I196="Required","Required",IF(ISNUMBER(MATCH(J196,Lists!$I$2:$I$9,0)),I196,IF(ISNUMBER(MATCH(J196,Lists!$J$2:$J$9,0)),I196,"")))</f>
        <v/>
      </c>
      <c r="Q196" s="287" t="b">
        <f>IF(I196="Required",0,IF(ISNUMBER(MATCH(J196,Lists!$I$2:$I$4,0)),L196))</f>
        <v>0</v>
      </c>
      <c r="R196" s="287" t="b">
        <f>IF(I196="Required",0,IF(ISNUMBER(MATCH(J196,Lists!$K$2:$K$7,0)),L196))</f>
        <v>0</v>
      </c>
      <c r="S196" s="287" t="b">
        <f>IF(I196="Required",0,IF(ISNUMBER(MATCH(J196,Lists!$G$2:$G$4,0)),L196))</f>
        <v>0</v>
      </c>
      <c r="T196" s="287" t="b">
        <f>IF(I196="Required",0,IF(ISNUMBER(MATCH(J196,Lists!$G$7:$G$8,0)),L196))</f>
        <v>0</v>
      </c>
      <c r="U196" s="287" t="b">
        <f>IF(I196="Required",0,IF(ISNUMBER(MATCH(J196,Lists!$H$2:$H$4,0)),K196))</f>
        <v>0</v>
      </c>
      <c r="V196" s="287">
        <f t="shared" si="10"/>
        <v>0</v>
      </c>
      <c r="W196" s="287">
        <f t="shared" si="11"/>
        <v>0</v>
      </c>
    </row>
    <row r="197" spans="1:23" s="346" customFormat="1" ht="16.2" customHeight="1">
      <c r="A197" s="451"/>
      <c r="B197" s="337"/>
      <c r="C197" s="452"/>
      <c r="D197" s="453"/>
      <c r="E197" s="454"/>
      <c r="F197" s="455"/>
      <c r="G197" s="456">
        <f>SUM(G171:G196)</f>
        <v>9</v>
      </c>
      <c r="H197" s="456"/>
      <c r="I197" s="457">
        <f>SUM(I171:I196)</f>
        <v>9</v>
      </c>
      <c r="J197" s="458"/>
      <c r="K197" s="457">
        <f>SUM(K171:K196)</f>
        <v>9</v>
      </c>
      <c r="L197" s="459">
        <f>SUM(L171:L196)</f>
        <v>0</v>
      </c>
      <c r="Q197" s="346" t="b">
        <f>IF(I197="Required",0,IF(ISNUMBER(MATCH(J197,Lists!$I$2:$I$4,0)),L197))</f>
        <v>0</v>
      </c>
      <c r="R197" s="346" t="b">
        <f>IF(I197="Required",0,IF(ISNUMBER(MATCH(J197,Lists!$K$2:$K$7,0)),L197))</f>
        <v>0</v>
      </c>
      <c r="S197" s="346" t="b">
        <f>IF(I197="Required",0,IF(ISNUMBER(MATCH(J197,Lists!$G$2:$G$4,0)),L197))</f>
        <v>0</v>
      </c>
      <c r="T197" s="346" t="b">
        <f>IF(I197="Required",0,IF(ISNUMBER(MATCH(J197,Lists!$G$7:$G$8,0)),L197))</f>
        <v>0</v>
      </c>
      <c r="U197" s="346" t="b">
        <f>IF(I197="Required",0,IF(ISNUMBER(MATCH(J197,Lists!$H$2:$H$4,0)),K197))</f>
        <v>0</v>
      </c>
      <c r="V197" s="346">
        <f t="shared" si="10"/>
        <v>0</v>
      </c>
      <c r="W197" s="287">
        <f t="shared" si="11"/>
        <v>0</v>
      </c>
    </row>
    <row r="198" spans="1:23" ht="6.6" customHeight="1" thickBot="1">
      <c r="A198" s="347"/>
      <c r="B198" s="286"/>
      <c r="C198" s="348"/>
      <c r="D198" s="347"/>
      <c r="E198" s="349"/>
      <c r="F198" s="350"/>
      <c r="G198" s="351"/>
      <c r="H198" s="351"/>
      <c r="I198" s="351"/>
      <c r="J198" s="352"/>
      <c r="K198" s="351"/>
      <c r="L198" s="353"/>
      <c r="Q198" s="287" t="b">
        <f>IF(I198="Required",0,IF(ISNUMBER(MATCH(J198,Lists!$I$2:$I$4,0)),L198))</f>
        <v>0</v>
      </c>
      <c r="R198" s="287" t="b">
        <f>IF(I198="Required",0,IF(ISNUMBER(MATCH(J198,Lists!$K$2:$K$7,0)),L198))</f>
        <v>0</v>
      </c>
      <c r="S198" s="287" t="b">
        <f>IF(I198="Required",0,IF(ISNUMBER(MATCH(J198,Lists!$G$2:$G$4,0)),L198))</f>
        <v>0</v>
      </c>
      <c r="T198" s="287" t="b">
        <f>IF(I198="Required",0,IF(ISNUMBER(MATCH(J198,Lists!$G$7:$G$8,0)),L198))</f>
        <v>0</v>
      </c>
      <c r="U198" s="287" t="b">
        <f>IF(I198="Required",0,IF(ISNUMBER(MATCH(J198,Lists!$H$2:$H$4,0)),K198))</f>
        <v>0</v>
      </c>
      <c r="V198" s="287">
        <f t="shared" si="10"/>
        <v>0</v>
      </c>
      <c r="W198" s="287">
        <f t="shared" si="11"/>
        <v>0</v>
      </c>
    </row>
    <row r="199" spans="1:23" ht="21" customHeight="1">
      <c r="A199" s="318" t="s">
        <v>752</v>
      </c>
      <c r="B199" s="286"/>
      <c r="C199" s="804" t="s">
        <v>1023</v>
      </c>
      <c r="D199" s="771" t="s">
        <v>752</v>
      </c>
      <c r="E199" s="772" t="s">
        <v>1024</v>
      </c>
      <c r="F199" s="321" t="s">
        <v>1025</v>
      </c>
      <c r="G199" s="322">
        <f>'Review Comments'!F224</f>
        <v>0</v>
      </c>
      <c r="H199" s="322" t="str">
        <f>'Review Comments'!G224</f>
        <v>Required</v>
      </c>
      <c r="I199" s="322" t="str">
        <f t="shared" ref="I199:I224" si="14">IF(H199="Yes",G199,IF(H199="Required","Required",""))</f>
        <v>Required</v>
      </c>
      <c r="J199" s="460" t="str">
        <f>IF('Review Comments'!H224=0,"",'Review Comments'!H224)</f>
        <v>Achieved</v>
      </c>
      <c r="K199" s="323" t="str">
        <f>IF(I199="Required","Required",IF(ISNUMBER(MATCH(J199,Lists!$H$2:$H$9,0)),I199,""))</f>
        <v>Required</v>
      </c>
      <c r="L199" s="324" t="str">
        <f>IF(I199="Required","Required",IF(ISNUMBER(MATCH(J199,Lists!$I$2:$I$9,0)),I199,IF(ISNUMBER(MATCH(J199,Lists!$J$2:$J$9,0)),I199,"")))</f>
        <v>Required</v>
      </c>
      <c r="Q199" s="287">
        <f>IF(I199="Required",0,IF(ISNUMBER(MATCH(J199,Lists!$I$2:$I$4,0)),L199))</f>
        <v>0</v>
      </c>
      <c r="R199" s="287">
        <f>IF(I199="Required",0,IF(ISNUMBER(MATCH(J199,Lists!$K$2:$K$7,0)),L199))</f>
        <v>0</v>
      </c>
      <c r="S199" s="287">
        <f>IF(I199="Required",0,IF(ISNUMBER(MATCH(J199,Lists!$G$2:$G$4,0)),L199))</f>
        <v>0</v>
      </c>
      <c r="T199" s="287">
        <f>IF(I199="Required",0,IF(ISNUMBER(MATCH(J199,Lists!$G$7:$G$8,0)),L199))</f>
        <v>0</v>
      </c>
      <c r="U199" s="287">
        <f>IF(I199="Required",0,IF(ISNUMBER(MATCH(J199,Lists!$H$2:$H$4,0)),K199))</f>
        <v>0</v>
      </c>
      <c r="V199" s="287">
        <f t="shared" si="10"/>
        <v>0</v>
      </c>
      <c r="W199" s="287">
        <f t="shared" si="11"/>
        <v>0</v>
      </c>
    </row>
    <row r="200" spans="1:23" ht="21" customHeight="1">
      <c r="A200" s="318" t="s">
        <v>752</v>
      </c>
      <c r="B200" s="286"/>
      <c r="C200" s="805"/>
      <c r="D200" s="766"/>
      <c r="E200" s="767"/>
      <c r="F200" s="327" t="s">
        <v>1026</v>
      </c>
      <c r="G200" s="328">
        <f>'Review Comments'!F225</f>
        <v>0</v>
      </c>
      <c r="H200" s="328" t="str">
        <f>'Review Comments'!G225</f>
        <v>Required</v>
      </c>
      <c r="I200" s="328" t="str">
        <f t="shared" si="14"/>
        <v>Required</v>
      </c>
      <c r="J200" s="461" t="str">
        <f>IF('Review Comments'!H225=0,"",'Review Comments'!H225)</f>
        <v>Achieved</v>
      </c>
      <c r="K200" s="329" t="str">
        <f>IF(I200="Required","Required",IF(ISNUMBER(MATCH(J200,Lists!$H$2:$H$9,0)),I200,""))</f>
        <v>Required</v>
      </c>
      <c r="L200" s="330" t="str">
        <f>IF(I200="Required","Required",IF(ISNUMBER(MATCH(J200,Lists!$I$2:$I$9,0)),I200,IF(ISNUMBER(MATCH(J200,Lists!$J$2:$J$9,0)),I200,"")))</f>
        <v>Required</v>
      </c>
      <c r="Q200" s="287">
        <f>IF(I200="Required",0,IF(ISNUMBER(MATCH(J200,Lists!$I$2:$I$4,0)),L200))</f>
        <v>0</v>
      </c>
      <c r="R200" s="287">
        <f>IF(I200="Required",0,IF(ISNUMBER(MATCH(J200,Lists!$K$2:$K$7,0)),L200))</f>
        <v>0</v>
      </c>
      <c r="S200" s="287">
        <f>IF(I200="Required",0,IF(ISNUMBER(MATCH(J200,Lists!$G$2:$G$4,0)),L200))</f>
        <v>0</v>
      </c>
      <c r="T200" s="287">
        <f>IF(I200="Required",0,IF(ISNUMBER(MATCH(J200,Lists!$G$7:$G$8,0)),L200))</f>
        <v>0</v>
      </c>
      <c r="U200" s="287">
        <f>IF(I200="Required",0,IF(ISNUMBER(MATCH(J200,Lists!$H$2:$H$4,0)),K200))</f>
        <v>0</v>
      </c>
      <c r="V200" s="287">
        <f t="shared" si="10"/>
        <v>0</v>
      </c>
      <c r="W200" s="287">
        <f t="shared" si="11"/>
        <v>0</v>
      </c>
    </row>
    <row r="201" spans="1:23" ht="21" customHeight="1">
      <c r="A201" s="318" t="s">
        <v>752</v>
      </c>
      <c r="B201" s="286"/>
      <c r="C201" s="805"/>
      <c r="D201" s="325" t="s">
        <v>752</v>
      </c>
      <c r="E201" s="326" t="s">
        <v>1027</v>
      </c>
      <c r="F201" s="327" t="s">
        <v>1028</v>
      </c>
      <c r="G201" s="328">
        <f>'Review Comments'!F226</f>
        <v>0</v>
      </c>
      <c r="H201" s="328" t="str">
        <f>'Review Comments'!G226</f>
        <v>Required</v>
      </c>
      <c r="I201" s="328" t="str">
        <f t="shared" si="14"/>
        <v>Required</v>
      </c>
      <c r="J201" s="461" t="str">
        <f>IF('Review Comments'!H226=0,"",'Review Comments'!H226)</f>
        <v>Achieved</v>
      </c>
      <c r="K201" s="329" t="str">
        <f>IF(I201="Required","Required",IF(ISNUMBER(MATCH(J201,Lists!$H$2:$H$9,0)),I201,""))</f>
        <v>Required</v>
      </c>
      <c r="L201" s="330" t="str">
        <f>IF(I201="Required","Required",IF(ISNUMBER(MATCH(J201,Lists!$I$2:$I$9,0)),I201,IF(ISNUMBER(MATCH(J201,Lists!$J$2:$J$9,0)),I201,"")))</f>
        <v>Required</v>
      </c>
      <c r="Q201" s="287">
        <f>IF(I201="Required",0,IF(ISNUMBER(MATCH(J201,Lists!$I$2:$I$4,0)),L201))</f>
        <v>0</v>
      </c>
      <c r="R201" s="287">
        <f>IF(I201="Required",0,IF(ISNUMBER(MATCH(J201,Lists!$K$2:$K$7,0)),L201))</f>
        <v>0</v>
      </c>
      <c r="S201" s="287">
        <f>IF(I201="Required",0,IF(ISNUMBER(MATCH(J201,Lists!$G$2:$G$4,0)),L201))</f>
        <v>0</v>
      </c>
      <c r="T201" s="287">
        <f>IF(I201="Required",0,IF(ISNUMBER(MATCH(J201,Lists!$G$7:$G$8,0)),L201))</f>
        <v>0</v>
      </c>
      <c r="U201" s="287">
        <f>IF(I201="Required",0,IF(ISNUMBER(MATCH(J201,Lists!$H$2:$H$4,0)),K201))</f>
        <v>0</v>
      </c>
      <c r="V201" s="287">
        <f t="shared" si="10"/>
        <v>0</v>
      </c>
      <c r="W201" s="287">
        <f t="shared" si="11"/>
        <v>0</v>
      </c>
    </row>
    <row r="202" spans="1:23" ht="21" customHeight="1">
      <c r="A202" s="318" t="s">
        <v>767</v>
      </c>
      <c r="B202" s="286"/>
      <c r="C202" s="805"/>
      <c r="D202" s="766" t="s">
        <v>767</v>
      </c>
      <c r="E202" s="767" t="s">
        <v>1029</v>
      </c>
      <c r="F202" s="327" t="s">
        <v>1030</v>
      </c>
      <c r="G202" s="328">
        <f>'Review Comments'!F227</f>
        <v>0</v>
      </c>
      <c r="H202" s="328" t="str">
        <f>'Review Comments'!G227</f>
        <v>No</v>
      </c>
      <c r="I202" s="328" t="str">
        <f t="shared" si="14"/>
        <v/>
      </c>
      <c r="J202" s="461" t="str">
        <f>IF('Review Comments'!H227=0,"",'Review Comments'!H227)</f>
        <v>Not Attempted</v>
      </c>
      <c r="K202" s="329" t="str">
        <f>IF(I202="Required","Required",IF(ISNUMBER(MATCH(J202,Lists!$H$2:$H$9,0)),I202,""))</f>
        <v/>
      </c>
      <c r="L202" s="330" t="str">
        <f>IF(I202="Required","Required",IF(ISNUMBER(MATCH(J202,Lists!$I$2:$I$9,0)),I202,IF(ISNUMBER(MATCH(J202,Lists!$J$2:$J$9,0)),I202,"")))</f>
        <v/>
      </c>
      <c r="Q202" s="287" t="b">
        <f>IF(I202="Required",0,IF(ISNUMBER(MATCH(J202,Lists!$I$2:$I$4,0)),L202))</f>
        <v>0</v>
      </c>
      <c r="R202" s="287" t="b">
        <f>IF(I202="Required",0,IF(ISNUMBER(MATCH(J202,Lists!$K$2:$K$7,0)),L202))</f>
        <v>0</v>
      </c>
      <c r="S202" s="287" t="b">
        <f>IF(I202="Required",0,IF(ISNUMBER(MATCH(J202,Lists!$G$2:$G$4,0)),L202))</f>
        <v>0</v>
      </c>
      <c r="T202" s="287" t="b">
        <f>IF(I202="Required",0,IF(ISNUMBER(MATCH(J202,Lists!$G$7:$G$8,0)),L202))</f>
        <v>0</v>
      </c>
      <c r="U202" s="287" t="b">
        <f>IF(I202="Required",0,IF(ISNUMBER(MATCH(J202,Lists!$H$2:$H$4,0)),K202))</f>
        <v>0</v>
      </c>
      <c r="V202" s="287">
        <f t="shared" si="10"/>
        <v>0</v>
      </c>
      <c r="W202" s="287">
        <f t="shared" si="11"/>
        <v>0</v>
      </c>
    </row>
    <row r="203" spans="1:23" ht="21" customHeight="1">
      <c r="A203" s="318" t="s">
        <v>767</v>
      </c>
      <c r="B203" s="286"/>
      <c r="C203" s="805"/>
      <c r="D203" s="766"/>
      <c r="E203" s="767"/>
      <c r="F203" s="327" t="s">
        <v>1031</v>
      </c>
      <c r="G203" s="328">
        <f>'Review Comments'!F228</f>
        <v>1</v>
      </c>
      <c r="H203" s="328" t="str">
        <f>'Review Comments'!G228</f>
        <v>Yes</v>
      </c>
      <c r="I203" s="328">
        <f t="shared" si="14"/>
        <v>1</v>
      </c>
      <c r="J203" s="461" t="str">
        <f>IF('Review Comments'!H228=0,"",'Review Comments'!H228)</f>
        <v>Achieved</v>
      </c>
      <c r="K203" s="329">
        <f>IF(I203="Required","Required",IF(ISNUMBER(MATCH(J203,Lists!$H$2:$H$9,0)),I203,""))</f>
        <v>1</v>
      </c>
      <c r="L203" s="330" t="str">
        <f>IF(I203="Required","Required",IF(ISNUMBER(MATCH(J203,Lists!$I$2:$I$9,0)),I203,IF(ISNUMBER(MATCH(J203,Lists!$J$2:$J$9,0)),I203,"")))</f>
        <v/>
      </c>
      <c r="Q203" s="287" t="b">
        <f>IF(I203="Required",0,IF(ISNUMBER(MATCH(J203,Lists!$I$2:$I$4,0)),L203))</f>
        <v>0</v>
      </c>
      <c r="R203" s="287" t="b">
        <f>IF(I203="Required",0,IF(ISNUMBER(MATCH(J203,Lists!$K$2:$K$7,0)),L203))</f>
        <v>0</v>
      </c>
      <c r="S203" s="287" t="b">
        <f>IF(I203="Required",0,IF(ISNUMBER(MATCH(J203,Lists!$G$2:$G$4,0)),L203))</f>
        <v>0</v>
      </c>
      <c r="T203" s="287" t="b">
        <f>IF(I203="Required",0,IF(ISNUMBER(MATCH(J203,Lists!$G$7:$G$8,0)),L203))</f>
        <v>0</v>
      </c>
      <c r="U203" s="287">
        <f>IF(I203="Required",0,IF(ISNUMBER(MATCH(J203,Lists!$H$2:$H$4,0)),K203))</f>
        <v>1</v>
      </c>
      <c r="V203" s="287">
        <f t="shared" si="10"/>
        <v>0</v>
      </c>
      <c r="W203" s="287">
        <f t="shared" si="11"/>
        <v>0</v>
      </c>
    </row>
    <row r="204" spans="1:23" ht="21" customHeight="1">
      <c r="A204" s="318" t="s">
        <v>767</v>
      </c>
      <c r="B204" s="286"/>
      <c r="C204" s="805"/>
      <c r="D204" s="766"/>
      <c r="E204" s="767"/>
      <c r="F204" s="327" t="s">
        <v>1032</v>
      </c>
      <c r="G204" s="328">
        <f>'Review Comments'!F229</f>
        <v>1</v>
      </c>
      <c r="H204" s="328" t="str">
        <f>'Review Comments'!G229</f>
        <v>Yes</v>
      </c>
      <c r="I204" s="328">
        <f t="shared" si="14"/>
        <v>1</v>
      </c>
      <c r="J204" s="461" t="str">
        <f>IF('Review Comments'!H229=0,"",'Review Comments'!H229)</f>
        <v>Achieved</v>
      </c>
      <c r="K204" s="329">
        <f>IF(I204="Required","Required",IF(ISNUMBER(MATCH(J204,Lists!$H$2:$H$9,0)),I204,""))</f>
        <v>1</v>
      </c>
      <c r="L204" s="330" t="str">
        <f>IF(I204="Required","Required",IF(ISNUMBER(MATCH(J204,Lists!$I$2:$I$9,0)),I204,IF(ISNUMBER(MATCH(J204,Lists!$J$2:$J$9,0)),I204,"")))</f>
        <v/>
      </c>
      <c r="N204" s="363" t="s">
        <v>1033</v>
      </c>
      <c r="O204" s="364"/>
      <c r="Q204" s="287" t="b">
        <f>IF(I204="Required",0,IF(ISNUMBER(MATCH(J204,Lists!$I$2:$I$4,0)),L204))</f>
        <v>0</v>
      </c>
      <c r="R204" s="287" t="b">
        <f>IF(I204="Required",0,IF(ISNUMBER(MATCH(J204,Lists!$K$2:$K$7,0)),L204))</f>
        <v>0</v>
      </c>
      <c r="S204" s="287" t="b">
        <f>IF(I204="Required",0,IF(ISNUMBER(MATCH(J204,Lists!$G$2:$G$4,0)),L204))</f>
        <v>0</v>
      </c>
      <c r="T204" s="287" t="b">
        <f>IF(I204="Required",0,IF(ISNUMBER(MATCH(J204,Lists!$G$7:$G$8,0)),L204))</f>
        <v>0</v>
      </c>
      <c r="U204" s="287">
        <f>IF(I204="Required",0,IF(ISNUMBER(MATCH(J204,Lists!$H$2:$H$4,0)),K204))</f>
        <v>1</v>
      </c>
      <c r="V204" s="287">
        <f t="shared" si="10"/>
        <v>0</v>
      </c>
      <c r="W204" s="287">
        <f t="shared" si="11"/>
        <v>0</v>
      </c>
    </row>
    <row r="205" spans="1:23" ht="21" hidden="1" customHeight="1">
      <c r="A205" s="318" t="s">
        <v>767</v>
      </c>
      <c r="B205" s="286"/>
      <c r="C205" s="805"/>
      <c r="D205" s="766"/>
      <c r="E205" s="767"/>
      <c r="F205" s="327" t="s">
        <v>1034</v>
      </c>
      <c r="G205" s="328">
        <f>'Review Comments'!F230</f>
        <v>0</v>
      </c>
      <c r="H205" s="328" t="str">
        <f>'Review Comments'!G230</f>
        <v>No</v>
      </c>
      <c r="I205" s="328" t="str">
        <f t="shared" si="14"/>
        <v/>
      </c>
      <c r="J205" s="461" t="str">
        <f>IF('Review Comments'!H230=0,"",'Review Comments'!H230)</f>
        <v>Not Attempted</v>
      </c>
      <c r="K205" s="329" t="str">
        <f>IF(I205="Required","Required",IF(ISNUMBER(MATCH(J205,Lists!$H$2:$H$9,0)),I205,""))</f>
        <v/>
      </c>
      <c r="L205" s="330" t="str">
        <f>IF(I205="Required","Required",IF(ISNUMBER(MATCH(J205,Lists!$I$2:$I$9,0)),I205,IF(ISNUMBER(MATCH(J205,Lists!$J$2:$J$9,0)),I205,"")))</f>
        <v/>
      </c>
      <c r="Q205" s="287" t="b">
        <f>IF(I205="Required",0,IF(ISNUMBER(MATCH(J205,Lists!$I$2:$I$4,0)),L205))</f>
        <v>0</v>
      </c>
      <c r="R205" s="287" t="b">
        <f>IF(I205="Required",0,IF(ISNUMBER(MATCH(J205,Lists!$K$2:$K$7,0)),L205))</f>
        <v>0</v>
      </c>
      <c r="S205" s="287" t="b">
        <f>IF(I205="Required",0,IF(ISNUMBER(MATCH(J205,Lists!$G$2:$G$4,0)),L205))</f>
        <v>0</v>
      </c>
      <c r="T205" s="287" t="b">
        <f>IF(I205="Required",0,IF(ISNUMBER(MATCH(J205,Lists!$G$7:$G$8,0)),L205))</f>
        <v>0</v>
      </c>
      <c r="U205" s="287" t="b">
        <f>IF(I205="Required",0,IF(ISNUMBER(MATCH(J205,Lists!$H$2:$H$4,0)),K205))</f>
        <v>0</v>
      </c>
      <c r="V205" s="287">
        <f t="shared" ref="V205:V273" si="15">IF(A205="P",IF(IFERROR(SEARCH("Pending Documentation",J205),0)&gt;0,IF(I205="Required",1,I205),0),0)</f>
        <v>0</v>
      </c>
      <c r="W205" s="287">
        <f t="shared" si="11"/>
        <v>0</v>
      </c>
    </row>
    <row r="206" spans="1:23" ht="21" customHeight="1">
      <c r="A206" s="318" t="s">
        <v>767</v>
      </c>
      <c r="B206" s="286"/>
      <c r="C206" s="805"/>
      <c r="D206" s="766" t="s">
        <v>767</v>
      </c>
      <c r="E206" s="767" t="s">
        <v>1035</v>
      </c>
      <c r="F206" s="327" t="s">
        <v>1036</v>
      </c>
      <c r="G206" s="328">
        <f>'Review Comments'!F231</f>
        <v>1</v>
      </c>
      <c r="H206" s="328" t="str">
        <f>'Review Comments'!G231</f>
        <v>Yes</v>
      </c>
      <c r="I206" s="328">
        <f t="shared" si="14"/>
        <v>1</v>
      </c>
      <c r="J206" s="461" t="str">
        <f>IF('Review Comments'!H231=0,"",'Review Comments'!H231)</f>
        <v>Achieved</v>
      </c>
      <c r="K206" s="329">
        <f>IF(I206="Required","Required",IF(ISNUMBER(MATCH(J206,Lists!$H$2:$H$9,0)),I206,""))</f>
        <v>1</v>
      </c>
      <c r="L206" s="330" t="str">
        <f>IF(I206="Required","Required",IF(ISNUMBER(MATCH(J206,Lists!$I$2:$I$9,0)),I206,IF(ISNUMBER(MATCH(J206,Lists!$J$2:$J$9,0)),I206,"")))</f>
        <v/>
      </c>
      <c r="Q206" s="287" t="b">
        <f>IF(I206="Required",0,IF(ISNUMBER(MATCH(J206,Lists!$I$2:$I$4,0)),L206))</f>
        <v>0</v>
      </c>
      <c r="R206" s="287" t="b">
        <f>IF(I206="Required",0,IF(ISNUMBER(MATCH(J206,Lists!$K$2:$K$7,0)),L206))</f>
        <v>0</v>
      </c>
      <c r="S206" s="287" t="b">
        <f>IF(I206="Required",0,IF(ISNUMBER(MATCH(J206,Lists!$G$2:$G$4,0)),L206))</f>
        <v>0</v>
      </c>
      <c r="T206" s="287" t="b">
        <f>IF(I206="Required",0,IF(ISNUMBER(MATCH(J206,Lists!$G$7:$G$8,0)),L206))</f>
        <v>0</v>
      </c>
      <c r="U206" s="287">
        <f>IF(I206="Required",0,IF(ISNUMBER(MATCH(J206,Lists!$H$2:$H$4,0)),K206))</f>
        <v>1</v>
      </c>
      <c r="V206" s="287">
        <f t="shared" si="15"/>
        <v>0</v>
      </c>
      <c r="W206" s="287">
        <f t="shared" ref="W206:W270" si="16">IF(A206="P",IF(IFERROR(SEARCH("Pending On-site Assessment",J206),0)&gt;0,IF(I206="Required",1,I206),0),0)</f>
        <v>0</v>
      </c>
    </row>
    <row r="207" spans="1:23" ht="21" customHeight="1">
      <c r="A207" s="318" t="s">
        <v>767</v>
      </c>
      <c r="B207" s="286"/>
      <c r="C207" s="805"/>
      <c r="D207" s="766"/>
      <c r="E207" s="767"/>
      <c r="F207" s="327" t="s">
        <v>1037</v>
      </c>
      <c r="G207" s="328">
        <f>'Review Comments'!F232</f>
        <v>1</v>
      </c>
      <c r="H207" s="328" t="str">
        <f>'Review Comments'!G232</f>
        <v>Yes</v>
      </c>
      <c r="I207" s="328">
        <f t="shared" si="14"/>
        <v>1</v>
      </c>
      <c r="J207" s="461" t="str">
        <f>IF('Review Comments'!H232=0,"",'Review Comments'!H232)</f>
        <v>Achieved</v>
      </c>
      <c r="K207" s="329">
        <f>IF(I207="Required","Required",IF(ISNUMBER(MATCH(J207,Lists!$H$2:$H$9,0)),I207,""))</f>
        <v>1</v>
      </c>
      <c r="L207" s="330" t="str">
        <f>IF(I207="Required","Required",IF(ISNUMBER(MATCH(J207,Lists!$I$2:$I$9,0)),I207,IF(ISNUMBER(MATCH(J207,Lists!$J$2:$J$9,0)),I207,"")))</f>
        <v/>
      </c>
      <c r="Q207" s="287" t="b">
        <f>IF(I207="Required",0,IF(ISNUMBER(MATCH(J207,Lists!$I$2:$I$4,0)),L207))</f>
        <v>0</v>
      </c>
      <c r="R207" s="287" t="b">
        <f>IF(I207="Required",0,IF(ISNUMBER(MATCH(J207,Lists!$K$2:$K$7,0)),L207))</f>
        <v>0</v>
      </c>
      <c r="S207" s="287" t="b">
        <f>IF(I207="Required",0,IF(ISNUMBER(MATCH(J207,Lists!$G$2:$G$4,0)),L207))</f>
        <v>0</v>
      </c>
      <c r="T207" s="287" t="b">
        <f>IF(I207="Required",0,IF(ISNUMBER(MATCH(J207,Lists!$G$7:$G$8,0)),L207))</f>
        <v>0</v>
      </c>
      <c r="U207" s="287">
        <f>IF(I207="Required",0,IF(ISNUMBER(MATCH(J207,Lists!$H$2:$H$4,0)),K207))</f>
        <v>1</v>
      </c>
      <c r="V207" s="287">
        <f t="shared" si="15"/>
        <v>0</v>
      </c>
      <c r="W207" s="287">
        <f t="shared" si="16"/>
        <v>0</v>
      </c>
    </row>
    <row r="208" spans="1:23" ht="21" customHeight="1">
      <c r="A208" s="318" t="s">
        <v>767</v>
      </c>
      <c r="B208" s="286"/>
      <c r="C208" s="805"/>
      <c r="D208" s="766" t="s">
        <v>767</v>
      </c>
      <c r="E208" s="767" t="s">
        <v>1038</v>
      </c>
      <c r="F208" s="327" t="s">
        <v>1039</v>
      </c>
      <c r="G208" s="328">
        <f>'Review Comments'!F233</f>
        <v>1</v>
      </c>
      <c r="H208" s="328" t="str">
        <f>'Review Comments'!G233</f>
        <v>Yes</v>
      </c>
      <c r="I208" s="328">
        <f t="shared" si="14"/>
        <v>1</v>
      </c>
      <c r="J208" s="461" t="str">
        <f>IF('Review Comments'!H233=0,"",'Review Comments'!H233)</f>
        <v>Achieved</v>
      </c>
      <c r="K208" s="329">
        <f>IF(I208="Required","Required",IF(ISNUMBER(MATCH(J208,Lists!$H$2:$H$9,0)),I208,""))</f>
        <v>1</v>
      </c>
      <c r="L208" s="330" t="str">
        <f>IF(I208="Required","Required",IF(ISNUMBER(MATCH(J208,Lists!$I$2:$I$9,0)),I208,IF(ISNUMBER(MATCH(J208,Lists!$J$2:$J$9,0)),I208,"")))</f>
        <v/>
      </c>
      <c r="Q208" s="287" t="b">
        <f>IF(I208="Required",0,IF(ISNUMBER(MATCH(J208,Lists!$I$2:$I$4,0)),L208))</f>
        <v>0</v>
      </c>
      <c r="R208" s="287" t="b">
        <f>IF(I208="Required",0,IF(ISNUMBER(MATCH(J208,Lists!$K$2:$K$7,0)),L208))</f>
        <v>0</v>
      </c>
      <c r="S208" s="287" t="b">
        <f>IF(I208="Required",0,IF(ISNUMBER(MATCH(J208,Lists!$G$2:$G$4,0)),L208))</f>
        <v>0</v>
      </c>
      <c r="T208" s="287" t="b">
        <f>IF(I208="Required",0,IF(ISNUMBER(MATCH(J208,Lists!$G$7:$G$8,0)),L208))</f>
        <v>0</v>
      </c>
      <c r="U208" s="287">
        <f>IF(I208="Required",0,IF(ISNUMBER(MATCH(J208,Lists!$H$2:$H$4,0)),K208))</f>
        <v>1</v>
      </c>
      <c r="V208" s="287">
        <f t="shared" si="15"/>
        <v>0</v>
      </c>
      <c r="W208" s="287">
        <f t="shared" si="16"/>
        <v>0</v>
      </c>
    </row>
    <row r="209" spans="1:23" ht="21" customHeight="1">
      <c r="A209" s="318" t="s">
        <v>767</v>
      </c>
      <c r="B209" s="286"/>
      <c r="C209" s="805"/>
      <c r="D209" s="766"/>
      <c r="E209" s="767"/>
      <c r="F209" s="327" t="s">
        <v>1040</v>
      </c>
      <c r="G209" s="328">
        <f>'Review Comments'!F234</f>
        <v>0</v>
      </c>
      <c r="H209" s="328" t="str">
        <f>'Review Comments'!G234</f>
        <v>No</v>
      </c>
      <c r="I209" s="328" t="str">
        <f t="shared" si="14"/>
        <v/>
      </c>
      <c r="J209" s="461" t="str">
        <f>IF('Review Comments'!H234=0,"",'Review Comments'!H234)</f>
        <v>Not Attempted</v>
      </c>
      <c r="K209" s="329" t="str">
        <f>IF(I209="Required","Required",IF(ISNUMBER(MATCH(J209,Lists!$H$2:$H$9,0)),I209,""))</f>
        <v/>
      </c>
      <c r="L209" s="330" t="str">
        <f>IF(I209="Required","Required",IF(ISNUMBER(MATCH(J209,Lists!$I$2:$I$9,0)),I209,IF(ISNUMBER(MATCH(J209,Lists!$J$2:$J$9,0)),I209,"")))</f>
        <v/>
      </c>
      <c r="Q209" s="287" t="b">
        <f>IF(I209="Required",0,IF(ISNUMBER(MATCH(J209,Lists!$I$2:$I$4,0)),L209))</f>
        <v>0</v>
      </c>
      <c r="R209" s="287" t="b">
        <f>IF(I209="Required",0,IF(ISNUMBER(MATCH(J209,Lists!$K$2:$K$7,0)),L209))</f>
        <v>0</v>
      </c>
      <c r="S209" s="287" t="b">
        <f>IF(I209="Required",0,IF(ISNUMBER(MATCH(J209,Lists!$G$2:$G$4,0)),L209))</f>
        <v>0</v>
      </c>
      <c r="T209" s="287" t="b">
        <f>IF(I209="Required",0,IF(ISNUMBER(MATCH(J209,Lists!$G$7:$G$8,0)),L209))</f>
        <v>0</v>
      </c>
      <c r="U209" s="287" t="b">
        <f>IF(I209="Required",0,IF(ISNUMBER(MATCH(J209,Lists!$H$2:$H$4,0)),K209))</f>
        <v>0</v>
      </c>
      <c r="V209" s="287">
        <f t="shared" si="15"/>
        <v>0</v>
      </c>
      <c r="W209" s="287">
        <f t="shared" si="16"/>
        <v>0</v>
      </c>
    </row>
    <row r="210" spans="1:23" ht="21" customHeight="1">
      <c r="A210" s="318" t="s">
        <v>767</v>
      </c>
      <c r="B210" s="286"/>
      <c r="C210" s="805"/>
      <c r="D210" s="325" t="s">
        <v>767</v>
      </c>
      <c r="E210" s="326" t="s">
        <v>1041</v>
      </c>
      <c r="F210" s="327" t="s">
        <v>1042</v>
      </c>
      <c r="G210" s="328">
        <f>'Review Comments'!F235</f>
        <v>0</v>
      </c>
      <c r="H210" s="328" t="str">
        <f>'Review Comments'!G235</f>
        <v>No</v>
      </c>
      <c r="I210" s="328" t="str">
        <f t="shared" si="14"/>
        <v/>
      </c>
      <c r="J210" s="461" t="str">
        <f>IF('Review Comments'!H235=0,"",'Review Comments'!H235)</f>
        <v>Not Attempted</v>
      </c>
      <c r="K210" s="329" t="str">
        <f>IF(I210="Required","Required",IF(ISNUMBER(MATCH(J210,Lists!$H$2:$H$9,0)),I210,""))</f>
        <v/>
      </c>
      <c r="L210" s="330" t="str">
        <f>IF(I210="Required","Required",IF(ISNUMBER(MATCH(J210,Lists!$I$2:$I$9,0)),I210,IF(ISNUMBER(MATCH(J210,Lists!$J$2:$J$9,0)),I210,"")))</f>
        <v/>
      </c>
      <c r="Q210" s="287" t="b">
        <f>IF(I210="Required",0,IF(ISNUMBER(MATCH(J210,Lists!$I$2:$I$4,0)),L210))</f>
        <v>0</v>
      </c>
      <c r="R210" s="287" t="b">
        <f>IF(I210="Required",0,IF(ISNUMBER(MATCH(J210,Lists!$K$2:$K$7,0)),L210))</f>
        <v>0</v>
      </c>
      <c r="S210" s="287" t="b">
        <f>IF(I210="Required",0,IF(ISNUMBER(MATCH(J210,Lists!$G$2:$G$4,0)),L210))</f>
        <v>0</v>
      </c>
      <c r="T210" s="287" t="b">
        <f>IF(I210="Required",0,IF(ISNUMBER(MATCH(J210,Lists!$G$7:$G$8,0)),L210))</f>
        <v>0</v>
      </c>
      <c r="U210" s="287" t="b">
        <f>IF(I210="Required",0,IF(ISNUMBER(MATCH(J210,Lists!$H$2:$H$4,0)),K210))</f>
        <v>0</v>
      </c>
      <c r="V210" s="287">
        <f t="shared" si="15"/>
        <v>0</v>
      </c>
      <c r="W210" s="287">
        <f t="shared" si="16"/>
        <v>0</v>
      </c>
    </row>
    <row r="211" spans="1:23" ht="21" customHeight="1">
      <c r="A211" s="318" t="s">
        <v>767</v>
      </c>
      <c r="B211" s="286"/>
      <c r="C211" s="805"/>
      <c r="D211" s="766" t="s">
        <v>767</v>
      </c>
      <c r="E211" s="767" t="s">
        <v>1043</v>
      </c>
      <c r="F211" s="327" t="s">
        <v>1044</v>
      </c>
      <c r="G211" s="328">
        <f>'Review Comments'!F236</f>
        <v>0</v>
      </c>
      <c r="H211" s="328" t="str">
        <f>'Review Comments'!G236</f>
        <v>No</v>
      </c>
      <c r="I211" s="328" t="str">
        <f t="shared" si="14"/>
        <v/>
      </c>
      <c r="J211" s="461" t="str">
        <f>IF('Review Comments'!H236=0,"",'Review Comments'!H236)</f>
        <v>Not Attempted</v>
      </c>
      <c r="K211" s="329" t="str">
        <f>IF(I211="Required","Required",IF(ISNUMBER(MATCH(J211,Lists!$H$2:$H$9,0)),I211,""))</f>
        <v/>
      </c>
      <c r="L211" s="330" t="str">
        <f>IF(I211="Required","Required",IF(ISNUMBER(MATCH(J211,Lists!$I$2:$I$9,0)),I211,IF(ISNUMBER(MATCH(J211,Lists!$J$2:$J$9,0)),I211,"")))</f>
        <v/>
      </c>
      <c r="Q211" s="287" t="b">
        <f>IF(I211="Required",0,IF(ISNUMBER(MATCH(J211,Lists!$I$2:$I$4,0)),L211))</f>
        <v>0</v>
      </c>
      <c r="R211" s="287" t="b">
        <f>IF(I211="Required",0,IF(ISNUMBER(MATCH(J211,Lists!$K$2:$K$7,0)),L211))</f>
        <v>0</v>
      </c>
      <c r="S211" s="287" t="b">
        <f>IF(I211="Required",0,IF(ISNUMBER(MATCH(J211,Lists!$G$2:$G$4,0)),L211))</f>
        <v>0</v>
      </c>
      <c r="T211" s="287" t="b">
        <f>IF(I211="Required",0,IF(ISNUMBER(MATCH(J211,Lists!$G$7:$G$8,0)),L211))</f>
        <v>0</v>
      </c>
      <c r="U211" s="287" t="b">
        <f>IF(I211="Required",0,IF(ISNUMBER(MATCH(J211,Lists!$H$2:$H$4,0)),K211))</f>
        <v>0</v>
      </c>
      <c r="V211" s="287">
        <f t="shared" si="15"/>
        <v>0</v>
      </c>
      <c r="W211" s="287">
        <f t="shared" si="16"/>
        <v>0</v>
      </c>
    </row>
    <row r="212" spans="1:23" ht="21" customHeight="1">
      <c r="A212" s="318" t="s">
        <v>767</v>
      </c>
      <c r="B212" s="286"/>
      <c r="C212" s="805"/>
      <c r="D212" s="766"/>
      <c r="E212" s="767"/>
      <c r="F212" s="327" t="s">
        <v>1045</v>
      </c>
      <c r="G212" s="328">
        <f>'Review Comments'!F237</f>
        <v>1</v>
      </c>
      <c r="H212" s="328" t="str">
        <f>'Review Comments'!G237</f>
        <v>Yes</v>
      </c>
      <c r="I212" s="328">
        <f t="shared" si="14"/>
        <v>1</v>
      </c>
      <c r="J212" s="461" t="str">
        <f>IF('Review Comments'!H237=0,"",'Review Comments'!H237)</f>
        <v>Achieved</v>
      </c>
      <c r="K212" s="329">
        <f>IF(I212="Required","Required",IF(ISNUMBER(MATCH(J212,Lists!$H$2:$H$9,0)),I212,""))</f>
        <v>1</v>
      </c>
      <c r="L212" s="330" t="str">
        <f>IF(I212="Required","Required",IF(ISNUMBER(MATCH(J212,Lists!$I$2:$I$9,0)),I212,IF(ISNUMBER(MATCH(J212,Lists!$J$2:$J$9,0)),I212,"")))</f>
        <v/>
      </c>
      <c r="Q212" s="287" t="b">
        <f>IF(I212="Required",0,IF(ISNUMBER(MATCH(J212,Lists!$I$2:$I$4,0)),L212))</f>
        <v>0</v>
      </c>
      <c r="R212" s="287" t="b">
        <f>IF(I212="Required",0,IF(ISNUMBER(MATCH(J212,Lists!$K$2:$K$7,0)),L212))</f>
        <v>0</v>
      </c>
      <c r="S212" s="287" t="b">
        <f>IF(I212="Required",0,IF(ISNUMBER(MATCH(J212,Lists!$G$2:$G$4,0)),L212))</f>
        <v>0</v>
      </c>
      <c r="T212" s="287" t="b">
        <f>IF(I212="Required",0,IF(ISNUMBER(MATCH(J212,Lists!$G$7:$G$8,0)),L212))</f>
        <v>0</v>
      </c>
      <c r="U212" s="287">
        <f>IF(I212="Required",0,IF(ISNUMBER(MATCH(J212,Lists!$H$2:$H$4,0)),K212))</f>
        <v>1</v>
      </c>
      <c r="V212" s="287">
        <f t="shared" si="15"/>
        <v>0</v>
      </c>
      <c r="W212" s="287">
        <f t="shared" si="16"/>
        <v>0</v>
      </c>
    </row>
    <row r="213" spans="1:23" ht="21" customHeight="1">
      <c r="A213" s="318" t="s">
        <v>767</v>
      </c>
      <c r="B213" s="286"/>
      <c r="C213" s="805"/>
      <c r="D213" s="325" t="s">
        <v>767</v>
      </c>
      <c r="E213" s="326" t="s">
        <v>1046</v>
      </c>
      <c r="F213" s="327" t="s">
        <v>1047</v>
      </c>
      <c r="G213" s="328">
        <f>'Review Comments'!F238</f>
        <v>0</v>
      </c>
      <c r="H213" s="328" t="str">
        <f>'Review Comments'!G238</f>
        <v>No</v>
      </c>
      <c r="I213" s="328" t="str">
        <f t="shared" si="14"/>
        <v/>
      </c>
      <c r="J213" s="461" t="str">
        <f>IF('Review Comments'!H238=0,"",'Review Comments'!H238)</f>
        <v>Not Attempted</v>
      </c>
      <c r="K213" s="329" t="str">
        <f>IF(I213="Required","Required",IF(ISNUMBER(MATCH(J213,Lists!$H$2:$H$9,0)),I213,""))</f>
        <v/>
      </c>
      <c r="L213" s="330" t="str">
        <f>IF(I213="Required","Required",IF(ISNUMBER(MATCH(J213,Lists!$I$2:$I$9,0)),I213,IF(ISNUMBER(MATCH(J213,Lists!$J$2:$J$9,0)),I213,"")))</f>
        <v/>
      </c>
      <c r="Q213" s="287" t="b">
        <f>IF(I213="Required",0,IF(ISNUMBER(MATCH(J213,Lists!$I$2:$I$4,0)),L213))</f>
        <v>0</v>
      </c>
      <c r="R213" s="287" t="b">
        <f>IF(I213="Required",0,IF(ISNUMBER(MATCH(J213,Lists!$K$2:$K$7,0)),L213))</f>
        <v>0</v>
      </c>
      <c r="S213" s="287" t="b">
        <f>IF(I213="Required",0,IF(ISNUMBER(MATCH(J213,Lists!$G$2:$G$4,0)),L213))</f>
        <v>0</v>
      </c>
      <c r="T213" s="287" t="b">
        <f>IF(I213="Required",0,IF(ISNUMBER(MATCH(J213,Lists!$G$7:$G$8,0)),L213))</f>
        <v>0</v>
      </c>
      <c r="U213" s="287" t="b">
        <f>IF(I213="Required",0,IF(ISNUMBER(MATCH(J213,Lists!$H$2:$H$4,0)),K213))</f>
        <v>0</v>
      </c>
      <c r="V213" s="287">
        <f t="shared" si="15"/>
        <v>0</v>
      </c>
      <c r="W213" s="287">
        <f t="shared" si="16"/>
        <v>0</v>
      </c>
    </row>
    <row r="214" spans="1:23" ht="21" customHeight="1">
      <c r="A214" s="318" t="s">
        <v>767</v>
      </c>
      <c r="B214" s="286"/>
      <c r="C214" s="805"/>
      <c r="D214" s="325" t="s">
        <v>767</v>
      </c>
      <c r="E214" s="326" t="s">
        <v>1048</v>
      </c>
      <c r="F214" s="327" t="s">
        <v>1049</v>
      </c>
      <c r="G214" s="328">
        <f>'Review Comments'!F239</f>
        <v>1</v>
      </c>
      <c r="H214" s="328" t="str">
        <f>'Review Comments'!G239</f>
        <v>Yes</v>
      </c>
      <c r="I214" s="328">
        <f t="shared" si="14"/>
        <v>1</v>
      </c>
      <c r="J214" s="461" t="str">
        <f>IF('Review Comments'!H239=0,"",'Review Comments'!H239)</f>
        <v>Achieved</v>
      </c>
      <c r="K214" s="329">
        <f>IF(I214="Required","Required",IF(ISNUMBER(MATCH(J214,Lists!$H$2:$H$9,0)),I214,""))</f>
        <v>1</v>
      </c>
      <c r="L214" s="330" t="str">
        <f>IF(I214="Required","Required",IF(ISNUMBER(MATCH(J214,Lists!$I$2:$I$9,0)),I214,IF(ISNUMBER(MATCH(J214,Lists!$J$2:$J$9,0)),I214,"")))</f>
        <v/>
      </c>
      <c r="Q214" s="287" t="b">
        <f>IF(I214="Required",0,IF(ISNUMBER(MATCH(J214,Lists!$I$2:$I$4,0)),L214))</f>
        <v>0</v>
      </c>
      <c r="R214" s="287" t="b">
        <f>IF(I214="Required",0,IF(ISNUMBER(MATCH(J214,Lists!$K$2:$K$7,0)),L214))</f>
        <v>0</v>
      </c>
      <c r="S214" s="287" t="b">
        <f>IF(I214="Required",0,IF(ISNUMBER(MATCH(J214,Lists!$G$2:$G$4,0)),L214))</f>
        <v>0</v>
      </c>
      <c r="T214" s="287" t="b">
        <f>IF(I214="Required",0,IF(ISNUMBER(MATCH(J214,Lists!$G$7:$G$8,0)),L214))</f>
        <v>0</v>
      </c>
      <c r="U214" s="287">
        <f>IF(I214="Required",0,IF(ISNUMBER(MATCH(J214,Lists!$H$2:$H$4,0)),K214))</f>
        <v>1</v>
      </c>
      <c r="V214" s="287">
        <f t="shared" si="15"/>
        <v>0</v>
      </c>
      <c r="W214" s="287">
        <f t="shared" si="16"/>
        <v>0</v>
      </c>
    </row>
    <row r="215" spans="1:23" ht="21" customHeight="1">
      <c r="A215" s="318" t="s">
        <v>767</v>
      </c>
      <c r="B215" s="286"/>
      <c r="C215" s="805"/>
      <c r="D215" s="766" t="s">
        <v>767</v>
      </c>
      <c r="E215" s="767" t="s">
        <v>1050</v>
      </c>
      <c r="F215" s="327" t="s">
        <v>1051</v>
      </c>
      <c r="G215" s="328">
        <f>'Review Comments'!F240</f>
        <v>0</v>
      </c>
      <c r="H215" s="328" t="str">
        <f>'Review Comments'!G240</f>
        <v>No</v>
      </c>
      <c r="I215" s="328" t="str">
        <f t="shared" si="14"/>
        <v/>
      </c>
      <c r="J215" s="461" t="str">
        <f>IF('Review Comments'!H240=0,"",'Review Comments'!H240)</f>
        <v>Not Attempted</v>
      </c>
      <c r="K215" s="329" t="str">
        <f>IF(I215="Required","Required",IF(ISNUMBER(MATCH(J215,Lists!$H$2:$H$9,0)),I215,""))</f>
        <v/>
      </c>
      <c r="L215" s="330" t="str">
        <f>IF(I215="Required","Required",IF(ISNUMBER(MATCH(J215,Lists!$I$2:$I$9,0)),I215,IF(ISNUMBER(MATCH(J215,Lists!$J$2:$J$9,0)),I215,"")))</f>
        <v/>
      </c>
      <c r="Q215" s="287" t="b">
        <f>IF(I215="Required",0,IF(ISNUMBER(MATCH(J215,Lists!$I$2:$I$4,0)),L215))</f>
        <v>0</v>
      </c>
      <c r="R215" s="287" t="b">
        <f>IF(I215="Required",0,IF(ISNUMBER(MATCH(J215,Lists!$K$2:$K$7,0)),L215))</f>
        <v>0</v>
      </c>
      <c r="S215" s="287" t="b">
        <f>IF(I215="Required",0,IF(ISNUMBER(MATCH(J215,Lists!$G$2:$G$4,0)),L215))</f>
        <v>0</v>
      </c>
      <c r="T215" s="287" t="b">
        <f>IF(I215="Required",0,IF(ISNUMBER(MATCH(J215,Lists!$G$7:$G$8,0)),L215))</f>
        <v>0</v>
      </c>
      <c r="U215" s="287" t="b">
        <f>IF(I215="Required",0,IF(ISNUMBER(MATCH(J215,Lists!$H$2:$H$4,0)),K215))</f>
        <v>0</v>
      </c>
      <c r="V215" s="287">
        <f t="shared" si="15"/>
        <v>0</v>
      </c>
      <c r="W215" s="287">
        <f t="shared" si="16"/>
        <v>0</v>
      </c>
    </row>
    <row r="216" spans="1:23" ht="21" customHeight="1">
      <c r="A216" s="318" t="s">
        <v>767</v>
      </c>
      <c r="B216" s="286"/>
      <c r="C216" s="805"/>
      <c r="D216" s="766"/>
      <c r="E216" s="767"/>
      <c r="F216" s="327" t="s">
        <v>1052</v>
      </c>
      <c r="G216" s="328">
        <f>'Review Comments'!F241</f>
        <v>0</v>
      </c>
      <c r="H216" s="328" t="str">
        <f>'Review Comments'!G241</f>
        <v>No</v>
      </c>
      <c r="I216" s="328" t="str">
        <f t="shared" si="14"/>
        <v/>
      </c>
      <c r="J216" s="461" t="str">
        <f>IF('Review Comments'!H241=0,"",'Review Comments'!H241)</f>
        <v>Not Attempted</v>
      </c>
      <c r="K216" s="329" t="str">
        <f>IF(I216="Required","Required",IF(ISNUMBER(MATCH(J216,Lists!$H$2:$H$9,0)),I216,""))</f>
        <v/>
      </c>
      <c r="L216" s="330" t="str">
        <f>IF(I216="Required","Required",IF(ISNUMBER(MATCH(J216,Lists!$I$2:$I$9,0)),I216,IF(ISNUMBER(MATCH(J216,Lists!$J$2:$J$9,0)),I216,"")))</f>
        <v/>
      </c>
      <c r="Q216" s="287" t="b">
        <f>IF(I216="Required",0,IF(ISNUMBER(MATCH(J216,Lists!$I$2:$I$4,0)),L216))</f>
        <v>0</v>
      </c>
      <c r="R216" s="287" t="b">
        <f>IF(I216="Required",0,IF(ISNUMBER(MATCH(J216,Lists!$K$2:$K$7,0)),L216))</f>
        <v>0</v>
      </c>
      <c r="S216" s="287" t="b">
        <f>IF(I216="Required",0,IF(ISNUMBER(MATCH(J216,Lists!$G$2:$G$4,0)),L216))</f>
        <v>0</v>
      </c>
      <c r="T216" s="287" t="b">
        <f>IF(I216="Required",0,IF(ISNUMBER(MATCH(J216,Lists!$G$7:$G$8,0)),L216))</f>
        <v>0</v>
      </c>
      <c r="U216" s="287" t="b">
        <f>IF(I216="Required",0,IF(ISNUMBER(MATCH(J216,Lists!$H$2:$H$4,0)),K216))</f>
        <v>0</v>
      </c>
      <c r="V216" s="287">
        <f t="shared" si="15"/>
        <v>0</v>
      </c>
      <c r="W216" s="287">
        <f t="shared" si="16"/>
        <v>0</v>
      </c>
    </row>
    <row r="217" spans="1:23" ht="21" customHeight="1">
      <c r="A217" s="318" t="s">
        <v>767</v>
      </c>
      <c r="B217" s="286"/>
      <c r="C217" s="805"/>
      <c r="D217" s="766" t="s">
        <v>767</v>
      </c>
      <c r="E217" s="767" t="s">
        <v>1053</v>
      </c>
      <c r="F217" s="327" t="s">
        <v>1054</v>
      </c>
      <c r="G217" s="328">
        <f>'Review Comments'!F242</f>
        <v>0</v>
      </c>
      <c r="H217" s="328" t="str">
        <f>'Review Comments'!G242</f>
        <v>No</v>
      </c>
      <c r="I217" s="328" t="str">
        <f t="shared" si="14"/>
        <v/>
      </c>
      <c r="J217" s="461" t="str">
        <f>IF('Review Comments'!H242=0,"",'Review Comments'!H242)</f>
        <v>Not Attempted</v>
      </c>
      <c r="K217" s="329" t="str">
        <f>IF(I217="Required","Required",IF(ISNUMBER(MATCH(J217,Lists!$H$2:$H$9,0)),I217,""))</f>
        <v/>
      </c>
      <c r="L217" s="330" t="str">
        <f>IF(I217="Required","Required",IF(ISNUMBER(MATCH(J217,Lists!$I$2:$I$9,0)),I217,IF(ISNUMBER(MATCH(J217,Lists!$J$2:$J$9,0)),I217,"")))</f>
        <v/>
      </c>
      <c r="Q217" s="287" t="b">
        <f>IF(I217="Required",0,IF(ISNUMBER(MATCH(J217,Lists!$I$2:$I$4,0)),L217))</f>
        <v>0</v>
      </c>
      <c r="R217" s="287" t="b">
        <f>IF(I217="Required",0,IF(ISNUMBER(MATCH(J217,Lists!$K$2:$K$7,0)),L217))</f>
        <v>0</v>
      </c>
      <c r="S217" s="287" t="b">
        <f>IF(I217="Required",0,IF(ISNUMBER(MATCH(J217,Lists!$G$2:$G$4,0)),L217))</f>
        <v>0</v>
      </c>
      <c r="T217" s="287" t="b">
        <f>IF(I217="Required",0,IF(ISNUMBER(MATCH(J217,Lists!$G$7:$G$8,0)),L217))</f>
        <v>0</v>
      </c>
      <c r="U217" s="287" t="b">
        <f>IF(I217="Required",0,IF(ISNUMBER(MATCH(J217,Lists!$H$2:$H$4,0)),K217))</f>
        <v>0</v>
      </c>
      <c r="V217" s="287">
        <f t="shared" si="15"/>
        <v>0</v>
      </c>
      <c r="W217" s="287">
        <f t="shared" si="16"/>
        <v>0</v>
      </c>
    </row>
    <row r="218" spans="1:23" ht="21" customHeight="1">
      <c r="A218" s="318" t="s">
        <v>767</v>
      </c>
      <c r="B218" s="286"/>
      <c r="C218" s="805"/>
      <c r="D218" s="766"/>
      <c r="E218" s="767"/>
      <c r="F218" s="327" t="s">
        <v>1055</v>
      </c>
      <c r="G218" s="328">
        <f>'Review Comments'!F243</f>
        <v>0</v>
      </c>
      <c r="H218" s="328" t="str">
        <f>'Review Comments'!G243</f>
        <v>No</v>
      </c>
      <c r="I218" s="328" t="str">
        <f t="shared" si="14"/>
        <v/>
      </c>
      <c r="J218" s="461" t="str">
        <f>IF('Review Comments'!H243=0,"",'Review Comments'!H243)</f>
        <v>Not Attempted</v>
      </c>
      <c r="K218" s="329" t="str">
        <f>IF(I218="Required","Required",IF(ISNUMBER(MATCH(J218,Lists!$H$2:$H$9,0)),I218,""))</f>
        <v/>
      </c>
      <c r="L218" s="330" t="str">
        <f>IF(I218="Required","Required",IF(ISNUMBER(MATCH(J218,Lists!$I$2:$I$9,0)),I218,IF(ISNUMBER(MATCH(J218,Lists!$J$2:$J$9,0)),I218,"")))</f>
        <v/>
      </c>
      <c r="Q218" s="287" t="b">
        <f>IF(I218="Required",0,IF(ISNUMBER(MATCH(J218,Lists!$I$2:$I$4,0)),L218))</f>
        <v>0</v>
      </c>
      <c r="R218" s="287" t="b">
        <f>IF(I218="Required",0,IF(ISNUMBER(MATCH(J218,Lists!$K$2:$K$7,0)),L218))</f>
        <v>0</v>
      </c>
      <c r="S218" s="287" t="b">
        <f>IF(I218="Required",0,IF(ISNUMBER(MATCH(J218,Lists!$G$2:$G$4,0)),L218))</f>
        <v>0</v>
      </c>
      <c r="T218" s="287" t="b">
        <f>IF(I218="Required",0,IF(ISNUMBER(MATCH(J218,Lists!$G$7:$G$8,0)),L218))</f>
        <v>0</v>
      </c>
      <c r="U218" s="287" t="b">
        <f>IF(I218="Required",0,IF(ISNUMBER(MATCH(J218,Lists!$H$2:$H$4,0)),K218))</f>
        <v>0</v>
      </c>
      <c r="V218" s="287">
        <f t="shared" si="15"/>
        <v>0</v>
      </c>
      <c r="W218" s="287">
        <f t="shared" si="16"/>
        <v>0</v>
      </c>
    </row>
    <row r="219" spans="1:23" ht="21" customHeight="1">
      <c r="A219" s="318" t="s">
        <v>767</v>
      </c>
      <c r="B219" s="286"/>
      <c r="C219" s="805"/>
      <c r="D219" s="325" t="s">
        <v>767</v>
      </c>
      <c r="E219" s="326" t="s">
        <v>1056</v>
      </c>
      <c r="F219" s="327" t="s">
        <v>1057</v>
      </c>
      <c r="G219" s="328">
        <f>'Review Comments'!F244</f>
        <v>0</v>
      </c>
      <c r="H219" s="328" t="str">
        <f>'Review Comments'!G244</f>
        <v>No</v>
      </c>
      <c r="I219" s="328" t="str">
        <f t="shared" si="14"/>
        <v/>
      </c>
      <c r="J219" s="461" t="str">
        <f>IF('Review Comments'!H244=0,"",'Review Comments'!H244)</f>
        <v>Not Attempted</v>
      </c>
      <c r="K219" s="329" t="str">
        <f>IF(I219="Required","Required",IF(ISNUMBER(MATCH(J219,Lists!$H$2:$H$9,0)),I219,""))</f>
        <v/>
      </c>
      <c r="L219" s="330" t="str">
        <f>IF(I219="Required","Required",IF(ISNUMBER(MATCH(J219,Lists!$I$2:$I$9,0)),I219,IF(ISNUMBER(MATCH(J219,Lists!$J$2:$J$9,0)),I219,"")))</f>
        <v/>
      </c>
      <c r="Q219" s="287" t="b">
        <f>IF(I219="Required",0,IF(ISNUMBER(MATCH(J219,Lists!$I$2:$I$4,0)),L219))</f>
        <v>0</v>
      </c>
      <c r="R219" s="287" t="b">
        <f>IF(I219="Required",0,IF(ISNUMBER(MATCH(J219,Lists!$K$2:$K$7,0)),L219))</f>
        <v>0</v>
      </c>
      <c r="S219" s="287" t="b">
        <f>IF(I219="Required",0,IF(ISNUMBER(MATCH(J219,Lists!$G$2:$G$4,0)),L219))</f>
        <v>0</v>
      </c>
      <c r="T219" s="287" t="b">
        <f>IF(I219="Required",0,IF(ISNUMBER(MATCH(J219,Lists!$G$7:$G$8,0)),L219))</f>
        <v>0</v>
      </c>
      <c r="U219" s="287" t="b">
        <f>IF(I219="Required",0,IF(ISNUMBER(MATCH(J219,Lists!$H$2:$H$4,0)),K219))</f>
        <v>0</v>
      </c>
      <c r="V219" s="287">
        <f t="shared" si="15"/>
        <v>0</v>
      </c>
      <c r="W219" s="287">
        <f t="shared" si="16"/>
        <v>0</v>
      </c>
    </row>
    <row r="220" spans="1:23" ht="21" customHeight="1">
      <c r="A220" s="318" t="s">
        <v>767</v>
      </c>
      <c r="B220" s="286"/>
      <c r="C220" s="805"/>
      <c r="D220" s="766" t="s">
        <v>767</v>
      </c>
      <c r="E220" s="767" t="s">
        <v>1058</v>
      </c>
      <c r="F220" s="327" t="s">
        <v>1059</v>
      </c>
      <c r="G220" s="328">
        <f>'Review Comments'!F245</f>
        <v>1</v>
      </c>
      <c r="H220" s="328" t="str">
        <f>'Review Comments'!G245</f>
        <v>Yes</v>
      </c>
      <c r="I220" s="328">
        <f t="shared" si="14"/>
        <v>1</v>
      </c>
      <c r="J220" s="461" t="str">
        <f>IF('Review Comments'!H245=0,"",'Review Comments'!H245)</f>
        <v>Achieved</v>
      </c>
      <c r="K220" s="329">
        <f>IF(I220="Required","Required",IF(ISNUMBER(MATCH(J220,Lists!$H$2:$H$9,0)),I220,""))</f>
        <v>1</v>
      </c>
      <c r="L220" s="330" t="str">
        <f>IF(I220="Required","Required",IF(ISNUMBER(MATCH(J220,Lists!$I$2:$I$9,0)),I220,IF(ISNUMBER(MATCH(J220,Lists!$J$2:$J$9,0)),I220,"")))</f>
        <v/>
      </c>
      <c r="Q220" s="287" t="b">
        <f>IF(I220="Required",0,IF(ISNUMBER(MATCH(J220,Lists!$I$2:$I$4,0)),L220))</f>
        <v>0</v>
      </c>
      <c r="R220" s="287" t="b">
        <f>IF(I220="Required",0,IF(ISNUMBER(MATCH(J220,Lists!$K$2:$K$7,0)),L220))</f>
        <v>0</v>
      </c>
      <c r="S220" s="287" t="b">
        <f>IF(I220="Required",0,IF(ISNUMBER(MATCH(J220,Lists!$G$2:$G$4,0)),L220))</f>
        <v>0</v>
      </c>
      <c r="T220" s="287" t="b">
        <f>IF(I220="Required",0,IF(ISNUMBER(MATCH(J220,Lists!$G$7:$G$8,0)),L220))</f>
        <v>0</v>
      </c>
      <c r="U220" s="287">
        <f>IF(I220="Required",0,IF(ISNUMBER(MATCH(J220,Lists!$H$2:$H$4,0)),K220))</f>
        <v>1</v>
      </c>
      <c r="V220" s="287">
        <f t="shared" si="15"/>
        <v>0</v>
      </c>
      <c r="W220" s="287">
        <f t="shared" si="16"/>
        <v>0</v>
      </c>
    </row>
    <row r="221" spans="1:23" ht="21" customHeight="1">
      <c r="A221" s="318" t="s">
        <v>767</v>
      </c>
      <c r="B221" s="286"/>
      <c r="C221" s="805"/>
      <c r="D221" s="766"/>
      <c r="E221" s="767"/>
      <c r="F221" s="327" t="s">
        <v>1060</v>
      </c>
      <c r="G221" s="328">
        <f>'Review Comments'!F246</f>
        <v>0</v>
      </c>
      <c r="H221" s="328" t="str">
        <f>'Review Comments'!G246</f>
        <v>No</v>
      </c>
      <c r="I221" s="328" t="str">
        <f t="shared" si="14"/>
        <v/>
      </c>
      <c r="J221" s="461" t="str">
        <f>IF('Review Comments'!H246=0,"",'Review Comments'!H246)</f>
        <v>Not Attempted</v>
      </c>
      <c r="K221" s="329" t="str">
        <f>IF(I221="Required","Required",IF(ISNUMBER(MATCH(J221,Lists!$H$2:$H$9,0)),I221,""))</f>
        <v/>
      </c>
      <c r="L221" s="330" t="str">
        <f>IF(I221="Required","Required",IF(ISNUMBER(MATCH(J221,Lists!$I$2:$I$9,0)),I221,IF(ISNUMBER(MATCH(J221,Lists!$J$2:$J$9,0)),I221,"")))</f>
        <v/>
      </c>
      <c r="Q221" s="287" t="b">
        <f>IF(I221="Required",0,IF(ISNUMBER(MATCH(J221,Lists!$I$2:$I$4,0)),L221))</f>
        <v>0</v>
      </c>
      <c r="R221" s="287" t="b">
        <f>IF(I221="Required",0,IF(ISNUMBER(MATCH(J221,Lists!$K$2:$K$7,0)),L221))</f>
        <v>0</v>
      </c>
      <c r="S221" s="287" t="b">
        <f>IF(I221="Required",0,IF(ISNUMBER(MATCH(J221,Lists!$G$2:$G$4,0)),L221))</f>
        <v>0</v>
      </c>
      <c r="T221" s="287" t="b">
        <f>IF(I221="Required",0,IF(ISNUMBER(MATCH(J221,Lists!$G$7:$G$8,0)),L221))</f>
        <v>0</v>
      </c>
      <c r="U221" s="287" t="b">
        <f>IF(I221="Required",0,IF(ISNUMBER(MATCH(J221,Lists!$H$2:$H$4,0)),K221))</f>
        <v>0</v>
      </c>
      <c r="V221" s="287">
        <f t="shared" si="15"/>
        <v>0</v>
      </c>
      <c r="W221" s="287">
        <f t="shared" si="16"/>
        <v>0</v>
      </c>
    </row>
    <row r="222" spans="1:23" ht="21" customHeight="1">
      <c r="A222" s="318" t="s">
        <v>767</v>
      </c>
      <c r="B222" s="286"/>
      <c r="C222" s="805"/>
      <c r="D222" s="766" t="s">
        <v>767</v>
      </c>
      <c r="E222" s="767" t="s">
        <v>1061</v>
      </c>
      <c r="F222" s="327" t="s">
        <v>1062</v>
      </c>
      <c r="G222" s="328">
        <f>'Review Comments'!F247</f>
        <v>0</v>
      </c>
      <c r="H222" s="328" t="str">
        <f>'Review Comments'!G247</f>
        <v>No</v>
      </c>
      <c r="I222" s="328" t="str">
        <f t="shared" si="14"/>
        <v/>
      </c>
      <c r="J222" s="461" t="str">
        <f>IF('Review Comments'!H247=0,"",'Review Comments'!H247)</f>
        <v>Not Attempted</v>
      </c>
      <c r="K222" s="329" t="str">
        <f>IF(I222="Required","Required",IF(ISNUMBER(MATCH(J222,Lists!$H$2:$H$9,0)),I222,""))</f>
        <v/>
      </c>
      <c r="L222" s="330" t="str">
        <f>IF(I222="Required","Required",IF(ISNUMBER(MATCH(J222,Lists!$I$2:$I$9,0)),I222,IF(ISNUMBER(MATCH(J222,Lists!$J$2:$J$9,0)),I222,"")))</f>
        <v/>
      </c>
      <c r="Q222" s="287" t="b">
        <f>IF(I222="Required",0,IF(ISNUMBER(MATCH(J222,Lists!$I$2:$I$4,0)),L222))</f>
        <v>0</v>
      </c>
      <c r="R222" s="287" t="b">
        <f>IF(I222="Required",0,IF(ISNUMBER(MATCH(J222,Lists!$K$2:$K$7,0)),L222))</f>
        <v>0</v>
      </c>
      <c r="S222" s="287" t="b">
        <f>IF(I222="Required",0,IF(ISNUMBER(MATCH(J222,Lists!$G$2:$G$4,0)),L222))</f>
        <v>0</v>
      </c>
      <c r="T222" s="287" t="b">
        <f>IF(I222="Required",0,IF(ISNUMBER(MATCH(J222,Lists!$G$7:$G$8,0)),L222))</f>
        <v>0</v>
      </c>
      <c r="U222" s="287" t="b">
        <f>IF(I222="Required",0,IF(ISNUMBER(MATCH(J222,Lists!$H$2:$H$4,0)),K222))</f>
        <v>0</v>
      </c>
      <c r="V222" s="287">
        <f t="shared" si="15"/>
        <v>0</v>
      </c>
      <c r="W222" s="287">
        <f t="shared" si="16"/>
        <v>0</v>
      </c>
    </row>
    <row r="223" spans="1:23" ht="21" customHeight="1">
      <c r="A223" s="318" t="s">
        <v>767</v>
      </c>
      <c r="B223" s="286"/>
      <c r="C223" s="805"/>
      <c r="D223" s="766"/>
      <c r="E223" s="767"/>
      <c r="F223" s="327" t="s">
        <v>1063</v>
      </c>
      <c r="G223" s="328">
        <f>'Review Comments'!F248</f>
        <v>0</v>
      </c>
      <c r="H223" s="328" t="str">
        <f>'Review Comments'!G248</f>
        <v>No</v>
      </c>
      <c r="I223" s="328" t="str">
        <f t="shared" si="14"/>
        <v/>
      </c>
      <c r="J223" s="461" t="str">
        <f>IF('Review Comments'!H248=0,"",'Review Comments'!H248)</f>
        <v>Not Attempted</v>
      </c>
      <c r="K223" s="329" t="str">
        <f>IF(I223="Required","Required",IF(ISNUMBER(MATCH(J223,Lists!$H$2:$H$9,0)),I223,""))</f>
        <v/>
      </c>
      <c r="L223" s="330" t="str">
        <f>IF(I223="Required","Required",IF(ISNUMBER(MATCH(J223,Lists!$I$2:$I$9,0)),I223,IF(ISNUMBER(MATCH(J223,Lists!$J$2:$J$9,0)),I223,"")))</f>
        <v/>
      </c>
      <c r="Q223" s="287" t="b">
        <f>IF(I223="Required",0,IF(ISNUMBER(MATCH(J223,Lists!$I$2:$I$4,0)),L223))</f>
        <v>0</v>
      </c>
      <c r="R223" s="287" t="b">
        <f>IF(I223="Required",0,IF(ISNUMBER(MATCH(J223,Lists!$K$2:$K$7,0)),L223))</f>
        <v>0</v>
      </c>
      <c r="S223" s="287" t="b">
        <f>IF(I223="Required",0,IF(ISNUMBER(MATCH(J223,Lists!$G$2:$G$4,0)),L223))</f>
        <v>0</v>
      </c>
      <c r="T223" s="287" t="b">
        <f>IF(I223="Required",0,IF(ISNUMBER(MATCH(J223,Lists!$G$7:$G$8,0)),L223))</f>
        <v>0</v>
      </c>
      <c r="U223" s="287" t="b">
        <f>IF(I223="Required",0,IF(ISNUMBER(MATCH(J223,Lists!$H$2:$H$4,0)),K223))</f>
        <v>0</v>
      </c>
      <c r="V223" s="287">
        <f t="shared" si="15"/>
        <v>0</v>
      </c>
      <c r="W223" s="287">
        <f t="shared" si="16"/>
        <v>0</v>
      </c>
    </row>
    <row r="224" spans="1:23" ht="21" customHeight="1" thickBot="1">
      <c r="A224" s="318" t="s">
        <v>767</v>
      </c>
      <c r="B224" s="286"/>
      <c r="C224" s="805"/>
      <c r="D224" s="331" t="s">
        <v>767</v>
      </c>
      <c r="E224" s="332" t="s">
        <v>1064</v>
      </c>
      <c r="F224" s="333" t="s">
        <v>1065</v>
      </c>
      <c r="G224" s="334">
        <f>'Review Comments'!F249</f>
        <v>0</v>
      </c>
      <c r="H224" s="334" t="str">
        <f>'Review Comments'!G249</f>
        <v>No</v>
      </c>
      <c r="I224" s="334" t="str">
        <f t="shared" si="14"/>
        <v/>
      </c>
      <c r="J224" s="462" t="str">
        <f>IF('Review Comments'!H249=0,"",'Review Comments'!H249)</f>
        <v>Not Attempted</v>
      </c>
      <c r="K224" s="335" t="str">
        <f>IF(I224="Required","Required",IF(ISNUMBER(MATCH(J224,Lists!$H$2:$H$9,0)),I224,""))</f>
        <v/>
      </c>
      <c r="L224" s="336" t="str">
        <f>IF(I224="Required","Required",IF(ISNUMBER(MATCH(J224,Lists!$I$2:$I$9,0)),I224,IF(ISNUMBER(MATCH(J224,Lists!$J$2:$J$9,0)),I224,"")))</f>
        <v/>
      </c>
      <c r="Q224" s="287" t="b">
        <f>IF(I224="Required",0,IF(ISNUMBER(MATCH(J224,Lists!$I$2:$I$4,0)),L224))</f>
        <v>0</v>
      </c>
      <c r="R224" s="287" t="b">
        <f>IF(I224="Required",0,IF(ISNUMBER(MATCH(J224,Lists!$K$2:$K$7,0)),L224))</f>
        <v>0</v>
      </c>
      <c r="S224" s="287" t="b">
        <f>IF(I224="Required",0,IF(ISNUMBER(MATCH(J224,Lists!$G$2:$G$4,0)),L224))</f>
        <v>0</v>
      </c>
      <c r="T224" s="287" t="b">
        <f>IF(I224="Required",0,IF(ISNUMBER(MATCH(J224,Lists!$G$7:$G$8,0)),L224))</f>
        <v>0</v>
      </c>
      <c r="U224" s="287" t="b">
        <f>IF(I224="Required",0,IF(ISNUMBER(MATCH(J224,Lists!$H$2:$H$4,0)),K224))</f>
        <v>0</v>
      </c>
      <c r="V224" s="287">
        <f t="shared" si="15"/>
        <v>0</v>
      </c>
      <c r="W224" s="287">
        <f t="shared" si="16"/>
        <v>0</v>
      </c>
    </row>
    <row r="225" spans="1:23" s="346" customFormat="1" ht="15.6">
      <c r="A225" s="463"/>
      <c r="B225" s="337"/>
      <c r="C225" s="464"/>
      <c r="D225" s="465"/>
      <c r="E225" s="466"/>
      <c r="F225" s="467"/>
      <c r="G225" s="468">
        <f>SUM(G199:G224)</f>
        <v>8</v>
      </c>
      <c r="H225" s="465"/>
      <c r="I225" s="469">
        <f>SUM(I199:I224)</f>
        <v>8</v>
      </c>
      <c r="J225" s="470"/>
      <c r="K225" s="469">
        <f>SUM(K199:K224)</f>
        <v>8</v>
      </c>
      <c r="L225" s="471">
        <f>SUM(L199:L224)</f>
        <v>0</v>
      </c>
      <c r="Q225" s="346" t="b">
        <f>IF(I225="Required",0,IF(ISNUMBER(MATCH(J225,Lists!$I$2:$I$4,0)),L225))</f>
        <v>0</v>
      </c>
      <c r="R225" s="346" t="b">
        <f>IF(I225="Required",0,IF(ISNUMBER(MATCH(J225,Lists!$K$2:$K$7,0)),L225))</f>
        <v>0</v>
      </c>
      <c r="S225" s="346" t="b">
        <f>IF(I225="Required",0,IF(ISNUMBER(MATCH(J225,Lists!$G$2:$G$4,0)),L225))</f>
        <v>0</v>
      </c>
      <c r="T225" s="346" t="b">
        <f>IF(I225="Required",0,IF(ISNUMBER(MATCH(J225,Lists!$G$7:$G$8,0)),L225))</f>
        <v>0</v>
      </c>
      <c r="U225" s="346" t="b">
        <f>IF(I225="Required",0,IF(ISNUMBER(MATCH(J225,Lists!$H$2:$H$4,0)),K225))</f>
        <v>0</v>
      </c>
      <c r="V225" s="346">
        <f t="shared" si="15"/>
        <v>0</v>
      </c>
      <c r="W225" s="287">
        <f t="shared" si="16"/>
        <v>0</v>
      </c>
    </row>
    <row r="226" spans="1:23" ht="6.6" customHeight="1" thickBot="1">
      <c r="A226" s="347"/>
      <c r="B226" s="286"/>
      <c r="C226" s="348"/>
      <c r="D226" s="347"/>
      <c r="E226" s="349"/>
      <c r="F226" s="350"/>
      <c r="G226" s="351"/>
      <c r="H226" s="351"/>
      <c r="I226" s="351"/>
      <c r="J226" s="352"/>
      <c r="K226" s="351"/>
      <c r="L226" s="353"/>
      <c r="Q226" s="287" t="b">
        <f>IF(I226="Required",0,IF(ISNUMBER(MATCH(J226,Lists!$I$2:$I$4,0)),L226))</f>
        <v>0</v>
      </c>
      <c r="R226" s="287" t="b">
        <f>IF(I226="Required",0,IF(ISNUMBER(MATCH(J226,Lists!$K$2:$K$7,0)),L226))</f>
        <v>0</v>
      </c>
      <c r="S226" s="287" t="b">
        <f>IF(I226="Required",0,IF(ISNUMBER(MATCH(J226,Lists!$G$2:$G$4,0)),L226))</f>
        <v>0</v>
      </c>
      <c r="T226" s="287" t="b">
        <f>IF(I226="Required",0,IF(ISNUMBER(MATCH(J226,Lists!$G$7:$G$8,0)),L226))</f>
        <v>0</v>
      </c>
      <c r="U226" s="287" t="b">
        <f>IF(I226="Required",0,IF(ISNUMBER(MATCH(J226,Lists!$H$2:$H$4,0)),K226))</f>
        <v>0</v>
      </c>
      <c r="V226" s="287">
        <f t="shared" si="15"/>
        <v>0</v>
      </c>
      <c r="W226" s="287">
        <f t="shared" si="16"/>
        <v>0</v>
      </c>
    </row>
    <row r="227" spans="1:23" ht="21" customHeight="1">
      <c r="A227" s="318" t="s">
        <v>752</v>
      </c>
      <c r="B227" s="286"/>
      <c r="C227" s="815" t="s">
        <v>1066</v>
      </c>
      <c r="D227" s="777" t="s">
        <v>752</v>
      </c>
      <c r="E227" s="779" t="s">
        <v>1067</v>
      </c>
      <c r="F227" s="357" t="s">
        <v>1068</v>
      </c>
      <c r="G227" s="358">
        <f>'Review Comments'!F255</f>
        <v>0</v>
      </c>
      <c r="H227" s="358" t="str">
        <f>'Review Comments'!G255</f>
        <v>Required</v>
      </c>
      <c r="I227" s="358" t="str">
        <f t="shared" ref="I227:I270" si="17">IF(H227="Yes",G227,IF(H227="Required","Required",""))</f>
        <v>Required</v>
      </c>
      <c r="J227" s="381" t="str">
        <f>IF('Review Comments'!H255=0,"",'Review Comments'!H255)</f>
        <v>Achieved</v>
      </c>
      <c r="K227" s="358" t="str">
        <f>IF(I227="Required","Required",IF(ISNUMBER(MATCH(J227,Lists!$H$2:$H$9,0)),I227,""))</f>
        <v>Required</v>
      </c>
      <c r="L227" s="431" t="str">
        <f>IF(I227="Required","Required",IF(ISNUMBER(MATCH(J227,Lists!$I$2:$I$9,0)),I227,IF(ISNUMBER(MATCH(J227,Lists!$J$2:$J$9,0)),I227,"")))</f>
        <v>Required</v>
      </c>
      <c r="Q227" s="287">
        <f>IF(I227="Required",0,IF(ISNUMBER(MATCH(J227,Lists!$I$2:$I$4,0)),L227))</f>
        <v>0</v>
      </c>
      <c r="R227" s="287">
        <f>IF(I227="Required",0,IF(ISNUMBER(MATCH(J227,Lists!$K$2:$K$7,0)),L227))</f>
        <v>0</v>
      </c>
      <c r="S227" s="287">
        <f>IF(I227="Required",0,IF(ISNUMBER(MATCH(J227,Lists!$G$2:$G$4,0)),L227))</f>
        <v>0</v>
      </c>
      <c r="T227" s="287">
        <f>IF(I227="Required",0,IF(ISNUMBER(MATCH(J227,Lists!$G$7:$G$8,0)),L227))</f>
        <v>0</v>
      </c>
      <c r="U227" s="287">
        <f>IF(I227="Required",0,IF(ISNUMBER(MATCH(J227,Lists!$H$2:$H$4,0)),K227))</f>
        <v>0</v>
      </c>
      <c r="V227" s="287">
        <f t="shared" si="15"/>
        <v>0</v>
      </c>
      <c r="W227" s="287">
        <f t="shared" si="16"/>
        <v>0</v>
      </c>
    </row>
    <row r="228" spans="1:23" ht="21" customHeight="1">
      <c r="A228" s="318" t="s">
        <v>752</v>
      </c>
      <c r="B228" s="286"/>
      <c r="C228" s="816"/>
      <c r="D228" s="778"/>
      <c r="E228" s="780"/>
      <c r="F228" s="361" t="s">
        <v>1069</v>
      </c>
      <c r="G228" s="362">
        <f>'Review Comments'!F256</f>
        <v>0</v>
      </c>
      <c r="H228" s="362" t="str">
        <f>'Review Comments'!G256</f>
        <v>Required</v>
      </c>
      <c r="I228" s="362" t="str">
        <f t="shared" si="17"/>
        <v>Required</v>
      </c>
      <c r="J228" s="382" t="str">
        <f>IF('Review Comments'!H256=0,"",'Review Comments'!H256)</f>
        <v>Achieved</v>
      </c>
      <c r="K228" s="362" t="str">
        <f>IF(I228="Required","Required",IF(ISNUMBER(MATCH(J228,Lists!$H$2:$H$9,0)),I228,""))</f>
        <v>Required</v>
      </c>
      <c r="L228" s="432" t="str">
        <f>IF(I228="Required","Required",IF(ISNUMBER(MATCH(J228,Lists!$I$2:$I$9,0)),I228,IF(ISNUMBER(MATCH(J228,Lists!$J$2:$J$9,0)),I228,"")))</f>
        <v>Required</v>
      </c>
      <c r="Q228" s="287">
        <f>IF(I228="Required",0,IF(ISNUMBER(MATCH(J228,Lists!$I$2:$I$4,0)),L228))</f>
        <v>0</v>
      </c>
      <c r="R228" s="287">
        <f>IF(I228="Required",0,IF(ISNUMBER(MATCH(J228,Lists!$K$2:$K$7,0)),L228))</f>
        <v>0</v>
      </c>
      <c r="S228" s="287">
        <f>IF(I228="Required",0,IF(ISNUMBER(MATCH(J228,Lists!$G$2:$G$4,0)),L228))</f>
        <v>0</v>
      </c>
      <c r="T228" s="287">
        <f>IF(I228="Required",0,IF(ISNUMBER(MATCH(J228,Lists!$G$7:$G$8,0)),L228))</f>
        <v>0</v>
      </c>
      <c r="U228" s="287">
        <f>IF(I228="Required",0,IF(ISNUMBER(MATCH(J228,Lists!$H$2:$H$4,0)),K228))</f>
        <v>0</v>
      </c>
      <c r="V228" s="287">
        <f t="shared" si="15"/>
        <v>0</v>
      </c>
      <c r="W228" s="287">
        <f t="shared" si="16"/>
        <v>0</v>
      </c>
    </row>
    <row r="229" spans="1:23" ht="21" customHeight="1">
      <c r="A229" s="318" t="s">
        <v>752</v>
      </c>
      <c r="B229" s="286"/>
      <c r="C229" s="816"/>
      <c r="D229" s="778" t="s">
        <v>752</v>
      </c>
      <c r="E229" s="780" t="s">
        <v>1070</v>
      </c>
      <c r="F229" s="361" t="s">
        <v>1071</v>
      </c>
      <c r="G229" s="362">
        <f>'Review Comments'!F257</f>
        <v>0</v>
      </c>
      <c r="H229" s="362" t="str">
        <f>'Review Comments'!G257</f>
        <v>Required</v>
      </c>
      <c r="I229" s="362" t="str">
        <f t="shared" si="17"/>
        <v>Required</v>
      </c>
      <c r="J229" s="382" t="str">
        <f>IF('Review Comments'!H257=0,"",'Review Comments'!H257)</f>
        <v>Achieved</v>
      </c>
      <c r="K229" s="362" t="str">
        <f>IF(I229="Required","Required",IF(ISNUMBER(MATCH(J229,Lists!$H$2:$H$9,0)),I229,""))</f>
        <v>Required</v>
      </c>
      <c r="L229" s="432" t="str">
        <f>IF(I229="Required","Required",IF(ISNUMBER(MATCH(J229,Lists!$I$2:$I$9,0)),I229,IF(ISNUMBER(MATCH(J229,Lists!$J$2:$J$9,0)),I229,"")))</f>
        <v>Required</v>
      </c>
      <c r="Q229" s="287">
        <f>IF(I229="Required",0,IF(ISNUMBER(MATCH(J229,Lists!$I$2:$I$4,0)),L229))</f>
        <v>0</v>
      </c>
      <c r="R229" s="287">
        <f>IF(I229="Required",0,IF(ISNUMBER(MATCH(J229,Lists!$K$2:$K$7,0)),L229))</f>
        <v>0</v>
      </c>
      <c r="S229" s="287">
        <f>IF(I229="Required",0,IF(ISNUMBER(MATCH(J229,Lists!$G$2:$G$4,0)),L229))</f>
        <v>0</v>
      </c>
      <c r="T229" s="287">
        <f>IF(I229="Required",0,IF(ISNUMBER(MATCH(J229,Lists!$G$7:$G$8,0)),L229))</f>
        <v>0</v>
      </c>
      <c r="U229" s="287">
        <f>IF(I229="Required",0,IF(ISNUMBER(MATCH(J229,Lists!$H$2:$H$4,0)),K229))</f>
        <v>0</v>
      </c>
      <c r="V229" s="287">
        <f t="shared" si="15"/>
        <v>0</v>
      </c>
      <c r="W229" s="287">
        <f t="shared" si="16"/>
        <v>0</v>
      </c>
    </row>
    <row r="230" spans="1:23" ht="21" customHeight="1">
      <c r="A230" s="318" t="s">
        <v>752</v>
      </c>
      <c r="B230" s="286"/>
      <c r="C230" s="816"/>
      <c r="D230" s="778"/>
      <c r="E230" s="780"/>
      <c r="F230" s="361" t="s">
        <v>1072</v>
      </c>
      <c r="G230" s="362">
        <f>'Review Comments'!F258</f>
        <v>0</v>
      </c>
      <c r="H230" s="362" t="str">
        <f>'Review Comments'!G258</f>
        <v>Required</v>
      </c>
      <c r="I230" s="362" t="str">
        <f t="shared" si="17"/>
        <v>Required</v>
      </c>
      <c r="J230" s="382" t="str">
        <f>IF('Review Comments'!H258=0,"",'Review Comments'!H258)</f>
        <v>Achieved</v>
      </c>
      <c r="K230" s="362" t="str">
        <f>IF(I230="Required","Required",IF(ISNUMBER(MATCH(J230,Lists!$H$2:$H$9,0)),I230,""))</f>
        <v>Required</v>
      </c>
      <c r="L230" s="432" t="str">
        <f>IF(I230="Required","Required",IF(ISNUMBER(MATCH(J230,Lists!$I$2:$I$9,0)),I230,IF(ISNUMBER(MATCH(J230,Lists!$J$2:$J$9,0)),I230,"")))</f>
        <v>Required</v>
      </c>
      <c r="Q230" s="287">
        <f>IF(I230="Required",0,IF(ISNUMBER(MATCH(J230,Lists!$I$2:$I$4,0)),L230))</f>
        <v>0</v>
      </c>
      <c r="R230" s="287">
        <f>IF(I230="Required",0,IF(ISNUMBER(MATCH(J230,Lists!$K$2:$K$7,0)),L230))</f>
        <v>0</v>
      </c>
      <c r="S230" s="287">
        <f>IF(I230="Required",0,IF(ISNUMBER(MATCH(J230,Lists!$G$2:$G$4,0)),L230))</f>
        <v>0</v>
      </c>
      <c r="T230" s="287">
        <f>IF(I230="Required",0,IF(ISNUMBER(MATCH(J230,Lists!$G$7:$G$8,0)),L230))</f>
        <v>0</v>
      </c>
      <c r="U230" s="287">
        <f>IF(I230="Required",0,IF(ISNUMBER(MATCH(J230,Lists!$H$2:$H$4,0)),K230))</f>
        <v>0</v>
      </c>
      <c r="V230" s="287">
        <f t="shared" si="15"/>
        <v>0</v>
      </c>
      <c r="W230" s="287">
        <f t="shared" si="16"/>
        <v>0</v>
      </c>
    </row>
    <row r="231" spans="1:23" ht="21" customHeight="1">
      <c r="A231" s="318" t="s">
        <v>752</v>
      </c>
      <c r="B231" s="286"/>
      <c r="C231" s="816"/>
      <c r="D231" s="778"/>
      <c r="E231" s="780"/>
      <c r="F231" s="361" t="s">
        <v>1073</v>
      </c>
      <c r="G231" s="362">
        <f>'Review Comments'!F259</f>
        <v>0</v>
      </c>
      <c r="H231" s="362" t="str">
        <f>'Review Comments'!G259</f>
        <v>Required</v>
      </c>
      <c r="I231" s="362" t="str">
        <f t="shared" si="17"/>
        <v>Required</v>
      </c>
      <c r="J231" s="382" t="str">
        <f>IF('Review Comments'!H259=0,"",'Review Comments'!H259)</f>
        <v>Achieved</v>
      </c>
      <c r="K231" s="362" t="str">
        <f>IF(I231="Required","Required",IF(ISNUMBER(MATCH(J231,Lists!$H$2:$H$9,0)),I231,""))</f>
        <v>Required</v>
      </c>
      <c r="L231" s="432" t="str">
        <f>IF(I231="Required","Required",IF(ISNUMBER(MATCH(J231,Lists!$I$2:$I$9,0)),I231,IF(ISNUMBER(MATCH(J231,Lists!$J$2:$J$9,0)),I231,"")))</f>
        <v>Required</v>
      </c>
      <c r="Q231" s="287">
        <f>IF(I231="Required",0,IF(ISNUMBER(MATCH(J231,Lists!$I$2:$I$4,0)),L231))</f>
        <v>0</v>
      </c>
      <c r="R231" s="287">
        <f>IF(I231="Required",0,IF(ISNUMBER(MATCH(J231,Lists!$K$2:$K$7,0)),L231))</f>
        <v>0</v>
      </c>
      <c r="S231" s="287">
        <f>IF(I231="Required",0,IF(ISNUMBER(MATCH(J231,Lists!$G$2:$G$4,0)),L231))</f>
        <v>0</v>
      </c>
      <c r="T231" s="287">
        <f>IF(I231="Required",0,IF(ISNUMBER(MATCH(J231,Lists!$G$7:$G$8,0)),L231))</f>
        <v>0</v>
      </c>
      <c r="U231" s="287">
        <f>IF(I231="Required",0,IF(ISNUMBER(MATCH(J231,Lists!$H$2:$H$4,0)),K231))</f>
        <v>0</v>
      </c>
      <c r="V231" s="287">
        <f t="shared" si="15"/>
        <v>0</v>
      </c>
      <c r="W231" s="287">
        <f t="shared" si="16"/>
        <v>0</v>
      </c>
    </row>
    <row r="232" spans="1:23" ht="21" customHeight="1">
      <c r="A232" s="318" t="s">
        <v>752</v>
      </c>
      <c r="B232" s="286"/>
      <c r="C232" s="816"/>
      <c r="D232" s="778"/>
      <c r="E232" s="780"/>
      <c r="F232" s="361" t="s">
        <v>1074</v>
      </c>
      <c r="G232" s="362">
        <f>'Review Comments'!F260</f>
        <v>0</v>
      </c>
      <c r="H232" s="362" t="str">
        <f>'Review Comments'!G260</f>
        <v>Required</v>
      </c>
      <c r="I232" s="362" t="str">
        <f t="shared" si="17"/>
        <v>Required</v>
      </c>
      <c r="J232" s="382" t="str">
        <f>IF('Review Comments'!H260=0,"",'Review Comments'!H260)</f>
        <v>Achieved</v>
      </c>
      <c r="K232" s="362" t="str">
        <f>IF(I232="Required","Required",IF(ISNUMBER(MATCH(J232,Lists!$H$2:$H$9,0)),I232,""))</f>
        <v>Required</v>
      </c>
      <c r="L232" s="432" t="str">
        <f>IF(I232="Required","Required",IF(ISNUMBER(MATCH(J232,Lists!$I$2:$I$9,0)),I232,IF(ISNUMBER(MATCH(J232,Lists!$J$2:$J$9,0)),I232,"")))</f>
        <v>Required</v>
      </c>
      <c r="Q232" s="287">
        <f>IF(I232="Required",0,IF(ISNUMBER(MATCH(J232,Lists!$I$2:$I$4,0)),L232))</f>
        <v>0</v>
      </c>
      <c r="R232" s="287">
        <f>IF(I232="Required",0,IF(ISNUMBER(MATCH(J232,Lists!$K$2:$K$7,0)),L232))</f>
        <v>0</v>
      </c>
      <c r="S232" s="287">
        <f>IF(I232="Required",0,IF(ISNUMBER(MATCH(J232,Lists!$G$2:$G$4,0)),L232))</f>
        <v>0</v>
      </c>
      <c r="T232" s="287">
        <f>IF(I232="Required",0,IF(ISNUMBER(MATCH(J232,Lists!$G$7:$G$8,0)),L232))</f>
        <v>0</v>
      </c>
      <c r="U232" s="287">
        <f>IF(I232="Required",0,IF(ISNUMBER(MATCH(J232,Lists!$H$2:$H$4,0)),K232))</f>
        <v>0</v>
      </c>
      <c r="V232" s="287">
        <f t="shared" si="15"/>
        <v>0</v>
      </c>
      <c r="W232" s="287">
        <f t="shared" si="16"/>
        <v>0</v>
      </c>
    </row>
    <row r="233" spans="1:23" ht="21" customHeight="1">
      <c r="A233" s="318" t="s">
        <v>752</v>
      </c>
      <c r="B233" s="286"/>
      <c r="C233" s="816"/>
      <c r="D233" s="778" t="s">
        <v>752</v>
      </c>
      <c r="E233" s="780" t="s">
        <v>1075</v>
      </c>
      <c r="F233" s="361" t="s">
        <v>1076</v>
      </c>
      <c r="G233" s="362">
        <f>'Review Comments'!F261</f>
        <v>0</v>
      </c>
      <c r="H233" s="362" t="str">
        <f>'Review Comments'!G261</f>
        <v>Required</v>
      </c>
      <c r="I233" s="362" t="str">
        <f t="shared" si="17"/>
        <v>Required</v>
      </c>
      <c r="J233" s="382" t="str">
        <f>IF('Review Comments'!H261=0,"",'Review Comments'!H261)</f>
        <v>Achieved</v>
      </c>
      <c r="K233" s="362" t="str">
        <f>IF(I233="Required","Required",IF(ISNUMBER(MATCH(J233,Lists!$H$2:$H$9,0)),I233,""))</f>
        <v>Required</v>
      </c>
      <c r="L233" s="432" t="str">
        <f>IF(I233="Required","Required",IF(ISNUMBER(MATCH(J233,Lists!$I$2:$I$9,0)),I233,IF(ISNUMBER(MATCH(J233,Lists!$J$2:$J$9,0)),I233,"")))</f>
        <v>Required</v>
      </c>
      <c r="Q233" s="287">
        <f>IF(I233="Required",0,IF(ISNUMBER(MATCH(J233,Lists!$I$2:$I$4,0)),L233))</f>
        <v>0</v>
      </c>
      <c r="R233" s="287">
        <f>IF(I233="Required",0,IF(ISNUMBER(MATCH(J233,Lists!$K$2:$K$7,0)),L233))</f>
        <v>0</v>
      </c>
      <c r="S233" s="287">
        <f>IF(I233="Required",0,IF(ISNUMBER(MATCH(J233,Lists!$G$2:$G$4,0)),L233))</f>
        <v>0</v>
      </c>
      <c r="T233" s="287">
        <f>IF(I233="Required",0,IF(ISNUMBER(MATCH(J233,Lists!$G$7:$G$8,0)),L233))</f>
        <v>0</v>
      </c>
      <c r="U233" s="287">
        <f>IF(I233="Required",0,IF(ISNUMBER(MATCH(J233,Lists!$H$2:$H$4,0)),K233))</f>
        <v>0</v>
      </c>
      <c r="V233" s="287">
        <f t="shared" si="15"/>
        <v>0</v>
      </c>
      <c r="W233" s="287">
        <f t="shared" si="16"/>
        <v>0</v>
      </c>
    </row>
    <row r="234" spans="1:23" ht="21" customHeight="1">
      <c r="A234" s="318" t="s">
        <v>752</v>
      </c>
      <c r="B234" s="286"/>
      <c r="C234" s="816"/>
      <c r="D234" s="778"/>
      <c r="E234" s="780"/>
      <c r="F234" s="361" t="s">
        <v>1077</v>
      </c>
      <c r="G234" s="362">
        <f>'Review Comments'!F262</f>
        <v>0</v>
      </c>
      <c r="H234" s="362" t="str">
        <f>'Review Comments'!G262</f>
        <v>Required</v>
      </c>
      <c r="I234" s="362" t="str">
        <f t="shared" si="17"/>
        <v>Required</v>
      </c>
      <c r="J234" s="382" t="str">
        <f>IF('Review Comments'!H262=0,"",'Review Comments'!H262)</f>
        <v>Achieved</v>
      </c>
      <c r="K234" s="362" t="str">
        <f>IF(I234="Required","Required",IF(ISNUMBER(MATCH(J234,Lists!$H$2:$H$9,0)),I234,""))</f>
        <v>Required</v>
      </c>
      <c r="L234" s="432" t="str">
        <f>IF(I234="Required","Required",IF(ISNUMBER(MATCH(J234,Lists!$I$2:$I$9,0)),I234,IF(ISNUMBER(MATCH(J234,Lists!$J$2:$J$9,0)),I234,"")))</f>
        <v>Required</v>
      </c>
      <c r="Q234" s="287">
        <f>IF(I234="Required",0,IF(ISNUMBER(MATCH(J234,Lists!$I$2:$I$4,0)),L234))</f>
        <v>0</v>
      </c>
      <c r="R234" s="287">
        <f>IF(I234="Required",0,IF(ISNUMBER(MATCH(J234,Lists!$K$2:$K$7,0)),L234))</f>
        <v>0</v>
      </c>
      <c r="S234" s="287">
        <f>IF(I234="Required",0,IF(ISNUMBER(MATCH(J234,Lists!$G$2:$G$4,0)),L234))</f>
        <v>0</v>
      </c>
      <c r="T234" s="287">
        <f>IF(I234="Required",0,IF(ISNUMBER(MATCH(J234,Lists!$G$7:$G$8,0)),L234))</f>
        <v>0</v>
      </c>
      <c r="U234" s="287">
        <f>IF(I234="Required",0,IF(ISNUMBER(MATCH(J234,Lists!$H$2:$H$4,0)),K234))</f>
        <v>0</v>
      </c>
      <c r="V234" s="287">
        <f t="shared" si="15"/>
        <v>0</v>
      </c>
      <c r="W234" s="287">
        <f t="shared" si="16"/>
        <v>0</v>
      </c>
    </row>
    <row r="235" spans="1:23" ht="21" customHeight="1">
      <c r="A235" s="318" t="s">
        <v>767</v>
      </c>
      <c r="B235" s="286"/>
      <c r="C235" s="816"/>
      <c r="D235" s="778" t="s">
        <v>767</v>
      </c>
      <c r="E235" s="780" t="s">
        <v>1078</v>
      </c>
      <c r="F235" s="361" t="s">
        <v>1079</v>
      </c>
      <c r="G235" s="362">
        <f>'Review Comments'!F263</f>
        <v>0</v>
      </c>
      <c r="H235" s="362" t="str">
        <f>'Review Comments'!G263</f>
        <v>No</v>
      </c>
      <c r="I235" s="362" t="str">
        <f t="shared" si="17"/>
        <v/>
      </c>
      <c r="J235" s="382" t="str">
        <f>IF('Review Comments'!H263=0,"",'Review Comments'!H263)</f>
        <v>Not Attempted</v>
      </c>
      <c r="K235" s="362" t="str">
        <f>IF(I235="Required","Required",IF(ISNUMBER(MATCH(J235,Lists!$H$2:$H$9,0)),I235,""))</f>
        <v/>
      </c>
      <c r="L235" s="432" t="str">
        <f>IF(I235="Required","Required",IF(ISNUMBER(MATCH(J235,Lists!$I$2:$I$9,0)),I235,IF(ISNUMBER(MATCH(J235,Lists!$J$2:$J$9,0)),I235,"")))</f>
        <v/>
      </c>
      <c r="Q235" s="287" t="b">
        <f>IF(I235="Required",0,IF(ISNUMBER(MATCH(J235,Lists!$I$2:$I$4,0)),L235))</f>
        <v>0</v>
      </c>
      <c r="R235" s="287" t="b">
        <f>IF(I235="Required",0,IF(ISNUMBER(MATCH(J235,Lists!$K$2:$K$7,0)),L235))</f>
        <v>0</v>
      </c>
      <c r="S235" s="287" t="b">
        <f>IF(I235="Required",0,IF(ISNUMBER(MATCH(J235,Lists!$G$2:$G$4,0)),L235))</f>
        <v>0</v>
      </c>
      <c r="T235" s="287" t="b">
        <f>IF(I235="Required",0,IF(ISNUMBER(MATCH(J235,Lists!$G$7:$G$8,0)),L235))</f>
        <v>0</v>
      </c>
      <c r="U235" s="287" t="b">
        <f>IF(I235="Required",0,IF(ISNUMBER(MATCH(J235,Lists!$H$2:$H$4,0)),K235))</f>
        <v>0</v>
      </c>
      <c r="V235" s="287">
        <f t="shared" si="15"/>
        <v>0</v>
      </c>
      <c r="W235" s="287">
        <f t="shared" si="16"/>
        <v>0</v>
      </c>
    </row>
    <row r="236" spans="1:23" ht="21" customHeight="1">
      <c r="A236" s="318" t="s">
        <v>767</v>
      </c>
      <c r="B236" s="286"/>
      <c r="C236" s="816"/>
      <c r="D236" s="778"/>
      <c r="E236" s="780"/>
      <c r="F236" s="361" t="s">
        <v>1080</v>
      </c>
      <c r="G236" s="362">
        <f>'Review Comments'!F264</f>
        <v>0</v>
      </c>
      <c r="H236" s="362" t="str">
        <f>'Review Comments'!G264</f>
        <v>No</v>
      </c>
      <c r="I236" s="362" t="str">
        <f t="shared" si="17"/>
        <v/>
      </c>
      <c r="J236" s="382" t="str">
        <f>IF('Review Comments'!H264=0,"",'Review Comments'!H264)</f>
        <v>Not Attempted</v>
      </c>
      <c r="K236" s="362" t="str">
        <f>IF(I236="Required","Required",IF(ISNUMBER(MATCH(J236,Lists!$H$2:$H$9,0)),I236,""))</f>
        <v/>
      </c>
      <c r="L236" s="432" t="str">
        <f>IF(I236="Required","Required",IF(ISNUMBER(MATCH(J236,Lists!$I$2:$I$9,0)),I236,IF(ISNUMBER(MATCH(J236,Lists!$J$2:$J$9,0)),I236,"")))</f>
        <v/>
      </c>
      <c r="Q236" s="287" t="b">
        <f>IF(I236="Required",0,IF(ISNUMBER(MATCH(J236,Lists!$I$2:$I$4,0)),L236))</f>
        <v>0</v>
      </c>
      <c r="R236" s="287" t="b">
        <f>IF(I236="Required",0,IF(ISNUMBER(MATCH(J236,Lists!$K$2:$K$7,0)),L236))</f>
        <v>0</v>
      </c>
      <c r="S236" s="287" t="b">
        <f>IF(I236="Required",0,IF(ISNUMBER(MATCH(J236,Lists!$G$2:$G$4,0)),L236))</f>
        <v>0</v>
      </c>
      <c r="T236" s="287" t="b">
        <f>IF(I236="Required",0,IF(ISNUMBER(MATCH(J236,Lists!$G$7:$G$8,0)),L236))</f>
        <v>0</v>
      </c>
      <c r="U236" s="287" t="b">
        <f>IF(I236="Required",0,IF(ISNUMBER(MATCH(J236,Lists!$H$2:$H$4,0)),K236))</f>
        <v>0</v>
      </c>
      <c r="V236" s="287">
        <f t="shared" si="15"/>
        <v>0</v>
      </c>
      <c r="W236" s="287">
        <f t="shared" si="16"/>
        <v>0</v>
      </c>
    </row>
    <row r="237" spans="1:23" ht="21" customHeight="1">
      <c r="A237" s="318" t="s">
        <v>767</v>
      </c>
      <c r="B237" s="286"/>
      <c r="C237" s="816"/>
      <c r="D237" s="778"/>
      <c r="E237" s="780"/>
      <c r="F237" s="361" t="s">
        <v>1081</v>
      </c>
      <c r="G237" s="362">
        <f>'Review Comments'!F265</f>
        <v>0</v>
      </c>
      <c r="H237" s="362" t="str">
        <f>'Review Comments'!G265</f>
        <v>No</v>
      </c>
      <c r="I237" s="362" t="str">
        <f t="shared" si="17"/>
        <v/>
      </c>
      <c r="J237" s="382" t="str">
        <f>IF('Review Comments'!H265=0,"",'Review Comments'!H265)</f>
        <v>Not Attempted</v>
      </c>
      <c r="K237" s="362" t="str">
        <f>IF(I237="Required","Required",IF(ISNUMBER(MATCH(J237,Lists!$H$2:$H$9,0)),I237,""))</f>
        <v/>
      </c>
      <c r="L237" s="432" t="str">
        <f>IF(I237="Required","Required",IF(ISNUMBER(MATCH(J237,Lists!$I$2:$I$9,0)),I237,IF(ISNUMBER(MATCH(J237,Lists!$J$2:$J$9,0)),I237,"")))</f>
        <v/>
      </c>
      <c r="Q237" s="287" t="b">
        <f>IF(I237="Required",0,IF(ISNUMBER(MATCH(J237,Lists!$I$2:$I$4,0)),L237))</f>
        <v>0</v>
      </c>
      <c r="R237" s="287" t="b">
        <f>IF(I237="Required",0,IF(ISNUMBER(MATCH(J237,Lists!$K$2:$K$7,0)),L237))</f>
        <v>0</v>
      </c>
      <c r="S237" s="287" t="b">
        <f>IF(I237="Required",0,IF(ISNUMBER(MATCH(J237,Lists!$G$2:$G$4,0)),L237))</f>
        <v>0</v>
      </c>
      <c r="T237" s="287" t="b">
        <f>IF(I237="Required",0,IF(ISNUMBER(MATCH(J237,Lists!$G$7:$G$8,0)),L237))</f>
        <v>0</v>
      </c>
      <c r="U237" s="287" t="b">
        <f>IF(I237="Required",0,IF(ISNUMBER(MATCH(J237,Lists!$H$2:$H$4,0)),K237))</f>
        <v>0</v>
      </c>
      <c r="V237" s="287">
        <f t="shared" si="15"/>
        <v>0</v>
      </c>
      <c r="W237" s="287">
        <f t="shared" si="16"/>
        <v>0</v>
      </c>
    </row>
    <row r="238" spans="1:23" ht="21" customHeight="1">
      <c r="A238" s="318" t="s">
        <v>767</v>
      </c>
      <c r="B238" s="286"/>
      <c r="C238" s="816"/>
      <c r="D238" s="778"/>
      <c r="E238" s="780"/>
      <c r="F238" s="361" t="s">
        <v>1082</v>
      </c>
      <c r="G238" s="362">
        <f>'Review Comments'!F266</f>
        <v>0</v>
      </c>
      <c r="H238" s="362" t="str">
        <f>'Review Comments'!G266</f>
        <v>No</v>
      </c>
      <c r="I238" s="362" t="str">
        <f t="shared" si="17"/>
        <v/>
      </c>
      <c r="J238" s="382" t="str">
        <f>IF('Review Comments'!H266=0,"",'Review Comments'!H266)</f>
        <v>Not Attempted</v>
      </c>
      <c r="K238" s="362" t="str">
        <f>IF(I238="Required","Required",IF(ISNUMBER(MATCH(J238,Lists!$H$2:$H$9,0)),I238,""))</f>
        <v/>
      </c>
      <c r="L238" s="432" t="str">
        <f>IF(I238="Required","Required",IF(ISNUMBER(MATCH(J238,Lists!$I$2:$I$9,0)),I238,IF(ISNUMBER(MATCH(J238,Lists!$J$2:$J$9,0)),I238,"")))</f>
        <v/>
      </c>
      <c r="Q238" s="287" t="b">
        <f>IF(I238="Required",0,IF(ISNUMBER(MATCH(J238,Lists!$I$2:$I$4,0)),L238))</f>
        <v>0</v>
      </c>
      <c r="R238" s="287" t="b">
        <f>IF(I238="Required",0,IF(ISNUMBER(MATCH(J238,Lists!$K$2:$K$7,0)),L238))</f>
        <v>0</v>
      </c>
      <c r="S238" s="287" t="b">
        <f>IF(I238="Required",0,IF(ISNUMBER(MATCH(J238,Lists!$G$2:$G$4,0)),L238))</f>
        <v>0</v>
      </c>
      <c r="T238" s="287" t="b">
        <f>IF(I238="Required",0,IF(ISNUMBER(MATCH(J238,Lists!$G$7:$G$8,0)),L238))</f>
        <v>0</v>
      </c>
      <c r="U238" s="287" t="b">
        <f>IF(I238="Required",0,IF(ISNUMBER(MATCH(J238,Lists!$H$2:$H$4,0)),K238))</f>
        <v>0</v>
      </c>
      <c r="V238" s="287">
        <f t="shared" si="15"/>
        <v>0</v>
      </c>
      <c r="W238" s="287">
        <f t="shared" si="16"/>
        <v>0</v>
      </c>
    </row>
    <row r="239" spans="1:23" ht="21" customHeight="1">
      <c r="A239" s="318" t="s">
        <v>767</v>
      </c>
      <c r="B239" s="286"/>
      <c r="C239" s="816"/>
      <c r="D239" s="778" t="s">
        <v>767</v>
      </c>
      <c r="E239" s="780" t="s">
        <v>1083</v>
      </c>
      <c r="F239" s="361" t="s">
        <v>1084</v>
      </c>
      <c r="G239" s="362">
        <f>'Review Comments'!F267</f>
        <v>2</v>
      </c>
      <c r="H239" s="362" t="str">
        <f>'Review Comments'!G267</f>
        <v>Yes</v>
      </c>
      <c r="I239" s="362">
        <f t="shared" si="17"/>
        <v>2</v>
      </c>
      <c r="J239" s="382" t="str">
        <f>IF('Review Comments'!H267=0,"",'Review Comments'!H267)</f>
        <v>Achieved</v>
      </c>
      <c r="K239" s="362">
        <f>IF(I239="Required","Required",IF(ISNUMBER(MATCH(J239,Lists!$H$2:$H$9,0)),I239,""))</f>
        <v>2</v>
      </c>
      <c r="L239" s="432" t="str">
        <f>IF(I239="Required","Required",IF(ISNUMBER(MATCH(J239,Lists!$I$2:$I$9,0)),I239,IF(ISNUMBER(MATCH(J239,Lists!$J$2:$J$9,0)),I239,"")))</f>
        <v/>
      </c>
      <c r="Q239" s="287" t="b">
        <f>IF(I239="Required",0,IF(ISNUMBER(MATCH(J239,Lists!$I$2:$I$4,0)),L239))</f>
        <v>0</v>
      </c>
      <c r="R239" s="287" t="b">
        <f>IF(I239="Required",0,IF(ISNUMBER(MATCH(J239,Lists!$K$2:$K$7,0)),L239))</f>
        <v>0</v>
      </c>
      <c r="S239" s="287" t="b">
        <f>IF(I239="Required",0,IF(ISNUMBER(MATCH(J239,Lists!$G$2:$G$4,0)),L239))</f>
        <v>0</v>
      </c>
      <c r="T239" s="287" t="b">
        <f>IF(I239="Required",0,IF(ISNUMBER(MATCH(J239,Lists!$G$7:$G$8,0)),L239))</f>
        <v>0</v>
      </c>
      <c r="U239" s="287">
        <f>IF(I239="Required",0,IF(ISNUMBER(MATCH(J239,Lists!$H$2:$H$4,0)),K239))</f>
        <v>2</v>
      </c>
      <c r="V239" s="287">
        <f t="shared" si="15"/>
        <v>0</v>
      </c>
      <c r="W239" s="287">
        <f t="shared" si="16"/>
        <v>0</v>
      </c>
    </row>
    <row r="240" spans="1:23" ht="21" customHeight="1">
      <c r="A240" s="318" t="s">
        <v>767</v>
      </c>
      <c r="B240" s="286"/>
      <c r="C240" s="816"/>
      <c r="D240" s="778"/>
      <c r="E240" s="780"/>
      <c r="F240" s="361" t="s">
        <v>1085</v>
      </c>
      <c r="G240" s="362">
        <f>'Review Comments'!F268</f>
        <v>0</v>
      </c>
      <c r="H240" s="362" t="str">
        <f>'Review Comments'!G268</f>
        <v>No</v>
      </c>
      <c r="I240" s="362" t="str">
        <f t="shared" si="17"/>
        <v/>
      </c>
      <c r="J240" s="382" t="str">
        <f>IF('Review Comments'!H268=0,"",'Review Comments'!H268)</f>
        <v>Not Attempted</v>
      </c>
      <c r="K240" s="362" t="str">
        <f>IF(I240="Required","Required",IF(ISNUMBER(MATCH(J240,Lists!$H$2:$H$9,0)),I240,""))</f>
        <v/>
      </c>
      <c r="L240" s="432" t="str">
        <f>IF(I240="Required","Required",IF(ISNUMBER(MATCH(J240,Lists!$I$2:$I$9,0)),I240,IF(ISNUMBER(MATCH(J240,Lists!$J$2:$J$9,0)),I240,"")))</f>
        <v/>
      </c>
      <c r="Q240" s="287" t="b">
        <f>IF(I240="Required",0,IF(ISNUMBER(MATCH(J240,Lists!$I$2:$I$4,0)),L240))</f>
        <v>0</v>
      </c>
      <c r="R240" s="287" t="b">
        <f>IF(I240="Required",0,IF(ISNUMBER(MATCH(J240,Lists!$K$2:$K$7,0)),L240))</f>
        <v>0</v>
      </c>
      <c r="S240" s="287" t="b">
        <f>IF(I240="Required",0,IF(ISNUMBER(MATCH(J240,Lists!$G$2:$G$4,0)),L240))</f>
        <v>0</v>
      </c>
      <c r="T240" s="287" t="b">
        <f>IF(I240="Required",0,IF(ISNUMBER(MATCH(J240,Lists!$G$7:$G$8,0)),L240))</f>
        <v>0</v>
      </c>
      <c r="U240" s="287" t="b">
        <f>IF(I240="Required",0,IF(ISNUMBER(MATCH(J240,Lists!$H$2:$H$4,0)),K240))</f>
        <v>0</v>
      </c>
      <c r="V240" s="287">
        <f t="shared" si="15"/>
        <v>0</v>
      </c>
      <c r="W240" s="287">
        <f t="shared" si="16"/>
        <v>0</v>
      </c>
    </row>
    <row r="241" spans="1:23" ht="21" customHeight="1">
      <c r="A241" s="318" t="s">
        <v>767</v>
      </c>
      <c r="B241" s="286"/>
      <c r="C241" s="816"/>
      <c r="D241" s="778" t="s">
        <v>767</v>
      </c>
      <c r="E241" s="780" t="s">
        <v>1086</v>
      </c>
      <c r="F241" s="361" t="s">
        <v>1087</v>
      </c>
      <c r="G241" s="362">
        <f>'Review Comments'!F269</f>
        <v>2</v>
      </c>
      <c r="H241" s="362" t="str">
        <f>'Review Comments'!G269</f>
        <v>Yes</v>
      </c>
      <c r="I241" s="362">
        <f t="shared" si="17"/>
        <v>2</v>
      </c>
      <c r="J241" s="382" t="str">
        <f>IF('Review Comments'!H269=0,"",'Review Comments'!H269)</f>
        <v>Achieved</v>
      </c>
      <c r="K241" s="362">
        <f>IF(I241="Required","Required",IF(ISNUMBER(MATCH(J241,Lists!$H$2:$H$9,0)),I241,""))</f>
        <v>2</v>
      </c>
      <c r="L241" s="432" t="str">
        <f>IF(I241="Required","Required",IF(ISNUMBER(MATCH(J241,Lists!$I$2:$I$9,0)),I241,IF(ISNUMBER(MATCH(J241,Lists!$J$2:$J$9,0)),I241,"")))</f>
        <v/>
      </c>
      <c r="Q241" s="287" t="b">
        <f>IF(I241="Required",0,IF(ISNUMBER(MATCH(J241,Lists!$I$2:$I$4,0)),L241))</f>
        <v>0</v>
      </c>
      <c r="R241" s="287" t="b">
        <f>IF(I241="Required",0,IF(ISNUMBER(MATCH(J241,Lists!$K$2:$K$7,0)),L241))</f>
        <v>0</v>
      </c>
      <c r="S241" s="287" t="b">
        <f>IF(I241="Required",0,IF(ISNUMBER(MATCH(J241,Lists!$G$2:$G$4,0)),L241))</f>
        <v>0</v>
      </c>
      <c r="T241" s="287" t="b">
        <f>IF(I241="Required",0,IF(ISNUMBER(MATCH(J241,Lists!$G$7:$G$8,0)),L241))</f>
        <v>0</v>
      </c>
      <c r="U241" s="287">
        <f>IF(I241="Required",0,IF(ISNUMBER(MATCH(J241,Lists!$H$2:$H$4,0)),K241))</f>
        <v>2</v>
      </c>
      <c r="V241" s="287">
        <f t="shared" si="15"/>
        <v>0</v>
      </c>
      <c r="W241" s="287">
        <f t="shared" si="16"/>
        <v>0</v>
      </c>
    </row>
    <row r="242" spans="1:23" ht="21" customHeight="1">
      <c r="A242" s="318" t="s">
        <v>767</v>
      </c>
      <c r="B242" s="286"/>
      <c r="C242" s="816"/>
      <c r="D242" s="778"/>
      <c r="E242" s="780"/>
      <c r="F242" s="361" t="s">
        <v>1088</v>
      </c>
      <c r="G242" s="362">
        <f>'Review Comments'!F270</f>
        <v>0</v>
      </c>
      <c r="H242" s="362" t="str">
        <f>'Review Comments'!G270</f>
        <v>No</v>
      </c>
      <c r="I242" s="362" t="str">
        <f t="shared" si="17"/>
        <v/>
      </c>
      <c r="J242" s="382" t="str">
        <f>IF('Review Comments'!H270=0,"",'Review Comments'!H270)</f>
        <v>Not Attempted</v>
      </c>
      <c r="K242" s="362" t="str">
        <f>IF(I242="Required","Required",IF(ISNUMBER(MATCH(J242,Lists!$H$2:$H$9,0)),I242,""))</f>
        <v/>
      </c>
      <c r="L242" s="432" t="str">
        <f>IF(I242="Required","Required",IF(ISNUMBER(MATCH(J242,Lists!$I$2:$I$9,0)),I242,IF(ISNUMBER(MATCH(J242,Lists!$J$2:$J$9,0)),I242,"")))</f>
        <v/>
      </c>
      <c r="Q242" s="287" t="b">
        <f>IF(I242="Required",0,IF(ISNUMBER(MATCH(J242,Lists!$I$2:$I$4,0)),L242))</f>
        <v>0</v>
      </c>
      <c r="R242" s="287" t="b">
        <f>IF(I242="Required",0,IF(ISNUMBER(MATCH(J242,Lists!$K$2:$K$7,0)),L242))</f>
        <v>0</v>
      </c>
      <c r="S242" s="287" t="b">
        <f>IF(I242="Required",0,IF(ISNUMBER(MATCH(J242,Lists!$G$2:$G$4,0)),L242))</f>
        <v>0</v>
      </c>
      <c r="T242" s="287" t="b">
        <f>IF(I242="Required",0,IF(ISNUMBER(MATCH(J242,Lists!$G$7:$G$8,0)),L242))</f>
        <v>0</v>
      </c>
      <c r="U242" s="287" t="b">
        <f>IF(I242="Required",0,IF(ISNUMBER(MATCH(J242,Lists!$H$2:$H$4,0)),K242))</f>
        <v>0</v>
      </c>
      <c r="V242" s="287">
        <f t="shared" si="15"/>
        <v>0</v>
      </c>
      <c r="W242" s="287">
        <f t="shared" si="16"/>
        <v>0</v>
      </c>
    </row>
    <row r="243" spans="1:23" ht="21" customHeight="1">
      <c r="A243" s="318" t="s">
        <v>767</v>
      </c>
      <c r="B243" s="286"/>
      <c r="C243" s="816"/>
      <c r="D243" s="778" t="s">
        <v>767</v>
      </c>
      <c r="E243" s="780" t="s">
        <v>1089</v>
      </c>
      <c r="F243" s="361" t="s">
        <v>1090</v>
      </c>
      <c r="G243" s="362">
        <f>'Review Comments'!F271</f>
        <v>0</v>
      </c>
      <c r="H243" s="362" t="str">
        <f>'Review Comments'!G271</f>
        <v>No</v>
      </c>
      <c r="I243" s="362" t="str">
        <f t="shared" si="17"/>
        <v/>
      </c>
      <c r="J243" s="382" t="str">
        <f>IF('Review Comments'!H271=0,"",'Review Comments'!H271)</f>
        <v>Not Attempted</v>
      </c>
      <c r="K243" s="362" t="str">
        <f>IF(I243="Required","Required",IF(ISNUMBER(MATCH(J243,Lists!$H$2:$H$9,0)),I243,""))</f>
        <v/>
      </c>
      <c r="L243" s="432" t="str">
        <f>IF(I243="Required","Required",IF(ISNUMBER(MATCH(J243,Lists!$I$2:$I$9,0)),I243,IF(ISNUMBER(MATCH(J243,Lists!$J$2:$J$9,0)),I243,"")))</f>
        <v/>
      </c>
      <c r="Q243" s="287" t="b">
        <f>IF(I243="Required",0,IF(ISNUMBER(MATCH(J243,Lists!$I$2:$I$4,0)),L243))</f>
        <v>0</v>
      </c>
      <c r="R243" s="287" t="b">
        <f>IF(I243="Required",0,IF(ISNUMBER(MATCH(J243,Lists!$K$2:$K$7,0)),L243))</f>
        <v>0</v>
      </c>
      <c r="S243" s="287" t="b">
        <f>IF(I243="Required",0,IF(ISNUMBER(MATCH(J243,Lists!$G$2:$G$4,0)),L243))</f>
        <v>0</v>
      </c>
      <c r="T243" s="287" t="b">
        <f>IF(I243="Required",0,IF(ISNUMBER(MATCH(J243,Lists!$G$7:$G$8,0)),L243))</f>
        <v>0</v>
      </c>
      <c r="U243" s="287" t="b">
        <f>IF(I243="Required",0,IF(ISNUMBER(MATCH(J243,Lists!$H$2:$H$4,0)),K243))</f>
        <v>0</v>
      </c>
      <c r="V243" s="287">
        <f t="shared" si="15"/>
        <v>0</v>
      </c>
      <c r="W243" s="287">
        <f t="shared" si="16"/>
        <v>0</v>
      </c>
    </row>
    <row r="244" spans="1:23" ht="21" customHeight="1">
      <c r="A244" s="318" t="s">
        <v>767</v>
      </c>
      <c r="B244" s="286"/>
      <c r="C244" s="816"/>
      <c r="D244" s="778"/>
      <c r="E244" s="780"/>
      <c r="F244" s="361" t="s">
        <v>1091</v>
      </c>
      <c r="G244" s="362">
        <f>'Review Comments'!F272</f>
        <v>0</v>
      </c>
      <c r="H244" s="362" t="str">
        <f>'Review Comments'!G272</f>
        <v>No</v>
      </c>
      <c r="I244" s="362" t="str">
        <f t="shared" si="17"/>
        <v/>
      </c>
      <c r="J244" s="382" t="str">
        <f>IF('Review Comments'!H272=0,"",'Review Comments'!H272)</f>
        <v>Not Attempted</v>
      </c>
      <c r="K244" s="362" t="str">
        <f>IF(I244="Required","Required",IF(ISNUMBER(MATCH(J244,Lists!$H$2:$H$9,0)),I244,""))</f>
        <v/>
      </c>
      <c r="L244" s="432" t="str">
        <f>IF(I244="Required","Required",IF(ISNUMBER(MATCH(J244,Lists!$I$2:$I$9,0)),I244,IF(ISNUMBER(MATCH(J244,Lists!$J$2:$J$9,0)),I244,"")))</f>
        <v/>
      </c>
      <c r="Q244" s="287" t="b">
        <f>IF(I244="Required",0,IF(ISNUMBER(MATCH(J244,Lists!$I$2:$I$4,0)),L244))</f>
        <v>0</v>
      </c>
      <c r="R244" s="287" t="b">
        <f>IF(I244="Required",0,IF(ISNUMBER(MATCH(J244,Lists!$K$2:$K$7,0)),L244))</f>
        <v>0</v>
      </c>
      <c r="S244" s="287" t="b">
        <f>IF(I244="Required",0,IF(ISNUMBER(MATCH(J244,Lists!$G$2:$G$4,0)),L244))</f>
        <v>0</v>
      </c>
      <c r="T244" s="287" t="b">
        <f>IF(I244="Required",0,IF(ISNUMBER(MATCH(J244,Lists!$G$7:$G$8,0)),L244))</f>
        <v>0</v>
      </c>
      <c r="U244" s="287" t="b">
        <f>IF(I244="Required",0,IF(ISNUMBER(MATCH(J244,Lists!$H$2:$H$4,0)),K244))</f>
        <v>0</v>
      </c>
      <c r="V244" s="287">
        <f t="shared" si="15"/>
        <v>0</v>
      </c>
      <c r="W244" s="287">
        <f t="shared" si="16"/>
        <v>0</v>
      </c>
    </row>
    <row r="245" spans="1:23" ht="21" customHeight="1">
      <c r="A245" s="318" t="s">
        <v>767</v>
      </c>
      <c r="B245" s="286"/>
      <c r="C245" s="816"/>
      <c r="D245" s="778" t="s">
        <v>767</v>
      </c>
      <c r="E245" s="780" t="s">
        <v>1092</v>
      </c>
      <c r="F245" s="361" t="s">
        <v>1093</v>
      </c>
      <c r="G245" s="362">
        <f>'Review Comments'!F273</f>
        <v>0</v>
      </c>
      <c r="H245" s="362" t="str">
        <f>'Review Comments'!G273</f>
        <v>No</v>
      </c>
      <c r="I245" s="362" t="str">
        <f t="shared" si="17"/>
        <v/>
      </c>
      <c r="J245" s="382" t="str">
        <f>IF('Review Comments'!H273=0,"",'Review Comments'!H273)</f>
        <v>Not Attempted</v>
      </c>
      <c r="K245" s="362" t="str">
        <f>IF(I245="Required","Required",IF(ISNUMBER(MATCH(J245,Lists!$H$2:$H$9,0)),I245,""))</f>
        <v/>
      </c>
      <c r="L245" s="432" t="str">
        <f>IF(I245="Required","Required",IF(ISNUMBER(MATCH(J245,Lists!$I$2:$I$9,0)),I245,IF(ISNUMBER(MATCH(J245,Lists!$J$2:$J$9,0)),I245,"")))</f>
        <v/>
      </c>
      <c r="Q245" s="287" t="b">
        <f>IF(I245="Required",0,IF(ISNUMBER(MATCH(J245,Lists!$I$2:$I$4,0)),L245))</f>
        <v>0</v>
      </c>
      <c r="R245" s="287" t="b">
        <f>IF(I245="Required",0,IF(ISNUMBER(MATCH(J245,Lists!$K$2:$K$7,0)),L245))</f>
        <v>0</v>
      </c>
      <c r="S245" s="287" t="b">
        <f>IF(I245="Required",0,IF(ISNUMBER(MATCH(J245,Lists!$G$2:$G$4,0)),L245))</f>
        <v>0</v>
      </c>
      <c r="T245" s="287" t="b">
        <f>IF(I245="Required",0,IF(ISNUMBER(MATCH(J245,Lists!$G$7:$G$8,0)),L245))</f>
        <v>0</v>
      </c>
      <c r="U245" s="287" t="b">
        <f>IF(I245="Required",0,IF(ISNUMBER(MATCH(J245,Lists!$H$2:$H$4,0)),K245))</f>
        <v>0</v>
      </c>
      <c r="V245" s="287">
        <f t="shared" si="15"/>
        <v>0</v>
      </c>
      <c r="W245" s="287">
        <f t="shared" si="16"/>
        <v>0</v>
      </c>
    </row>
    <row r="246" spans="1:23" ht="21" customHeight="1">
      <c r="A246" s="318" t="s">
        <v>767</v>
      </c>
      <c r="B246" s="286"/>
      <c r="C246" s="816"/>
      <c r="D246" s="778"/>
      <c r="E246" s="780"/>
      <c r="F246" s="361" t="s">
        <v>1094</v>
      </c>
      <c r="G246" s="362">
        <f>'Review Comments'!F274</f>
        <v>1</v>
      </c>
      <c r="H246" s="362" t="str">
        <f>'Review Comments'!G274</f>
        <v>Yes</v>
      </c>
      <c r="I246" s="362">
        <f t="shared" si="17"/>
        <v>1</v>
      </c>
      <c r="J246" s="382" t="str">
        <f>IF('Review Comments'!H274=0,"",'Review Comments'!H274)</f>
        <v>Achieved</v>
      </c>
      <c r="K246" s="362">
        <f>IF(I246="Required","Required",IF(ISNUMBER(MATCH(J246,Lists!$H$2:$H$9,0)),I246,""))</f>
        <v>1</v>
      </c>
      <c r="L246" s="432" t="str">
        <f>IF(I246="Required","Required",IF(ISNUMBER(MATCH(J246,Lists!$I$2:$I$9,0)),I246,IF(ISNUMBER(MATCH(J246,Lists!$J$2:$J$9,0)),I246,"")))</f>
        <v/>
      </c>
      <c r="Q246" s="287" t="b">
        <f>IF(I246="Required",0,IF(ISNUMBER(MATCH(J246,Lists!$I$2:$I$4,0)),L246))</f>
        <v>0</v>
      </c>
      <c r="R246" s="287" t="b">
        <f>IF(I246="Required",0,IF(ISNUMBER(MATCH(J246,Lists!$K$2:$K$7,0)),L246))</f>
        <v>0</v>
      </c>
      <c r="S246" s="287" t="b">
        <f>IF(I246="Required",0,IF(ISNUMBER(MATCH(J246,Lists!$G$2:$G$4,0)),L246))</f>
        <v>0</v>
      </c>
      <c r="T246" s="287" t="b">
        <f>IF(I246="Required",0,IF(ISNUMBER(MATCH(J246,Lists!$G$7:$G$8,0)),L246))</f>
        <v>0</v>
      </c>
      <c r="U246" s="287">
        <f>IF(I246="Required",0,IF(ISNUMBER(MATCH(J246,Lists!$H$2:$H$4,0)),K246))</f>
        <v>1</v>
      </c>
      <c r="V246" s="287">
        <f t="shared" si="15"/>
        <v>0</v>
      </c>
      <c r="W246" s="287">
        <f t="shared" si="16"/>
        <v>0</v>
      </c>
    </row>
    <row r="247" spans="1:23" ht="21" customHeight="1">
      <c r="A247" s="318" t="s">
        <v>767</v>
      </c>
      <c r="B247" s="286"/>
      <c r="C247" s="816"/>
      <c r="D247" s="778" t="s">
        <v>767</v>
      </c>
      <c r="E247" s="780" t="s">
        <v>1095</v>
      </c>
      <c r="F247" s="361" t="s">
        <v>1096</v>
      </c>
      <c r="G247" s="362">
        <f>'Review Comments'!F275</f>
        <v>0</v>
      </c>
      <c r="H247" s="362" t="str">
        <f>'Review Comments'!G275</f>
        <v>No</v>
      </c>
      <c r="I247" s="362" t="str">
        <f t="shared" si="17"/>
        <v/>
      </c>
      <c r="J247" s="382" t="str">
        <f>IF('Review Comments'!H275=0,"",'Review Comments'!H275)</f>
        <v>Not Attempted</v>
      </c>
      <c r="K247" s="362" t="str">
        <f>IF(I247="Required","Required",IF(ISNUMBER(MATCH(J247,Lists!$H$2:$H$9,0)),I247,""))</f>
        <v/>
      </c>
      <c r="L247" s="432" t="str">
        <f>IF(I247="Required","Required",IF(ISNUMBER(MATCH(J247,Lists!$I$2:$I$9,0)),I247,IF(ISNUMBER(MATCH(J247,Lists!$J$2:$J$9,0)),I247,"")))</f>
        <v/>
      </c>
      <c r="Q247" s="287" t="b">
        <f>IF(I247="Required",0,IF(ISNUMBER(MATCH(J247,Lists!$I$2:$I$4,0)),L247))</f>
        <v>0</v>
      </c>
      <c r="R247" s="287" t="b">
        <f>IF(I247="Required",0,IF(ISNUMBER(MATCH(J247,Lists!$K$2:$K$7,0)),L247))</f>
        <v>0</v>
      </c>
      <c r="S247" s="287" t="b">
        <f>IF(I247="Required",0,IF(ISNUMBER(MATCH(J247,Lists!$G$2:$G$4,0)),L247))</f>
        <v>0</v>
      </c>
      <c r="T247" s="287" t="b">
        <f>IF(I247="Required",0,IF(ISNUMBER(MATCH(J247,Lists!$G$7:$G$8,0)),L247))</f>
        <v>0</v>
      </c>
      <c r="U247" s="287" t="b">
        <f>IF(I247="Required",0,IF(ISNUMBER(MATCH(J247,Lists!$H$2:$H$4,0)),K247))</f>
        <v>0</v>
      </c>
      <c r="V247" s="287">
        <f t="shared" si="15"/>
        <v>0</v>
      </c>
      <c r="W247" s="287">
        <f t="shared" si="16"/>
        <v>0</v>
      </c>
    </row>
    <row r="248" spans="1:23" ht="21" customHeight="1">
      <c r="A248" s="318" t="s">
        <v>767</v>
      </c>
      <c r="B248" s="286"/>
      <c r="C248" s="816"/>
      <c r="D248" s="778"/>
      <c r="E248" s="780"/>
      <c r="F248" s="361" t="s">
        <v>1097</v>
      </c>
      <c r="G248" s="362">
        <f>'Review Comments'!F276</f>
        <v>0</v>
      </c>
      <c r="H248" s="362" t="str">
        <f>'Review Comments'!G276</f>
        <v>No</v>
      </c>
      <c r="I248" s="362" t="str">
        <f t="shared" si="17"/>
        <v/>
      </c>
      <c r="J248" s="382" t="str">
        <f>IF('Review Comments'!H276=0,"",'Review Comments'!H276)</f>
        <v>Not Attempted</v>
      </c>
      <c r="K248" s="362" t="str">
        <f>IF(I248="Required","Required",IF(ISNUMBER(MATCH(J248,Lists!$H$2:$H$9,0)),I248,""))</f>
        <v/>
      </c>
      <c r="L248" s="432" t="str">
        <f>IF(I248="Required","Required",IF(ISNUMBER(MATCH(J248,Lists!$I$2:$I$9,0)),I248,IF(ISNUMBER(MATCH(J248,Lists!$J$2:$J$9,0)),I248,"")))</f>
        <v/>
      </c>
      <c r="Q248" s="287" t="b">
        <f>IF(I248="Required",0,IF(ISNUMBER(MATCH(J248,Lists!$I$2:$I$4,0)),L248))</f>
        <v>0</v>
      </c>
      <c r="R248" s="287" t="b">
        <f>IF(I248="Required",0,IF(ISNUMBER(MATCH(J248,Lists!$K$2:$K$7,0)),L248))</f>
        <v>0</v>
      </c>
      <c r="S248" s="287" t="b">
        <f>IF(I248="Required",0,IF(ISNUMBER(MATCH(J248,Lists!$G$2:$G$4,0)),L248))</f>
        <v>0</v>
      </c>
      <c r="T248" s="287" t="b">
        <f>IF(I248="Required",0,IF(ISNUMBER(MATCH(J248,Lists!$G$7:$G$8,0)),L248))</f>
        <v>0</v>
      </c>
      <c r="U248" s="287" t="b">
        <f>IF(I248="Required",0,IF(ISNUMBER(MATCH(J248,Lists!$H$2:$H$4,0)),K248))</f>
        <v>0</v>
      </c>
      <c r="V248" s="287">
        <f t="shared" si="15"/>
        <v>0</v>
      </c>
      <c r="W248" s="287">
        <f t="shared" si="16"/>
        <v>0</v>
      </c>
    </row>
    <row r="249" spans="1:23" ht="21" customHeight="1">
      <c r="A249" s="318" t="s">
        <v>767</v>
      </c>
      <c r="B249" s="286"/>
      <c r="C249" s="816"/>
      <c r="D249" s="778"/>
      <c r="E249" s="780"/>
      <c r="F249" s="361" t="s">
        <v>1098</v>
      </c>
      <c r="G249" s="362">
        <f>'Review Comments'!F277</f>
        <v>0</v>
      </c>
      <c r="H249" s="362" t="str">
        <f>'Review Comments'!G277</f>
        <v>No</v>
      </c>
      <c r="I249" s="362" t="str">
        <f t="shared" si="17"/>
        <v/>
      </c>
      <c r="J249" s="382" t="str">
        <f>IF('Review Comments'!H277=0,"",'Review Comments'!H277)</f>
        <v>Not Attempted</v>
      </c>
      <c r="K249" s="362" t="str">
        <f>IF(I249="Required","Required",IF(ISNUMBER(MATCH(J249,Lists!$H$2:$H$9,0)),I249,""))</f>
        <v/>
      </c>
      <c r="L249" s="432" t="str">
        <f>IF(I249="Required","Required",IF(ISNUMBER(MATCH(J249,Lists!$I$2:$I$9,0)),I249,IF(ISNUMBER(MATCH(J249,Lists!$J$2:$J$9,0)),I249,"")))</f>
        <v/>
      </c>
      <c r="Q249" s="287" t="b">
        <f>IF(I249="Required",0,IF(ISNUMBER(MATCH(J249,Lists!$I$2:$I$4,0)),L249))</f>
        <v>0</v>
      </c>
      <c r="R249" s="287" t="b">
        <f>IF(I249="Required",0,IF(ISNUMBER(MATCH(J249,Lists!$K$2:$K$7,0)),L249))</f>
        <v>0</v>
      </c>
      <c r="S249" s="287" t="b">
        <f>IF(I249="Required",0,IF(ISNUMBER(MATCH(J249,Lists!$G$2:$G$4,0)),L249))</f>
        <v>0</v>
      </c>
      <c r="T249" s="287" t="b">
        <f>IF(I249="Required",0,IF(ISNUMBER(MATCH(J249,Lists!$G$7:$G$8,0)),L249))</f>
        <v>0</v>
      </c>
      <c r="U249" s="287" t="b">
        <f>IF(I249="Required",0,IF(ISNUMBER(MATCH(J249,Lists!$H$2:$H$4,0)),K249))</f>
        <v>0</v>
      </c>
      <c r="V249" s="287">
        <f t="shared" si="15"/>
        <v>0</v>
      </c>
      <c r="W249" s="287">
        <f t="shared" si="16"/>
        <v>0</v>
      </c>
    </row>
    <row r="250" spans="1:23" ht="21" customHeight="1">
      <c r="A250" s="318" t="s">
        <v>767</v>
      </c>
      <c r="B250" s="286"/>
      <c r="C250" s="816"/>
      <c r="D250" s="778" t="s">
        <v>767</v>
      </c>
      <c r="E250" s="780" t="s">
        <v>1099</v>
      </c>
      <c r="F250" s="361" t="s">
        <v>1100</v>
      </c>
      <c r="G250" s="362">
        <f>'Review Comments'!F278</f>
        <v>0</v>
      </c>
      <c r="H250" s="362" t="str">
        <f>'Review Comments'!G278</f>
        <v>No</v>
      </c>
      <c r="I250" s="362" t="str">
        <f t="shared" si="17"/>
        <v/>
      </c>
      <c r="J250" s="382" t="str">
        <f>IF('Review Comments'!H278=0,"",'Review Comments'!H278)</f>
        <v>Not Attempted</v>
      </c>
      <c r="K250" s="362" t="str">
        <f>IF(I250="Required","Required",IF(ISNUMBER(MATCH(J250,Lists!$H$2:$H$9,0)),I250,""))</f>
        <v/>
      </c>
      <c r="L250" s="432" t="str">
        <f>IF(I250="Required","Required",IF(ISNUMBER(MATCH(J250,Lists!$I$2:$I$9,0)),I250,IF(ISNUMBER(MATCH(J250,Lists!$J$2:$J$9,0)),I250,"")))</f>
        <v/>
      </c>
      <c r="Q250" s="287" t="b">
        <f>IF(I250="Required",0,IF(ISNUMBER(MATCH(J250,Lists!$I$2:$I$4,0)),L250))</f>
        <v>0</v>
      </c>
      <c r="R250" s="287" t="b">
        <f>IF(I250="Required",0,IF(ISNUMBER(MATCH(J250,Lists!$K$2:$K$7,0)),L250))</f>
        <v>0</v>
      </c>
      <c r="S250" s="287" t="b">
        <f>IF(I250="Required",0,IF(ISNUMBER(MATCH(J250,Lists!$G$2:$G$4,0)),L250))</f>
        <v>0</v>
      </c>
      <c r="T250" s="287" t="b">
        <f>IF(I250="Required",0,IF(ISNUMBER(MATCH(J250,Lists!$G$7:$G$8,0)),L250))</f>
        <v>0</v>
      </c>
      <c r="U250" s="287" t="b">
        <f>IF(I250="Required",0,IF(ISNUMBER(MATCH(J250,Lists!$H$2:$H$4,0)),K250))</f>
        <v>0</v>
      </c>
      <c r="V250" s="287">
        <f t="shared" si="15"/>
        <v>0</v>
      </c>
      <c r="W250" s="287">
        <f t="shared" si="16"/>
        <v>0</v>
      </c>
    </row>
    <row r="251" spans="1:23" ht="21" customHeight="1">
      <c r="A251" s="318" t="s">
        <v>767</v>
      </c>
      <c r="B251" s="286"/>
      <c r="C251" s="816"/>
      <c r="D251" s="778"/>
      <c r="E251" s="780"/>
      <c r="F251" s="361" t="s">
        <v>1101</v>
      </c>
      <c r="G251" s="362">
        <f>'Review Comments'!F279</f>
        <v>0</v>
      </c>
      <c r="H251" s="362" t="str">
        <f>'Review Comments'!G279</f>
        <v>No</v>
      </c>
      <c r="I251" s="362" t="str">
        <f t="shared" si="17"/>
        <v/>
      </c>
      <c r="J251" s="382" t="str">
        <f>IF('Review Comments'!H279=0,"",'Review Comments'!H279)</f>
        <v>Not Attempted</v>
      </c>
      <c r="K251" s="362" t="str">
        <f>IF(I251="Required","Required",IF(ISNUMBER(MATCH(J251,Lists!$H$2:$H$9,0)),I251,""))</f>
        <v/>
      </c>
      <c r="L251" s="432" t="str">
        <f>IF(I251="Required","Required",IF(ISNUMBER(MATCH(J251,Lists!$I$2:$I$9,0)),I251,IF(ISNUMBER(MATCH(J251,Lists!$J$2:$J$9,0)),I251,"")))</f>
        <v/>
      </c>
      <c r="Q251" s="287" t="b">
        <f>IF(I251="Required",0,IF(ISNUMBER(MATCH(J251,Lists!$I$2:$I$4,0)),L251))</f>
        <v>0</v>
      </c>
      <c r="R251" s="287" t="b">
        <f>IF(I251="Required",0,IF(ISNUMBER(MATCH(J251,Lists!$K$2:$K$7,0)),L251))</f>
        <v>0</v>
      </c>
      <c r="S251" s="287" t="b">
        <f>IF(I251="Required",0,IF(ISNUMBER(MATCH(J251,Lists!$G$2:$G$4,0)),L251))</f>
        <v>0</v>
      </c>
      <c r="T251" s="287" t="b">
        <f>IF(I251="Required",0,IF(ISNUMBER(MATCH(J251,Lists!$G$7:$G$8,0)),L251))</f>
        <v>0</v>
      </c>
      <c r="U251" s="287" t="b">
        <f>IF(I251="Required",0,IF(ISNUMBER(MATCH(J251,Lists!$H$2:$H$4,0)),K251))</f>
        <v>0</v>
      </c>
      <c r="V251" s="287">
        <f t="shared" si="15"/>
        <v>0</v>
      </c>
      <c r="W251" s="287">
        <f t="shared" si="16"/>
        <v>0</v>
      </c>
    </row>
    <row r="252" spans="1:23" ht="21" customHeight="1">
      <c r="A252" s="318" t="s">
        <v>767</v>
      </c>
      <c r="B252" s="286"/>
      <c r="C252" s="816"/>
      <c r="D252" s="778"/>
      <c r="E252" s="780"/>
      <c r="F252" s="361" t="s">
        <v>1102</v>
      </c>
      <c r="G252" s="362">
        <f>'Review Comments'!F280</f>
        <v>0</v>
      </c>
      <c r="H252" s="362" t="str">
        <f>'Review Comments'!G280</f>
        <v>No</v>
      </c>
      <c r="I252" s="362" t="str">
        <f t="shared" si="17"/>
        <v/>
      </c>
      <c r="J252" s="382" t="str">
        <f>IF('Review Comments'!H280=0,"",'Review Comments'!H280)</f>
        <v>Not Attempted</v>
      </c>
      <c r="K252" s="362" t="str">
        <f>IF(I252="Required","Required",IF(ISNUMBER(MATCH(J252,Lists!$H$2:$H$9,0)),I252,""))</f>
        <v/>
      </c>
      <c r="L252" s="432" t="str">
        <f>IF(I252="Required","Required",IF(ISNUMBER(MATCH(J252,Lists!$I$2:$I$9,0)),I252,IF(ISNUMBER(MATCH(J252,Lists!$J$2:$J$9,0)),I252,"")))</f>
        <v/>
      </c>
      <c r="Q252" s="287" t="b">
        <f>IF(I252="Required",0,IF(ISNUMBER(MATCH(J252,Lists!$I$2:$I$4,0)),L252))</f>
        <v>0</v>
      </c>
      <c r="R252" s="287" t="b">
        <f>IF(I252="Required",0,IF(ISNUMBER(MATCH(J252,Lists!$K$2:$K$7,0)),L252))</f>
        <v>0</v>
      </c>
      <c r="S252" s="287" t="b">
        <f>IF(I252="Required",0,IF(ISNUMBER(MATCH(J252,Lists!$G$2:$G$4,0)),L252))</f>
        <v>0</v>
      </c>
      <c r="T252" s="287" t="b">
        <f>IF(I252="Required",0,IF(ISNUMBER(MATCH(J252,Lists!$G$7:$G$8,0)),L252))</f>
        <v>0</v>
      </c>
      <c r="U252" s="287" t="b">
        <f>IF(I252="Required",0,IF(ISNUMBER(MATCH(J252,Lists!$H$2:$H$4,0)),K252))</f>
        <v>0</v>
      </c>
      <c r="V252" s="287">
        <f t="shared" si="15"/>
        <v>0</v>
      </c>
      <c r="W252" s="287">
        <f t="shared" si="16"/>
        <v>0</v>
      </c>
    </row>
    <row r="253" spans="1:23" ht="21" customHeight="1">
      <c r="A253" s="318" t="s">
        <v>767</v>
      </c>
      <c r="B253" s="286"/>
      <c r="C253" s="816"/>
      <c r="D253" s="778"/>
      <c r="E253" s="780"/>
      <c r="F253" s="361" t="s">
        <v>1103</v>
      </c>
      <c r="G253" s="362">
        <f>'Review Comments'!F281</f>
        <v>0</v>
      </c>
      <c r="H253" s="362" t="str">
        <f>'Review Comments'!G281</f>
        <v>No</v>
      </c>
      <c r="I253" s="362" t="str">
        <f t="shared" si="17"/>
        <v/>
      </c>
      <c r="J253" s="382" t="str">
        <f>IF('Review Comments'!H281=0,"",'Review Comments'!H281)</f>
        <v>Not Attempted</v>
      </c>
      <c r="K253" s="362" t="str">
        <f>IF(I253="Required","Required",IF(ISNUMBER(MATCH(J253,Lists!$H$2:$H$9,0)),I253,""))</f>
        <v/>
      </c>
      <c r="L253" s="432" t="str">
        <f>IF(I253="Required","Required",IF(ISNUMBER(MATCH(J253,Lists!$I$2:$I$9,0)),I253,IF(ISNUMBER(MATCH(J253,Lists!$J$2:$J$9,0)),I253,"")))</f>
        <v/>
      </c>
      <c r="Q253" s="287" t="b">
        <f>IF(I253="Required",0,IF(ISNUMBER(MATCH(J253,Lists!$I$2:$I$4,0)),L253))</f>
        <v>0</v>
      </c>
      <c r="R253" s="287" t="b">
        <f>IF(I253="Required",0,IF(ISNUMBER(MATCH(J253,Lists!$K$2:$K$7,0)),L253))</f>
        <v>0</v>
      </c>
      <c r="S253" s="287" t="b">
        <f>IF(I253="Required",0,IF(ISNUMBER(MATCH(J253,Lists!$G$2:$G$4,0)),L253))</f>
        <v>0</v>
      </c>
      <c r="T253" s="287" t="b">
        <f>IF(I253="Required",0,IF(ISNUMBER(MATCH(J253,Lists!$G$7:$G$8,0)),L253))</f>
        <v>0</v>
      </c>
      <c r="U253" s="287" t="b">
        <f>IF(I253="Required",0,IF(ISNUMBER(MATCH(J253,Lists!$H$2:$H$4,0)),K253))</f>
        <v>0</v>
      </c>
      <c r="V253" s="287">
        <f t="shared" si="15"/>
        <v>0</v>
      </c>
      <c r="W253" s="287">
        <f t="shared" si="16"/>
        <v>0</v>
      </c>
    </row>
    <row r="254" spans="1:23" ht="21" customHeight="1">
      <c r="A254" s="318" t="s">
        <v>767</v>
      </c>
      <c r="B254" s="286"/>
      <c r="C254" s="816"/>
      <c r="D254" s="359" t="s">
        <v>767</v>
      </c>
      <c r="E254" s="360" t="s">
        <v>1104</v>
      </c>
      <c r="F254" s="361" t="s">
        <v>1105</v>
      </c>
      <c r="G254" s="362">
        <f>'Review Comments'!F282</f>
        <v>0</v>
      </c>
      <c r="H254" s="362" t="str">
        <f>'Review Comments'!G282</f>
        <v>No</v>
      </c>
      <c r="I254" s="362" t="str">
        <f t="shared" si="17"/>
        <v/>
      </c>
      <c r="J254" s="382" t="str">
        <f>IF('Review Comments'!H282=0,"",'Review Comments'!H282)</f>
        <v>Not Attempted</v>
      </c>
      <c r="K254" s="362" t="str">
        <f>IF(I254="Required","Required",IF(ISNUMBER(MATCH(J254,Lists!$H$2:$H$9,0)),I254,""))</f>
        <v/>
      </c>
      <c r="L254" s="432" t="str">
        <f>IF(I254="Required","Required",IF(ISNUMBER(MATCH(J254,Lists!$I$2:$I$9,0)),I254,IF(ISNUMBER(MATCH(J254,Lists!$J$2:$J$9,0)),I254,"")))</f>
        <v/>
      </c>
      <c r="Q254" s="287" t="b">
        <f>IF(I254="Required",0,IF(ISNUMBER(MATCH(J254,Lists!$I$2:$I$4,0)),L254))</f>
        <v>0</v>
      </c>
      <c r="R254" s="287" t="b">
        <f>IF(I254="Required",0,IF(ISNUMBER(MATCH(J254,Lists!$K$2:$K$7,0)),L254))</f>
        <v>0</v>
      </c>
      <c r="S254" s="287" t="b">
        <f>IF(I254="Required",0,IF(ISNUMBER(MATCH(J254,Lists!$G$2:$G$4,0)),L254))</f>
        <v>0</v>
      </c>
      <c r="T254" s="287" t="b">
        <f>IF(I254="Required",0,IF(ISNUMBER(MATCH(J254,Lists!$G$7:$G$8,0)),L254))</f>
        <v>0</v>
      </c>
      <c r="U254" s="287" t="b">
        <f>IF(I254="Required",0,IF(ISNUMBER(MATCH(J254,Lists!$H$2:$H$4,0)),K254))</f>
        <v>0</v>
      </c>
      <c r="V254" s="287">
        <f t="shared" si="15"/>
        <v>0</v>
      </c>
      <c r="W254" s="287">
        <f t="shared" si="16"/>
        <v>0</v>
      </c>
    </row>
    <row r="255" spans="1:23" ht="21" customHeight="1">
      <c r="A255" s="318" t="s">
        <v>767</v>
      </c>
      <c r="B255" s="286"/>
      <c r="C255" s="816"/>
      <c r="D255" s="359" t="s">
        <v>767</v>
      </c>
      <c r="E255" s="360" t="s">
        <v>1106</v>
      </c>
      <c r="F255" s="361" t="s">
        <v>1107</v>
      </c>
      <c r="G255" s="362">
        <f>'Review Comments'!F283</f>
        <v>0</v>
      </c>
      <c r="H255" s="362" t="str">
        <f>'Review Comments'!G283</f>
        <v>No</v>
      </c>
      <c r="I255" s="362" t="str">
        <f t="shared" si="17"/>
        <v/>
      </c>
      <c r="J255" s="382" t="str">
        <f>IF('Review Comments'!H283=0,"",'Review Comments'!H283)</f>
        <v>Not Attempted</v>
      </c>
      <c r="K255" s="362" t="str">
        <f>IF(I255="Required","Required",IF(ISNUMBER(MATCH(J255,Lists!$H$2:$H$9,0)),I255,""))</f>
        <v/>
      </c>
      <c r="L255" s="432" t="str">
        <f>IF(I255="Required","Required",IF(ISNUMBER(MATCH(J255,Lists!$I$2:$I$9,0)),I255,IF(ISNUMBER(MATCH(J255,Lists!$J$2:$J$9,0)),I255,"")))</f>
        <v/>
      </c>
      <c r="Q255" s="287" t="b">
        <f>IF(I255="Required",0,IF(ISNUMBER(MATCH(J255,Lists!$I$2:$I$4,0)),L255))</f>
        <v>0</v>
      </c>
      <c r="R255" s="287" t="b">
        <f>IF(I255="Required",0,IF(ISNUMBER(MATCH(J255,Lists!$K$2:$K$7,0)),L255))</f>
        <v>0</v>
      </c>
      <c r="S255" s="287" t="b">
        <f>IF(I255="Required",0,IF(ISNUMBER(MATCH(J255,Lists!$G$2:$G$4,0)),L255))</f>
        <v>0</v>
      </c>
      <c r="T255" s="287" t="b">
        <f>IF(I255="Required",0,IF(ISNUMBER(MATCH(J255,Lists!$G$7:$G$8,0)),L255))</f>
        <v>0</v>
      </c>
      <c r="U255" s="287" t="b">
        <f>IF(I255="Required",0,IF(ISNUMBER(MATCH(J255,Lists!$H$2:$H$4,0)),K255))</f>
        <v>0</v>
      </c>
      <c r="V255" s="287">
        <f t="shared" si="15"/>
        <v>0</v>
      </c>
      <c r="W255" s="287">
        <f t="shared" si="16"/>
        <v>0</v>
      </c>
    </row>
    <row r="256" spans="1:23" ht="21" customHeight="1">
      <c r="A256" s="318" t="s">
        <v>767</v>
      </c>
      <c r="B256" s="286"/>
      <c r="C256" s="816"/>
      <c r="D256" s="778" t="s">
        <v>767</v>
      </c>
      <c r="E256" s="780" t="s">
        <v>1108</v>
      </c>
      <c r="F256" s="361" t="s">
        <v>1109</v>
      </c>
      <c r="G256" s="362">
        <f>'Review Comments'!F284</f>
        <v>1</v>
      </c>
      <c r="H256" s="362" t="str">
        <f>'Review Comments'!G284</f>
        <v>Yes</v>
      </c>
      <c r="I256" s="362">
        <f t="shared" si="17"/>
        <v>1</v>
      </c>
      <c r="J256" s="382" t="str">
        <f>IF('Review Comments'!H284=0,"",'Review Comments'!H284)</f>
        <v>Achieved</v>
      </c>
      <c r="K256" s="362">
        <f>IF(I256="Required","Required",IF(ISNUMBER(MATCH(J256,Lists!$H$2:$H$9,0)),I256,""))</f>
        <v>1</v>
      </c>
      <c r="L256" s="432" t="str">
        <f>IF(I256="Required","Required",IF(ISNUMBER(MATCH(J256,Lists!$I$2:$I$9,0)),I256,IF(ISNUMBER(MATCH(J256,Lists!$J$2:$J$9,0)),I256,"")))</f>
        <v/>
      </c>
      <c r="Q256" s="287" t="b">
        <f>IF(I256="Required",0,IF(ISNUMBER(MATCH(J256,Lists!$I$2:$I$4,0)),L256))</f>
        <v>0</v>
      </c>
      <c r="R256" s="287" t="b">
        <f>IF(I256="Required",0,IF(ISNUMBER(MATCH(J256,Lists!$K$2:$K$7,0)),L256))</f>
        <v>0</v>
      </c>
      <c r="S256" s="287" t="b">
        <f>IF(I256="Required",0,IF(ISNUMBER(MATCH(J256,Lists!$G$2:$G$4,0)),L256))</f>
        <v>0</v>
      </c>
      <c r="T256" s="287" t="b">
        <f>IF(I256="Required",0,IF(ISNUMBER(MATCH(J256,Lists!$G$7:$G$8,0)),L256))</f>
        <v>0</v>
      </c>
      <c r="U256" s="287">
        <f>IF(I256="Required",0,IF(ISNUMBER(MATCH(J256,Lists!$H$2:$H$4,0)),K256))</f>
        <v>1</v>
      </c>
      <c r="V256" s="287">
        <f t="shared" si="15"/>
        <v>0</v>
      </c>
      <c r="W256" s="287">
        <f t="shared" si="16"/>
        <v>0</v>
      </c>
    </row>
    <row r="257" spans="1:23" ht="21" customHeight="1">
      <c r="A257" s="318" t="s">
        <v>767</v>
      </c>
      <c r="B257" s="286"/>
      <c r="C257" s="816"/>
      <c r="D257" s="778"/>
      <c r="E257" s="780"/>
      <c r="F257" s="361" t="s">
        <v>1110</v>
      </c>
      <c r="G257" s="362">
        <f>'Review Comments'!F285</f>
        <v>2</v>
      </c>
      <c r="H257" s="362" t="str">
        <f>'Review Comments'!G285</f>
        <v>Yes</v>
      </c>
      <c r="I257" s="362">
        <f t="shared" si="17"/>
        <v>2</v>
      </c>
      <c r="J257" s="382" t="str">
        <f>IF('Review Comments'!H285=0,"",'Review Comments'!H285)</f>
        <v>Achieved</v>
      </c>
      <c r="K257" s="362">
        <f>IF(I257="Required","Required",IF(ISNUMBER(MATCH(J257,Lists!$H$2:$H$9,0)),I257,""))</f>
        <v>2</v>
      </c>
      <c r="L257" s="432" t="str">
        <f>IF(I257="Required","Required",IF(ISNUMBER(MATCH(J257,Lists!$I$2:$I$9,0)),I257,IF(ISNUMBER(MATCH(J257,Lists!$J$2:$J$9,0)),I257,"")))</f>
        <v/>
      </c>
      <c r="Q257" s="287" t="b">
        <f>IF(I257="Required",0,IF(ISNUMBER(MATCH(J257,Lists!$I$2:$I$4,0)),L257))</f>
        <v>0</v>
      </c>
      <c r="R257" s="287" t="b">
        <f>IF(I257="Required",0,IF(ISNUMBER(MATCH(J257,Lists!$K$2:$K$7,0)),L257))</f>
        <v>0</v>
      </c>
      <c r="S257" s="287" t="b">
        <f>IF(I257="Required",0,IF(ISNUMBER(MATCH(J257,Lists!$G$2:$G$4,0)),L257))</f>
        <v>0</v>
      </c>
      <c r="T257" s="287" t="b">
        <f>IF(I257="Required",0,IF(ISNUMBER(MATCH(J257,Lists!$G$7:$G$8,0)),L257))</f>
        <v>0</v>
      </c>
      <c r="U257" s="287">
        <f>IF(I257="Required",0,IF(ISNUMBER(MATCH(J257,Lists!$H$2:$H$4,0)),K257))</f>
        <v>2</v>
      </c>
      <c r="V257" s="287">
        <f t="shared" si="15"/>
        <v>0</v>
      </c>
      <c r="W257" s="287">
        <f t="shared" si="16"/>
        <v>0</v>
      </c>
    </row>
    <row r="258" spans="1:23" ht="21" customHeight="1">
      <c r="A258" s="318" t="s">
        <v>767</v>
      </c>
      <c r="B258" s="286"/>
      <c r="C258" s="816"/>
      <c r="D258" s="778" t="s">
        <v>767</v>
      </c>
      <c r="E258" s="780" t="s">
        <v>1111</v>
      </c>
      <c r="F258" s="361" t="s">
        <v>1112</v>
      </c>
      <c r="G258" s="362">
        <f>'Review Comments'!F286</f>
        <v>0</v>
      </c>
      <c r="H258" s="362" t="str">
        <f>'Review Comments'!G286</f>
        <v>No</v>
      </c>
      <c r="I258" s="362" t="str">
        <f t="shared" si="17"/>
        <v/>
      </c>
      <c r="J258" s="382" t="str">
        <f>IF('Review Comments'!H286=0,"",'Review Comments'!H286)</f>
        <v>Not Attempted</v>
      </c>
      <c r="K258" s="362" t="str">
        <f>IF(I258="Required","Required",IF(ISNUMBER(MATCH(J258,Lists!$H$2:$H$9,0)),I258,""))</f>
        <v/>
      </c>
      <c r="L258" s="432" t="str">
        <f>IF(I258="Required","Required",IF(ISNUMBER(MATCH(J258,Lists!$I$2:$I$9,0)),I258,IF(ISNUMBER(MATCH(J258,Lists!$J$2:$J$9,0)),I258,"")))</f>
        <v/>
      </c>
      <c r="Q258" s="287" t="b">
        <f>IF(I258="Required",0,IF(ISNUMBER(MATCH(J258,Lists!$I$2:$I$4,0)),L258))</f>
        <v>0</v>
      </c>
      <c r="R258" s="287" t="b">
        <f>IF(I258="Required",0,IF(ISNUMBER(MATCH(J258,Lists!$K$2:$K$7,0)),L258))</f>
        <v>0</v>
      </c>
      <c r="S258" s="287" t="b">
        <f>IF(I258="Required",0,IF(ISNUMBER(MATCH(J258,Lists!$G$2:$G$4,0)),L258))</f>
        <v>0</v>
      </c>
      <c r="T258" s="287" t="b">
        <f>IF(I258="Required",0,IF(ISNUMBER(MATCH(J258,Lists!$G$7:$G$8,0)),L258))</f>
        <v>0</v>
      </c>
      <c r="U258" s="287" t="b">
        <f>IF(I258="Required",0,IF(ISNUMBER(MATCH(J258,Lists!$H$2:$H$4,0)),K258))</f>
        <v>0</v>
      </c>
      <c r="V258" s="287">
        <f t="shared" si="15"/>
        <v>0</v>
      </c>
      <c r="W258" s="287">
        <f t="shared" si="16"/>
        <v>0</v>
      </c>
    </row>
    <row r="259" spans="1:23" ht="21" customHeight="1">
      <c r="A259" s="318" t="s">
        <v>767</v>
      </c>
      <c r="B259" s="286"/>
      <c r="C259" s="816"/>
      <c r="D259" s="778"/>
      <c r="E259" s="780"/>
      <c r="F259" s="361" t="s">
        <v>1113</v>
      </c>
      <c r="G259" s="362">
        <f>'Review Comments'!F287</f>
        <v>0</v>
      </c>
      <c r="H259" s="362" t="str">
        <f>'Review Comments'!G287</f>
        <v>No</v>
      </c>
      <c r="I259" s="362" t="str">
        <f t="shared" si="17"/>
        <v/>
      </c>
      <c r="J259" s="382" t="str">
        <f>IF('Review Comments'!H287=0,"",'Review Comments'!H287)</f>
        <v>Not Attempted</v>
      </c>
      <c r="K259" s="362" t="str">
        <f>IF(I259="Required","Required",IF(ISNUMBER(MATCH(J259,Lists!$H$2:$H$9,0)),I259,""))</f>
        <v/>
      </c>
      <c r="L259" s="432" t="str">
        <f>IF(I259="Required","Required",IF(ISNUMBER(MATCH(J259,Lists!$I$2:$I$9,0)),I259,IF(ISNUMBER(MATCH(J259,Lists!$J$2:$J$9,0)),I259,"")))</f>
        <v/>
      </c>
      <c r="Q259" s="287" t="b">
        <f>IF(I259="Required",0,IF(ISNUMBER(MATCH(J259,Lists!$I$2:$I$4,0)),L259))</f>
        <v>0</v>
      </c>
      <c r="R259" s="287" t="b">
        <f>IF(I259="Required",0,IF(ISNUMBER(MATCH(J259,Lists!$K$2:$K$7,0)),L259))</f>
        <v>0</v>
      </c>
      <c r="S259" s="287" t="b">
        <f>IF(I259="Required",0,IF(ISNUMBER(MATCH(J259,Lists!$G$2:$G$4,0)),L259))</f>
        <v>0</v>
      </c>
      <c r="T259" s="287" t="b">
        <f>IF(I259="Required",0,IF(ISNUMBER(MATCH(J259,Lists!$G$7:$G$8,0)),L259))</f>
        <v>0</v>
      </c>
      <c r="U259" s="287" t="b">
        <f>IF(I259="Required",0,IF(ISNUMBER(MATCH(J259,Lists!$H$2:$H$4,0)),K259))</f>
        <v>0</v>
      </c>
      <c r="V259" s="287">
        <f t="shared" si="15"/>
        <v>0</v>
      </c>
      <c r="W259" s="287">
        <f t="shared" si="16"/>
        <v>0</v>
      </c>
    </row>
    <row r="260" spans="1:23" ht="21" customHeight="1">
      <c r="A260" s="318" t="s">
        <v>767</v>
      </c>
      <c r="B260" s="286"/>
      <c r="C260" s="816"/>
      <c r="D260" s="778"/>
      <c r="E260" s="780"/>
      <c r="F260" s="361" t="s">
        <v>1114</v>
      </c>
      <c r="G260" s="362">
        <f>'Review Comments'!F288</f>
        <v>0</v>
      </c>
      <c r="H260" s="362" t="str">
        <f>'Review Comments'!G288</f>
        <v>No</v>
      </c>
      <c r="I260" s="362" t="str">
        <f t="shared" si="17"/>
        <v/>
      </c>
      <c r="J260" s="382" t="str">
        <f>IF('Review Comments'!H288=0,"",'Review Comments'!H288)</f>
        <v>Not Attempted</v>
      </c>
      <c r="K260" s="362" t="str">
        <f>IF(I260="Required","Required",IF(ISNUMBER(MATCH(J260,Lists!$H$2:$H$9,0)),I260,""))</f>
        <v/>
      </c>
      <c r="L260" s="432" t="str">
        <f>IF(I260="Required","Required",IF(ISNUMBER(MATCH(J260,Lists!$I$2:$I$9,0)),I260,IF(ISNUMBER(MATCH(J260,Lists!$J$2:$J$9,0)),I260,"")))</f>
        <v/>
      </c>
      <c r="Q260" s="287" t="b">
        <f>IF(I260="Required",0,IF(ISNUMBER(MATCH(J260,Lists!$I$2:$I$4,0)),L260))</f>
        <v>0</v>
      </c>
      <c r="R260" s="287" t="b">
        <f>IF(I260="Required",0,IF(ISNUMBER(MATCH(J260,Lists!$K$2:$K$7,0)),L260))</f>
        <v>0</v>
      </c>
      <c r="S260" s="287" t="b">
        <f>IF(I260="Required",0,IF(ISNUMBER(MATCH(J260,Lists!$G$2:$G$4,0)),L260))</f>
        <v>0</v>
      </c>
      <c r="T260" s="287" t="b">
        <f>IF(I260="Required",0,IF(ISNUMBER(MATCH(J260,Lists!$G$7:$G$8,0)),L260))</f>
        <v>0</v>
      </c>
      <c r="U260" s="287" t="b">
        <f>IF(I260="Required",0,IF(ISNUMBER(MATCH(J260,Lists!$H$2:$H$4,0)),K260))</f>
        <v>0</v>
      </c>
      <c r="V260" s="287">
        <f t="shared" si="15"/>
        <v>0</v>
      </c>
      <c r="W260" s="287">
        <f t="shared" si="16"/>
        <v>0</v>
      </c>
    </row>
    <row r="261" spans="1:23" ht="21" customHeight="1">
      <c r="A261" s="318" t="s">
        <v>767</v>
      </c>
      <c r="B261" s="286"/>
      <c r="C261" s="816"/>
      <c r="D261" s="778" t="s">
        <v>767</v>
      </c>
      <c r="E261" s="780" t="s">
        <v>1115</v>
      </c>
      <c r="F261" s="361" t="s">
        <v>1116</v>
      </c>
      <c r="G261" s="362">
        <f>'Review Comments'!F289</f>
        <v>1</v>
      </c>
      <c r="H261" s="362" t="str">
        <f>'Review Comments'!G289</f>
        <v>Yes</v>
      </c>
      <c r="I261" s="362">
        <f t="shared" si="17"/>
        <v>1</v>
      </c>
      <c r="J261" s="382" t="str">
        <f>IF('Review Comments'!H289=0,"",'Review Comments'!H289)</f>
        <v>Achieved</v>
      </c>
      <c r="K261" s="362">
        <f>IF(I261="Required","Required",IF(ISNUMBER(MATCH(J261,Lists!$H$2:$H$9,0)),I261,""))</f>
        <v>1</v>
      </c>
      <c r="L261" s="432" t="str">
        <f>IF(I261="Required","Required",IF(ISNUMBER(MATCH(J261,Lists!$I$2:$I$9,0)),I261,IF(ISNUMBER(MATCH(J261,Lists!$J$2:$J$9,0)),I261,"")))</f>
        <v/>
      </c>
      <c r="Q261" s="287" t="b">
        <f>IF(I261="Required",0,IF(ISNUMBER(MATCH(J261,Lists!$I$2:$I$4,0)),L261))</f>
        <v>0</v>
      </c>
      <c r="R261" s="287" t="b">
        <f>IF(I261="Required",0,IF(ISNUMBER(MATCH(J261,Lists!$K$2:$K$7,0)),L261))</f>
        <v>0</v>
      </c>
      <c r="S261" s="287" t="b">
        <f>IF(I261="Required",0,IF(ISNUMBER(MATCH(J261,Lists!$G$2:$G$4,0)),L261))</f>
        <v>0</v>
      </c>
      <c r="T261" s="287" t="b">
        <f>IF(I261="Required",0,IF(ISNUMBER(MATCH(J261,Lists!$G$7:$G$8,0)),L261))</f>
        <v>0</v>
      </c>
      <c r="U261" s="287">
        <f>IF(I261="Required",0,IF(ISNUMBER(MATCH(J261,Lists!$H$2:$H$4,0)),K261))</f>
        <v>1</v>
      </c>
      <c r="V261" s="287">
        <f t="shared" si="15"/>
        <v>0</v>
      </c>
      <c r="W261" s="287">
        <f t="shared" si="16"/>
        <v>0</v>
      </c>
    </row>
    <row r="262" spans="1:23" ht="21" customHeight="1">
      <c r="A262" s="318" t="s">
        <v>767</v>
      </c>
      <c r="B262" s="286"/>
      <c r="C262" s="816"/>
      <c r="D262" s="778"/>
      <c r="E262" s="780"/>
      <c r="F262" s="361" t="s">
        <v>1117</v>
      </c>
      <c r="G262" s="362">
        <f>'Review Comments'!F290</f>
        <v>2</v>
      </c>
      <c r="H262" s="362" t="str">
        <f>'Review Comments'!G290</f>
        <v>Yes</v>
      </c>
      <c r="I262" s="362">
        <f t="shared" si="17"/>
        <v>2</v>
      </c>
      <c r="J262" s="382" t="str">
        <f>IF('Review Comments'!H290=0,"",'Review Comments'!H290)</f>
        <v>Achieved</v>
      </c>
      <c r="K262" s="362">
        <f>IF(I262="Required","Required",IF(ISNUMBER(MATCH(J262,Lists!$H$2:$H$9,0)),I262,""))</f>
        <v>2</v>
      </c>
      <c r="L262" s="432" t="str">
        <f>IF(I262="Required","Required",IF(ISNUMBER(MATCH(J262,Lists!$I$2:$I$9,0)),I262,IF(ISNUMBER(MATCH(J262,Lists!$J$2:$J$9,0)),I262,"")))</f>
        <v/>
      </c>
      <c r="Q262" s="287" t="b">
        <f>IF(I262="Required",0,IF(ISNUMBER(MATCH(J262,Lists!$I$2:$I$4,0)),L262))</f>
        <v>0</v>
      </c>
      <c r="R262" s="287" t="b">
        <f>IF(I262="Required",0,IF(ISNUMBER(MATCH(J262,Lists!$K$2:$K$7,0)),L262))</f>
        <v>0</v>
      </c>
      <c r="S262" s="287" t="b">
        <f>IF(I262="Required",0,IF(ISNUMBER(MATCH(J262,Lists!$G$2:$G$4,0)),L262))</f>
        <v>0</v>
      </c>
      <c r="T262" s="287" t="b">
        <f>IF(I262="Required",0,IF(ISNUMBER(MATCH(J262,Lists!$G$7:$G$8,0)),L262))</f>
        <v>0</v>
      </c>
      <c r="U262" s="287">
        <f>IF(I262="Required",0,IF(ISNUMBER(MATCH(J262,Lists!$H$2:$H$4,0)),K262))</f>
        <v>2</v>
      </c>
      <c r="V262" s="287">
        <f t="shared" si="15"/>
        <v>0</v>
      </c>
      <c r="W262" s="287">
        <f t="shared" si="16"/>
        <v>0</v>
      </c>
    </row>
    <row r="263" spans="1:23" ht="21" customHeight="1" thickBot="1">
      <c r="A263" s="318" t="s">
        <v>767</v>
      </c>
      <c r="B263" s="286"/>
      <c r="C263" s="816"/>
      <c r="D263" s="359" t="s">
        <v>767</v>
      </c>
      <c r="E263" s="360" t="s">
        <v>1118</v>
      </c>
      <c r="F263" s="361" t="s">
        <v>1119</v>
      </c>
      <c r="G263" s="362">
        <f>'Review Comments'!F291</f>
        <v>0</v>
      </c>
      <c r="H263" s="362" t="str">
        <f>'Review Comments'!G291</f>
        <v>No</v>
      </c>
      <c r="I263" s="362" t="str">
        <f t="shared" si="17"/>
        <v/>
      </c>
      <c r="J263" s="382" t="str">
        <f>IF('Review Comments'!H291=0,"",'Review Comments'!H291)</f>
        <v>Not Attempted</v>
      </c>
      <c r="K263" s="362" t="str">
        <f>IF(I263="Required","Required",IF(ISNUMBER(MATCH(J263,Lists!$H$2:$H$9,0)),I263,""))</f>
        <v/>
      </c>
      <c r="L263" s="432" t="str">
        <f>IF(I263="Required","Required",IF(ISNUMBER(MATCH(J263,Lists!$I$2:$I$9,0)),I263,IF(ISNUMBER(MATCH(J263,Lists!$J$2:$J$9,0)),I263,"")))</f>
        <v/>
      </c>
      <c r="N263" s="363" t="s">
        <v>1120</v>
      </c>
      <c r="O263" s="364"/>
      <c r="Q263" s="287" t="b">
        <f>IF(I263="Required",0,IF(ISNUMBER(MATCH(J263,Lists!$I$2:$I$4,0)),L263))</f>
        <v>0</v>
      </c>
      <c r="R263" s="287" t="b">
        <f>IF(I263="Required",0,IF(ISNUMBER(MATCH(J263,Lists!$K$2:$K$7,0)),L263))</f>
        <v>0</v>
      </c>
      <c r="S263" s="287" t="b">
        <f>IF(I263="Required",0,IF(ISNUMBER(MATCH(J263,Lists!$G$2:$G$4,0)),L263))</f>
        <v>0</v>
      </c>
      <c r="T263" s="287" t="b">
        <f>IF(I263="Required",0,IF(ISNUMBER(MATCH(J263,Lists!$G$7:$G$8,0)),L263))</f>
        <v>0</v>
      </c>
      <c r="U263" s="287" t="b">
        <f>IF(I263="Required",0,IF(ISNUMBER(MATCH(J263,Lists!$H$2:$H$4,0)),K263))</f>
        <v>0</v>
      </c>
      <c r="V263" s="287">
        <f t="shared" si="15"/>
        <v>0</v>
      </c>
      <c r="W263" s="287">
        <f t="shared" si="16"/>
        <v>0</v>
      </c>
    </row>
    <row r="264" spans="1:23" ht="21" hidden="1" customHeight="1">
      <c r="A264" s="318" t="s">
        <v>767</v>
      </c>
      <c r="B264" s="286"/>
      <c r="C264" s="816"/>
      <c r="D264" s="405" t="s">
        <v>767</v>
      </c>
      <c r="E264" s="406" t="s">
        <v>1121</v>
      </c>
      <c r="F264" s="433" t="s">
        <v>1122</v>
      </c>
      <c r="G264" s="362">
        <f>'Review Comments'!F292</f>
        <v>0</v>
      </c>
      <c r="H264" s="362">
        <f>'Review Comments'!G292</f>
        <v>0</v>
      </c>
      <c r="I264" s="434" t="str">
        <f t="shared" si="17"/>
        <v/>
      </c>
      <c r="J264" s="435" t="str">
        <f>IF('Review Comments'!H292=0,"",'Review Comments'!H292)</f>
        <v/>
      </c>
      <c r="K264" s="434" t="str">
        <f>IF(I264="Required","Required",IF(ISNUMBER(MATCH(J264,Lists!$H$2:$H$9,0)),I264,""))</f>
        <v/>
      </c>
      <c r="L264" s="436" t="str">
        <f>IF(I264="Required","Required",IF(ISNUMBER(MATCH(J264,Lists!$I$2:$I$9,0)),I264,IF(ISNUMBER(MATCH(J264,Lists!$J$2:$J$9,0)),I264,"")))</f>
        <v/>
      </c>
      <c r="Q264" s="287" t="b">
        <f>IF(I264="Required",0,IF(ISNUMBER(MATCH(J264,Lists!$I$2:$I$4,0)),L264))</f>
        <v>0</v>
      </c>
      <c r="R264" s="287" t="b">
        <f>IF(I264="Required",0,IF(ISNUMBER(MATCH(J264,Lists!$K$2:$K$7,0)),L264))</f>
        <v>0</v>
      </c>
      <c r="S264" s="287" t="b">
        <f>IF(I264="Required",0,IF(ISNUMBER(MATCH(J264,Lists!$G$2:$G$4,0)),L264))</f>
        <v>0</v>
      </c>
      <c r="T264" s="287" t="b">
        <f>IF(I264="Required",0,IF(ISNUMBER(MATCH(J264,Lists!$G$7:$G$8,0)),L264))</f>
        <v>0</v>
      </c>
      <c r="U264" s="287" t="b">
        <f>IF(I264="Required",0,IF(ISNUMBER(MATCH(J264,Lists!$H$2:$H$4,0)),K264))</f>
        <v>0</v>
      </c>
      <c r="V264" s="287">
        <f t="shared" si="15"/>
        <v>0</v>
      </c>
      <c r="W264" s="287">
        <f t="shared" si="16"/>
        <v>0</v>
      </c>
    </row>
    <row r="265" spans="1:23" ht="21" hidden="1" customHeight="1">
      <c r="A265" s="318" t="s">
        <v>767</v>
      </c>
      <c r="B265" s="286"/>
      <c r="C265" s="816"/>
      <c r="D265" s="778" t="s">
        <v>767</v>
      </c>
      <c r="E265" s="780" t="s">
        <v>1123</v>
      </c>
      <c r="F265" s="361" t="s">
        <v>1124</v>
      </c>
      <c r="G265" s="362">
        <f>'Review Comments'!F293</f>
        <v>0</v>
      </c>
      <c r="H265" s="362" t="str">
        <f>'Review Comments'!G293</f>
        <v>Yes</v>
      </c>
      <c r="I265" s="362">
        <f t="shared" si="17"/>
        <v>0</v>
      </c>
      <c r="J265" s="382" t="str">
        <f>IF('Review Comments'!H293=0,"",'Review Comments'!H293)</f>
        <v>Achieved</v>
      </c>
      <c r="K265" s="362">
        <f>IF(I265="Required","Required",IF(ISNUMBER(MATCH(J265,Lists!$H$2:$H$9,0)),I265,""))</f>
        <v>0</v>
      </c>
      <c r="L265" s="432" t="str">
        <f>IF(I265="Required","Required",IF(ISNUMBER(MATCH(J265,Lists!$I$2:$I$9,0)),I265,IF(ISNUMBER(MATCH(J265,Lists!$J$2:$J$9,0)),I265,"")))</f>
        <v/>
      </c>
      <c r="Q265" s="287" t="b">
        <f>IF(I265="Required",0,IF(ISNUMBER(MATCH(J265,Lists!$I$2:$I$4,0)),L265))</f>
        <v>0</v>
      </c>
      <c r="R265" s="287" t="b">
        <f>IF(I265="Required",0,IF(ISNUMBER(MATCH(J265,Lists!$K$2:$K$7,0)),L265))</f>
        <v>0</v>
      </c>
      <c r="S265" s="287" t="b">
        <f>IF(I265="Required",0,IF(ISNUMBER(MATCH(J265,Lists!$G$2:$G$4,0)),L265))</f>
        <v>0</v>
      </c>
      <c r="T265" s="287" t="b">
        <f>IF(I265="Required",0,IF(ISNUMBER(MATCH(J265,Lists!$G$7:$G$8,0)),L265))</f>
        <v>0</v>
      </c>
      <c r="U265" s="287">
        <f>IF(I265="Required",0,IF(ISNUMBER(MATCH(J265,Lists!$H$2:$H$4,0)),K265))</f>
        <v>0</v>
      </c>
      <c r="V265" s="287">
        <f t="shared" si="15"/>
        <v>0</v>
      </c>
      <c r="W265" s="287">
        <f t="shared" si="16"/>
        <v>0</v>
      </c>
    </row>
    <row r="266" spans="1:23" ht="21" hidden="1" customHeight="1">
      <c r="A266" s="318" t="s">
        <v>767</v>
      </c>
      <c r="B266" s="286"/>
      <c r="C266" s="816"/>
      <c r="D266" s="778"/>
      <c r="E266" s="780"/>
      <c r="F266" s="361" t="s">
        <v>1125</v>
      </c>
      <c r="G266" s="362">
        <f>'Review Comments'!F294</f>
        <v>0</v>
      </c>
      <c r="H266" s="362" t="str">
        <f>'Review Comments'!G294</f>
        <v>Yes</v>
      </c>
      <c r="I266" s="362">
        <f t="shared" si="17"/>
        <v>0</v>
      </c>
      <c r="J266" s="382" t="str">
        <f>IF('Review Comments'!H294=0,"",'Review Comments'!H294)</f>
        <v>Achieved</v>
      </c>
      <c r="K266" s="362">
        <f>IF(I266="Required","Required",IF(ISNUMBER(MATCH(J266,Lists!$H$2:$H$9,0)),I266,""))</f>
        <v>0</v>
      </c>
      <c r="L266" s="432" t="str">
        <f>IF(I266="Required","Required",IF(ISNUMBER(MATCH(J266,Lists!$I$2:$I$9,0)),I266,IF(ISNUMBER(MATCH(J266,Lists!$J$2:$J$9,0)),I266,"")))</f>
        <v/>
      </c>
      <c r="Q266" s="287" t="b">
        <f>IF(I266="Required",0,IF(ISNUMBER(MATCH(J266,Lists!$I$2:$I$4,0)),L266))</f>
        <v>0</v>
      </c>
      <c r="R266" s="287" t="b">
        <f>IF(I266="Required",0,IF(ISNUMBER(MATCH(J266,Lists!$K$2:$K$7,0)),L266))</f>
        <v>0</v>
      </c>
      <c r="S266" s="287" t="b">
        <f>IF(I266="Required",0,IF(ISNUMBER(MATCH(J266,Lists!$G$2:$G$4,0)),L266))</f>
        <v>0</v>
      </c>
      <c r="T266" s="287" t="b">
        <f>IF(I266="Required",0,IF(ISNUMBER(MATCH(J266,Lists!$G$7:$G$8,0)),L266))</f>
        <v>0</v>
      </c>
      <c r="U266" s="287">
        <f>IF(I266="Required",0,IF(ISNUMBER(MATCH(J266,Lists!$H$2:$H$4,0)),K266))</f>
        <v>0</v>
      </c>
      <c r="V266" s="287">
        <f t="shared" si="15"/>
        <v>0</v>
      </c>
      <c r="W266" s="287">
        <f t="shared" si="16"/>
        <v>0</v>
      </c>
    </row>
    <row r="267" spans="1:23" ht="21" hidden="1" customHeight="1" thickBot="1">
      <c r="A267" s="318" t="s">
        <v>767</v>
      </c>
      <c r="B267" s="286"/>
      <c r="C267" s="816"/>
      <c r="D267" s="778"/>
      <c r="E267" s="780"/>
      <c r="F267" s="361" t="s">
        <v>1126</v>
      </c>
      <c r="G267" s="362">
        <f>'Review Comments'!F295</f>
        <v>0</v>
      </c>
      <c r="H267" s="362" t="str">
        <f>'Review Comments'!G295</f>
        <v>Yes</v>
      </c>
      <c r="I267" s="362">
        <f t="shared" si="17"/>
        <v>0</v>
      </c>
      <c r="J267" s="382" t="str">
        <f>IF('Review Comments'!H295=0,"",'Review Comments'!H295)</f>
        <v>Achieved</v>
      </c>
      <c r="K267" s="362">
        <f>IF(I267="Required","Required",IF(ISNUMBER(MATCH(J267,Lists!$H$2:$H$9,0)),I267,""))</f>
        <v>0</v>
      </c>
      <c r="L267" s="432" t="str">
        <f>IF(I267="Required","Required",IF(ISNUMBER(MATCH(J267,Lists!$I$2:$I$9,0)),I267,IF(ISNUMBER(MATCH(J267,Lists!$J$2:$J$9,0)),I267,"")))</f>
        <v/>
      </c>
      <c r="Q267" s="287" t="b">
        <f>IF(I267="Required",0,IF(ISNUMBER(MATCH(J267,Lists!$I$2:$I$4,0)),L267))</f>
        <v>0</v>
      </c>
      <c r="R267" s="287" t="b">
        <f>IF(I267="Required",0,IF(ISNUMBER(MATCH(J267,Lists!$K$2:$K$7,0)),L267))</f>
        <v>0</v>
      </c>
      <c r="S267" s="287" t="b">
        <f>IF(I267="Required",0,IF(ISNUMBER(MATCH(J267,Lists!$G$2:$G$4,0)),L267))</f>
        <v>0</v>
      </c>
      <c r="T267" s="287" t="b">
        <f>IF(I267="Required",0,IF(ISNUMBER(MATCH(J267,Lists!$G$7:$G$8,0)),L267))</f>
        <v>0</v>
      </c>
      <c r="U267" s="287">
        <f>IF(I267="Required",0,IF(ISNUMBER(MATCH(J267,Lists!$H$2:$H$4,0)),K267))</f>
        <v>0</v>
      </c>
      <c r="V267" s="287">
        <f t="shared" si="15"/>
        <v>0</v>
      </c>
      <c r="W267" s="287">
        <f t="shared" si="16"/>
        <v>0</v>
      </c>
    </row>
    <row r="268" spans="1:23" ht="21" hidden="1" customHeight="1">
      <c r="A268" s="318" t="s">
        <v>767</v>
      </c>
      <c r="B268" s="286"/>
      <c r="C268" s="816"/>
      <c r="D268" s="789" t="s">
        <v>767</v>
      </c>
      <c r="E268" s="792" t="s">
        <v>1127</v>
      </c>
      <c r="F268" s="361" t="s">
        <v>1128</v>
      </c>
      <c r="G268" s="362">
        <f>'Review Comments'!F296</f>
        <v>0</v>
      </c>
      <c r="H268" s="362">
        <f>'Review Comments'!G296</f>
        <v>0</v>
      </c>
      <c r="I268" s="362" t="str">
        <f t="shared" si="17"/>
        <v/>
      </c>
      <c r="J268" s="382" t="str">
        <f>IF('Review Comments'!H296=0,"",'Review Comments'!H296)</f>
        <v/>
      </c>
      <c r="K268" s="362" t="str">
        <f>IF(I268="Required","Required",IF(ISNUMBER(MATCH(J268,Lists!$H$2:$H$9,0)),I268,""))</f>
        <v/>
      </c>
      <c r="L268" s="432" t="str">
        <f>IF(I268="Required","Required",IF(ISNUMBER(MATCH(J268,Lists!$I$2:$I$9,0)),I268,IF(ISNUMBER(MATCH(J268,Lists!$J$2:$J$9,0)),I268,"")))</f>
        <v/>
      </c>
      <c r="Q268" s="287" t="b">
        <f>IF(I268="Required",0,IF(ISNUMBER(MATCH(J268,Lists!$I$2:$I$4,0)),L268))</f>
        <v>0</v>
      </c>
      <c r="R268" s="287" t="b">
        <f>IF(I268="Required",0,IF(ISNUMBER(MATCH(J268,Lists!$K$2:$K$7,0)),L268))</f>
        <v>0</v>
      </c>
      <c r="S268" s="287" t="b">
        <f>IF(I268="Required",0,IF(ISNUMBER(MATCH(J268,Lists!$G$2:$G$4,0)),L268))</f>
        <v>0</v>
      </c>
      <c r="T268" s="287" t="b">
        <f>IF(I268="Required",0,IF(ISNUMBER(MATCH(J268,Lists!$G$7:$G$8,0)),L268))</f>
        <v>0</v>
      </c>
      <c r="U268" s="287" t="b">
        <f>IF(I268="Required",0,IF(ISNUMBER(MATCH(J268,Lists!$H$2:$H$4,0)),K268))</f>
        <v>0</v>
      </c>
      <c r="V268" s="287">
        <f t="shared" si="15"/>
        <v>0</v>
      </c>
      <c r="W268" s="287">
        <f t="shared" si="16"/>
        <v>0</v>
      </c>
    </row>
    <row r="269" spans="1:23" ht="21" hidden="1" customHeight="1">
      <c r="A269" s="318" t="s">
        <v>767</v>
      </c>
      <c r="B269" s="286"/>
      <c r="C269" s="816"/>
      <c r="D269" s="791"/>
      <c r="E269" s="794"/>
      <c r="F269" s="361" t="s">
        <v>1128</v>
      </c>
      <c r="G269" s="362">
        <f>'Review Comments'!F297</f>
        <v>0</v>
      </c>
      <c r="H269" s="362">
        <f>'Review Comments'!G297</f>
        <v>0</v>
      </c>
      <c r="I269" s="362" t="str">
        <f t="shared" si="17"/>
        <v/>
      </c>
      <c r="J269" s="382" t="str">
        <f>IF('Review Comments'!H297=0,"",'Review Comments'!H297)</f>
        <v/>
      </c>
      <c r="K269" s="362" t="str">
        <f>IF(I269="Required","Required",IF(ISNUMBER(MATCH(J269,Lists!$H$2:$H$9,0)),I269,""))</f>
        <v/>
      </c>
      <c r="L269" s="432" t="str">
        <f>IF(I269="Required","Required",IF(ISNUMBER(MATCH(J269,Lists!$I$2:$I$9,0)),I269,IF(ISNUMBER(MATCH(J269,Lists!$J$2:$J$9,0)),I269,"")))</f>
        <v/>
      </c>
      <c r="Q269" s="287" t="b">
        <f>IF(I269="Required",0,IF(ISNUMBER(MATCH(J269,Lists!$I$2:$I$4,0)),L269))</f>
        <v>0</v>
      </c>
      <c r="R269" s="287" t="b">
        <f>IF(I269="Required",0,IF(ISNUMBER(MATCH(J269,Lists!$K$2:$K$7,0)),L269))</f>
        <v>0</v>
      </c>
      <c r="S269" s="287" t="b">
        <f>IF(I269="Required",0,IF(ISNUMBER(MATCH(J269,Lists!$G$2:$G$4,0)),L269))</f>
        <v>0</v>
      </c>
      <c r="T269" s="287" t="b">
        <f>IF(I269="Required",0,IF(ISNUMBER(MATCH(J269,Lists!$G$7:$G$8,0)),L269))</f>
        <v>0</v>
      </c>
      <c r="U269" s="287" t="b">
        <f>IF(I269="Required",0,IF(ISNUMBER(MATCH(J269,Lists!$H$2:$H$4,0)),K269))</f>
        <v>0</v>
      </c>
      <c r="V269" s="287">
        <f t="shared" si="15"/>
        <v>0</v>
      </c>
      <c r="W269" s="287">
        <f t="shared" si="16"/>
        <v>0</v>
      </c>
    </row>
    <row r="270" spans="1:23" ht="21" hidden="1" customHeight="1" thickBot="1">
      <c r="A270" s="318" t="s">
        <v>767</v>
      </c>
      <c r="B270" s="286"/>
      <c r="C270" s="816"/>
      <c r="D270" s="405" t="s">
        <v>767</v>
      </c>
      <c r="E270" s="393" t="s">
        <v>1129</v>
      </c>
      <c r="F270" s="394" t="s">
        <v>1130</v>
      </c>
      <c r="G270" s="368">
        <f>'Review Comments'!F298</f>
        <v>0</v>
      </c>
      <c r="H270" s="368">
        <f>'Review Comments'!G298</f>
        <v>0</v>
      </c>
      <c r="I270" s="368" t="str">
        <f t="shared" si="17"/>
        <v/>
      </c>
      <c r="J270" s="395" t="str">
        <f>IF('Review Comments'!H298=0,"",'Review Comments'!H298)</f>
        <v/>
      </c>
      <c r="K270" s="368" t="str">
        <f>IF(I270="Required","Required",IF(ISNUMBER(MATCH(J270,Lists!$H$2:$H$9,0)),I270,""))</f>
        <v/>
      </c>
      <c r="L270" s="437" t="str">
        <f>IF(I270="Required","Required",IF(ISNUMBER(MATCH(J270,Lists!$I$2:$I$9,0)),I270,IF(ISNUMBER(MATCH(J270,Lists!$J$2:$J$9,0)),I270,"")))</f>
        <v/>
      </c>
      <c r="Q270" s="287" t="b">
        <f>IF(I270="Required",0,IF(ISNUMBER(MATCH(J270,Lists!$I$2:$I$4,0)),L270))</f>
        <v>0</v>
      </c>
      <c r="R270" s="287" t="b">
        <f>IF(I270="Required",0,IF(ISNUMBER(MATCH(J270,Lists!$K$2:$K$7,0)),L270))</f>
        <v>0</v>
      </c>
      <c r="S270" s="287" t="b">
        <f>IF(I270="Required",0,IF(ISNUMBER(MATCH(J270,Lists!$G$2:$G$4,0)),L270))</f>
        <v>0</v>
      </c>
      <c r="T270" s="287" t="b">
        <f>IF(I270="Required",0,IF(ISNUMBER(MATCH(J270,Lists!$G$7:$G$8,0)),L270))</f>
        <v>0</v>
      </c>
      <c r="U270" s="287" t="b">
        <f>IF(I270="Required",0,IF(ISNUMBER(MATCH(J270,Lists!$H$2:$H$4,0)),K270))</f>
        <v>0</v>
      </c>
      <c r="V270" s="287">
        <f t="shared" si="15"/>
        <v>0</v>
      </c>
      <c r="W270" s="287">
        <f t="shared" si="16"/>
        <v>0</v>
      </c>
    </row>
    <row r="271" spans="1:23" s="346" customFormat="1" ht="16.2" customHeight="1">
      <c r="A271" s="472"/>
      <c r="B271" s="337"/>
      <c r="C271" s="473"/>
      <c r="D271" s="474"/>
      <c r="E271" s="475"/>
      <c r="F271" s="476"/>
      <c r="G271" s="477">
        <f>SUM(G227:G270)</f>
        <v>11</v>
      </c>
      <c r="H271" s="474"/>
      <c r="I271" s="478">
        <f>SUM(I227:I270)</f>
        <v>11</v>
      </c>
      <c r="J271" s="479"/>
      <c r="K271" s="478">
        <f>SUM(K227:K270)</f>
        <v>11</v>
      </c>
      <c r="L271" s="480">
        <f>SUM(L227:L270)</f>
        <v>0</v>
      </c>
      <c r="Q271" s="346" t="b">
        <f>IF(I271="Required",0,IF(ISNUMBER(MATCH(J271,Lists!$I$2:$I$4,0)),L271))</f>
        <v>0</v>
      </c>
      <c r="R271" s="346" t="b">
        <f>IF(I271="Required",0,IF(ISNUMBER(MATCH(J271,Lists!$K$2:$K$7,0)),L271))</f>
        <v>0</v>
      </c>
      <c r="S271" s="346" t="b">
        <f>IF(I271="Required",0,IF(ISNUMBER(MATCH(J271,Lists!$G$2:$G$4,0)),L271))</f>
        <v>0</v>
      </c>
      <c r="T271" s="346" t="b">
        <f>IF(I271="Required",0,IF(ISNUMBER(MATCH(J271,Lists!$G$7:$G$8,0)),L271))</f>
        <v>0</v>
      </c>
      <c r="U271" s="346" t="b">
        <f>IF(I271="Required",0,IF(ISNUMBER(MATCH(J271,Lists!$H$2:$H$4,0)),K271))</f>
        <v>0</v>
      </c>
      <c r="V271" s="346">
        <f t="shared" si="15"/>
        <v>0</v>
      </c>
      <c r="W271" s="287">
        <f t="shared" ref="W271:W289" si="18">IF(A271="P",IF(IFERROR(SEARCH("Pending On-site Assessment",J271),0)&gt;0,IF(I271="Required",1,I271),0),0)</f>
        <v>0</v>
      </c>
    </row>
    <row r="272" spans="1:23" ht="6.6" customHeight="1" thickBot="1">
      <c r="A272" s="347"/>
      <c r="B272" s="286"/>
      <c r="C272" s="348"/>
      <c r="D272" s="347"/>
      <c r="E272" s="349"/>
      <c r="F272" s="350"/>
      <c r="G272" s="351"/>
      <c r="H272" s="351"/>
      <c r="I272" s="351"/>
      <c r="J272" s="352"/>
      <c r="K272" s="351"/>
      <c r="L272" s="353"/>
      <c r="Q272" s="287" t="b">
        <f>IF(I272="Required",0,IF(ISNUMBER(MATCH(J272,Lists!$I$2:$I$4,0)),L272))</f>
        <v>0</v>
      </c>
      <c r="R272" s="287" t="b">
        <f>IF(I272="Required",0,IF(ISNUMBER(MATCH(J272,Lists!$K$2:$K$7,0)),L272))</f>
        <v>0</v>
      </c>
      <c r="S272" s="287" t="b">
        <f>IF(I272="Required",0,IF(ISNUMBER(MATCH(J272,Lists!$G$2:$G$4,0)),L272))</f>
        <v>0</v>
      </c>
      <c r="T272" s="287" t="b">
        <f>IF(I272="Required",0,IF(ISNUMBER(MATCH(J272,Lists!$G$7:$G$8,0)),L272))</f>
        <v>0</v>
      </c>
      <c r="U272" s="287" t="b">
        <f>IF(I272="Required",0,IF(ISNUMBER(MATCH(J272,Lists!$H$2:$H$4,0)),K272))</f>
        <v>0</v>
      </c>
      <c r="V272" s="287">
        <f t="shared" si="15"/>
        <v>0</v>
      </c>
      <c r="W272" s="287">
        <f t="shared" si="18"/>
        <v>0</v>
      </c>
    </row>
    <row r="273" spans="1:23" ht="21" customHeight="1">
      <c r="A273" s="318" t="s">
        <v>767</v>
      </c>
      <c r="B273" s="286"/>
      <c r="C273" s="808" t="s">
        <v>1131</v>
      </c>
      <c r="D273" s="319" t="s">
        <v>767</v>
      </c>
      <c r="E273" s="320" t="s">
        <v>1132</v>
      </c>
      <c r="F273" s="321" t="s">
        <v>1133</v>
      </c>
      <c r="G273" s="322"/>
      <c r="H273" s="322" t="str">
        <f>'Review Comments'!G304</f>
        <v>No</v>
      </c>
      <c r="I273" s="322" t="str">
        <f>IF(H273="Yes",SUM(G274:G281),IF(H273="Required","Required",""))</f>
        <v/>
      </c>
      <c r="J273" s="460" t="str">
        <f>IF('Review Comments'!H304="Achieved","Achieved",IF(H273&lt;&gt;"",IF(H273="No",'Review Comments'!H304,IF(H273=0,"","See Review Comments for Individual Part Status"))))</f>
        <v>Not Attempted</v>
      </c>
      <c r="K273" s="323" t="str">
        <f>IF(SUM(K274:K281) = 0,"",SUM(K274:K281))</f>
        <v/>
      </c>
      <c r="L273" s="481" t="str">
        <f>IF(SUM(L274:L281) = 0,"",SUM(L274:L281))</f>
        <v/>
      </c>
      <c r="V273" s="287">
        <f t="shared" si="15"/>
        <v>0</v>
      </c>
      <c r="W273" s="287">
        <f t="shared" si="18"/>
        <v>0</v>
      </c>
    </row>
    <row r="274" spans="1:23" ht="21" hidden="1" customHeight="1">
      <c r="A274" s="318"/>
      <c r="B274" s="286"/>
      <c r="C274" s="809"/>
      <c r="D274" s="482"/>
      <c r="E274" s="483"/>
      <c r="F274" s="484"/>
      <c r="G274" s="328">
        <f>'Review Comments'!F305</f>
        <v>0</v>
      </c>
      <c r="H274" s="328">
        <f>'Review Comments'!G305</f>
        <v>0</v>
      </c>
      <c r="I274" s="328" t="str">
        <f t="shared" ref="I274:I289" si="19">IF(H274="Yes",G274,IF(H274="Required","Required",""))</f>
        <v/>
      </c>
      <c r="J274" s="461" t="str">
        <f>IF('Review Comments'!H305=0,"",'Review Comments'!H305)</f>
        <v/>
      </c>
      <c r="K274" s="328" t="str">
        <f>IF(I274="Required","Required",IF(ISNUMBER(MATCH(J274,Lists!$H$2:$H$9,0)),I274,""))</f>
        <v/>
      </c>
      <c r="L274" s="330" t="str">
        <f>IF(I274="Required","Required",IF(ISNUMBER(MATCH(J274,Lists!$I$2:$I$9,0)),I274,IF(ISNUMBER(MATCH(J274,Lists!$J$2:$J$9,0)),I274,"")))</f>
        <v/>
      </c>
      <c r="Q274" s="287" t="b">
        <f>IF(I274="Required",0,IF(ISNUMBER(MATCH(J274,Lists!$I$2:$I$4,0)),L274))</f>
        <v>0</v>
      </c>
      <c r="R274" s="287" t="b">
        <f>IF(I274="Required",0,IF(ISNUMBER(MATCH(J274,Lists!$K$2:$K$7,0)),L274))</f>
        <v>0</v>
      </c>
      <c r="S274" s="287" t="b">
        <f>IF(I274="Required",0,IF(ISNUMBER(MATCH(J274,Lists!$G$2:$G$4,0)),L274))</f>
        <v>0</v>
      </c>
      <c r="T274" s="287" t="b">
        <f>IF(I274="Required",0,IF(ISNUMBER(MATCH(J274,Lists!$G$7:$G$8,0)),L274))</f>
        <v>0</v>
      </c>
      <c r="U274" s="287" t="b">
        <f>IF(I274="Required",0,IF(ISNUMBER(MATCH(J274,Lists!$H$2:$H$4,0)),K274))</f>
        <v>0</v>
      </c>
      <c r="W274" s="287">
        <f t="shared" si="18"/>
        <v>0</v>
      </c>
    </row>
    <row r="275" spans="1:23" ht="21" hidden="1" customHeight="1">
      <c r="A275" s="318"/>
      <c r="B275" s="286"/>
      <c r="C275" s="809"/>
      <c r="D275" s="482"/>
      <c r="E275" s="483"/>
      <c r="F275" s="484"/>
      <c r="G275" s="328">
        <f>'Review Comments'!F306</f>
        <v>0</v>
      </c>
      <c r="H275" s="328">
        <f>'Review Comments'!G306</f>
        <v>0</v>
      </c>
      <c r="I275" s="328" t="str">
        <f t="shared" si="19"/>
        <v/>
      </c>
      <c r="J275" s="461" t="str">
        <f>IF('Review Comments'!H306=0,"",'Review Comments'!H306)</f>
        <v/>
      </c>
      <c r="K275" s="328" t="str">
        <f>IF(I275="Required","Required",IF(ISNUMBER(MATCH(J275,Lists!$H$2:$H$9,0)),I275,""))</f>
        <v/>
      </c>
      <c r="L275" s="330" t="str">
        <f>IF(I275="Required","Required",IF(ISNUMBER(MATCH(J275,Lists!$I$2:$I$9,0)),I275,IF(ISNUMBER(MATCH(J275,Lists!$J$2:$J$9,0)),I275,"")))</f>
        <v/>
      </c>
      <c r="Q275" s="287" t="b">
        <f>IF(I275="Required",0,IF(ISNUMBER(MATCH(J275,Lists!$I$2:$I$4,0)),L275))</f>
        <v>0</v>
      </c>
      <c r="R275" s="287" t="b">
        <f>IF(I275="Required",0,IF(ISNUMBER(MATCH(J275,Lists!$K$2:$K$7,0)),L275))</f>
        <v>0</v>
      </c>
      <c r="S275" s="287" t="b">
        <f>IF(I275="Required",0,IF(ISNUMBER(MATCH(J275,Lists!$G$2:$G$4,0)),L275))</f>
        <v>0</v>
      </c>
      <c r="T275" s="287" t="b">
        <f>IF(I275="Required",0,IF(ISNUMBER(MATCH(J275,Lists!$G$7:$G$8,0)),L275))</f>
        <v>0</v>
      </c>
      <c r="U275" s="287" t="b">
        <f>IF(I275="Required",0,IF(ISNUMBER(MATCH(J275,Lists!$H$2:$H$4,0)),K275))</f>
        <v>0</v>
      </c>
      <c r="W275" s="287">
        <f t="shared" si="18"/>
        <v>0</v>
      </c>
    </row>
    <row r="276" spans="1:23" ht="21" hidden="1" customHeight="1">
      <c r="A276" s="318"/>
      <c r="B276" s="286"/>
      <c r="C276" s="809"/>
      <c r="D276" s="482"/>
      <c r="E276" s="483"/>
      <c r="F276" s="484"/>
      <c r="G276" s="328">
        <f>'Review Comments'!F307</f>
        <v>0</v>
      </c>
      <c r="H276" s="328">
        <f>'Review Comments'!G307</f>
        <v>0</v>
      </c>
      <c r="I276" s="328" t="str">
        <f t="shared" si="19"/>
        <v/>
      </c>
      <c r="J276" s="461" t="str">
        <f>IF('Review Comments'!H307=0,"",'Review Comments'!H307)</f>
        <v/>
      </c>
      <c r="K276" s="328" t="str">
        <f>IF(I276="Required","Required",IF(ISNUMBER(MATCH(J276,Lists!$H$2:$H$9,0)),I276,""))</f>
        <v/>
      </c>
      <c r="L276" s="330" t="str">
        <f>IF(I276="Required","Required",IF(ISNUMBER(MATCH(J276,Lists!$I$2:$I$9,0)),I276,IF(ISNUMBER(MATCH(J276,Lists!$J$2:$J$9,0)),I276,"")))</f>
        <v/>
      </c>
      <c r="Q276" s="287" t="b">
        <f>IF(I276="Required",0,IF(ISNUMBER(MATCH(J276,Lists!$I$2:$I$4,0)),L276))</f>
        <v>0</v>
      </c>
      <c r="R276" s="287" t="b">
        <f>IF(I276="Required",0,IF(ISNUMBER(MATCH(J276,Lists!$K$2:$K$7,0)),L276))</f>
        <v>0</v>
      </c>
      <c r="S276" s="287" t="b">
        <f>IF(I276="Required",0,IF(ISNUMBER(MATCH(J276,Lists!$G$2:$G$4,0)),L276))</f>
        <v>0</v>
      </c>
      <c r="T276" s="287" t="b">
        <f>IF(I276="Required",0,IF(ISNUMBER(MATCH(J276,Lists!$G$7:$G$8,0)),L276))</f>
        <v>0</v>
      </c>
      <c r="U276" s="287" t="b">
        <f>IF(I276="Required",0,IF(ISNUMBER(MATCH(J276,Lists!$H$2:$H$4,0)),K276))</f>
        <v>0</v>
      </c>
      <c r="W276" s="287">
        <f t="shared" si="18"/>
        <v>0</v>
      </c>
    </row>
    <row r="277" spans="1:23" ht="21" hidden="1" customHeight="1">
      <c r="A277" s="318"/>
      <c r="B277" s="286"/>
      <c r="C277" s="809"/>
      <c r="D277" s="482"/>
      <c r="E277" s="483"/>
      <c r="F277" s="484"/>
      <c r="G277" s="328">
        <f>'Review Comments'!F308</f>
        <v>0</v>
      </c>
      <c r="H277" s="328">
        <f>'Review Comments'!G308</f>
        <v>0</v>
      </c>
      <c r="I277" s="328" t="str">
        <f t="shared" si="19"/>
        <v/>
      </c>
      <c r="J277" s="461" t="str">
        <f>IF('Review Comments'!H308=0,"",'Review Comments'!H308)</f>
        <v/>
      </c>
      <c r="K277" s="328" t="str">
        <f>IF(I277="Required","Required",IF(ISNUMBER(MATCH(J277,Lists!$H$2:$H$9,0)),I277,""))</f>
        <v/>
      </c>
      <c r="L277" s="330" t="str">
        <f>IF(I277="Required","Required",IF(ISNUMBER(MATCH(J277,Lists!$I$2:$I$9,0)),I277,IF(ISNUMBER(MATCH(J277,Lists!$J$2:$J$9,0)),I277,"")))</f>
        <v/>
      </c>
      <c r="Q277" s="287" t="b">
        <f>IF(I277="Required",0,IF(ISNUMBER(MATCH(J277,Lists!$I$2:$I$4,0)),L277))</f>
        <v>0</v>
      </c>
      <c r="R277" s="287" t="b">
        <f>IF(I277="Required",0,IF(ISNUMBER(MATCH(J277,Lists!$K$2:$K$7,0)),L277))</f>
        <v>0</v>
      </c>
      <c r="S277" s="287" t="b">
        <f>IF(I277="Required",0,IF(ISNUMBER(MATCH(J277,Lists!$G$2:$G$4,0)),L277))</f>
        <v>0</v>
      </c>
      <c r="T277" s="287" t="b">
        <f>IF(I277="Required",0,IF(ISNUMBER(MATCH(J277,Lists!$G$7:$G$8,0)),L277))</f>
        <v>0</v>
      </c>
      <c r="U277" s="287" t="b">
        <f>IF(I277="Required",0,IF(ISNUMBER(MATCH(J277,Lists!$H$2:$H$4,0)),K277))</f>
        <v>0</v>
      </c>
      <c r="W277" s="287">
        <f t="shared" si="18"/>
        <v>0</v>
      </c>
    </row>
    <row r="278" spans="1:23" ht="21" hidden="1" customHeight="1">
      <c r="A278" s="318"/>
      <c r="B278" s="286"/>
      <c r="C278" s="809"/>
      <c r="D278" s="482"/>
      <c r="E278" s="483"/>
      <c r="F278" s="484"/>
      <c r="G278" s="328">
        <f>'Review Comments'!F309</f>
        <v>0</v>
      </c>
      <c r="H278" s="328">
        <f>'Review Comments'!G309</f>
        <v>0</v>
      </c>
      <c r="I278" s="328" t="str">
        <f t="shared" si="19"/>
        <v/>
      </c>
      <c r="J278" s="461" t="str">
        <f>IF('Review Comments'!H309=0,"",'Review Comments'!H309)</f>
        <v/>
      </c>
      <c r="K278" s="328" t="str">
        <f>IF(I278="Required","Required",IF(ISNUMBER(MATCH(J278,Lists!$H$2:$H$9,0)),I278,""))</f>
        <v/>
      </c>
      <c r="L278" s="330" t="str">
        <f>IF(I278="Required","Required",IF(ISNUMBER(MATCH(J278,Lists!$I$2:$I$9,0)),I278,IF(ISNUMBER(MATCH(J278,Lists!$J$2:$J$9,0)),I278,"")))</f>
        <v/>
      </c>
      <c r="Q278" s="287" t="b">
        <f>IF(I278="Required",0,IF(ISNUMBER(MATCH(J278,Lists!$I$2:$I$4,0)),L278))</f>
        <v>0</v>
      </c>
      <c r="R278" s="287" t="b">
        <f>IF(I278="Required",0,IF(ISNUMBER(MATCH(J278,Lists!$K$2:$K$7,0)),L278))</f>
        <v>0</v>
      </c>
      <c r="S278" s="287" t="b">
        <f>IF(I278="Required",0,IF(ISNUMBER(MATCH(J278,Lists!$G$2:$G$4,0)),L278))</f>
        <v>0</v>
      </c>
      <c r="T278" s="287" t="b">
        <f>IF(I278="Required",0,IF(ISNUMBER(MATCH(J278,Lists!$G$7:$G$8,0)),L278))</f>
        <v>0</v>
      </c>
      <c r="U278" s="287" t="b">
        <f>IF(I278="Required",0,IF(ISNUMBER(MATCH(J278,Lists!$H$2:$H$4,0)),K278))</f>
        <v>0</v>
      </c>
      <c r="W278" s="287">
        <f t="shared" si="18"/>
        <v>0</v>
      </c>
    </row>
    <row r="279" spans="1:23" ht="21" hidden="1" customHeight="1">
      <c r="A279" s="318"/>
      <c r="B279" s="286"/>
      <c r="C279" s="809"/>
      <c r="D279" s="482"/>
      <c r="E279" s="483"/>
      <c r="F279" s="484"/>
      <c r="G279" s="328">
        <f>'Review Comments'!F310</f>
        <v>0</v>
      </c>
      <c r="H279" s="328">
        <f>'Review Comments'!G310</f>
        <v>0</v>
      </c>
      <c r="I279" s="328" t="str">
        <f t="shared" si="19"/>
        <v/>
      </c>
      <c r="J279" s="461" t="str">
        <f>IF('Review Comments'!H310=0,"",'Review Comments'!H310)</f>
        <v/>
      </c>
      <c r="K279" s="328" t="str">
        <f>IF(I279="Required","Required",IF(ISNUMBER(MATCH(J279,Lists!$H$2:$H$9,0)),I279,""))</f>
        <v/>
      </c>
      <c r="L279" s="330" t="str">
        <f>IF(I279="Required","Required",IF(ISNUMBER(MATCH(J279,Lists!$I$2:$I$9,0)),I279,IF(ISNUMBER(MATCH(J279,Lists!$J$2:$J$9,0)),I279,"")))</f>
        <v/>
      </c>
      <c r="Q279" s="287" t="b">
        <f>IF(I279="Required",0,IF(ISNUMBER(MATCH(J279,Lists!$I$2:$I$4,0)),L279))</f>
        <v>0</v>
      </c>
      <c r="R279" s="287" t="b">
        <f>IF(I279="Required",0,IF(ISNUMBER(MATCH(J279,Lists!$K$2:$K$7,0)),L279))</f>
        <v>0</v>
      </c>
      <c r="S279" s="287" t="b">
        <f>IF(I279="Required",0,IF(ISNUMBER(MATCH(J279,Lists!$G$2:$G$4,0)),L279))</f>
        <v>0</v>
      </c>
      <c r="T279" s="287" t="b">
        <f>IF(I279="Required",0,IF(ISNUMBER(MATCH(J279,Lists!$G$7:$G$8,0)),L279))</f>
        <v>0</v>
      </c>
      <c r="U279" s="287" t="b">
        <f>IF(I279="Required",0,IF(ISNUMBER(MATCH(J279,Lists!$H$2:$H$4,0)),K279))</f>
        <v>0</v>
      </c>
      <c r="W279" s="287">
        <f t="shared" si="18"/>
        <v>0</v>
      </c>
    </row>
    <row r="280" spans="1:23" ht="21" hidden="1" customHeight="1">
      <c r="A280" s="318"/>
      <c r="B280" s="286"/>
      <c r="C280" s="809"/>
      <c r="D280" s="482"/>
      <c r="E280" s="483"/>
      <c r="F280" s="484"/>
      <c r="G280" s="328">
        <f>'Review Comments'!F311</f>
        <v>0</v>
      </c>
      <c r="H280" s="328">
        <f>'Review Comments'!G311</f>
        <v>0</v>
      </c>
      <c r="I280" s="328" t="str">
        <f t="shared" si="19"/>
        <v/>
      </c>
      <c r="J280" s="461" t="str">
        <f>IF('Review Comments'!H311=0,"",'Review Comments'!H311)</f>
        <v/>
      </c>
      <c r="K280" s="328" t="str">
        <f>IF(I280="Required","Required",IF(ISNUMBER(MATCH(J280,Lists!$H$2:$H$9,0)),I280,""))</f>
        <v/>
      </c>
      <c r="L280" s="330" t="str">
        <f>IF(I280="Required","Required",IF(ISNUMBER(MATCH(J280,Lists!$I$2:$I$9,0)),I280,IF(ISNUMBER(MATCH(J280,Lists!$J$2:$J$9,0)),I280,"")))</f>
        <v/>
      </c>
      <c r="Q280" s="287" t="b">
        <f>IF(I280="Required",0,IF(ISNUMBER(MATCH(J280,Lists!$I$2:$I$4,0)),L280))</f>
        <v>0</v>
      </c>
      <c r="R280" s="287" t="b">
        <f>IF(I280="Required",0,IF(ISNUMBER(MATCH(J280,Lists!$K$2:$K$7,0)),L280))</f>
        <v>0</v>
      </c>
      <c r="S280" s="287" t="b">
        <f>IF(I280="Required",0,IF(ISNUMBER(MATCH(J280,Lists!$G$2:$G$4,0)),L280))</f>
        <v>0</v>
      </c>
      <c r="T280" s="287" t="b">
        <f>IF(I280="Required",0,IF(ISNUMBER(MATCH(J280,Lists!$G$7:$G$8,0)),L280))</f>
        <v>0</v>
      </c>
      <c r="U280" s="287" t="b">
        <f>IF(I280="Required",0,IF(ISNUMBER(MATCH(J280,Lists!$H$2:$H$4,0)),K280))</f>
        <v>0</v>
      </c>
      <c r="W280" s="287">
        <f t="shared" si="18"/>
        <v>0</v>
      </c>
    </row>
    <row r="281" spans="1:23" ht="21" hidden="1" customHeight="1">
      <c r="A281" s="318"/>
      <c r="B281" s="286"/>
      <c r="C281" s="809"/>
      <c r="D281" s="482"/>
      <c r="E281" s="483"/>
      <c r="F281" s="484"/>
      <c r="G281" s="328">
        <f>'Review Comments'!F312</f>
        <v>0</v>
      </c>
      <c r="H281" s="328">
        <f>'Review Comments'!G312</f>
        <v>0</v>
      </c>
      <c r="I281" s="328" t="str">
        <f t="shared" si="19"/>
        <v/>
      </c>
      <c r="J281" s="461" t="str">
        <f>IF('Review Comments'!H312=0,"",'Review Comments'!H312)</f>
        <v/>
      </c>
      <c r="K281" s="328" t="str">
        <f>IF(I281="Required","Required",IF(ISNUMBER(MATCH(J281,Lists!$H$2:$H$9,0)),I281,""))</f>
        <v/>
      </c>
      <c r="L281" s="330" t="str">
        <f>IF(I281="Required","Required",IF(ISNUMBER(MATCH(J281,Lists!$I$2:$I$9,0)),I281,IF(ISNUMBER(MATCH(J281,Lists!$J$2:$J$9,0)),I281,"")))</f>
        <v/>
      </c>
      <c r="Q281" s="287" t="b">
        <f>IF(I281="Required",0,IF(ISNUMBER(MATCH(J281,Lists!$I$2:$I$4,0)),L281))</f>
        <v>0</v>
      </c>
      <c r="R281" s="287" t="b">
        <f>IF(I281="Required",0,IF(ISNUMBER(MATCH(J281,Lists!$K$2:$K$7,0)),L281))</f>
        <v>0</v>
      </c>
      <c r="S281" s="287" t="b">
        <f>IF(I281="Required",0,IF(ISNUMBER(MATCH(J281,Lists!$G$2:$G$4,0)),L281))</f>
        <v>0</v>
      </c>
      <c r="T281" s="287" t="b">
        <f>IF(I281="Required",0,IF(ISNUMBER(MATCH(J281,Lists!$G$7:$G$8,0)),L281))</f>
        <v>0</v>
      </c>
      <c r="U281" s="287" t="b">
        <f>IF(I281="Required",0,IF(ISNUMBER(MATCH(J281,Lists!$H$2:$H$4,0)),K281))</f>
        <v>0</v>
      </c>
      <c r="W281" s="287">
        <f t="shared" si="18"/>
        <v>0</v>
      </c>
    </row>
    <row r="282" spans="1:23" ht="21" customHeight="1">
      <c r="A282" s="318" t="s">
        <v>767</v>
      </c>
      <c r="B282" s="286"/>
      <c r="C282" s="809"/>
      <c r="D282" s="325" t="s">
        <v>767</v>
      </c>
      <c r="E282" s="326" t="s">
        <v>1134</v>
      </c>
      <c r="F282" s="327" t="s">
        <v>1135</v>
      </c>
      <c r="G282" s="328">
        <f>'Review Comments'!F315</f>
        <v>1</v>
      </c>
      <c r="H282" s="328" t="str">
        <f>'Review Comments'!G315</f>
        <v>Yes</v>
      </c>
      <c r="I282" s="328">
        <f t="shared" si="19"/>
        <v>1</v>
      </c>
      <c r="J282" s="461" t="str">
        <f>IF('Review Comments'!H315=0,"",'Review Comments'!H315)</f>
        <v>Achieved</v>
      </c>
      <c r="K282" s="329">
        <f>IF(I282="Required","Required",IF(ISNUMBER(MATCH(J282,Lists!$H$2:$H$9,0)),I282,""))</f>
        <v>1</v>
      </c>
      <c r="L282" s="330" t="str">
        <f>IF(I282="Required","Required",IF(ISNUMBER(MATCH(J282,Lists!$I$2:$I$9,0)),I282,IF(ISNUMBER(MATCH(J282,Lists!$J$2:$J$9,0)),I282,"")))</f>
        <v/>
      </c>
      <c r="Q282" s="287" t="b">
        <f>IF(I282="Required",0,IF(ISNUMBER(MATCH(J282,Lists!$I$2:$I$4,0)),L282))</f>
        <v>0</v>
      </c>
      <c r="R282" s="287" t="b">
        <f>IF(I282="Required",0,IF(ISNUMBER(MATCH(J282,Lists!$K$2:$K$7,0)),L282))</f>
        <v>0</v>
      </c>
      <c r="S282" s="287" t="b">
        <f>IF(I282="Required",0,IF(ISNUMBER(MATCH(J282,Lists!$G$2:$G$4,0)),L282))</f>
        <v>0</v>
      </c>
      <c r="T282" s="287" t="b">
        <f>IF(I282="Required",0,IF(ISNUMBER(MATCH(J282,Lists!$G$7:$G$8,0)),L282))</f>
        <v>0</v>
      </c>
      <c r="U282" s="287">
        <f>IF(I282="Required",0,IF(ISNUMBER(MATCH(J282,Lists!$H$2:$H$4,0)),K282))</f>
        <v>1</v>
      </c>
      <c r="V282" s="287">
        <f t="shared" ref="V282:V289" si="20">IF(A282="P",IF(IFERROR(SEARCH("Pending Documentation",J282),0)&gt;0,IF(I282="Required",1,I282),0),0)</f>
        <v>0</v>
      </c>
      <c r="W282" s="287">
        <f t="shared" si="18"/>
        <v>0</v>
      </c>
    </row>
    <row r="283" spans="1:23" ht="21" customHeight="1">
      <c r="A283" s="318" t="s">
        <v>767</v>
      </c>
      <c r="B283" s="286"/>
      <c r="C283" s="809"/>
      <c r="D283" s="485" t="s">
        <v>767</v>
      </c>
      <c r="E283" s="486" t="s">
        <v>1136</v>
      </c>
      <c r="F283" s="487" t="s">
        <v>1137</v>
      </c>
      <c r="G283" s="488">
        <f>'Review Comments'!F316</f>
        <v>1</v>
      </c>
      <c r="H283" s="488" t="str">
        <f>'Review Comments'!G316</f>
        <v>Yes</v>
      </c>
      <c r="I283" s="488">
        <f t="shared" si="19"/>
        <v>1</v>
      </c>
      <c r="J283" s="489" t="str">
        <f>IF('Review Comments'!H316=0,"",'Review Comments'!H316)</f>
        <v>Not Achieved</v>
      </c>
      <c r="K283" s="490" t="str">
        <f>IF(I283="Required","Required",IF(ISNUMBER(MATCH(J283,Lists!$H$2:$H$9,0)),I283,""))</f>
        <v/>
      </c>
      <c r="L283" s="491">
        <f>IF(I283="Required","Required",IF(ISNUMBER(MATCH(J283,Lists!$I$2:$I$9,0)),I283,IF(ISNUMBER(MATCH(J283,Lists!$J$2:$J$9,0)),I283,"")))</f>
        <v>1</v>
      </c>
      <c r="Q283" s="287">
        <f>IF(I283="Required",0,IF(ISNUMBER(MATCH(J283,Lists!$I$2:$I$4,0)),L283))</f>
        <v>1</v>
      </c>
      <c r="R283" s="287" t="b">
        <f>IF(I283="Required",0,IF(ISNUMBER(MATCH(J283,Lists!$K$2:$K$7,0)),L283))</f>
        <v>0</v>
      </c>
      <c r="S283" s="287" t="b">
        <f>IF(I283="Required",0,IF(ISNUMBER(MATCH(J283,Lists!$G$2:$G$4,0)),L283))</f>
        <v>0</v>
      </c>
      <c r="T283" s="287" t="b">
        <f>IF(I283="Required",0,IF(ISNUMBER(MATCH(J283,Lists!$G$7:$G$8,0)),L283))</f>
        <v>0</v>
      </c>
      <c r="U283" s="287" t="b">
        <f>IF(I283="Required",0,IF(ISNUMBER(MATCH(J283,Lists!$H$2:$H$4,0)),K283))</f>
        <v>0</v>
      </c>
      <c r="V283" s="287">
        <f t="shared" si="20"/>
        <v>0</v>
      </c>
      <c r="W283" s="287">
        <f t="shared" si="18"/>
        <v>0</v>
      </c>
    </row>
    <row r="284" spans="1:23" ht="21" customHeight="1">
      <c r="A284" s="318" t="s">
        <v>767</v>
      </c>
      <c r="B284" s="286"/>
      <c r="C284" s="809"/>
      <c r="D284" s="492" t="s">
        <v>767</v>
      </c>
      <c r="E284" s="493" t="s">
        <v>1138</v>
      </c>
      <c r="F284" s="494" t="s">
        <v>1139</v>
      </c>
      <c r="G284" s="495">
        <f>'Review Comments'!F317</f>
        <v>0</v>
      </c>
      <c r="H284" s="495" t="str">
        <f>'Review Comments'!G317</f>
        <v>No</v>
      </c>
      <c r="I284" s="495" t="str">
        <f t="shared" si="19"/>
        <v/>
      </c>
      <c r="J284" s="496" t="str">
        <f>IF('Review Comments'!H317=0,"",'Review Comments'!H317)</f>
        <v>Not Attempted</v>
      </c>
      <c r="K284" s="497" t="str">
        <f>IF(I284="Required","Required",IF(ISNUMBER(MATCH(J284,Lists!$H$2:$H$9,0)),I284,""))</f>
        <v/>
      </c>
      <c r="L284" s="498" t="str">
        <f>IF(I284="Required","Required",IF(ISNUMBER(MATCH(J284,Lists!$I$2:$I$9,0)),I284,IF(ISNUMBER(MATCH(J284,Lists!$J$2:$J$9,0)),I284,"")))</f>
        <v/>
      </c>
      <c r="Q284" s="287" t="b">
        <f>IF(I284="Required",0,IF(ISNUMBER(MATCH(J284,Lists!$I$2:$I$4,0)),L284))</f>
        <v>0</v>
      </c>
      <c r="R284" s="287" t="b">
        <f>IF(I284="Required",0,IF(ISNUMBER(MATCH(J284,Lists!$K$2:$K$7,0)),L284))</f>
        <v>0</v>
      </c>
      <c r="S284" s="287" t="b">
        <f>IF(I284="Required",0,IF(ISNUMBER(MATCH(J284,Lists!$G$2:$G$4,0)),L284))</f>
        <v>0</v>
      </c>
      <c r="T284" s="287" t="b">
        <f>IF(I284="Required",0,IF(ISNUMBER(MATCH(J284,Lists!$G$7:$G$8,0)),L284))</f>
        <v>0</v>
      </c>
      <c r="U284" s="287" t="b">
        <f>IF(I284="Required",0,IF(ISNUMBER(MATCH(J284,Lists!$H$2:$H$4,0)),K284))</f>
        <v>0</v>
      </c>
      <c r="V284" s="287">
        <f t="shared" si="20"/>
        <v>0</v>
      </c>
      <c r="W284" s="287">
        <f t="shared" si="18"/>
        <v>0</v>
      </c>
    </row>
    <row r="285" spans="1:23" ht="21" customHeight="1" thickBot="1">
      <c r="A285" s="318" t="s">
        <v>767</v>
      </c>
      <c r="B285" s="286"/>
      <c r="C285" s="809"/>
      <c r="D285" s="359" t="s">
        <v>767</v>
      </c>
      <c r="E285" s="360" t="s">
        <v>1140</v>
      </c>
      <c r="F285" s="361" t="s">
        <v>1141</v>
      </c>
      <c r="G285" s="362">
        <f>'Review Comments'!F318</f>
        <v>5</v>
      </c>
      <c r="H285" s="362" t="str">
        <f>'Review Comments'!G318</f>
        <v>Yes</v>
      </c>
      <c r="I285" s="362">
        <f t="shared" si="19"/>
        <v>5</v>
      </c>
      <c r="J285" s="382" t="str">
        <f>IF('Review Comments'!H318=0,"",'Review Comments'!H318)</f>
        <v>Achieved</v>
      </c>
      <c r="K285" s="362">
        <f>IF(I285="Required","Required",IF(ISNUMBER(MATCH(J285,Lists!$H$2:$H$9,0)),I285,""))</f>
        <v>5</v>
      </c>
      <c r="L285" s="432" t="str">
        <f>IF(I285="Required","Required",IF(ISNUMBER(MATCH(J285,Lists!$I$2:$I$9,0)),I285,IF(ISNUMBER(MATCH(J285,Lists!$J$2:$J$9,0)),I285,"")))</f>
        <v/>
      </c>
      <c r="Q285" s="287" t="b">
        <f>IF(I285="Required",0,IF(ISNUMBER(MATCH(J285,Lists!$I$2:$I$4,0)),L285))</f>
        <v>0</v>
      </c>
      <c r="R285" s="287" t="b">
        <f>IF(I285="Required",0,IF(ISNUMBER(MATCH(J285,Lists!$K$2:$K$7,0)),L285))</f>
        <v>0</v>
      </c>
      <c r="S285" s="287" t="b">
        <f>IF(I285="Required",0,IF(ISNUMBER(MATCH(J285,Lists!$G$2:$G$4,0)),L285))</f>
        <v>0</v>
      </c>
      <c r="T285" s="287" t="b">
        <f>IF(I285="Required",0,IF(ISNUMBER(MATCH(J285,Lists!$G$7:$G$8,0)),L285))</f>
        <v>0</v>
      </c>
      <c r="U285" s="287">
        <f>IF(I285="Required",0,IF(ISNUMBER(MATCH(J285,Lists!$H$2:$H$4,0)),K285))</f>
        <v>5</v>
      </c>
      <c r="V285" s="287">
        <f t="shared" si="20"/>
        <v>0</v>
      </c>
      <c r="W285" s="287">
        <f t="shared" si="18"/>
        <v>0</v>
      </c>
    </row>
    <row r="286" spans="1:23" ht="21" hidden="1" customHeight="1">
      <c r="A286" s="318" t="s">
        <v>767</v>
      </c>
      <c r="B286" s="286"/>
      <c r="C286" s="809"/>
      <c r="D286" s="811" t="s">
        <v>767</v>
      </c>
      <c r="E286" s="813" t="s">
        <v>1142</v>
      </c>
      <c r="F286" s="499" t="s">
        <v>1143</v>
      </c>
      <c r="G286" s="500">
        <f>'Review Comments'!F319</f>
        <v>0</v>
      </c>
      <c r="H286" s="500">
        <f>'Review Comments'!G319</f>
        <v>0</v>
      </c>
      <c r="I286" s="500" t="str">
        <f t="shared" si="19"/>
        <v/>
      </c>
      <c r="J286" s="501" t="str">
        <f>IF('Review Comments'!H319=0,"",'Review Comments'!H319)</f>
        <v/>
      </c>
      <c r="K286" s="502" t="str">
        <f>IF(I286="Required","Required",IF(ISNUMBER(MATCH(J286,Lists!$H$2:$H$9,0)),I286,""))</f>
        <v/>
      </c>
      <c r="L286" s="503" t="str">
        <f>IF(I286="Required","Required",IF(ISNUMBER(MATCH(J286,Lists!$I$2:$I$9,0)),I286,IF(ISNUMBER(MATCH(J286,Lists!$J$2:$J$9,0)),I286,"")))</f>
        <v/>
      </c>
      <c r="Q286" s="287" t="b">
        <f>IF(I286="Required",0,IF(ISNUMBER(MATCH(J286,Lists!$I$2:$I$4,0)),L286))</f>
        <v>0</v>
      </c>
      <c r="R286" s="287" t="b">
        <f>IF(I286="Required",0,IF(ISNUMBER(MATCH(J286,Lists!$K$2:$K$7,0)),L286))</f>
        <v>0</v>
      </c>
      <c r="S286" s="287" t="b">
        <f>IF(I286="Required",0,IF(ISNUMBER(MATCH(J286,Lists!$G$2:$G$4,0)),L286))</f>
        <v>0</v>
      </c>
      <c r="T286" s="287" t="b">
        <f>IF(I286="Required",0,IF(ISNUMBER(MATCH(J286,Lists!$G$7:$G$8,0)),L286))</f>
        <v>0</v>
      </c>
      <c r="U286" s="287" t="b">
        <f>IF(I286="Required",0,IF(ISNUMBER(MATCH(J286,Lists!$H$2:$H$4,0)),K286))</f>
        <v>0</v>
      </c>
      <c r="V286" s="287">
        <f t="shared" si="20"/>
        <v>0</v>
      </c>
      <c r="W286" s="287">
        <f t="shared" si="18"/>
        <v>0</v>
      </c>
    </row>
    <row r="287" spans="1:23" ht="21" hidden="1" customHeight="1">
      <c r="A287" s="318" t="s">
        <v>767</v>
      </c>
      <c r="B287" s="286"/>
      <c r="C287" s="809"/>
      <c r="D287" s="811"/>
      <c r="E287" s="813"/>
      <c r="F287" s="499" t="s">
        <v>1144</v>
      </c>
      <c r="G287" s="500">
        <f>'Review Comments'!F320</f>
        <v>0</v>
      </c>
      <c r="H287" s="500" t="str">
        <f>'Review Comments'!G320</f>
        <v>No</v>
      </c>
      <c r="I287" s="500" t="str">
        <f t="shared" si="19"/>
        <v/>
      </c>
      <c r="J287" s="501" t="str">
        <f>IF('Review Comments'!H320=0,"",'Review Comments'!H320)</f>
        <v>Not Attempted</v>
      </c>
      <c r="K287" s="502" t="str">
        <f>IF(I287="Required","Required",IF(ISNUMBER(MATCH(J287,Lists!$H$2:$H$9,0)),I287,""))</f>
        <v/>
      </c>
      <c r="L287" s="503" t="str">
        <f>IF(I287="Required","Required",IF(ISNUMBER(MATCH(J287,Lists!$I$2:$I$9,0)),I287,IF(ISNUMBER(MATCH(J287,Lists!$J$2:$J$9,0)),I287,"")))</f>
        <v/>
      </c>
      <c r="Q287" s="287" t="b">
        <f>IF(I287="Required",0,IF(ISNUMBER(MATCH(J287,Lists!$I$2:$I$4,0)),L287))</f>
        <v>0</v>
      </c>
      <c r="R287" s="287" t="b">
        <f>IF(I287="Required",0,IF(ISNUMBER(MATCH(J287,Lists!$K$2:$K$7,0)),L287))</f>
        <v>0</v>
      </c>
      <c r="S287" s="287" t="b">
        <f>IF(I287="Required",0,IF(ISNUMBER(MATCH(J287,Lists!$G$2:$G$4,0)),L287))</f>
        <v>0</v>
      </c>
      <c r="T287" s="287" t="b">
        <f>IF(I287="Required",0,IF(ISNUMBER(MATCH(J287,Lists!$G$7:$G$8,0)),L287))</f>
        <v>0</v>
      </c>
      <c r="U287" s="287" t="b">
        <f>IF(I287="Required",0,IF(ISNUMBER(MATCH(J287,Lists!$H$2:$H$4,0)),K287))</f>
        <v>0</v>
      </c>
      <c r="V287" s="287">
        <f t="shared" si="20"/>
        <v>0</v>
      </c>
      <c r="W287" s="287">
        <f t="shared" si="18"/>
        <v>0</v>
      </c>
    </row>
    <row r="288" spans="1:23" ht="21" hidden="1" customHeight="1">
      <c r="A288" s="318" t="s">
        <v>767</v>
      </c>
      <c r="B288" s="286"/>
      <c r="C288" s="809"/>
      <c r="D288" s="811"/>
      <c r="E288" s="813"/>
      <c r="F288" s="499" t="s">
        <v>1145</v>
      </c>
      <c r="G288" s="500">
        <f>'Review Comments'!F321</f>
        <v>0</v>
      </c>
      <c r="H288" s="500" t="str">
        <f>'Review Comments'!G321</f>
        <v>No</v>
      </c>
      <c r="I288" s="500" t="str">
        <f t="shared" si="19"/>
        <v/>
      </c>
      <c r="J288" s="501" t="str">
        <f>IF('Review Comments'!H321=0,"",'Review Comments'!H321)</f>
        <v>Not Attempted</v>
      </c>
      <c r="K288" s="502" t="str">
        <f>IF(I288="Required","Required",IF(ISNUMBER(MATCH(J288,Lists!$H$2:$H$9,0)),I288,""))</f>
        <v/>
      </c>
      <c r="L288" s="503" t="str">
        <f>IF(I288="Required","Required",IF(ISNUMBER(MATCH(J288,Lists!$I$2:$I$9,0)),I288,IF(ISNUMBER(MATCH(J288,Lists!$J$2:$J$9,0)),I288,"")))</f>
        <v/>
      </c>
      <c r="Q288" s="287" t="b">
        <f>IF(I288="Required",0,IF(ISNUMBER(MATCH(J288,Lists!$I$2:$I$4,0)),L288))</f>
        <v>0</v>
      </c>
      <c r="R288" s="287" t="b">
        <f>IF(I288="Required",0,IF(ISNUMBER(MATCH(J288,Lists!$K$2:$K$7,0)),L288))</f>
        <v>0</v>
      </c>
      <c r="S288" s="287" t="b">
        <f>IF(I288="Required",0,IF(ISNUMBER(MATCH(J288,Lists!$G$2:$G$4,0)),L288))</f>
        <v>0</v>
      </c>
      <c r="T288" s="287" t="b">
        <f>IF(I288="Required",0,IF(ISNUMBER(MATCH(J288,Lists!$G$7:$G$8,0)),L288))</f>
        <v>0</v>
      </c>
      <c r="U288" s="287" t="b">
        <f>IF(I288="Required",0,IF(ISNUMBER(MATCH(J288,Lists!$H$2:$H$4,0)),K288))</f>
        <v>0</v>
      </c>
      <c r="V288" s="287">
        <f t="shared" si="20"/>
        <v>0</v>
      </c>
      <c r="W288" s="287">
        <f t="shared" si="18"/>
        <v>0</v>
      </c>
    </row>
    <row r="289" spans="1:23" ht="21" hidden="1" customHeight="1" thickBot="1">
      <c r="A289" s="318" t="s">
        <v>767</v>
      </c>
      <c r="B289" s="286"/>
      <c r="C289" s="809"/>
      <c r="D289" s="812"/>
      <c r="E289" s="814"/>
      <c r="F289" s="504" t="s">
        <v>1146</v>
      </c>
      <c r="G289" s="505">
        <f>'Review Comments'!F322</f>
        <v>0</v>
      </c>
      <c r="H289" s="505" t="str">
        <f>'Review Comments'!G322</f>
        <v>No</v>
      </c>
      <c r="I289" s="505" t="str">
        <f t="shared" si="19"/>
        <v/>
      </c>
      <c r="J289" s="506" t="str">
        <f>IF('Review Comments'!H322=0,"",'Review Comments'!H322)</f>
        <v>Not Attempted</v>
      </c>
      <c r="K289" s="507" t="str">
        <f>IF(I289="Required","Required",IF(ISNUMBER(MATCH(J289,Lists!$H$2:$H$9,0)),I289,""))</f>
        <v/>
      </c>
      <c r="L289" s="508" t="str">
        <f>IF(I289="Required","Required",IF(ISNUMBER(MATCH(J289,Lists!$I$2:$I$9,0)),I289,IF(ISNUMBER(MATCH(J289,Lists!$J$2:$J$9,0)),I289,"")))</f>
        <v/>
      </c>
      <c r="Q289" s="287" t="b">
        <f>IF(I289="Required",0,IF(ISNUMBER(MATCH(J289,Lists!$I$2:$I$4,0)),L289))</f>
        <v>0</v>
      </c>
      <c r="R289" s="287" t="b">
        <f>IF(I289="Required",0,IF(ISNUMBER(MATCH(J289,Lists!$K$2:$K$7,0)),L289))</f>
        <v>0</v>
      </c>
      <c r="S289" s="287" t="b">
        <f>IF(I289="Required",0,IF(ISNUMBER(MATCH(J289,Lists!$G$2:$G$4,0)),L289))</f>
        <v>0</v>
      </c>
      <c r="T289" s="287" t="b">
        <f>IF(I289="Required",0,IF(ISNUMBER(MATCH(J289,Lists!$G$7:$G$8,0)),L289))</f>
        <v>0</v>
      </c>
      <c r="U289" s="287" t="b">
        <f>IF(I289="Required",0,IF(ISNUMBER(MATCH(J289,Lists!$H$2:$H$4,0)),K289))</f>
        <v>0</v>
      </c>
      <c r="V289" s="287">
        <f t="shared" si="20"/>
        <v>0</v>
      </c>
      <c r="W289" s="287">
        <f t="shared" si="18"/>
        <v>0</v>
      </c>
    </row>
    <row r="290" spans="1:23" s="346" customFormat="1" ht="16.2" customHeight="1" thickTop="1" thickBot="1">
      <c r="A290" s="509"/>
      <c r="B290" s="337"/>
      <c r="C290" s="810"/>
      <c r="D290" s="510"/>
      <c r="E290" s="511"/>
      <c r="F290" s="512"/>
      <c r="G290" s="513">
        <f>SUM(G273:G289)</f>
        <v>7</v>
      </c>
      <c r="H290" s="510"/>
      <c r="I290" s="514">
        <f>SUM(I273,I282,I283,I284,I285:I289)</f>
        <v>7</v>
      </c>
      <c r="J290" s="515"/>
      <c r="K290" s="514">
        <f>SUM(K274:K289)</f>
        <v>6</v>
      </c>
      <c r="L290" s="516">
        <f>SUM(L274:L289)</f>
        <v>1</v>
      </c>
    </row>
    <row r="291" spans="1:23" ht="7.95" customHeight="1" thickBot="1">
      <c r="A291" s="417"/>
      <c r="B291" s="286"/>
      <c r="C291" s="416"/>
      <c r="D291" s="417"/>
      <c r="E291" s="418"/>
      <c r="F291" s="517"/>
      <c r="G291" s="417"/>
      <c r="H291" s="417"/>
      <c r="I291" s="417"/>
      <c r="J291" s="518"/>
      <c r="K291" s="417"/>
      <c r="L291" s="519"/>
    </row>
    <row r="292" spans="1:23">
      <c r="F292" s="317"/>
      <c r="G292" s="287"/>
      <c r="H292" s="287"/>
      <c r="I292" s="287"/>
      <c r="J292" s="287"/>
      <c r="K292" s="287"/>
      <c r="L292" s="287"/>
    </row>
    <row r="315" spans="3:5">
      <c r="C315" s="522"/>
      <c r="E315" s="523"/>
    </row>
    <row r="316" spans="3:5">
      <c r="C316" s="522"/>
      <c r="E316" s="523"/>
    </row>
    <row r="317" spans="3:5">
      <c r="C317" s="522"/>
      <c r="E317" s="523"/>
    </row>
    <row r="318" spans="3:5">
      <c r="C318" s="522"/>
      <c r="E318" s="523"/>
    </row>
    <row r="319" spans="3:5">
      <c r="C319" s="522"/>
      <c r="E319" s="523"/>
    </row>
    <row r="320" spans="3:5">
      <c r="C320" s="522"/>
      <c r="E320" s="523"/>
    </row>
    <row r="321" spans="3:5">
      <c r="C321" s="522"/>
      <c r="E321" s="523"/>
    </row>
    <row r="322" spans="3:5">
      <c r="C322" s="522"/>
      <c r="E322" s="523"/>
    </row>
    <row r="323" spans="3:5">
      <c r="C323" s="522"/>
      <c r="E323" s="523"/>
    </row>
    <row r="324" spans="3:5">
      <c r="C324" s="522"/>
      <c r="E324" s="523"/>
    </row>
    <row r="325" spans="3:5">
      <c r="C325" s="522"/>
      <c r="E325" s="523"/>
    </row>
    <row r="326" spans="3:5">
      <c r="C326" s="522"/>
      <c r="E326" s="523"/>
    </row>
    <row r="327" spans="3:5">
      <c r="C327" s="522"/>
      <c r="E327" s="523"/>
    </row>
    <row r="328" spans="3:5">
      <c r="C328" s="522"/>
      <c r="E328" s="523"/>
    </row>
    <row r="329" spans="3:5">
      <c r="C329" s="522"/>
      <c r="E329" s="523"/>
    </row>
    <row r="330" spans="3:5">
      <c r="C330" s="522"/>
      <c r="E330" s="523"/>
    </row>
    <row r="331" spans="3:5">
      <c r="C331" s="522"/>
      <c r="E331" s="523"/>
    </row>
    <row r="332" spans="3:5">
      <c r="C332" s="522"/>
      <c r="E332" s="523"/>
    </row>
    <row r="333" spans="3:5">
      <c r="C333" s="522"/>
      <c r="E333" s="523"/>
    </row>
    <row r="334" spans="3:5">
      <c r="C334" s="522"/>
      <c r="E334" s="523"/>
    </row>
    <row r="335" spans="3:5">
      <c r="C335" s="522"/>
      <c r="E335" s="523"/>
    </row>
    <row r="336" spans="3:5">
      <c r="C336" s="522"/>
      <c r="E336" s="523"/>
    </row>
    <row r="337" spans="3:5">
      <c r="C337" s="522"/>
      <c r="E337" s="523"/>
    </row>
    <row r="338" spans="3:5">
      <c r="C338" s="522"/>
      <c r="E338" s="523"/>
    </row>
    <row r="339" spans="3:5">
      <c r="C339" s="522"/>
      <c r="E339" s="523"/>
    </row>
    <row r="340" spans="3:5">
      <c r="C340" s="522"/>
      <c r="E340" s="523"/>
    </row>
    <row r="341" spans="3:5">
      <c r="C341" s="522"/>
      <c r="E341" s="523"/>
    </row>
    <row r="342" spans="3:5">
      <c r="C342" s="522"/>
      <c r="E342" s="523"/>
    </row>
    <row r="343" spans="3:5">
      <c r="C343" s="522"/>
      <c r="E343" s="523"/>
    </row>
    <row r="344" spans="3:5">
      <c r="C344" s="522"/>
      <c r="E344" s="523"/>
    </row>
    <row r="345" spans="3:5">
      <c r="C345" s="522"/>
      <c r="E345" s="523"/>
    </row>
    <row r="346" spans="3:5">
      <c r="C346" s="522"/>
      <c r="E346" s="523"/>
    </row>
    <row r="347" spans="3:5">
      <c r="C347" s="522"/>
      <c r="E347" s="523"/>
    </row>
    <row r="348" spans="3:5">
      <c r="C348" s="522"/>
      <c r="E348" s="523"/>
    </row>
    <row r="349" spans="3:5">
      <c r="C349" s="522"/>
      <c r="E349" s="523"/>
    </row>
    <row r="350" spans="3:5">
      <c r="C350" s="522"/>
      <c r="E350" s="523"/>
    </row>
    <row r="351" spans="3:5">
      <c r="C351" s="522"/>
      <c r="E351" s="523"/>
    </row>
    <row r="352" spans="3:5">
      <c r="C352" s="522"/>
      <c r="E352" s="523"/>
    </row>
    <row r="353" spans="3:5">
      <c r="C353" s="522"/>
      <c r="E353" s="523"/>
    </row>
    <row r="354" spans="3:5">
      <c r="C354" s="522"/>
      <c r="E354" s="523"/>
    </row>
    <row r="355" spans="3:5">
      <c r="C355" s="522"/>
      <c r="E355" s="523"/>
    </row>
    <row r="356" spans="3:5">
      <c r="C356" s="522"/>
      <c r="E356" s="523"/>
    </row>
    <row r="357" spans="3:5">
      <c r="C357" s="522"/>
      <c r="E357" s="523"/>
    </row>
    <row r="358" spans="3:5">
      <c r="C358" s="522"/>
      <c r="E358" s="523"/>
    </row>
    <row r="359" spans="3:5">
      <c r="C359" s="522"/>
      <c r="E359" s="523"/>
    </row>
    <row r="360" spans="3:5">
      <c r="C360" s="522"/>
      <c r="E360" s="523"/>
    </row>
    <row r="361" spans="3:5">
      <c r="C361" s="522"/>
      <c r="E361" s="523"/>
    </row>
    <row r="362" spans="3:5">
      <c r="C362" s="522"/>
      <c r="E362" s="523"/>
    </row>
    <row r="363" spans="3:5">
      <c r="C363" s="522"/>
      <c r="E363" s="523"/>
    </row>
    <row r="364" spans="3:5">
      <c r="C364" s="522"/>
      <c r="E364" s="523"/>
    </row>
    <row r="365" spans="3:5">
      <c r="C365" s="522"/>
      <c r="E365" s="523"/>
    </row>
    <row r="366" spans="3:5">
      <c r="C366" s="522"/>
      <c r="E366" s="523"/>
    </row>
    <row r="367" spans="3:5">
      <c r="C367" s="522"/>
      <c r="E367" s="523"/>
    </row>
    <row r="368" spans="3:5">
      <c r="C368" s="522"/>
      <c r="E368" s="523"/>
    </row>
    <row r="369" spans="3:5">
      <c r="C369" s="522"/>
      <c r="E369" s="523"/>
    </row>
    <row r="370" spans="3:5">
      <c r="C370" s="522"/>
      <c r="E370" s="523"/>
    </row>
    <row r="371" spans="3:5">
      <c r="C371" s="522"/>
      <c r="E371" s="523"/>
    </row>
    <row r="372" spans="3:5">
      <c r="C372" s="522"/>
      <c r="E372" s="523"/>
    </row>
    <row r="373" spans="3:5">
      <c r="C373" s="522"/>
      <c r="E373" s="523"/>
    </row>
    <row r="374" spans="3:5">
      <c r="C374" s="522"/>
      <c r="E374" s="523"/>
    </row>
    <row r="375" spans="3:5">
      <c r="C375" s="522"/>
      <c r="E375" s="523"/>
    </row>
    <row r="376" spans="3:5">
      <c r="C376" s="522"/>
      <c r="E376" s="523"/>
    </row>
    <row r="377" spans="3:5">
      <c r="C377" s="522"/>
      <c r="E377" s="523"/>
    </row>
    <row r="378" spans="3:5">
      <c r="C378" s="522"/>
      <c r="E378" s="523"/>
    </row>
    <row r="379" spans="3:5">
      <c r="C379" s="522"/>
      <c r="E379" s="523"/>
    </row>
    <row r="380" spans="3:5">
      <c r="C380" s="522"/>
      <c r="E380" s="523"/>
    </row>
    <row r="381" spans="3:5">
      <c r="C381" s="522"/>
      <c r="E381" s="523"/>
    </row>
    <row r="382" spans="3:5">
      <c r="C382" s="522"/>
      <c r="E382" s="523"/>
    </row>
    <row r="383" spans="3:5">
      <c r="C383" s="522"/>
      <c r="E383" s="523"/>
    </row>
    <row r="384" spans="3:5">
      <c r="C384" s="522"/>
      <c r="E384" s="523"/>
    </row>
    <row r="385" spans="3:5">
      <c r="C385" s="522"/>
      <c r="E385" s="523"/>
    </row>
    <row r="386" spans="3:5">
      <c r="C386" s="522"/>
      <c r="E386" s="523"/>
    </row>
    <row r="387" spans="3:5">
      <c r="C387" s="522"/>
      <c r="E387" s="523"/>
    </row>
    <row r="388" spans="3:5">
      <c r="C388" s="522"/>
      <c r="E388" s="523"/>
    </row>
    <row r="389" spans="3:5">
      <c r="C389" s="522"/>
      <c r="E389" s="523"/>
    </row>
    <row r="390" spans="3:5">
      <c r="C390" s="522"/>
      <c r="E390" s="523"/>
    </row>
    <row r="391" spans="3:5">
      <c r="C391" s="522"/>
      <c r="E391" s="523"/>
    </row>
    <row r="392" spans="3:5">
      <c r="C392" s="522"/>
      <c r="E392" s="523"/>
    </row>
    <row r="393" spans="3:5">
      <c r="C393" s="522"/>
      <c r="E393" s="523"/>
    </row>
    <row r="394" spans="3:5">
      <c r="C394" s="522"/>
      <c r="E394" s="523"/>
    </row>
    <row r="395" spans="3:5">
      <c r="C395" s="522"/>
      <c r="E395" s="523"/>
    </row>
    <row r="396" spans="3:5">
      <c r="C396" s="522"/>
      <c r="E396" s="523"/>
    </row>
    <row r="397" spans="3:5">
      <c r="C397" s="522"/>
      <c r="E397" s="523"/>
    </row>
    <row r="398" spans="3:5">
      <c r="C398" s="522"/>
      <c r="E398" s="523"/>
    </row>
    <row r="399" spans="3:5">
      <c r="C399" s="522"/>
      <c r="E399" s="523"/>
    </row>
    <row r="400" spans="3:5">
      <c r="C400" s="522"/>
      <c r="E400" s="523"/>
    </row>
    <row r="401" spans="3:5">
      <c r="C401" s="522"/>
      <c r="E401" s="523"/>
    </row>
    <row r="402" spans="3:5">
      <c r="C402" s="522"/>
      <c r="E402" s="523"/>
    </row>
    <row r="403" spans="3:5">
      <c r="C403" s="522"/>
      <c r="E403" s="523"/>
    </row>
    <row r="404" spans="3:5">
      <c r="C404" s="522"/>
      <c r="E404" s="523"/>
    </row>
    <row r="405" spans="3:5">
      <c r="C405" s="522"/>
      <c r="E405" s="523"/>
    </row>
    <row r="406" spans="3:5">
      <c r="C406" s="522"/>
      <c r="E406" s="523"/>
    </row>
    <row r="407" spans="3:5">
      <c r="C407" s="522"/>
      <c r="E407" s="523"/>
    </row>
    <row r="408" spans="3:5">
      <c r="C408" s="522"/>
      <c r="E408" s="523"/>
    </row>
    <row r="409" spans="3:5">
      <c r="C409" s="522"/>
      <c r="E409" s="523"/>
    </row>
    <row r="410" spans="3:5">
      <c r="C410" s="522"/>
      <c r="E410" s="523"/>
    </row>
    <row r="411" spans="3:5">
      <c r="C411" s="522"/>
      <c r="E411" s="523"/>
    </row>
    <row r="412" spans="3:5">
      <c r="C412" s="522"/>
      <c r="E412" s="523"/>
    </row>
    <row r="413" spans="3:5">
      <c r="C413" s="522"/>
      <c r="E413" s="523"/>
    </row>
    <row r="414" spans="3:5">
      <c r="C414" s="522"/>
      <c r="E414" s="523"/>
    </row>
    <row r="415" spans="3:5">
      <c r="C415" s="522"/>
      <c r="E415" s="523"/>
    </row>
    <row r="416" spans="3:5">
      <c r="C416" s="522"/>
      <c r="E416" s="523"/>
    </row>
    <row r="417" spans="3:5">
      <c r="C417" s="522"/>
      <c r="E417" s="523"/>
    </row>
    <row r="418" spans="3:5">
      <c r="C418" s="522"/>
      <c r="E418" s="523"/>
    </row>
    <row r="419" spans="3:5">
      <c r="C419" s="522"/>
      <c r="E419" s="523"/>
    </row>
    <row r="420" spans="3:5">
      <c r="C420" s="522"/>
      <c r="E420" s="523"/>
    </row>
    <row r="421" spans="3:5">
      <c r="C421" s="522"/>
      <c r="E421" s="523"/>
    </row>
    <row r="422" spans="3:5">
      <c r="C422" s="522"/>
      <c r="E422" s="523"/>
    </row>
    <row r="423" spans="3:5">
      <c r="C423" s="522"/>
      <c r="E423" s="523"/>
    </row>
    <row r="424" spans="3:5">
      <c r="C424" s="522"/>
      <c r="E424" s="523"/>
    </row>
    <row r="425" spans="3:5">
      <c r="C425" s="522"/>
      <c r="E425" s="523"/>
    </row>
    <row r="426" spans="3:5">
      <c r="C426" s="522"/>
      <c r="E426" s="523"/>
    </row>
    <row r="427" spans="3:5">
      <c r="C427" s="522"/>
      <c r="E427" s="523"/>
    </row>
    <row r="428" spans="3:5">
      <c r="C428" s="522"/>
      <c r="E428" s="523"/>
    </row>
    <row r="429" spans="3:5">
      <c r="C429" s="522"/>
      <c r="E429" s="523"/>
    </row>
    <row r="430" spans="3:5">
      <c r="C430" s="522"/>
      <c r="E430" s="523"/>
    </row>
    <row r="431" spans="3:5">
      <c r="C431" s="522"/>
      <c r="E431" s="523"/>
    </row>
    <row r="432" spans="3:5">
      <c r="C432" s="522"/>
      <c r="E432" s="523"/>
    </row>
    <row r="433" spans="3:5">
      <c r="C433" s="522"/>
      <c r="E433" s="523"/>
    </row>
    <row r="434" spans="3:5">
      <c r="C434" s="522"/>
      <c r="E434" s="523"/>
    </row>
    <row r="435" spans="3:5">
      <c r="C435" s="522"/>
      <c r="E435" s="523"/>
    </row>
    <row r="436" spans="3:5">
      <c r="C436" s="522"/>
      <c r="E436" s="523"/>
    </row>
    <row r="437" spans="3:5">
      <c r="C437" s="522"/>
      <c r="E437" s="523"/>
    </row>
    <row r="438" spans="3:5">
      <c r="C438" s="522"/>
      <c r="E438" s="523"/>
    </row>
    <row r="439" spans="3:5">
      <c r="C439" s="522"/>
      <c r="E439" s="523"/>
    </row>
    <row r="440" spans="3:5">
      <c r="C440" s="522"/>
      <c r="E440" s="523"/>
    </row>
    <row r="441" spans="3:5">
      <c r="C441" s="522"/>
      <c r="E441" s="523"/>
    </row>
    <row r="442" spans="3:5">
      <c r="C442" s="522"/>
      <c r="E442" s="523"/>
    </row>
    <row r="443" spans="3:5">
      <c r="C443" s="522"/>
      <c r="E443" s="523"/>
    </row>
    <row r="444" spans="3:5">
      <c r="C444" s="522"/>
      <c r="E444" s="523"/>
    </row>
    <row r="445" spans="3:5">
      <c r="C445" s="522"/>
      <c r="E445" s="523"/>
    </row>
    <row r="446" spans="3:5">
      <c r="C446" s="522"/>
      <c r="E446" s="523"/>
    </row>
    <row r="447" spans="3:5">
      <c r="C447" s="522"/>
      <c r="E447" s="523"/>
    </row>
    <row r="448" spans="3:5">
      <c r="C448" s="522"/>
      <c r="E448" s="523"/>
    </row>
    <row r="449" spans="3:5">
      <c r="C449" s="522"/>
      <c r="E449" s="523"/>
    </row>
    <row r="450" spans="3:5">
      <c r="C450" s="522"/>
      <c r="E450" s="523"/>
    </row>
    <row r="451" spans="3:5">
      <c r="C451" s="522"/>
      <c r="E451" s="523"/>
    </row>
    <row r="452" spans="3:5">
      <c r="C452" s="522"/>
      <c r="E452" s="523"/>
    </row>
    <row r="453" spans="3:5">
      <c r="C453" s="522"/>
      <c r="E453" s="523"/>
    </row>
    <row r="454" spans="3:5">
      <c r="C454" s="522"/>
      <c r="E454" s="523"/>
    </row>
    <row r="455" spans="3:5">
      <c r="C455" s="522"/>
      <c r="E455" s="523"/>
    </row>
    <row r="456" spans="3:5">
      <c r="C456" s="522"/>
      <c r="E456" s="523"/>
    </row>
    <row r="457" spans="3:5">
      <c r="C457" s="522"/>
      <c r="E457" s="523"/>
    </row>
    <row r="458" spans="3:5">
      <c r="C458" s="522"/>
      <c r="E458" s="523"/>
    </row>
    <row r="459" spans="3:5">
      <c r="C459" s="522"/>
      <c r="E459" s="523"/>
    </row>
    <row r="460" spans="3:5">
      <c r="C460" s="522"/>
      <c r="E460" s="523"/>
    </row>
    <row r="461" spans="3:5">
      <c r="C461" s="522"/>
      <c r="E461" s="523"/>
    </row>
    <row r="462" spans="3:5">
      <c r="C462" s="522"/>
      <c r="E462" s="523"/>
    </row>
    <row r="463" spans="3:5">
      <c r="C463" s="522"/>
      <c r="E463" s="523"/>
    </row>
    <row r="464" spans="3:5">
      <c r="C464" s="522"/>
      <c r="E464" s="523"/>
    </row>
    <row r="465" spans="3:5">
      <c r="C465" s="522"/>
      <c r="E465" s="523"/>
    </row>
    <row r="466" spans="3:5">
      <c r="C466" s="522"/>
      <c r="E466" s="523"/>
    </row>
    <row r="467" spans="3:5">
      <c r="C467" s="522"/>
      <c r="E467" s="523"/>
    </row>
    <row r="468" spans="3:5">
      <c r="C468" s="522"/>
      <c r="E468" s="523"/>
    </row>
    <row r="469" spans="3:5">
      <c r="C469" s="522"/>
      <c r="E469" s="523"/>
    </row>
    <row r="470" spans="3:5">
      <c r="C470" s="522"/>
      <c r="E470" s="523"/>
    </row>
    <row r="471" spans="3:5">
      <c r="C471" s="522"/>
      <c r="E471" s="523"/>
    </row>
    <row r="472" spans="3:5">
      <c r="C472" s="522"/>
      <c r="E472" s="523"/>
    </row>
    <row r="473" spans="3:5">
      <c r="C473" s="522"/>
      <c r="E473" s="523"/>
    </row>
    <row r="474" spans="3:5">
      <c r="C474" s="522"/>
      <c r="E474" s="523"/>
    </row>
    <row r="475" spans="3:5">
      <c r="C475" s="522"/>
      <c r="E475" s="523"/>
    </row>
    <row r="476" spans="3:5">
      <c r="C476" s="522"/>
      <c r="E476" s="523"/>
    </row>
    <row r="477" spans="3:5">
      <c r="C477" s="522"/>
      <c r="E477" s="523"/>
    </row>
    <row r="478" spans="3:5">
      <c r="C478" s="522"/>
      <c r="E478" s="523"/>
    </row>
    <row r="479" spans="3:5">
      <c r="C479" s="522"/>
      <c r="E479" s="523"/>
    </row>
    <row r="480" spans="3:5">
      <c r="C480" s="522"/>
      <c r="E480" s="523"/>
    </row>
    <row r="481" spans="3:5">
      <c r="C481" s="522"/>
      <c r="E481" s="523"/>
    </row>
    <row r="482" spans="3:5">
      <c r="C482" s="522"/>
      <c r="E482" s="523"/>
    </row>
    <row r="483" spans="3:5">
      <c r="C483" s="522"/>
      <c r="E483" s="523"/>
    </row>
    <row r="484" spans="3:5">
      <c r="C484" s="522"/>
      <c r="E484" s="523"/>
    </row>
    <row r="485" spans="3:5">
      <c r="C485" s="522"/>
      <c r="E485" s="523"/>
    </row>
    <row r="486" spans="3:5">
      <c r="C486" s="522"/>
      <c r="E486" s="523"/>
    </row>
    <row r="487" spans="3:5">
      <c r="C487" s="522"/>
      <c r="E487" s="523"/>
    </row>
    <row r="488" spans="3:5">
      <c r="C488" s="522"/>
      <c r="E488" s="523"/>
    </row>
    <row r="489" spans="3:5">
      <c r="C489" s="522"/>
      <c r="E489" s="523"/>
    </row>
    <row r="490" spans="3:5">
      <c r="C490" s="522"/>
      <c r="E490" s="523"/>
    </row>
    <row r="491" spans="3:5">
      <c r="C491" s="522"/>
      <c r="E491" s="523"/>
    </row>
    <row r="492" spans="3:5">
      <c r="C492" s="522"/>
      <c r="E492" s="523"/>
    </row>
    <row r="493" spans="3:5">
      <c r="C493" s="522"/>
      <c r="E493" s="523"/>
    </row>
    <row r="494" spans="3:5">
      <c r="C494" s="522"/>
      <c r="E494" s="523"/>
    </row>
    <row r="495" spans="3:5">
      <c r="C495" s="522"/>
      <c r="E495" s="523"/>
    </row>
    <row r="496" spans="3:5">
      <c r="C496" s="522"/>
      <c r="E496" s="523"/>
    </row>
    <row r="497" spans="3:5">
      <c r="C497" s="522"/>
      <c r="E497" s="523"/>
    </row>
    <row r="498" spans="3:5">
      <c r="C498" s="522"/>
      <c r="E498" s="523"/>
    </row>
    <row r="499" spans="3:5">
      <c r="C499" s="522"/>
      <c r="E499" s="523"/>
    </row>
    <row r="500" spans="3:5">
      <c r="C500" s="522"/>
      <c r="E500" s="523"/>
    </row>
    <row r="501" spans="3:5">
      <c r="C501" s="522"/>
      <c r="E501" s="523"/>
    </row>
    <row r="502" spans="3:5">
      <c r="C502" s="522"/>
      <c r="E502" s="523"/>
    </row>
    <row r="503" spans="3:5">
      <c r="C503" s="522"/>
      <c r="E503" s="523"/>
    </row>
    <row r="504" spans="3:5">
      <c r="C504" s="522"/>
      <c r="E504" s="523"/>
    </row>
    <row r="505" spans="3:5">
      <c r="C505" s="522"/>
      <c r="E505" s="523"/>
    </row>
    <row r="506" spans="3:5">
      <c r="C506" s="522"/>
      <c r="E506" s="523"/>
    </row>
    <row r="507" spans="3:5">
      <c r="C507" s="522"/>
      <c r="E507" s="523"/>
    </row>
    <row r="508" spans="3:5">
      <c r="C508" s="522"/>
      <c r="E508" s="523"/>
    </row>
    <row r="509" spans="3:5">
      <c r="C509" s="522"/>
      <c r="E509" s="523"/>
    </row>
    <row r="510" spans="3:5">
      <c r="C510" s="522"/>
      <c r="E510" s="523"/>
    </row>
    <row r="511" spans="3:5">
      <c r="C511" s="522"/>
      <c r="E511" s="523"/>
    </row>
    <row r="512" spans="3:5">
      <c r="C512" s="522"/>
      <c r="E512" s="523"/>
    </row>
    <row r="513" spans="3:5">
      <c r="C513" s="522"/>
      <c r="E513" s="523"/>
    </row>
    <row r="514" spans="3:5">
      <c r="C514" s="522"/>
      <c r="E514" s="523"/>
    </row>
    <row r="515" spans="3:5">
      <c r="C515" s="522"/>
      <c r="E515" s="523"/>
    </row>
    <row r="516" spans="3:5">
      <c r="C516" s="522"/>
      <c r="E516" s="523"/>
    </row>
    <row r="517" spans="3:5">
      <c r="C517" s="522"/>
      <c r="E517" s="523"/>
    </row>
    <row r="518" spans="3:5">
      <c r="C518" s="522"/>
      <c r="E518" s="523"/>
    </row>
    <row r="519" spans="3:5">
      <c r="C519" s="522"/>
      <c r="E519" s="523"/>
    </row>
    <row r="520" spans="3:5">
      <c r="C520" s="522"/>
      <c r="E520" s="523"/>
    </row>
    <row r="521" spans="3:5">
      <c r="C521" s="522"/>
      <c r="E521" s="523"/>
    </row>
    <row r="522" spans="3:5">
      <c r="C522" s="522"/>
      <c r="E522" s="523"/>
    </row>
    <row r="523" spans="3:5">
      <c r="C523" s="522"/>
      <c r="E523" s="523"/>
    </row>
    <row r="524" spans="3:5">
      <c r="C524" s="522"/>
      <c r="E524" s="523"/>
    </row>
    <row r="525" spans="3:5">
      <c r="C525" s="522"/>
      <c r="E525" s="523"/>
    </row>
    <row r="526" spans="3:5">
      <c r="C526" s="522"/>
      <c r="E526" s="523"/>
    </row>
    <row r="527" spans="3:5">
      <c r="C527" s="522"/>
      <c r="E527" s="523"/>
    </row>
    <row r="528" spans="3:5">
      <c r="C528" s="522"/>
      <c r="E528" s="523"/>
    </row>
    <row r="529" spans="3:5">
      <c r="C529" s="522"/>
      <c r="E529" s="523"/>
    </row>
    <row r="530" spans="3:5">
      <c r="C530" s="522"/>
      <c r="E530" s="523"/>
    </row>
    <row r="531" spans="3:5">
      <c r="C531" s="522"/>
      <c r="E531" s="523"/>
    </row>
    <row r="532" spans="3:5">
      <c r="C532" s="522"/>
      <c r="E532" s="523"/>
    </row>
    <row r="533" spans="3:5">
      <c r="C533" s="522"/>
      <c r="E533" s="523"/>
    </row>
    <row r="534" spans="3:5">
      <c r="C534" s="522"/>
      <c r="E534" s="523"/>
    </row>
    <row r="535" spans="3:5">
      <c r="C535" s="522"/>
      <c r="E535" s="523"/>
    </row>
    <row r="536" spans="3:5">
      <c r="C536" s="522"/>
      <c r="E536" s="523"/>
    </row>
    <row r="537" spans="3:5">
      <c r="C537" s="522"/>
      <c r="E537" s="523"/>
    </row>
    <row r="538" spans="3:5">
      <c r="C538" s="522"/>
      <c r="E538" s="523"/>
    </row>
    <row r="539" spans="3:5">
      <c r="C539" s="522"/>
      <c r="E539" s="523"/>
    </row>
    <row r="540" spans="3:5">
      <c r="C540" s="522"/>
      <c r="E540" s="523"/>
    </row>
    <row r="541" spans="3:5">
      <c r="C541" s="522"/>
      <c r="E541" s="523"/>
    </row>
    <row r="542" spans="3:5">
      <c r="C542" s="522"/>
      <c r="E542" s="523"/>
    </row>
    <row r="543" spans="3:5">
      <c r="C543" s="522"/>
      <c r="E543" s="523"/>
    </row>
    <row r="544" spans="3:5">
      <c r="C544" s="522"/>
      <c r="E544" s="523"/>
    </row>
    <row r="545" spans="3:5">
      <c r="C545" s="522"/>
      <c r="E545" s="523"/>
    </row>
    <row r="546" spans="3:5">
      <c r="C546" s="522"/>
      <c r="E546" s="523"/>
    </row>
    <row r="547" spans="3:5">
      <c r="C547" s="522"/>
      <c r="E547" s="523"/>
    </row>
    <row r="548" spans="3:5">
      <c r="C548" s="522"/>
      <c r="E548" s="523"/>
    </row>
    <row r="549" spans="3:5">
      <c r="C549" s="522"/>
      <c r="E549" s="523"/>
    </row>
    <row r="550" spans="3:5">
      <c r="C550" s="522"/>
      <c r="E550" s="523"/>
    </row>
    <row r="551" spans="3:5">
      <c r="C551" s="522"/>
      <c r="E551" s="523"/>
    </row>
    <row r="552" spans="3:5">
      <c r="C552" s="522"/>
      <c r="E552" s="523"/>
    </row>
    <row r="553" spans="3:5">
      <c r="C553" s="522"/>
      <c r="E553" s="523"/>
    </row>
    <row r="554" spans="3:5">
      <c r="C554" s="522"/>
      <c r="E554" s="523"/>
    </row>
    <row r="555" spans="3:5">
      <c r="C555" s="522"/>
      <c r="E555" s="523"/>
    </row>
    <row r="556" spans="3:5">
      <c r="C556" s="522"/>
      <c r="E556" s="523"/>
    </row>
    <row r="557" spans="3:5">
      <c r="C557" s="522"/>
      <c r="E557" s="523"/>
    </row>
    <row r="558" spans="3:5">
      <c r="C558" s="522"/>
      <c r="E558" s="523"/>
    </row>
    <row r="559" spans="3:5">
      <c r="C559" s="522"/>
      <c r="E559" s="523"/>
    </row>
    <row r="560" spans="3:5">
      <c r="C560" s="522"/>
      <c r="E560" s="523"/>
    </row>
    <row r="561" spans="3:5">
      <c r="C561" s="522"/>
      <c r="E561" s="523"/>
    </row>
    <row r="562" spans="3:5">
      <c r="C562" s="522"/>
      <c r="E562" s="523"/>
    </row>
    <row r="563" spans="3:5">
      <c r="C563" s="522"/>
      <c r="E563" s="523"/>
    </row>
    <row r="564" spans="3:5">
      <c r="C564" s="522"/>
      <c r="E564" s="523"/>
    </row>
    <row r="565" spans="3:5">
      <c r="C565" s="522"/>
      <c r="E565" s="523"/>
    </row>
    <row r="566" spans="3:5">
      <c r="C566" s="522"/>
      <c r="E566" s="523"/>
    </row>
    <row r="567" spans="3:5">
      <c r="C567" s="522"/>
      <c r="E567" s="523"/>
    </row>
    <row r="568" spans="3:5">
      <c r="C568" s="522"/>
      <c r="E568" s="523"/>
    </row>
    <row r="569" spans="3:5">
      <c r="C569" s="522"/>
      <c r="E569" s="523"/>
    </row>
    <row r="570" spans="3:5">
      <c r="C570" s="522"/>
      <c r="E570" s="523"/>
    </row>
    <row r="571" spans="3:5">
      <c r="C571" s="522"/>
      <c r="E571" s="523"/>
    </row>
    <row r="572" spans="3:5">
      <c r="C572" s="522"/>
      <c r="E572" s="523"/>
    </row>
    <row r="573" spans="3:5">
      <c r="C573" s="522"/>
      <c r="E573" s="523"/>
    </row>
    <row r="574" spans="3:5">
      <c r="C574" s="522"/>
      <c r="E574" s="523"/>
    </row>
    <row r="575" spans="3:5">
      <c r="C575" s="522"/>
      <c r="E575" s="523"/>
    </row>
    <row r="576" spans="3:5">
      <c r="C576" s="522"/>
      <c r="E576" s="523"/>
    </row>
    <row r="577" spans="3:5">
      <c r="C577" s="522"/>
      <c r="E577" s="523"/>
    </row>
    <row r="578" spans="3:5">
      <c r="C578" s="522"/>
      <c r="E578" s="523"/>
    </row>
    <row r="579" spans="3:5">
      <c r="C579" s="522"/>
      <c r="E579" s="523"/>
    </row>
    <row r="580" spans="3:5">
      <c r="C580" s="522"/>
      <c r="E580" s="523"/>
    </row>
    <row r="581" spans="3:5">
      <c r="C581" s="522"/>
      <c r="E581" s="523"/>
    </row>
    <row r="582" spans="3:5">
      <c r="C582" s="522"/>
      <c r="E582" s="523"/>
    </row>
    <row r="583" spans="3:5">
      <c r="C583" s="522"/>
      <c r="E583" s="523"/>
    </row>
    <row r="584" spans="3:5">
      <c r="C584" s="522"/>
      <c r="E584" s="523"/>
    </row>
    <row r="585" spans="3:5">
      <c r="C585" s="522"/>
      <c r="E585" s="523"/>
    </row>
    <row r="586" spans="3:5">
      <c r="C586" s="522"/>
      <c r="E586" s="523"/>
    </row>
    <row r="587" spans="3:5">
      <c r="C587" s="522"/>
      <c r="E587" s="523"/>
    </row>
    <row r="588" spans="3:5">
      <c r="C588" s="522"/>
      <c r="E588" s="523"/>
    </row>
    <row r="589" spans="3:5">
      <c r="C589" s="522"/>
      <c r="E589" s="523"/>
    </row>
    <row r="590" spans="3:5">
      <c r="C590" s="522"/>
      <c r="E590" s="523"/>
    </row>
    <row r="591" spans="3:5">
      <c r="C591" s="522"/>
      <c r="E591" s="523"/>
    </row>
    <row r="592" spans="3:5">
      <c r="C592" s="522"/>
      <c r="E592" s="523"/>
    </row>
    <row r="593" spans="3:5">
      <c r="C593" s="522"/>
      <c r="E593" s="523"/>
    </row>
    <row r="594" spans="3:5">
      <c r="C594" s="522"/>
      <c r="E594" s="523"/>
    </row>
    <row r="595" spans="3:5">
      <c r="C595" s="522"/>
      <c r="E595" s="523"/>
    </row>
    <row r="596" spans="3:5">
      <c r="C596" s="522"/>
      <c r="E596" s="523"/>
    </row>
    <row r="597" spans="3:5">
      <c r="C597" s="522"/>
      <c r="E597" s="523"/>
    </row>
    <row r="598" spans="3:5">
      <c r="C598" s="522"/>
      <c r="E598" s="523"/>
    </row>
    <row r="599" spans="3:5">
      <c r="C599" s="522"/>
      <c r="E599" s="523"/>
    </row>
    <row r="600" spans="3:5">
      <c r="C600" s="522"/>
      <c r="E600" s="523"/>
    </row>
    <row r="601" spans="3:5">
      <c r="C601" s="522"/>
      <c r="E601" s="523"/>
    </row>
    <row r="602" spans="3:5">
      <c r="C602" s="522"/>
      <c r="E602" s="523"/>
    </row>
    <row r="603" spans="3:5">
      <c r="C603" s="522"/>
      <c r="E603" s="523"/>
    </row>
    <row r="604" spans="3:5">
      <c r="C604" s="522"/>
      <c r="E604" s="523"/>
    </row>
    <row r="605" spans="3:5">
      <c r="C605" s="522"/>
      <c r="E605" s="523"/>
    </row>
    <row r="606" spans="3:5">
      <c r="C606" s="522"/>
      <c r="E606" s="523"/>
    </row>
    <row r="607" spans="3:5">
      <c r="C607" s="522"/>
      <c r="E607" s="523"/>
    </row>
    <row r="608" spans="3:5">
      <c r="C608" s="522"/>
      <c r="E608" s="523"/>
    </row>
    <row r="609" spans="3:5">
      <c r="C609" s="522"/>
      <c r="E609" s="523"/>
    </row>
    <row r="610" spans="3:5">
      <c r="C610" s="522"/>
      <c r="E610" s="523"/>
    </row>
    <row r="611" spans="3:5">
      <c r="C611" s="522"/>
      <c r="E611" s="523"/>
    </row>
    <row r="612" spans="3:5">
      <c r="C612" s="522"/>
      <c r="E612" s="523"/>
    </row>
    <row r="613" spans="3:5">
      <c r="C613" s="522"/>
      <c r="E613" s="523"/>
    </row>
    <row r="614" spans="3:5">
      <c r="C614" s="522"/>
      <c r="E614" s="523"/>
    </row>
    <row r="615" spans="3:5">
      <c r="C615" s="522"/>
      <c r="E615" s="523"/>
    </row>
    <row r="616" spans="3:5">
      <c r="C616" s="522"/>
      <c r="E616" s="523"/>
    </row>
    <row r="617" spans="3:5">
      <c r="C617" s="522"/>
      <c r="E617" s="523"/>
    </row>
    <row r="618" spans="3:5">
      <c r="C618" s="522"/>
      <c r="E618" s="523"/>
    </row>
    <row r="619" spans="3:5">
      <c r="C619" s="522"/>
      <c r="E619" s="523"/>
    </row>
    <row r="620" spans="3:5">
      <c r="C620" s="522"/>
      <c r="E620" s="523"/>
    </row>
    <row r="621" spans="3:5">
      <c r="C621" s="522"/>
      <c r="E621" s="523"/>
    </row>
    <row r="622" spans="3:5">
      <c r="C622" s="522"/>
      <c r="E622" s="523"/>
    </row>
    <row r="623" spans="3:5">
      <c r="C623" s="522"/>
      <c r="E623" s="523"/>
    </row>
    <row r="624" spans="3:5">
      <c r="C624" s="522"/>
      <c r="E624" s="523"/>
    </row>
    <row r="625" spans="3:5">
      <c r="C625" s="522"/>
      <c r="E625" s="523"/>
    </row>
    <row r="626" spans="3:5">
      <c r="C626" s="522"/>
      <c r="E626" s="523"/>
    </row>
    <row r="627" spans="3:5">
      <c r="C627" s="522"/>
      <c r="E627" s="523"/>
    </row>
    <row r="628" spans="3:5">
      <c r="C628" s="522"/>
      <c r="E628" s="523"/>
    </row>
    <row r="629" spans="3:5">
      <c r="C629" s="522"/>
      <c r="E629" s="523"/>
    </row>
    <row r="630" spans="3:5">
      <c r="C630" s="522"/>
      <c r="E630" s="523"/>
    </row>
    <row r="631" spans="3:5">
      <c r="C631" s="522"/>
      <c r="E631" s="523"/>
    </row>
    <row r="632" spans="3:5">
      <c r="C632" s="522"/>
      <c r="E632" s="523"/>
    </row>
    <row r="633" spans="3:5">
      <c r="C633" s="522"/>
      <c r="E633" s="523"/>
    </row>
    <row r="634" spans="3:5">
      <c r="C634" s="522"/>
      <c r="E634" s="523"/>
    </row>
    <row r="635" spans="3:5">
      <c r="C635" s="522"/>
      <c r="E635" s="523"/>
    </row>
    <row r="636" spans="3:5">
      <c r="C636" s="522"/>
      <c r="E636" s="523"/>
    </row>
    <row r="637" spans="3:5">
      <c r="C637" s="522"/>
      <c r="E637" s="523"/>
    </row>
    <row r="638" spans="3:5">
      <c r="C638" s="522"/>
      <c r="E638" s="523"/>
    </row>
    <row r="639" spans="3:5">
      <c r="C639" s="522"/>
      <c r="E639" s="523"/>
    </row>
    <row r="640" spans="3:5">
      <c r="C640" s="522"/>
      <c r="E640" s="523"/>
    </row>
    <row r="641" spans="3:5">
      <c r="C641" s="522"/>
      <c r="E641" s="523"/>
    </row>
    <row r="642" spans="3:5">
      <c r="C642" s="522"/>
      <c r="E642" s="523"/>
    </row>
    <row r="643" spans="3:5">
      <c r="C643" s="522"/>
      <c r="E643" s="523"/>
    </row>
    <row r="644" spans="3:5">
      <c r="C644" s="522"/>
      <c r="E644" s="523"/>
    </row>
    <row r="645" spans="3:5">
      <c r="C645" s="522"/>
      <c r="E645" s="523"/>
    </row>
    <row r="646" spans="3:5">
      <c r="C646" s="522"/>
      <c r="E646" s="523"/>
    </row>
    <row r="647" spans="3:5">
      <c r="C647" s="522"/>
      <c r="E647" s="523"/>
    </row>
    <row r="648" spans="3:5">
      <c r="C648" s="522"/>
      <c r="E648" s="523"/>
    </row>
    <row r="649" spans="3:5">
      <c r="C649" s="522"/>
      <c r="E649" s="523"/>
    </row>
    <row r="650" spans="3:5">
      <c r="C650" s="522"/>
      <c r="E650" s="523"/>
    </row>
    <row r="651" spans="3:5">
      <c r="C651" s="522"/>
      <c r="E651" s="523"/>
    </row>
    <row r="652" spans="3:5">
      <c r="C652" s="522"/>
      <c r="E652" s="523"/>
    </row>
    <row r="653" spans="3:5">
      <c r="C653" s="522"/>
      <c r="E653" s="523"/>
    </row>
    <row r="654" spans="3:5">
      <c r="C654" s="522"/>
      <c r="E654" s="523"/>
    </row>
    <row r="655" spans="3:5">
      <c r="C655" s="522"/>
      <c r="E655" s="523"/>
    </row>
    <row r="656" spans="3:5">
      <c r="C656" s="522"/>
      <c r="E656" s="523"/>
    </row>
    <row r="657" spans="3:5">
      <c r="C657" s="522"/>
      <c r="E657" s="523"/>
    </row>
    <row r="658" spans="3:5">
      <c r="C658" s="522"/>
      <c r="E658" s="523"/>
    </row>
    <row r="659" spans="3:5">
      <c r="C659" s="522"/>
      <c r="E659" s="523"/>
    </row>
    <row r="660" spans="3:5">
      <c r="C660" s="522"/>
      <c r="E660" s="523"/>
    </row>
    <row r="661" spans="3:5">
      <c r="C661" s="522"/>
      <c r="E661" s="523"/>
    </row>
    <row r="662" spans="3:5">
      <c r="C662" s="522"/>
      <c r="E662" s="523"/>
    </row>
    <row r="663" spans="3:5">
      <c r="C663" s="522"/>
      <c r="E663" s="523"/>
    </row>
    <row r="664" spans="3:5">
      <c r="C664" s="522"/>
      <c r="E664" s="523"/>
    </row>
    <row r="665" spans="3:5">
      <c r="C665" s="522"/>
      <c r="E665" s="523"/>
    </row>
    <row r="666" spans="3:5">
      <c r="C666" s="522"/>
      <c r="E666" s="523"/>
    </row>
    <row r="667" spans="3:5">
      <c r="C667" s="522"/>
      <c r="E667" s="523"/>
    </row>
    <row r="668" spans="3:5">
      <c r="C668" s="522"/>
      <c r="E668" s="523"/>
    </row>
    <row r="669" spans="3:5">
      <c r="C669" s="522"/>
      <c r="E669" s="523"/>
    </row>
    <row r="670" spans="3:5">
      <c r="C670" s="522"/>
      <c r="E670" s="523"/>
    </row>
    <row r="671" spans="3:5">
      <c r="C671" s="522"/>
      <c r="E671" s="523"/>
    </row>
    <row r="672" spans="3:5">
      <c r="C672" s="522"/>
      <c r="E672" s="523"/>
    </row>
    <row r="673" spans="3:5">
      <c r="C673" s="522"/>
      <c r="E673" s="523"/>
    </row>
    <row r="674" spans="3:5">
      <c r="C674" s="522"/>
      <c r="E674" s="523"/>
    </row>
    <row r="675" spans="3:5">
      <c r="C675" s="522"/>
      <c r="E675" s="523"/>
    </row>
    <row r="676" spans="3:5">
      <c r="C676" s="522"/>
      <c r="E676" s="523"/>
    </row>
    <row r="677" spans="3:5">
      <c r="C677" s="522"/>
      <c r="E677" s="523"/>
    </row>
    <row r="678" spans="3:5">
      <c r="C678" s="522"/>
      <c r="E678" s="523"/>
    </row>
    <row r="679" spans="3:5">
      <c r="C679" s="522"/>
      <c r="E679" s="523"/>
    </row>
    <row r="680" spans="3:5">
      <c r="C680" s="522"/>
      <c r="E680" s="523"/>
    </row>
    <row r="681" spans="3:5">
      <c r="C681" s="522"/>
      <c r="E681" s="523"/>
    </row>
    <row r="682" spans="3:5">
      <c r="C682" s="522"/>
      <c r="E682" s="523"/>
    </row>
    <row r="683" spans="3:5">
      <c r="C683" s="522"/>
      <c r="E683" s="523"/>
    </row>
    <row r="684" spans="3:5">
      <c r="C684" s="522"/>
      <c r="E684" s="523"/>
    </row>
    <row r="685" spans="3:5">
      <c r="C685" s="522"/>
      <c r="E685" s="523"/>
    </row>
    <row r="686" spans="3:5">
      <c r="C686" s="522"/>
      <c r="E686" s="523"/>
    </row>
    <row r="687" spans="3:5">
      <c r="C687" s="522"/>
      <c r="E687" s="523"/>
    </row>
    <row r="688" spans="3:5">
      <c r="C688" s="522"/>
      <c r="E688" s="523"/>
    </row>
    <row r="689" spans="3:5">
      <c r="C689" s="522"/>
      <c r="E689" s="523"/>
    </row>
    <row r="690" spans="3:5">
      <c r="C690" s="522"/>
      <c r="E690" s="523"/>
    </row>
    <row r="691" spans="3:5">
      <c r="C691" s="522"/>
      <c r="E691" s="523"/>
    </row>
    <row r="692" spans="3:5">
      <c r="C692" s="522"/>
      <c r="E692" s="523"/>
    </row>
    <row r="693" spans="3:5">
      <c r="C693" s="522"/>
      <c r="E693" s="523"/>
    </row>
    <row r="694" spans="3:5">
      <c r="C694" s="522"/>
      <c r="E694" s="523"/>
    </row>
    <row r="695" spans="3:5">
      <c r="C695" s="522"/>
      <c r="E695" s="523"/>
    </row>
    <row r="696" spans="3:5">
      <c r="C696" s="522"/>
      <c r="E696" s="523"/>
    </row>
    <row r="697" spans="3:5">
      <c r="C697" s="522"/>
      <c r="E697" s="523"/>
    </row>
    <row r="698" spans="3:5">
      <c r="C698" s="522"/>
      <c r="E698" s="523"/>
    </row>
    <row r="699" spans="3:5">
      <c r="C699" s="522"/>
      <c r="E699" s="523"/>
    </row>
    <row r="700" spans="3:5">
      <c r="C700" s="522"/>
      <c r="E700" s="523"/>
    </row>
    <row r="701" spans="3:5">
      <c r="C701" s="522"/>
      <c r="E701" s="523"/>
    </row>
    <row r="702" spans="3:5">
      <c r="C702" s="522"/>
      <c r="E702" s="523"/>
    </row>
    <row r="703" spans="3:5">
      <c r="C703" s="522"/>
      <c r="E703" s="523"/>
    </row>
    <row r="704" spans="3:5">
      <c r="C704" s="522"/>
      <c r="E704" s="523"/>
    </row>
    <row r="705" spans="3:5">
      <c r="C705" s="522"/>
      <c r="E705" s="523"/>
    </row>
    <row r="706" spans="3:5">
      <c r="C706" s="522"/>
      <c r="E706" s="523"/>
    </row>
    <row r="707" spans="3:5">
      <c r="C707" s="522"/>
      <c r="E707" s="523"/>
    </row>
    <row r="708" spans="3:5">
      <c r="C708" s="522"/>
      <c r="E708" s="523"/>
    </row>
    <row r="709" spans="3:5">
      <c r="C709" s="522"/>
      <c r="E709" s="523"/>
    </row>
    <row r="710" spans="3:5">
      <c r="C710" s="522"/>
      <c r="E710" s="523"/>
    </row>
    <row r="711" spans="3:5">
      <c r="C711" s="522"/>
      <c r="E711" s="523"/>
    </row>
    <row r="712" spans="3:5">
      <c r="C712" s="522"/>
      <c r="E712" s="523"/>
    </row>
    <row r="713" spans="3:5">
      <c r="C713" s="522"/>
      <c r="E713" s="523"/>
    </row>
    <row r="714" spans="3:5">
      <c r="C714" s="522"/>
      <c r="E714" s="523"/>
    </row>
    <row r="715" spans="3:5">
      <c r="C715" s="522"/>
      <c r="E715" s="523"/>
    </row>
    <row r="716" spans="3:5">
      <c r="C716" s="522"/>
      <c r="E716" s="523"/>
    </row>
    <row r="717" spans="3:5">
      <c r="C717" s="522"/>
      <c r="E717" s="523"/>
    </row>
    <row r="718" spans="3:5">
      <c r="C718" s="522"/>
      <c r="E718" s="523"/>
    </row>
    <row r="719" spans="3:5">
      <c r="C719" s="522"/>
      <c r="E719" s="523"/>
    </row>
    <row r="720" spans="3:5">
      <c r="C720" s="522"/>
      <c r="E720" s="523"/>
    </row>
    <row r="721" spans="3:5">
      <c r="C721" s="522"/>
      <c r="E721" s="523"/>
    </row>
    <row r="722" spans="3:5">
      <c r="C722" s="522"/>
      <c r="E722" s="523"/>
    </row>
    <row r="723" spans="3:5">
      <c r="C723" s="522"/>
      <c r="E723" s="523"/>
    </row>
    <row r="724" spans="3:5">
      <c r="C724" s="522"/>
      <c r="E724" s="523"/>
    </row>
    <row r="725" spans="3:5">
      <c r="C725" s="522"/>
      <c r="E725" s="523"/>
    </row>
    <row r="726" spans="3:5">
      <c r="C726" s="522"/>
      <c r="E726" s="523"/>
    </row>
    <row r="727" spans="3:5">
      <c r="C727" s="522"/>
      <c r="E727" s="523"/>
    </row>
    <row r="728" spans="3:5">
      <c r="C728" s="522"/>
      <c r="E728" s="523"/>
    </row>
    <row r="729" spans="3:5">
      <c r="C729" s="522"/>
      <c r="E729" s="523"/>
    </row>
    <row r="730" spans="3:5">
      <c r="C730" s="522"/>
      <c r="E730" s="523"/>
    </row>
    <row r="731" spans="3:5">
      <c r="C731" s="522"/>
      <c r="E731" s="523"/>
    </row>
    <row r="732" spans="3:5">
      <c r="C732" s="522"/>
      <c r="E732" s="523"/>
    </row>
    <row r="733" spans="3:5">
      <c r="C733" s="522"/>
      <c r="E733" s="523"/>
    </row>
    <row r="734" spans="3:5">
      <c r="C734" s="522"/>
      <c r="E734" s="523"/>
    </row>
    <row r="735" spans="3:5">
      <c r="C735" s="522"/>
      <c r="E735" s="523"/>
    </row>
    <row r="736" spans="3:5">
      <c r="C736" s="522"/>
      <c r="E736" s="523"/>
    </row>
    <row r="737" spans="3:5">
      <c r="C737" s="522"/>
      <c r="E737" s="523"/>
    </row>
    <row r="738" spans="3:5">
      <c r="C738" s="522"/>
      <c r="E738" s="523"/>
    </row>
    <row r="739" spans="3:5">
      <c r="C739" s="522"/>
      <c r="E739" s="523"/>
    </row>
    <row r="740" spans="3:5">
      <c r="C740" s="522"/>
      <c r="E740" s="523"/>
    </row>
    <row r="741" spans="3:5">
      <c r="C741" s="522"/>
      <c r="E741" s="523"/>
    </row>
    <row r="742" spans="3:5">
      <c r="C742" s="522"/>
      <c r="E742" s="523"/>
    </row>
    <row r="743" spans="3:5">
      <c r="C743" s="522"/>
      <c r="E743" s="523"/>
    </row>
    <row r="744" spans="3:5">
      <c r="C744" s="522"/>
      <c r="E744" s="523"/>
    </row>
    <row r="745" spans="3:5">
      <c r="C745" s="522"/>
      <c r="E745" s="523"/>
    </row>
    <row r="746" spans="3:5">
      <c r="C746" s="522"/>
      <c r="E746" s="523"/>
    </row>
    <row r="747" spans="3:5">
      <c r="C747" s="522"/>
      <c r="E747" s="523"/>
    </row>
    <row r="748" spans="3:5">
      <c r="C748" s="522"/>
      <c r="E748" s="523"/>
    </row>
    <row r="749" spans="3:5">
      <c r="C749" s="522"/>
      <c r="E749" s="523"/>
    </row>
    <row r="750" spans="3:5">
      <c r="C750" s="522"/>
      <c r="E750" s="523"/>
    </row>
    <row r="751" spans="3:5">
      <c r="C751" s="522"/>
      <c r="E751" s="523"/>
    </row>
    <row r="752" spans="3:5">
      <c r="C752" s="522"/>
      <c r="E752" s="523"/>
    </row>
    <row r="753" spans="3:5">
      <c r="C753" s="522"/>
      <c r="E753" s="523"/>
    </row>
    <row r="754" spans="3:5">
      <c r="C754" s="522"/>
      <c r="E754" s="523"/>
    </row>
    <row r="755" spans="3:5">
      <c r="C755" s="522"/>
      <c r="E755" s="523"/>
    </row>
    <row r="756" spans="3:5">
      <c r="C756" s="522"/>
      <c r="E756" s="523"/>
    </row>
    <row r="757" spans="3:5">
      <c r="C757" s="522"/>
      <c r="E757" s="523"/>
    </row>
    <row r="758" spans="3:5">
      <c r="C758" s="522"/>
      <c r="E758" s="523"/>
    </row>
    <row r="759" spans="3:5">
      <c r="C759" s="522"/>
      <c r="E759" s="523"/>
    </row>
    <row r="760" spans="3:5">
      <c r="C760" s="522"/>
      <c r="E760" s="523"/>
    </row>
    <row r="761" spans="3:5">
      <c r="C761" s="522"/>
      <c r="E761" s="523"/>
    </row>
    <row r="762" spans="3:5">
      <c r="C762" s="522"/>
      <c r="E762" s="523"/>
    </row>
    <row r="763" spans="3:5">
      <c r="C763" s="522"/>
      <c r="E763" s="523"/>
    </row>
    <row r="764" spans="3:5">
      <c r="C764" s="522"/>
      <c r="E764" s="523"/>
    </row>
    <row r="765" spans="3:5">
      <c r="C765" s="522"/>
      <c r="E765" s="523"/>
    </row>
    <row r="766" spans="3:5">
      <c r="C766" s="522"/>
      <c r="E766" s="523"/>
    </row>
    <row r="767" spans="3:5">
      <c r="C767" s="522"/>
      <c r="E767" s="523"/>
    </row>
    <row r="768" spans="3:5">
      <c r="C768" s="522"/>
      <c r="E768" s="523"/>
    </row>
    <row r="769" spans="3:5">
      <c r="C769" s="522"/>
      <c r="E769" s="523"/>
    </row>
    <row r="770" spans="3:5">
      <c r="C770" s="522"/>
      <c r="E770" s="523"/>
    </row>
    <row r="771" spans="3:5">
      <c r="C771" s="522"/>
      <c r="E771" s="523"/>
    </row>
    <row r="772" spans="3:5">
      <c r="C772" s="522"/>
      <c r="E772" s="523"/>
    </row>
    <row r="773" spans="3:5">
      <c r="C773" s="522"/>
      <c r="E773" s="523"/>
    </row>
    <row r="774" spans="3:5">
      <c r="C774" s="522"/>
      <c r="E774" s="523"/>
    </row>
    <row r="775" spans="3:5">
      <c r="C775" s="522"/>
      <c r="E775" s="523"/>
    </row>
    <row r="776" spans="3:5">
      <c r="C776" s="522"/>
      <c r="E776" s="523"/>
    </row>
    <row r="777" spans="3:5">
      <c r="C777" s="522"/>
      <c r="E777" s="523"/>
    </row>
    <row r="778" spans="3:5">
      <c r="C778" s="522"/>
      <c r="E778" s="523"/>
    </row>
    <row r="779" spans="3:5">
      <c r="C779" s="522"/>
      <c r="E779" s="523"/>
    </row>
    <row r="780" spans="3:5">
      <c r="C780" s="522"/>
      <c r="E780" s="523"/>
    </row>
    <row r="781" spans="3:5">
      <c r="C781" s="522"/>
      <c r="E781" s="523"/>
    </row>
    <row r="782" spans="3:5">
      <c r="C782" s="522"/>
      <c r="E782" s="523"/>
    </row>
    <row r="783" spans="3:5">
      <c r="C783" s="522"/>
      <c r="E783" s="523"/>
    </row>
    <row r="784" spans="3:5">
      <c r="C784" s="522"/>
      <c r="E784" s="523"/>
    </row>
    <row r="785" spans="3:5">
      <c r="C785" s="522"/>
      <c r="E785" s="523"/>
    </row>
    <row r="786" spans="3:5">
      <c r="C786" s="522"/>
      <c r="E786" s="523"/>
    </row>
    <row r="787" spans="3:5">
      <c r="C787" s="522"/>
      <c r="E787" s="523"/>
    </row>
    <row r="788" spans="3:5">
      <c r="C788" s="522"/>
      <c r="E788" s="523"/>
    </row>
    <row r="789" spans="3:5">
      <c r="C789" s="522"/>
      <c r="E789" s="523"/>
    </row>
    <row r="790" spans="3:5">
      <c r="C790" s="522"/>
      <c r="E790" s="523"/>
    </row>
    <row r="791" spans="3:5">
      <c r="C791" s="522"/>
      <c r="E791" s="523"/>
    </row>
    <row r="792" spans="3:5">
      <c r="C792" s="522"/>
      <c r="E792" s="523"/>
    </row>
    <row r="793" spans="3:5">
      <c r="C793" s="522"/>
      <c r="E793" s="523"/>
    </row>
    <row r="794" spans="3:5">
      <c r="C794" s="522"/>
      <c r="E794" s="523"/>
    </row>
    <row r="795" spans="3:5">
      <c r="C795" s="522"/>
      <c r="E795" s="523"/>
    </row>
    <row r="796" spans="3:5">
      <c r="C796" s="522"/>
      <c r="E796" s="523"/>
    </row>
    <row r="797" spans="3:5">
      <c r="C797" s="522"/>
      <c r="E797" s="523"/>
    </row>
    <row r="798" spans="3:5">
      <c r="C798" s="522"/>
      <c r="E798" s="523"/>
    </row>
    <row r="799" spans="3:5">
      <c r="C799" s="522"/>
      <c r="E799" s="523"/>
    </row>
    <row r="800" spans="3:5">
      <c r="C800" s="522"/>
      <c r="E800" s="523"/>
    </row>
    <row r="801" spans="3:5">
      <c r="C801" s="522"/>
      <c r="E801" s="523"/>
    </row>
    <row r="802" spans="3:5">
      <c r="C802" s="522"/>
      <c r="E802" s="523"/>
    </row>
    <row r="803" spans="3:5">
      <c r="C803" s="522"/>
      <c r="E803" s="523"/>
    </row>
    <row r="804" spans="3:5">
      <c r="C804" s="522"/>
      <c r="E804" s="523"/>
    </row>
    <row r="805" spans="3:5">
      <c r="C805" s="522"/>
      <c r="E805" s="523"/>
    </row>
    <row r="806" spans="3:5">
      <c r="C806" s="522"/>
      <c r="E806" s="523"/>
    </row>
    <row r="807" spans="3:5">
      <c r="C807" s="522"/>
      <c r="E807" s="523"/>
    </row>
    <row r="808" spans="3:5">
      <c r="C808" s="522"/>
      <c r="E808" s="523"/>
    </row>
    <row r="809" spans="3:5">
      <c r="C809" s="522"/>
      <c r="E809" s="523"/>
    </row>
    <row r="810" spans="3:5">
      <c r="C810" s="522"/>
      <c r="E810" s="523"/>
    </row>
    <row r="811" spans="3:5">
      <c r="C811" s="522"/>
      <c r="E811" s="523"/>
    </row>
    <row r="812" spans="3:5">
      <c r="C812" s="522"/>
      <c r="E812" s="523"/>
    </row>
    <row r="813" spans="3:5">
      <c r="C813" s="522"/>
      <c r="E813" s="523"/>
    </row>
    <row r="814" spans="3:5">
      <c r="C814" s="522"/>
      <c r="E814" s="523"/>
    </row>
    <row r="815" spans="3:5">
      <c r="C815" s="522"/>
      <c r="E815" s="523"/>
    </row>
    <row r="816" spans="3:5">
      <c r="C816" s="522"/>
      <c r="E816" s="523"/>
    </row>
    <row r="817" spans="3:5">
      <c r="C817" s="522"/>
      <c r="E817" s="523"/>
    </row>
    <row r="818" spans="3:5">
      <c r="C818" s="522"/>
      <c r="E818" s="523"/>
    </row>
    <row r="819" spans="3:5">
      <c r="C819" s="522"/>
      <c r="E819" s="523"/>
    </row>
    <row r="820" spans="3:5">
      <c r="C820" s="522"/>
      <c r="E820" s="523"/>
    </row>
    <row r="821" spans="3:5">
      <c r="C821" s="522"/>
      <c r="E821" s="523"/>
    </row>
    <row r="822" spans="3:5">
      <c r="C822" s="522"/>
      <c r="E822" s="523"/>
    </row>
    <row r="823" spans="3:5">
      <c r="C823" s="522"/>
      <c r="E823" s="523"/>
    </row>
    <row r="824" spans="3:5">
      <c r="C824" s="522"/>
      <c r="E824" s="523"/>
    </row>
    <row r="825" spans="3:5">
      <c r="C825" s="522"/>
      <c r="E825" s="523"/>
    </row>
    <row r="826" spans="3:5">
      <c r="C826" s="522"/>
      <c r="E826" s="523"/>
    </row>
    <row r="827" spans="3:5">
      <c r="C827" s="522"/>
      <c r="E827" s="523"/>
    </row>
    <row r="828" spans="3:5">
      <c r="C828" s="522"/>
      <c r="E828" s="523"/>
    </row>
    <row r="829" spans="3:5">
      <c r="C829" s="522"/>
      <c r="E829" s="523"/>
    </row>
    <row r="830" spans="3:5">
      <c r="C830" s="522"/>
      <c r="E830" s="523"/>
    </row>
    <row r="831" spans="3:5">
      <c r="C831" s="522"/>
      <c r="E831" s="523"/>
    </row>
    <row r="832" spans="3:5">
      <c r="C832" s="522"/>
      <c r="E832" s="523"/>
    </row>
    <row r="833" spans="3:5">
      <c r="C833" s="522"/>
      <c r="E833" s="523"/>
    </row>
    <row r="834" spans="3:5">
      <c r="C834" s="522"/>
      <c r="E834" s="523"/>
    </row>
    <row r="835" spans="3:5">
      <c r="C835" s="522"/>
      <c r="E835" s="523"/>
    </row>
    <row r="836" spans="3:5">
      <c r="C836" s="522"/>
      <c r="E836" s="523"/>
    </row>
    <row r="837" spans="3:5">
      <c r="C837" s="522"/>
      <c r="E837" s="523"/>
    </row>
    <row r="838" spans="3:5">
      <c r="C838" s="522"/>
      <c r="E838" s="523"/>
    </row>
    <row r="839" spans="3:5">
      <c r="C839" s="522"/>
      <c r="E839" s="523"/>
    </row>
    <row r="840" spans="3:5">
      <c r="C840" s="522"/>
      <c r="E840" s="523"/>
    </row>
    <row r="841" spans="3:5">
      <c r="C841" s="522"/>
      <c r="E841" s="523"/>
    </row>
    <row r="842" spans="3:5">
      <c r="C842" s="522"/>
      <c r="E842" s="523"/>
    </row>
    <row r="843" spans="3:5">
      <c r="C843" s="522"/>
      <c r="E843" s="523"/>
    </row>
    <row r="844" spans="3:5">
      <c r="C844" s="522"/>
      <c r="E844" s="523"/>
    </row>
    <row r="845" spans="3:5">
      <c r="C845" s="522"/>
      <c r="E845" s="523"/>
    </row>
    <row r="846" spans="3:5">
      <c r="C846" s="522"/>
      <c r="E846" s="523"/>
    </row>
    <row r="847" spans="3:5">
      <c r="C847" s="522"/>
      <c r="E847" s="523"/>
    </row>
    <row r="848" spans="3:5">
      <c r="C848" s="522"/>
      <c r="E848" s="523"/>
    </row>
    <row r="849" spans="3:5">
      <c r="C849" s="522"/>
      <c r="E849" s="523"/>
    </row>
    <row r="850" spans="3:5">
      <c r="C850" s="522"/>
      <c r="E850" s="523"/>
    </row>
    <row r="851" spans="3:5">
      <c r="C851" s="522"/>
      <c r="E851" s="523"/>
    </row>
    <row r="852" spans="3:5">
      <c r="C852" s="522"/>
      <c r="E852" s="523"/>
    </row>
    <row r="853" spans="3:5">
      <c r="C853" s="522"/>
      <c r="E853" s="523"/>
    </row>
    <row r="854" spans="3:5">
      <c r="C854" s="522"/>
      <c r="E854" s="523"/>
    </row>
    <row r="855" spans="3:5">
      <c r="C855" s="522"/>
      <c r="E855" s="523"/>
    </row>
    <row r="856" spans="3:5">
      <c r="C856" s="522"/>
      <c r="E856" s="523"/>
    </row>
    <row r="857" spans="3:5">
      <c r="C857" s="522"/>
      <c r="E857" s="523"/>
    </row>
    <row r="858" spans="3:5">
      <c r="C858" s="522"/>
      <c r="E858" s="523"/>
    </row>
    <row r="859" spans="3:5">
      <c r="C859" s="522"/>
      <c r="E859" s="523"/>
    </row>
    <row r="860" spans="3:5">
      <c r="C860" s="522"/>
      <c r="E860" s="523"/>
    </row>
    <row r="861" spans="3:5">
      <c r="C861" s="522"/>
      <c r="E861" s="523"/>
    </row>
    <row r="862" spans="3:5">
      <c r="C862" s="522"/>
      <c r="E862" s="523"/>
    </row>
    <row r="863" spans="3:5">
      <c r="C863" s="522"/>
      <c r="E863" s="523"/>
    </row>
    <row r="864" spans="3:5">
      <c r="C864" s="522"/>
      <c r="E864" s="523"/>
    </row>
    <row r="865" spans="3:5">
      <c r="C865" s="522"/>
      <c r="E865" s="523"/>
    </row>
    <row r="866" spans="3:5">
      <c r="C866" s="522"/>
      <c r="E866" s="523"/>
    </row>
    <row r="867" spans="3:5">
      <c r="C867" s="522"/>
      <c r="E867" s="523"/>
    </row>
    <row r="868" spans="3:5">
      <c r="C868" s="522"/>
      <c r="E868" s="523"/>
    </row>
    <row r="869" spans="3:5">
      <c r="C869" s="522"/>
      <c r="E869" s="523"/>
    </row>
    <row r="870" spans="3:5">
      <c r="C870" s="522"/>
      <c r="E870" s="523"/>
    </row>
    <row r="871" spans="3:5">
      <c r="C871" s="522"/>
      <c r="E871" s="523"/>
    </row>
    <row r="872" spans="3:5">
      <c r="C872" s="522"/>
      <c r="E872" s="523"/>
    </row>
    <row r="873" spans="3:5">
      <c r="C873" s="522"/>
      <c r="E873" s="523"/>
    </row>
    <row r="874" spans="3:5">
      <c r="C874" s="522"/>
      <c r="E874" s="523"/>
    </row>
    <row r="875" spans="3:5">
      <c r="C875" s="522"/>
      <c r="E875" s="523"/>
    </row>
    <row r="876" spans="3:5">
      <c r="C876" s="522"/>
      <c r="E876" s="523"/>
    </row>
    <row r="877" spans="3:5">
      <c r="C877" s="522"/>
      <c r="E877" s="523"/>
    </row>
    <row r="878" spans="3:5">
      <c r="C878" s="522"/>
      <c r="E878" s="523"/>
    </row>
    <row r="879" spans="3:5">
      <c r="C879" s="522"/>
      <c r="E879" s="523"/>
    </row>
    <row r="880" spans="3:5">
      <c r="C880" s="522"/>
      <c r="E880" s="523"/>
    </row>
    <row r="881" spans="3:5">
      <c r="C881" s="522"/>
      <c r="E881" s="523"/>
    </row>
    <row r="882" spans="3:5">
      <c r="C882" s="522"/>
      <c r="E882" s="523"/>
    </row>
    <row r="883" spans="3:5">
      <c r="C883" s="522"/>
      <c r="E883" s="523"/>
    </row>
    <row r="884" spans="3:5">
      <c r="C884" s="522"/>
      <c r="E884" s="523"/>
    </row>
    <row r="885" spans="3:5">
      <c r="C885" s="522"/>
      <c r="E885" s="523"/>
    </row>
    <row r="886" spans="3:5">
      <c r="C886" s="522"/>
      <c r="E886" s="523"/>
    </row>
    <row r="887" spans="3:5">
      <c r="C887" s="522"/>
      <c r="E887" s="523"/>
    </row>
    <row r="888" spans="3:5">
      <c r="C888" s="522"/>
      <c r="E888" s="523"/>
    </row>
    <row r="889" spans="3:5">
      <c r="C889" s="522"/>
      <c r="E889" s="523"/>
    </row>
    <row r="890" spans="3:5">
      <c r="C890" s="522"/>
      <c r="E890" s="523"/>
    </row>
    <row r="891" spans="3:5">
      <c r="C891" s="522"/>
      <c r="E891" s="523"/>
    </row>
    <row r="892" spans="3:5">
      <c r="C892" s="522"/>
      <c r="E892" s="523"/>
    </row>
    <row r="893" spans="3:5">
      <c r="C893" s="522"/>
      <c r="E893" s="523"/>
    </row>
    <row r="894" spans="3:5">
      <c r="C894" s="522"/>
      <c r="E894" s="523"/>
    </row>
    <row r="895" spans="3:5">
      <c r="C895" s="522"/>
      <c r="E895" s="523"/>
    </row>
    <row r="896" spans="3:5">
      <c r="C896" s="522"/>
      <c r="E896" s="523"/>
    </row>
    <row r="897" spans="3:5">
      <c r="C897" s="522"/>
      <c r="E897" s="523"/>
    </row>
    <row r="898" spans="3:5">
      <c r="C898" s="522"/>
      <c r="E898" s="523"/>
    </row>
    <row r="899" spans="3:5">
      <c r="C899" s="522"/>
      <c r="E899" s="523"/>
    </row>
    <row r="900" spans="3:5">
      <c r="C900" s="522"/>
      <c r="E900" s="523"/>
    </row>
    <row r="901" spans="3:5">
      <c r="C901" s="522"/>
      <c r="E901" s="523"/>
    </row>
    <row r="902" spans="3:5">
      <c r="C902" s="522"/>
      <c r="E902" s="523"/>
    </row>
    <row r="903" spans="3:5">
      <c r="C903" s="522"/>
      <c r="E903" s="523"/>
    </row>
    <row r="904" spans="3:5">
      <c r="C904" s="522"/>
      <c r="E904" s="523"/>
    </row>
    <row r="905" spans="3:5">
      <c r="C905" s="522"/>
      <c r="E905" s="523"/>
    </row>
    <row r="906" spans="3:5">
      <c r="C906" s="522"/>
      <c r="E906" s="523"/>
    </row>
    <row r="907" spans="3:5">
      <c r="C907" s="522"/>
      <c r="E907" s="523"/>
    </row>
    <row r="908" spans="3:5">
      <c r="C908" s="522"/>
      <c r="E908" s="523"/>
    </row>
    <row r="909" spans="3:5">
      <c r="C909" s="522"/>
      <c r="E909" s="523"/>
    </row>
    <row r="910" spans="3:5">
      <c r="C910" s="522"/>
      <c r="E910" s="523"/>
    </row>
    <row r="911" spans="3:5">
      <c r="C911" s="522"/>
      <c r="E911" s="523"/>
    </row>
    <row r="912" spans="3:5">
      <c r="C912" s="522"/>
      <c r="E912" s="523"/>
    </row>
    <row r="913" spans="3:5">
      <c r="C913" s="522"/>
      <c r="E913" s="523"/>
    </row>
    <row r="914" spans="3:5">
      <c r="C914" s="522"/>
      <c r="E914" s="523"/>
    </row>
    <row r="915" spans="3:5">
      <c r="C915" s="522"/>
      <c r="E915" s="523"/>
    </row>
    <row r="916" spans="3:5">
      <c r="C916" s="522"/>
      <c r="E916" s="523"/>
    </row>
    <row r="917" spans="3:5">
      <c r="C917" s="522"/>
      <c r="E917" s="523"/>
    </row>
    <row r="918" spans="3:5">
      <c r="C918" s="522"/>
      <c r="E918" s="523"/>
    </row>
    <row r="919" spans="3:5">
      <c r="C919" s="522"/>
      <c r="E919" s="523"/>
    </row>
    <row r="920" spans="3:5">
      <c r="C920" s="522"/>
      <c r="E920" s="523"/>
    </row>
    <row r="921" spans="3:5">
      <c r="C921" s="522"/>
      <c r="E921" s="523"/>
    </row>
    <row r="922" spans="3:5">
      <c r="C922" s="522"/>
      <c r="E922" s="523"/>
    </row>
    <row r="923" spans="3:5">
      <c r="C923" s="522"/>
      <c r="E923" s="523"/>
    </row>
    <row r="924" spans="3:5">
      <c r="C924" s="522"/>
      <c r="E924" s="523"/>
    </row>
    <row r="925" spans="3:5">
      <c r="C925" s="522"/>
      <c r="E925" s="523"/>
    </row>
    <row r="926" spans="3:5">
      <c r="C926" s="522"/>
      <c r="E926" s="523"/>
    </row>
    <row r="927" spans="3:5">
      <c r="C927" s="522"/>
      <c r="E927" s="523"/>
    </row>
    <row r="928" spans="3:5">
      <c r="C928" s="522"/>
      <c r="E928" s="523"/>
    </row>
    <row r="929" spans="3:5">
      <c r="C929" s="522"/>
      <c r="E929" s="523"/>
    </row>
    <row r="930" spans="3:5">
      <c r="C930" s="522"/>
      <c r="E930" s="523"/>
    </row>
    <row r="931" spans="3:5">
      <c r="C931" s="522"/>
      <c r="E931" s="523"/>
    </row>
    <row r="932" spans="3:5">
      <c r="C932" s="522"/>
      <c r="E932" s="523"/>
    </row>
    <row r="933" spans="3:5">
      <c r="C933" s="522"/>
      <c r="E933" s="523"/>
    </row>
    <row r="934" spans="3:5">
      <c r="C934" s="522"/>
      <c r="E934" s="523"/>
    </row>
    <row r="935" spans="3:5">
      <c r="C935" s="522"/>
      <c r="E935" s="523"/>
    </row>
    <row r="936" spans="3:5">
      <c r="C936" s="522"/>
      <c r="E936" s="523"/>
    </row>
    <row r="937" spans="3:5">
      <c r="C937" s="522"/>
      <c r="E937" s="523"/>
    </row>
    <row r="938" spans="3:5">
      <c r="C938" s="522"/>
      <c r="E938" s="523"/>
    </row>
    <row r="939" spans="3:5">
      <c r="C939" s="522"/>
      <c r="E939" s="523"/>
    </row>
    <row r="940" spans="3:5">
      <c r="C940" s="522"/>
      <c r="E940" s="523"/>
    </row>
    <row r="941" spans="3:5">
      <c r="C941" s="522"/>
      <c r="E941" s="523"/>
    </row>
    <row r="942" spans="3:5">
      <c r="C942" s="522"/>
      <c r="E942" s="523"/>
    </row>
    <row r="943" spans="3:5">
      <c r="C943" s="522"/>
      <c r="E943" s="523"/>
    </row>
    <row r="944" spans="3:5">
      <c r="C944" s="522"/>
      <c r="E944" s="523"/>
    </row>
    <row r="945" spans="3:5">
      <c r="C945" s="522"/>
      <c r="E945" s="523"/>
    </row>
    <row r="946" spans="3:5">
      <c r="C946" s="522"/>
      <c r="E946" s="523"/>
    </row>
    <row r="947" spans="3:5">
      <c r="C947" s="522"/>
      <c r="E947" s="523"/>
    </row>
    <row r="948" spans="3:5">
      <c r="C948" s="522"/>
      <c r="E948" s="523"/>
    </row>
    <row r="949" spans="3:5">
      <c r="C949" s="522"/>
      <c r="E949" s="523"/>
    </row>
    <row r="950" spans="3:5">
      <c r="C950" s="522"/>
      <c r="E950" s="523"/>
    </row>
    <row r="951" spans="3:5">
      <c r="C951" s="522"/>
      <c r="E951" s="523"/>
    </row>
    <row r="952" spans="3:5">
      <c r="C952" s="522"/>
      <c r="E952" s="523"/>
    </row>
    <row r="953" spans="3:5">
      <c r="C953" s="522"/>
      <c r="E953" s="523"/>
    </row>
    <row r="954" spans="3:5">
      <c r="C954" s="522"/>
      <c r="E954" s="523"/>
    </row>
    <row r="955" spans="3:5">
      <c r="C955" s="522"/>
      <c r="E955" s="523"/>
    </row>
    <row r="956" spans="3:5">
      <c r="C956" s="522"/>
      <c r="E956" s="523"/>
    </row>
    <row r="957" spans="3:5">
      <c r="C957" s="522"/>
      <c r="E957" s="523"/>
    </row>
    <row r="958" spans="3:5">
      <c r="C958" s="522"/>
      <c r="E958" s="523"/>
    </row>
    <row r="959" spans="3:5">
      <c r="C959" s="522"/>
      <c r="E959" s="523"/>
    </row>
    <row r="960" spans="3:5">
      <c r="C960" s="522"/>
      <c r="E960" s="523"/>
    </row>
    <row r="961" spans="3:5">
      <c r="C961" s="522"/>
      <c r="E961" s="523"/>
    </row>
    <row r="962" spans="3:5">
      <c r="C962" s="522"/>
      <c r="E962" s="523"/>
    </row>
    <row r="963" spans="3:5">
      <c r="C963" s="522"/>
      <c r="E963" s="523"/>
    </row>
    <row r="964" spans="3:5">
      <c r="C964" s="522"/>
      <c r="E964" s="523"/>
    </row>
    <row r="965" spans="3:5">
      <c r="C965" s="522"/>
      <c r="E965" s="523"/>
    </row>
    <row r="966" spans="3:5">
      <c r="C966" s="522"/>
      <c r="E966" s="523"/>
    </row>
    <row r="967" spans="3:5">
      <c r="C967" s="522"/>
      <c r="E967" s="523"/>
    </row>
    <row r="968" spans="3:5">
      <c r="C968" s="522"/>
      <c r="E968" s="523"/>
    </row>
    <row r="969" spans="3:5">
      <c r="C969" s="522"/>
      <c r="E969" s="523"/>
    </row>
    <row r="970" spans="3:5">
      <c r="C970" s="522"/>
      <c r="E970" s="523"/>
    </row>
    <row r="971" spans="3:5">
      <c r="C971" s="522"/>
      <c r="E971" s="523"/>
    </row>
    <row r="972" spans="3:5">
      <c r="C972" s="522"/>
      <c r="E972" s="523"/>
    </row>
    <row r="973" spans="3:5">
      <c r="C973" s="522"/>
      <c r="E973" s="523"/>
    </row>
    <row r="974" spans="3:5">
      <c r="C974" s="522"/>
      <c r="E974" s="523"/>
    </row>
    <row r="975" spans="3:5">
      <c r="C975" s="522"/>
      <c r="E975" s="523"/>
    </row>
    <row r="976" spans="3:5">
      <c r="C976" s="522"/>
      <c r="E976" s="523"/>
    </row>
    <row r="977" spans="3:5">
      <c r="C977" s="522"/>
      <c r="E977" s="523"/>
    </row>
    <row r="978" spans="3:5">
      <c r="C978" s="522"/>
      <c r="E978" s="523"/>
    </row>
    <row r="979" spans="3:5">
      <c r="C979" s="522"/>
      <c r="E979" s="523"/>
    </row>
    <row r="980" spans="3:5">
      <c r="C980" s="522"/>
      <c r="E980" s="523"/>
    </row>
    <row r="981" spans="3:5">
      <c r="C981" s="522"/>
      <c r="E981" s="523"/>
    </row>
    <row r="982" spans="3:5">
      <c r="C982" s="522"/>
      <c r="E982" s="523"/>
    </row>
    <row r="983" spans="3:5">
      <c r="C983" s="522"/>
      <c r="E983" s="523"/>
    </row>
    <row r="984" spans="3:5">
      <c r="C984" s="522"/>
      <c r="E984" s="523"/>
    </row>
    <row r="985" spans="3:5">
      <c r="C985" s="522"/>
      <c r="E985" s="523"/>
    </row>
    <row r="986" spans="3:5">
      <c r="C986" s="522"/>
      <c r="E986" s="523"/>
    </row>
    <row r="987" spans="3:5">
      <c r="C987" s="522"/>
      <c r="E987" s="523"/>
    </row>
    <row r="988" spans="3:5">
      <c r="C988" s="522"/>
      <c r="E988" s="523"/>
    </row>
    <row r="989" spans="3:5">
      <c r="C989" s="522"/>
      <c r="E989" s="523"/>
    </row>
    <row r="990" spans="3:5">
      <c r="C990" s="522"/>
      <c r="E990" s="523"/>
    </row>
    <row r="991" spans="3:5">
      <c r="C991" s="522"/>
      <c r="E991" s="523"/>
    </row>
    <row r="992" spans="3:5">
      <c r="C992" s="522"/>
      <c r="E992" s="523"/>
    </row>
    <row r="993" spans="3:5">
      <c r="C993" s="522"/>
      <c r="E993" s="523"/>
    </row>
    <row r="994" spans="3:5">
      <c r="C994" s="522"/>
      <c r="E994" s="523"/>
    </row>
    <row r="995" spans="3:5">
      <c r="C995" s="522"/>
      <c r="E995" s="523"/>
    </row>
    <row r="996" spans="3:5">
      <c r="C996" s="522"/>
      <c r="E996" s="523"/>
    </row>
    <row r="997" spans="3:5">
      <c r="C997" s="522"/>
      <c r="E997" s="523"/>
    </row>
    <row r="998" spans="3:5">
      <c r="C998" s="522"/>
      <c r="E998" s="523"/>
    </row>
    <row r="999" spans="3:5">
      <c r="C999" s="522"/>
      <c r="E999" s="523"/>
    </row>
    <row r="1000" spans="3:5">
      <c r="C1000" s="522"/>
      <c r="E1000" s="523"/>
    </row>
    <row r="1001" spans="3:5">
      <c r="C1001" s="522"/>
      <c r="E1001" s="523"/>
    </row>
    <row r="1002" spans="3:5">
      <c r="C1002" s="522"/>
      <c r="E1002" s="523"/>
    </row>
    <row r="1003" spans="3:5">
      <c r="C1003" s="522"/>
      <c r="E1003" s="523"/>
    </row>
    <row r="1004" spans="3:5">
      <c r="C1004" s="522"/>
      <c r="E1004" s="523"/>
    </row>
    <row r="1005" spans="3:5">
      <c r="C1005" s="522"/>
      <c r="E1005" s="523"/>
    </row>
    <row r="1006" spans="3:5">
      <c r="C1006" s="522"/>
      <c r="E1006" s="523"/>
    </row>
    <row r="1007" spans="3:5">
      <c r="C1007" s="522"/>
      <c r="E1007" s="523"/>
    </row>
    <row r="1008" spans="3:5">
      <c r="C1008" s="522"/>
      <c r="E1008" s="523"/>
    </row>
    <row r="1009" spans="3:5">
      <c r="C1009" s="522"/>
      <c r="E1009" s="523"/>
    </row>
    <row r="1010" spans="3:5">
      <c r="C1010" s="522"/>
      <c r="E1010" s="523"/>
    </row>
    <row r="1011" spans="3:5">
      <c r="C1011" s="522"/>
      <c r="E1011" s="523"/>
    </row>
    <row r="1012" spans="3:5">
      <c r="C1012" s="522"/>
      <c r="E1012" s="523"/>
    </row>
    <row r="1013" spans="3:5">
      <c r="C1013" s="522"/>
      <c r="E1013" s="523"/>
    </row>
    <row r="1014" spans="3:5">
      <c r="C1014" s="522"/>
      <c r="E1014" s="523"/>
    </row>
    <row r="1015" spans="3:5">
      <c r="C1015" s="522"/>
      <c r="E1015" s="523"/>
    </row>
    <row r="1016" spans="3:5">
      <c r="C1016" s="522"/>
      <c r="E1016" s="523"/>
    </row>
    <row r="1017" spans="3:5">
      <c r="C1017" s="522"/>
      <c r="E1017" s="523"/>
    </row>
    <row r="1018" spans="3:5">
      <c r="C1018" s="522"/>
      <c r="E1018" s="523"/>
    </row>
    <row r="1019" spans="3:5">
      <c r="C1019" s="522"/>
      <c r="E1019" s="523"/>
    </row>
    <row r="1020" spans="3:5">
      <c r="C1020" s="522"/>
      <c r="E1020" s="523"/>
    </row>
    <row r="1021" spans="3:5">
      <c r="C1021" s="522"/>
      <c r="E1021" s="523"/>
    </row>
    <row r="1022" spans="3:5">
      <c r="C1022" s="522"/>
      <c r="E1022" s="523"/>
    </row>
    <row r="1023" spans="3:5">
      <c r="C1023" s="522"/>
      <c r="E1023" s="523"/>
    </row>
    <row r="1024" spans="3:5">
      <c r="C1024" s="522"/>
      <c r="E1024" s="523"/>
    </row>
    <row r="1025" spans="3:5">
      <c r="C1025" s="522"/>
      <c r="E1025" s="523"/>
    </row>
    <row r="1026" spans="3:5">
      <c r="C1026" s="522"/>
      <c r="E1026" s="523"/>
    </row>
    <row r="1027" spans="3:5">
      <c r="C1027" s="522"/>
      <c r="E1027" s="523"/>
    </row>
    <row r="1028" spans="3:5">
      <c r="C1028" s="522"/>
      <c r="E1028" s="523"/>
    </row>
    <row r="1029" spans="3:5">
      <c r="C1029" s="522"/>
      <c r="E1029" s="523"/>
    </row>
    <row r="1030" spans="3:5">
      <c r="C1030" s="522"/>
      <c r="E1030" s="523"/>
    </row>
    <row r="1031" spans="3:5">
      <c r="C1031" s="522"/>
      <c r="E1031" s="523"/>
    </row>
    <row r="1032" spans="3:5">
      <c r="C1032" s="522"/>
      <c r="E1032" s="523"/>
    </row>
    <row r="1033" spans="3:5">
      <c r="C1033" s="522"/>
      <c r="E1033" s="523"/>
    </row>
    <row r="1034" spans="3:5">
      <c r="C1034" s="522"/>
      <c r="E1034" s="523"/>
    </row>
    <row r="1035" spans="3:5">
      <c r="C1035" s="522"/>
      <c r="E1035" s="523"/>
    </row>
    <row r="1036" spans="3:5">
      <c r="C1036" s="522"/>
      <c r="E1036" s="523"/>
    </row>
    <row r="1037" spans="3:5">
      <c r="C1037" s="522"/>
      <c r="E1037" s="523"/>
    </row>
    <row r="1038" spans="3:5">
      <c r="C1038" s="522"/>
      <c r="E1038" s="523"/>
    </row>
    <row r="1039" spans="3:5">
      <c r="C1039" s="522"/>
      <c r="E1039" s="523"/>
    </row>
    <row r="1040" spans="3:5">
      <c r="C1040" s="522"/>
      <c r="E1040" s="523"/>
    </row>
    <row r="1041" spans="3:5">
      <c r="C1041" s="522"/>
      <c r="E1041" s="523"/>
    </row>
    <row r="1042" spans="3:5">
      <c r="C1042" s="522"/>
      <c r="E1042" s="523"/>
    </row>
    <row r="1043" spans="3:5">
      <c r="C1043" s="522"/>
      <c r="E1043" s="523"/>
    </row>
    <row r="1044" spans="3:5">
      <c r="C1044" s="522"/>
      <c r="E1044" s="523"/>
    </row>
    <row r="1045" spans="3:5">
      <c r="C1045" s="522"/>
      <c r="E1045" s="523"/>
    </row>
    <row r="1046" spans="3:5">
      <c r="C1046" s="522"/>
      <c r="E1046" s="523"/>
    </row>
    <row r="1047" spans="3:5">
      <c r="C1047" s="522"/>
      <c r="E1047" s="523"/>
    </row>
    <row r="1048" spans="3:5">
      <c r="C1048" s="522"/>
      <c r="E1048" s="523"/>
    </row>
    <row r="1049" spans="3:5">
      <c r="C1049" s="522"/>
      <c r="E1049" s="523"/>
    </row>
    <row r="1050" spans="3:5">
      <c r="C1050" s="522"/>
      <c r="E1050" s="523"/>
    </row>
    <row r="1051" spans="3:5">
      <c r="C1051" s="522"/>
      <c r="E1051" s="523"/>
    </row>
    <row r="1052" spans="3:5">
      <c r="C1052" s="522"/>
      <c r="E1052" s="523"/>
    </row>
    <row r="1053" spans="3:5">
      <c r="C1053" s="522"/>
      <c r="E1053" s="523"/>
    </row>
    <row r="1054" spans="3:5">
      <c r="C1054" s="522"/>
      <c r="E1054" s="523"/>
    </row>
  </sheetData>
  <sheetProtection autoFilter="0"/>
  <mergeCells count="174">
    <mergeCell ref="D268:D269"/>
    <mergeCell ref="E268:E269"/>
    <mergeCell ref="C273:C290"/>
    <mergeCell ref="D286:D289"/>
    <mergeCell ref="E286:E289"/>
    <mergeCell ref="D258:D260"/>
    <mergeCell ref="E258:E260"/>
    <mergeCell ref="D261:D262"/>
    <mergeCell ref="E261:E262"/>
    <mergeCell ref="D265:D267"/>
    <mergeCell ref="E265:E267"/>
    <mergeCell ref="C227:C270"/>
    <mergeCell ref="D227:D228"/>
    <mergeCell ref="E227:E228"/>
    <mergeCell ref="D229:D232"/>
    <mergeCell ref="E229:E232"/>
    <mergeCell ref="D233:D234"/>
    <mergeCell ref="E233:E234"/>
    <mergeCell ref="D235:D238"/>
    <mergeCell ref="E235:E238"/>
    <mergeCell ref="D247:D249"/>
    <mergeCell ref="E247:E249"/>
    <mergeCell ref="D250:D253"/>
    <mergeCell ref="E250:E253"/>
    <mergeCell ref="D256:D257"/>
    <mergeCell ref="E256:E257"/>
    <mergeCell ref="E239:E240"/>
    <mergeCell ref="D241:D242"/>
    <mergeCell ref="E241:E242"/>
    <mergeCell ref="D243:D244"/>
    <mergeCell ref="E243:E244"/>
    <mergeCell ref="D245:D246"/>
    <mergeCell ref="E245:E246"/>
    <mergeCell ref="D239:D240"/>
    <mergeCell ref="D191:D192"/>
    <mergeCell ref="E191:E192"/>
    <mergeCell ref="D195:D196"/>
    <mergeCell ref="E195:E196"/>
    <mergeCell ref="C199:C224"/>
    <mergeCell ref="D199:D200"/>
    <mergeCell ref="E199:E200"/>
    <mergeCell ref="D202:D205"/>
    <mergeCell ref="E202:E205"/>
    <mergeCell ref="D206:D207"/>
    <mergeCell ref="C171:C196"/>
    <mergeCell ref="D217:D218"/>
    <mergeCell ref="E217:E218"/>
    <mergeCell ref="D220:D221"/>
    <mergeCell ref="E220:E221"/>
    <mergeCell ref="D222:D223"/>
    <mergeCell ref="E222:E223"/>
    <mergeCell ref="E206:E207"/>
    <mergeCell ref="D208:D209"/>
    <mergeCell ref="E208:E209"/>
    <mergeCell ref="D211:D212"/>
    <mergeCell ref="E211:E212"/>
    <mergeCell ref="D215:D216"/>
    <mergeCell ref="E215:E216"/>
    <mergeCell ref="E177:E178"/>
    <mergeCell ref="D184:D185"/>
    <mergeCell ref="E184:E185"/>
    <mergeCell ref="D186:D188"/>
    <mergeCell ref="E186:E188"/>
    <mergeCell ref="D189:D190"/>
    <mergeCell ref="E189:E190"/>
    <mergeCell ref="D165:D166"/>
    <mergeCell ref="E165:E166"/>
    <mergeCell ref="D167:D168"/>
    <mergeCell ref="E167:E168"/>
    <mergeCell ref="D171:D173"/>
    <mergeCell ref="E171:E173"/>
    <mergeCell ref="D174:D176"/>
    <mergeCell ref="E174:E176"/>
    <mergeCell ref="D177:D178"/>
    <mergeCell ref="E145:E146"/>
    <mergeCell ref="D150:D152"/>
    <mergeCell ref="E150:E152"/>
    <mergeCell ref="C155:C168"/>
    <mergeCell ref="D155:D157"/>
    <mergeCell ref="E155:E157"/>
    <mergeCell ref="D159:D160"/>
    <mergeCell ref="E159:E160"/>
    <mergeCell ref="D161:D163"/>
    <mergeCell ref="E161:E163"/>
    <mergeCell ref="C137:C153"/>
    <mergeCell ref="D137:D138"/>
    <mergeCell ref="E137:E138"/>
    <mergeCell ref="D139:D140"/>
    <mergeCell ref="E139:E140"/>
    <mergeCell ref="D141:D142"/>
    <mergeCell ref="E141:E142"/>
    <mergeCell ref="D143:D144"/>
    <mergeCell ref="E143:E144"/>
    <mergeCell ref="D145:D146"/>
    <mergeCell ref="C106:C134"/>
    <mergeCell ref="D107:D111"/>
    <mergeCell ref="E107:E111"/>
    <mergeCell ref="D112:D114"/>
    <mergeCell ref="E112:E114"/>
    <mergeCell ref="D115:D116"/>
    <mergeCell ref="E115:E116"/>
    <mergeCell ref="D127:D128"/>
    <mergeCell ref="E127:E128"/>
    <mergeCell ref="D129:D131"/>
    <mergeCell ref="E129:E131"/>
    <mergeCell ref="D132:D133"/>
    <mergeCell ref="E132:E133"/>
    <mergeCell ref="D117:D120"/>
    <mergeCell ref="E117:E120"/>
    <mergeCell ref="D121:D122"/>
    <mergeCell ref="E121:E122"/>
    <mergeCell ref="D124:D126"/>
    <mergeCell ref="E124:E126"/>
    <mergeCell ref="D84:D85"/>
    <mergeCell ref="E84:E85"/>
    <mergeCell ref="C90:C103"/>
    <mergeCell ref="D90:D91"/>
    <mergeCell ref="E90:E91"/>
    <mergeCell ref="D94:D95"/>
    <mergeCell ref="E94:E95"/>
    <mergeCell ref="D96:D98"/>
    <mergeCell ref="E96:E98"/>
    <mergeCell ref="D100:D101"/>
    <mergeCell ref="C65:C87"/>
    <mergeCell ref="E100:E101"/>
    <mergeCell ref="D102:D103"/>
    <mergeCell ref="E102:E103"/>
    <mergeCell ref="D78:D79"/>
    <mergeCell ref="E78:E79"/>
    <mergeCell ref="D80:D81"/>
    <mergeCell ref="E80:E81"/>
    <mergeCell ref="C42:C62"/>
    <mergeCell ref="D42:D44"/>
    <mergeCell ref="E42:E44"/>
    <mergeCell ref="D45:D51"/>
    <mergeCell ref="E45:E51"/>
    <mergeCell ref="D54:D55"/>
    <mergeCell ref="E54:E55"/>
    <mergeCell ref="D57:D59"/>
    <mergeCell ref="D73:D74"/>
    <mergeCell ref="E73:E74"/>
    <mergeCell ref="E57:E59"/>
    <mergeCell ref="D60:D61"/>
    <mergeCell ref="E60:E61"/>
    <mergeCell ref="D65:D66"/>
    <mergeCell ref="E65:E66"/>
    <mergeCell ref="D67:D69"/>
    <mergeCell ref="E67:E69"/>
    <mergeCell ref="D70:D72"/>
    <mergeCell ref="E70:E72"/>
    <mergeCell ref="D31:D32"/>
    <mergeCell ref="E31:E32"/>
    <mergeCell ref="K9:L9"/>
    <mergeCell ref="C11:C39"/>
    <mergeCell ref="D11:D15"/>
    <mergeCell ref="E11:E15"/>
    <mergeCell ref="D16:D17"/>
    <mergeCell ref="E16:E17"/>
    <mergeCell ref="D18:D19"/>
    <mergeCell ref="E18:E19"/>
    <mergeCell ref="D21:D23"/>
    <mergeCell ref="E21:E23"/>
    <mergeCell ref="D38:D39"/>
    <mergeCell ref="E38:E39"/>
    <mergeCell ref="C1:L1"/>
    <mergeCell ref="D2:F2"/>
    <mergeCell ref="I2:I3"/>
    <mergeCell ref="J2:J3"/>
    <mergeCell ref="D3:E3"/>
    <mergeCell ref="D4:F4"/>
    <mergeCell ref="D24:D27"/>
    <mergeCell ref="E24:E27"/>
    <mergeCell ref="D28:D30"/>
    <mergeCell ref="E28:E30"/>
  </mergeCells>
  <conditionalFormatting sqref="C1:E1">
    <cfRule type="containsText" dxfId="58" priority="6" operator="containsText" text="Project Number">
      <formula>NOT(ISERROR(SEARCH("Project Number",C1)))</formula>
    </cfRule>
  </conditionalFormatting>
  <conditionalFormatting sqref="D4">
    <cfRule type="containsText" dxfId="57" priority="5" operator="containsText" text="Review Phase">
      <formula>NOT(ISERROR(SEARCH("Review Phase",D4)))</formula>
    </cfRule>
  </conditionalFormatting>
  <conditionalFormatting sqref="D2:F2">
    <cfRule type="containsText" dxfId="56" priority="7" operator="containsText" text="XXXX">
      <formula>NOT(ISERROR(SEARCH("XXXX",D2)))</formula>
    </cfRule>
  </conditionalFormatting>
  <conditionalFormatting sqref="F7">
    <cfRule type="expression" dxfId="55" priority="1">
      <formula>IF(SUM($W$11:$W$285)&gt;0,TRUE,FALSE)</formula>
    </cfRule>
  </conditionalFormatting>
  <conditionalFormatting sqref="F8">
    <cfRule type="expression" dxfId="54" priority="2">
      <formula>IF(SUM($V$11:$V$285)&gt;0,TRUE,FALSE)</formula>
    </cfRule>
    <cfRule type="expression" dxfId="53" priority="3">
      <formula>IF(SUM($V$11:$V$285)&gt;0,TRUE,FALSE)</formula>
    </cfRule>
  </conditionalFormatting>
  <conditionalFormatting sqref="I40 I63 I88 I104 I135 I153 I169 I197 I225 I271 I290">
    <cfRule type="expression" dxfId="52" priority="4">
      <formula>IF(SUM(K40:L40)&lt;&gt; I40, TRUE,FALSE)</formula>
    </cfRule>
  </conditionalFormatting>
  <printOptions verticalCentered="1"/>
  <pageMargins left="0.7" right="0.7" top="0.5" bottom="0.5" header="0.3" footer="0.3"/>
  <pageSetup scale="24" fitToHeight="0" orientation="portrait" r:id="rId1"/>
  <rowBreaks count="1" manualBreakCount="1">
    <brk id="136" min="1" max="1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A3A9F-E821-4A2C-B01D-767F763C479B}">
  <sheetPr>
    <outlinePr summaryBelow="0" summaryRight="0"/>
    <pageSetUpPr fitToPage="1"/>
  </sheetPr>
  <dimension ref="A1:DS1090"/>
  <sheetViews>
    <sheetView tabSelected="1" view="pageBreakPreview" topLeftCell="A101" zoomScale="85" zoomScaleNormal="70" zoomScaleSheetLayoutView="85" workbookViewId="0">
      <selection activeCell="E102" sqref="E102"/>
    </sheetView>
  </sheetViews>
  <sheetFormatPr defaultColWidth="14.44140625" defaultRowHeight="15"/>
  <cols>
    <col min="1" max="1" width="12.6640625" style="286" customWidth="1"/>
    <col min="2" max="2" width="17.33203125" style="525" customWidth="1"/>
    <col min="3" max="3" width="7.33203125" style="526" customWidth="1"/>
    <col min="4" max="4" width="36.6640625" style="527" customWidth="1"/>
    <col min="5" max="5" width="54" style="528" customWidth="1"/>
    <col min="6" max="6" width="17.33203125" style="715" hidden="1" customWidth="1"/>
    <col min="7" max="7" width="12.33203125" style="715" hidden="1" customWidth="1"/>
    <col min="8" max="8" width="27" style="531" customWidth="1"/>
    <col min="9" max="9" width="104.33203125" style="532" customWidth="1"/>
    <col min="10" max="10" width="7.33203125" style="533" customWidth="1"/>
    <col min="11" max="11" width="20.33203125" style="531" customWidth="1"/>
    <col min="12" max="12" width="14.33203125" style="305" customWidth="1"/>
    <col min="13" max="13" width="15.33203125" style="305" bestFit="1" customWidth="1"/>
    <col min="14" max="15" width="20.109375" style="286" customWidth="1"/>
    <col min="16" max="19" width="14.44140625" style="286" hidden="1" customWidth="1"/>
    <col min="20" max="20" width="19.5546875" style="286" hidden="1" customWidth="1"/>
    <col min="21" max="23" width="14.44140625" style="286" hidden="1" customWidth="1"/>
    <col min="24" max="16384" width="14.44140625" style="286"/>
  </cols>
  <sheetData>
    <row r="1" spans="2:23" ht="16.2" customHeight="1" thickBot="1">
      <c r="F1" s="529" t="s">
        <v>1147</v>
      </c>
      <c r="G1" s="530"/>
      <c r="K1" s="534"/>
      <c r="L1" s="292"/>
      <c r="M1" s="286"/>
    </row>
    <row r="2" spans="2:23">
      <c r="B2" s="817" t="str">
        <f>Overview!C1</f>
        <v>2202025410 - Accenture - Assago Milanofiori U1</v>
      </c>
      <c r="C2" s="818"/>
      <c r="D2" s="818"/>
      <c r="E2" s="818"/>
      <c r="F2" s="818"/>
      <c r="G2" s="818"/>
      <c r="H2" s="818"/>
      <c r="I2" s="819"/>
      <c r="L2" s="292"/>
      <c r="M2" s="286"/>
    </row>
    <row r="3" spans="2:23">
      <c r="B3" s="820"/>
      <c r="C3" s="821"/>
      <c r="D3" s="821"/>
      <c r="E3" s="821"/>
      <c r="F3" s="821"/>
      <c r="G3" s="821"/>
      <c r="H3" s="821"/>
      <c r="I3" s="822"/>
      <c r="L3" s="292"/>
      <c r="M3" s="286"/>
    </row>
    <row r="4" spans="2:23" ht="31.2">
      <c r="B4" s="535" t="s">
        <v>740</v>
      </c>
      <c r="C4" s="536" t="s">
        <v>266</v>
      </c>
      <c r="D4" s="536" t="s">
        <v>444</v>
      </c>
      <c r="E4" s="536" t="s">
        <v>242</v>
      </c>
      <c r="F4" s="537" t="s">
        <v>1148</v>
      </c>
      <c r="G4" s="538" t="s">
        <v>742</v>
      </c>
      <c r="H4" s="536" t="s">
        <v>744</v>
      </c>
      <c r="I4" s="539" t="s">
        <v>1149</v>
      </c>
      <c r="K4" s="540"/>
      <c r="L4" s="292"/>
      <c r="M4" s="286"/>
    </row>
    <row r="5" spans="2:23" ht="17.399999999999999" customHeight="1">
      <c r="B5" s="823" t="s">
        <v>1150</v>
      </c>
      <c r="C5" s="824"/>
      <c r="D5" s="824"/>
      <c r="E5" s="824"/>
      <c r="F5" s="824"/>
      <c r="G5" s="824"/>
      <c r="H5" s="824"/>
      <c r="I5" s="825"/>
      <c r="K5" s="286"/>
      <c r="L5" s="286"/>
      <c r="M5" s="286"/>
    </row>
    <row r="6" spans="2:23" ht="97.5" customHeight="1" thickBot="1">
      <c r="B6" s="826" t="s">
        <v>1530</v>
      </c>
      <c r="C6" s="827"/>
      <c r="D6" s="827"/>
      <c r="E6" s="827"/>
      <c r="F6" s="827"/>
      <c r="G6" s="827"/>
      <c r="H6" s="827"/>
      <c r="I6" s="828"/>
      <c r="K6" s="541"/>
      <c r="L6" s="542" t="s">
        <v>1151</v>
      </c>
      <c r="M6" s="542" t="s">
        <v>1152</v>
      </c>
      <c r="N6" s="543" t="s">
        <v>1153</v>
      </c>
      <c r="O6" s="543" t="s">
        <v>1154</v>
      </c>
      <c r="P6" s="292" t="s">
        <v>1155</v>
      </c>
      <c r="Q6" s="292" t="s">
        <v>1156</v>
      </c>
      <c r="R6" s="292" t="s">
        <v>1157</v>
      </c>
      <c r="S6" s="292" t="s">
        <v>1158</v>
      </c>
      <c r="T6" s="543" t="s">
        <v>1159</v>
      </c>
    </row>
    <row r="7" spans="2:23" ht="15.6" customHeight="1">
      <c r="B7" s="829"/>
      <c r="C7" s="830"/>
      <c r="D7" s="830"/>
      <c r="E7" s="830"/>
      <c r="F7" s="830"/>
      <c r="G7" s="830"/>
      <c r="H7" s="830"/>
      <c r="I7" s="831"/>
      <c r="K7" s="540"/>
      <c r="L7" s="544"/>
      <c r="M7" s="544"/>
      <c r="N7" s="544"/>
      <c r="O7" s="544"/>
      <c r="P7" s="544"/>
      <c r="Q7" s="544"/>
      <c r="R7" s="544"/>
      <c r="S7" s="544"/>
      <c r="T7" s="544"/>
      <c r="U7" s="544"/>
    </row>
    <row r="8" spans="2:23" s="547" customFormat="1" ht="99.9" hidden="1" customHeight="1">
      <c r="B8" s="545"/>
      <c r="C8" s="832" t="s">
        <v>1160</v>
      </c>
      <c r="D8" s="833"/>
      <c r="E8" s="833"/>
      <c r="F8" s="833"/>
      <c r="G8" s="833"/>
      <c r="H8" s="833"/>
      <c r="I8" s="834"/>
      <c r="J8" s="546"/>
      <c r="K8" s="540"/>
      <c r="L8" s="544"/>
      <c r="M8" s="544"/>
      <c r="N8" s="544"/>
      <c r="O8" s="544"/>
      <c r="P8" s="544"/>
      <c r="Q8" s="544"/>
      <c r="R8" s="544"/>
      <c r="S8" s="544"/>
      <c r="T8" s="544"/>
      <c r="U8" s="544"/>
    </row>
    <row r="9" spans="2:23" s="547" customFormat="1" hidden="1">
      <c r="B9" s="545"/>
      <c r="C9" s="835"/>
      <c r="D9" s="835"/>
      <c r="E9" s="835"/>
      <c r="F9" s="835"/>
      <c r="G9" s="835"/>
      <c r="H9" s="835"/>
      <c r="I9" s="836"/>
      <c r="J9" s="546"/>
      <c r="K9" s="531"/>
    </row>
    <row r="10" spans="2:23" ht="301.8">
      <c r="B10" s="849" t="s">
        <v>55</v>
      </c>
      <c r="C10" s="838" t="s">
        <v>752</v>
      </c>
      <c r="D10" s="850" t="s">
        <v>753</v>
      </c>
      <c r="E10" s="550" t="s">
        <v>1161</v>
      </c>
      <c r="F10" s="551"/>
      <c r="G10" s="552" t="s">
        <v>1162</v>
      </c>
      <c r="H10" s="553" t="s">
        <v>1458</v>
      </c>
      <c r="I10" s="554" t="s">
        <v>1522</v>
      </c>
      <c r="K10" s="555"/>
      <c r="L10" s="305" t="str">
        <f>IF(OR(Overview!$D$4="Preliminary Documentation Review",Overview!$D$4="Preliminary Precertification Review"),IF(AND(P10=0,Q10=0),"",IF(AND(P10&gt;0,Q10&gt;0),"","MISMATCH")),"")</f>
        <v/>
      </c>
      <c r="M10" s="305" t="str">
        <f>IF(OR(Overview!$D$4="Preliminary Documentation Review",Overview!$D$4="Preliminary Precertification Review"),IF(AND(R10=0,S10=0),"",IF(AND(R10&gt;0,S10&gt;0),"","MISMATCH")),"")</f>
        <v/>
      </c>
      <c r="N10" s="305" t="str">
        <f>IF(OR(Overview!$D$4="Preliminary Documentation Review",Overview!$D$4="Preliminary Precertification Review"),IF(AND(T10=0,U10=0),"",IF(AND(T10&gt;0,U10&gt;0),"MISMATCH","")),"")</f>
        <v/>
      </c>
      <c r="O10" s="305" t="str">
        <f>IF(OR(Overview!$D$4="Preliminary Documentation Review",Overview!$D$4="Preliminary Precertification Review"),IF(AND(V10=0,W10=0),"",IF(AND(V10&gt;0,W10&gt;0),"","MISMATCH")),"")</f>
        <v/>
      </c>
      <c r="P10" s="286">
        <f t="shared" ref="P10:P42" si="0">IFERROR(SEARCH("COMMENTS TO BE ADDRESS",$I10),0)</f>
        <v>381</v>
      </c>
      <c r="Q10" s="286">
        <f>IFERROR(SEARCH("Pending Documentation",$H10),0)</f>
        <v>0</v>
      </c>
      <c r="R10" s="305">
        <f t="shared" ref="R10:R42" si="1">IFERROR(SEARCH("equirements of this part will be v",$I10),0)</f>
        <v>827</v>
      </c>
      <c r="S10" s="305">
        <f>IFERROR(SEARCH("Pending On",$H10),0)</f>
        <v>0</v>
      </c>
      <c r="T10" s="305">
        <f t="shared" ref="T10:T24" si="2">IFERROR(SEARCH("This Part has no",$I10),0)</f>
        <v>784</v>
      </c>
      <c r="U10" s="305">
        <f t="shared" ref="U10:U24" si="3">IFERROR(SEARCH("Anticipated",$H10),0)</f>
        <v>0</v>
      </c>
      <c r="V10" s="305">
        <f>IFERROR(SEARCH("This Part has not been attempted.",$I10),IFERROR(SEARCH("Not Attempted",$I10),0))</f>
        <v>0</v>
      </c>
      <c r="W10" s="305">
        <f t="shared" ref="W10:W22" si="4">IFERROR(SEARCH("Not Attempted",$H10),0)</f>
        <v>0</v>
      </c>
    </row>
    <row r="11" spans="2:23" ht="180.6">
      <c r="B11" s="849"/>
      <c r="C11" s="838"/>
      <c r="D11" s="850"/>
      <c r="E11" s="844" t="s">
        <v>1163</v>
      </c>
      <c r="F11" s="843"/>
      <c r="G11" s="841" t="s">
        <v>1162</v>
      </c>
      <c r="H11" s="839" t="s">
        <v>1458</v>
      </c>
      <c r="I11" s="757" t="s">
        <v>1526</v>
      </c>
      <c r="L11" s="305" t="str">
        <f>IF(OR(Overview!$D$4="Preliminary Documentation Review",Overview!$D$4="Preliminary Precertification Review"),IF(AND(P11=0,Q11=0),"",IF(AND(P11&gt;0,Q11&gt;0),"","MISMATCH")),"")</f>
        <v/>
      </c>
      <c r="M11" s="305" t="str">
        <f>IF(OR(Overview!$D$4="Preliminary Documentation Review",Overview!$D$4="Preliminary Precertification Review"),IF(AND(R11=0,S11=0),"",IF(AND(R11&gt;0,S11&gt;0),"","MISMATCH")),"")</f>
        <v/>
      </c>
      <c r="N11" s="305" t="str">
        <f>IF(OR(Overview!$D$4="Preliminary Documentation Review",Overview!$D$4="Preliminary Precertification Review"),IF(AND(T11=0,U11=0),"",IF(AND(T11&gt;0,U11&gt;0),"MISMATCH","")),"")</f>
        <v/>
      </c>
      <c r="O11" s="305" t="str">
        <f>IF(OR(Overview!$D$4="Preliminary Documentation Review",Overview!$D$4="Preliminary Precertification Review"),IF(AND(V11=0,W11=0),"",IF(AND(V11&gt;0,W11&gt;0),"","MISMATCH")),"")</f>
        <v/>
      </c>
      <c r="P11" s="286">
        <f t="shared" si="0"/>
        <v>0</v>
      </c>
      <c r="Q11" s="286">
        <f t="shared" ref="Q11:Q82" si="5">IFERROR(SEARCH("Pending Documentation",$H11),0)</f>
        <v>0</v>
      </c>
      <c r="R11" s="305">
        <f t="shared" si="1"/>
        <v>0</v>
      </c>
      <c r="S11" s="305">
        <f t="shared" ref="S11:S82" si="6">IFERROR(SEARCH("Pending On",$H11),0)</f>
        <v>0</v>
      </c>
      <c r="T11" s="305">
        <f t="shared" si="2"/>
        <v>0</v>
      </c>
      <c r="U11" s="305">
        <f t="shared" si="3"/>
        <v>0</v>
      </c>
      <c r="V11" s="305">
        <f t="shared" ref="V11:V76" si="7">IFERROR(SEARCH("This Part has not been attempted.",$I11),IFERROR(SEARCH("Not Attempted",$I11),0))</f>
        <v>0</v>
      </c>
      <c r="W11" s="305">
        <f t="shared" si="4"/>
        <v>0</v>
      </c>
    </row>
    <row r="12" spans="2:23" ht="286.8">
      <c r="B12" s="849"/>
      <c r="C12" s="838"/>
      <c r="D12" s="850"/>
      <c r="E12" s="845"/>
      <c r="F12" s="843"/>
      <c r="G12" s="842"/>
      <c r="H12" s="840"/>
      <c r="I12" s="758" t="s">
        <v>1457</v>
      </c>
      <c r="N12" s="305"/>
      <c r="O12" s="305"/>
      <c r="R12" s="305"/>
      <c r="S12" s="305"/>
      <c r="T12" s="305"/>
      <c r="U12" s="305"/>
      <c r="V12" s="305"/>
      <c r="W12" s="305"/>
    </row>
    <row r="13" spans="2:23" ht="361.8">
      <c r="B13" s="849"/>
      <c r="C13" s="838"/>
      <c r="D13" s="850"/>
      <c r="E13" s="550" t="s">
        <v>1164</v>
      </c>
      <c r="F13" s="556"/>
      <c r="G13" s="552" t="s">
        <v>1162</v>
      </c>
      <c r="H13" s="553" t="s">
        <v>1458</v>
      </c>
      <c r="I13" s="554" t="s">
        <v>1523</v>
      </c>
      <c r="L13" s="305" t="str">
        <f>IF(OR(Overview!$D$4="Preliminary Documentation Review",Overview!$D$4="Preliminary Precertification Review"),IF(AND(P13=0,Q13=0),"",IF(AND(P13&gt;0,Q13&gt;0),"","MISMATCH")),"")</f>
        <v/>
      </c>
      <c r="M13" s="305" t="str">
        <f>IF(OR(Overview!$D$4="Preliminary Documentation Review",Overview!$D$4="Preliminary Precertification Review"),IF(AND(R13=0,S13=0),"",IF(AND(R13&gt;0,S13&gt;0),"","MISMATCH")),"")</f>
        <v/>
      </c>
      <c r="N13" s="305" t="str">
        <f>IF(OR(Overview!$D$4="Preliminary Documentation Review",Overview!$D$4="Preliminary Precertification Review"),IF(AND(T13=0,U13=0),"",IF(AND(T13&gt;0,U13&gt;0),"MISMATCH","")),"")</f>
        <v/>
      </c>
      <c r="O13" s="305" t="str">
        <f>IF(OR(Overview!$D$4="Preliminary Documentation Review",Overview!$D$4="Preliminary Precertification Review"),IF(AND(V13=0,W13=0),"",IF(AND(V13&gt;0,W13&gt;0),"","MISMATCH")),"")</f>
        <v/>
      </c>
      <c r="P13" s="286">
        <f t="shared" si="0"/>
        <v>381</v>
      </c>
      <c r="Q13" s="286">
        <f t="shared" si="5"/>
        <v>0</v>
      </c>
      <c r="R13" s="305">
        <f t="shared" si="1"/>
        <v>1016</v>
      </c>
      <c r="S13" s="305">
        <f t="shared" si="6"/>
        <v>0</v>
      </c>
      <c r="T13" s="305">
        <f t="shared" si="2"/>
        <v>973</v>
      </c>
      <c r="U13" s="305">
        <f t="shared" si="3"/>
        <v>0</v>
      </c>
      <c r="V13" s="305">
        <f t="shared" si="7"/>
        <v>0</v>
      </c>
      <c r="W13" s="305">
        <f t="shared" si="4"/>
        <v>0</v>
      </c>
    </row>
    <row r="14" spans="2:23" ht="45.6">
      <c r="B14" s="849"/>
      <c r="C14" s="838"/>
      <c r="D14" s="850"/>
      <c r="E14" s="550" t="s">
        <v>1165</v>
      </c>
      <c r="F14" s="556"/>
      <c r="G14" s="552" t="s">
        <v>1162</v>
      </c>
      <c r="H14" s="553" t="s">
        <v>1458</v>
      </c>
      <c r="I14" s="557" t="s">
        <v>1166</v>
      </c>
      <c r="L14" s="305" t="str">
        <f>IF(OR(Overview!$D$4="Preliminary Documentation Review",Overview!$D$4="Preliminary Precertification Review"),IF(AND(P14=0,Q14=0),"",IF(AND(P14&gt;0,Q14&gt;0),"","MISMATCH")),"")</f>
        <v/>
      </c>
      <c r="M14" s="305" t="str">
        <f>IF(OR(Overview!$D$4="Preliminary Documentation Review",Overview!$D$4="Preliminary Precertification Review"),IF(AND(R14=0,S14=0),"",IF(AND(R14&gt;0,S14&gt;0),"","MISMATCH")),"")</f>
        <v/>
      </c>
      <c r="N14" s="305" t="str">
        <f>IF(OR(Overview!$D$4="Preliminary Documentation Review",Overview!$D$4="Preliminary Precertification Review"),IF(AND(T14=0,U14=0),"",IF(AND(T14&gt;0,U14&gt;0),"MISMATCH","")),"")</f>
        <v/>
      </c>
      <c r="O14" s="305" t="str">
        <f>IF(OR(Overview!$D$4="Preliminary Documentation Review",Overview!$D$4="Preliminary Precertification Review"),IF(AND(V14=0,W14=0),"",IF(AND(V14&gt;0,W14&gt;0),"","MISMATCH")),"")</f>
        <v/>
      </c>
      <c r="P14" s="286">
        <f t="shared" si="0"/>
        <v>0</v>
      </c>
      <c r="Q14" s="286">
        <f t="shared" si="5"/>
        <v>0</v>
      </c>
      <c r="R14" s="305">
        <f t="shared" si="1"/>
        <v>0</v>
      </c>
      <c r="S14" s="305">
        <f t="shared" si="6"/>
        <v>0</v>
      </c>
      <c r="T14" s="305">
        <f t="shared" si="2"/>
        <v>0</v>
      </c>
      <c r="U14" s="305">
        <f t="shared" si="3"/>
        <v>0</v>
      </c>
      <c r="V14" s="305">
        <f t="shared" si="7"/>
        <v>0</v>
      </c>
      <c r="W14" s="305">
        <f t="shared" si="4"/>
        <v>0</v>
      </c>
    </row>
    <row r="15" spans="2:23" ht="90.6">
      <c r="B15" s="849"/>
      <c r="C15" s="838"/>
      <c r="D15" s="850"/>
      <c r="E15" s="550" t="s">
        <v>1167</v>
      </c>
      <c r="F15" s="556"/>
      <c r="G15" s="552" t="s">
        <v>1162</v>
      </c>
      <c r="H15" s="553" t="s">
        <v>1458</v>
      </c>
      <c r="I15" s="557" t="s">
        <v>1168</v>
      </c>
      <c r="L15" s="305" t="str">
        <f>IF(OR(Overview!$D$4="Preliminary Documentation Review",Overview!$D$4="Preliminary Precertification Review"),IF(AND(P15=0,Q15=0),"",IF(AND(P15&gt;0,Q15&gt;0),"","MISMATCH")),"")</f>
        <v/>
      </c>
      <c r="M15" s="305" t="str">
        <f>IF(OR(Overview!$D$4="Preliminary Documentation Review",Overview!$D$4="Preliminary Precertification Review"),IF(AND(R15=0,S15=0),"",IF(AND(R15&gt;0,S15&gt;0),"","MISMATCH")),"")</f>
        <v/>
      </c>
      <c r="N15" s="305" t="str">
        <f>IF(OR(Overview!$D$4="Preliminary Documentation Review",Overview!$D$4="Preliminary Precertification Review"),IF(AND(T15=0,U15=0),"",IF(AND(T15&gt;0,U15&gt;0),"MISMATCH","")),"")</f>
        <v/>
      </c>
      <c r="O15" s="305" t="str">
        <f>IF(OR(Overview!$D$4="Preliminary Documentation Review",Overview!$D$4="Preliminary Precertification Review"),IF(AND(V15=0,W15=0),"",IF(AND(V15&gt;0,W15&gt;0),"","MISMATCH")),"")</f>
        <v/>
      </c>
      <c r="P15" s="286">
        <f t="shared" si="0"/>
        <v>0</v>
      </c>
      <c r="Q15" s="286">
        <f t="shared" si="5"/>
        <v>0</v>
      </c>
      <c r="R15" s="305">
        <f t="shared" si="1"/>
        <v>0</v>
      </c>
      <c r="S15" s="305">
        <f t="shared" si="6"/>
        <v>0</v>
      </c>
      <c r="T15" s="305">
        <f t="shared" si="2"/>
        <v>0</v>
      </c>
      <c r="U15" s="305">
        <f t="shared" si="3"/>
        <v>0</v>
      </c>
      <c r="V15" s="305">
        <f t="shared" si="7"/>
        <v>0</v>
      </c>
      <c r="W15" s="305">
        <f t="shared" si="4"/>
        <v>0</v>
      </c>
    </row>
    <row r="16" spans="2:23" ht="45.6">
      <c r="B16" s="849"/>
      <c r="C16" s="838" t="s">
        <v>752</v>
      </c>
      <c r="D16" s="837" t="s">
        <v>759</v>
      </c>
      <c r="E16" s="550" t="s">
        <v>1169</v>
      </c>
      <c r="F16" s="556"/>
      <c r="G16" s="552" t="s">
        <v>1162</v>
      </c>
      <c r="H16" s="553" t="s">
        <v>1458</v>
      </c>
      <c r="I16" s="557" t="s">
        <v>1166</v>
      </c>
      <c r="L16" s="305" t="str">
        <f>IF(OR(Overview!$D$4="Preliminary Documentation Review",Overview!$D$4="Preliminary Precertification Review"),IF(AND(P16=0,Q16=0),"",IF(AND(P16&gt;0,Q16&gt;0),"","MISMATCH")),"")</f>
        <v/>
      </c>
      <c r="M16" s="305" t="str">
        <f>IF(OR(Overview!$D$4="Preliminary Documentation Review",Overview!$D$4="Preliminary Precertification Review"),IF(AND(R16=0,S16=0),"",IF(AND(R16&gt;0,S16&gt;0),"","MISMATCH")),"")</f>
        <v/>
      </c>
      <c r="N16" s="305" t="str">
        <f>IF(OR(Overview!$D$4="Preliminary Documentation Review",Overview!$D$4="Preliminary Precertification Review"),IF(AND(T16=0,U16=0),"",IF(AND(T16&gt;0,U16&gt;0),"MISMATCH","")),"")</f>
        <v/>
      </c>
      <c r="O16" s="305" t="str">
        <f>IF(OR(Overview!$D$4="Preliminary Documentation Review",Overview!$D$4="Preliminary Precertification Review"),IF(AND(V16=0,W16=0),"",IF(AND(V16&gt;0,W16&gt;0),"","MISMATCH")),"")</f>
        <v/>
      </c>
      <c r="P16" s="286">
        <f t="shared" si="0"/>
        <v>0</v>
      </c>
      <c r="Q16" s="286">
        <f t="shared" si="5"/>
        <v>0</v>
      </c>
      <c r="R16" s="305">
        <f t="shared" si="1"/>
        <v>0</v>
      </c>
      <c r="S16" s="305">
        <f t="shared" si="6"/>
        <v>0</v>
      </c>
      <c r="T16" s="305">
        <f t="shared" si="2"/>
        <v>0</v>
      </c>
      <c r="U16" s="305">
        <f t="shared" si="3"/>
        <v>0</v>
      </c>
      <c r="V16" s="305">
        <f t="shared" si="7"/>
        <v>0</v>
      </c>
      <c r="W16" s="305">
        <f t="shared" si="4"/>
        <v>0</v>
      </c>
    </row>
    <row r="17" spans="2:23" ht="136.19999999999999">
      <c r="B17" s="849"/>
      <c r="C17" s="838"/>
      <c r="D17" s="837"/>
      <c r="E17" s="550" t="s">
        <v>1170</v>
      </c>
      <c r="F17" s="556"/>
      <c r="G17" s="552" t="s">
        <v>1162</v>
      </c>
      <c r="H17" s="553" t="s">
        <v>1458</v>
      </c>
      <c r="I17" s="554" t="s">
        <v>1459</v>
      </c>
      <c r="L17" s="305" t="str">
        <f>IF(OR(Overview!$D$4="Preliminary Documentation Review",Overview!$D$4="Preliminary Precertification Review"),IF(AND(P17=0,Q17=0),"",IF(AND(P17&gt;0,Q17&gt;0),"","MISMATCH")),"")</f>
        <v/>
      </c>
      <c r="M17" s="305" t="str">
        <f>IF(OR(Overview!$D$4="Preliminary Documentation Review",Overview!$D$4="Preliminary Precertification Review"),IF(AND(R17=0,S17=0),"",IF(AND(R17&gt;0,S17&gt;0),"","MISMATCH")),"")</f>
        <v/>
      </c>
      <c r="N17" s="305" t="str">
        <f>IF(OR(Overview!$D$4="Preliminary Documentation Review",Overview!$D$4="Preliminary Precertification Review"),IF(AND(T17=0,U17=0),"",IF(AND(T17&gt;0,U17&gt;0),"MISMATCH","")),"")</f>
        <v/>
      </c>
      <c r="O17" s="305" t="str">
        <f>IF(OR(Overview!$D$4="Preliminary Documentation Review",Overview!$D$4="Preliminary Precertification Review"),IF(AND(V17=0,W17=0),"",IF(AND(V17&gt;0,W17&gt;0),"","MISMATCH")),"")</f>
        <v/>
      </c>
      <c r="P17" s="286">
        <f t="shared" si="0"/>
        <v>0</v>
      </c>
      <c r="Q17" s="286">
        <f t="shared" si="5"/>
        <v>0</v>
      </c>
      <c r="R17" s="305">
        <f t="shared" si="1"/>
        <v>185</v>
      </c>
      <c r="S17" s="305">
        <f t="shared" si="6"/>
        <v>0</v>
      </c>
      <c r="T17" s="305">
        <f t="shared" si="2"/>
        <v>142</v>
      </c>
      <c r="U17" s="305">
        <f t="shared" si="3"/>
        <v>0</v>
      </c>
      <c r="V17" s="305">
        <f t="shared" si="7"/>
        <v>0</v>
      </c>
      <c r="W17" s="305">
        <f t="shared" si="4"/>
        <v>0</v>
      </c>
    </row>
    <row r="18" spans="2:23" ht="45.6">
      <c r="B18" s="849"/>
      <c r="C18" s="851" t="s">
        <v>752</v>
      </c>
      <c r="D18" s="837" t="s">
        <v>762</v>
      </c>
      <c r="E18" s="550" t="s">
        <v>1171</v>
      </c>
      <c r="F18" s="556"/>
      <c r="G18" s="552" t="s">
        <v>1162</v>
      </c>
      <c r="H18" s="553" t="s">
        <v>1458</v>
      </c>
      <c r="I18" s="557" t="s">
        <v>1166</v>
      </c>
      <c r="L18" s="305" t="str">
        <f>IF(OR(Overview!$D$4="Preliminary Documentation Review",Overview!$D$4="Preliminary Precertification Review"),IF(AND(P18=0,Q18=0),"",IF(AND(P18&gt;0,Q18&gt;0),"","MISMATCH")),"")</f>
        <v/>
      </c>
      <c r="M18" s="305" t="str">
        <f>IF(OR(Overview!$D$4="Preliminary Documentation Review",Overview!$D$4="Preliminary Precertification Review"),IF(AND(R18=0,S18=0),"",IF(AND(R18&gt;0,S18&gt;0),"","MISMATCH")),"")</f>
        <v/>
      </c>
      <c r="N18" s="305" t="str">
        <f>IF(OR(Overview!$D$4="Preliminary Documentation Review",Overview!$D$4="Preliminary Precertification Review"),IF(AND(T18=0,U18=0),"",IF(AND(T18&gt;0,U18&gt;0),"MISMATCH","")),"")</f>
        <v/>
      </c>
      <c r="O18" s="305" t="str">
        <f>IF(OR(Overview!$D$4="Preliminary Documentation Review",Overview!$D$4="Preliminary Precertification Review"),IF(AND(V18=0,W18=0),"",IF(AND(V18&gt;0,W18&gt;0),"","MISMATCH")),"")</f>
        <v/>
      </c>
      <c r="P18" s="286">
        <f t="shared" si="0"/>
        <v>0</v>
      </c>
      <c r="Q18" s="286">
        <f t="shared" si="5"/>
        <v>0</v>
      </c>
      <c r="R18" s="305">
        <f t="shared" si="1"/>
        <v>0</v>
      </c>
      <c r="S18" s="305">
        <f t="shared" si="6"/>
        <v>0</v>
      </c>
      <c r="T18" s="305">
        <f t="shared" si="2"/>
        <v>0</v>
      </c>
      <c r="U18" s="305">
        <f t="shared" si="3"/>
        <v>0</v>
      </c>
      <c r="V18" s="305">
        <f t="shared" si="7"/>
        <v>0</v>
      </c>
      <c r="W18" s="305">
        <f t="shared" si="4"/>
        <v>0</v>
      </c>
    </row>
    <row r="19" spans="2:23" ht="45.6">
      <c r="B19" s="849"/>
      <c r="C19" s="852"/>
      <c r="D19" s="837"/>
      <c r="E19" s="550" t="s">
        <v>1172</v>
      </c>
      <c r="F19" s="556"/>
      <c r="G19" s="552" t="s">
        <v>1162</v>
      </c>
      <c r="H19" s="553" t="s">
        <v>1458</v>
      </c>
      <c r="I19" s="557" t="s">
        <v>1166</v>
      </c>
      <c r="L19" s="305" t="str">
        <f>IF(OR(Overview!$D$4="Preliminary Documentation Review",Overview!$D$4="Preliminary Precertification Review"),IF(AND(P19=0,Q19=0),"",IF(AND(P19&gt;0,Q19&gt;0),"","MISMATCH")),"")</f>
        <v/>
      </c>
      <c r="M19" s="305" t="str">
        <f>IF(OR(Overview!$D$4="Preliminary Documentation Review",Overview!$D$4="Preliminary Precertification Review"),IF(AND(R19=0,S19=0),"",IF(AND(R19&gt;0,S19&gt;0),"","MISMATCH")),"")</f>
        <v/>
      </c>
      <c r="N19" s="305" t="str">
        <f>IF(OR(Overview!$D$4="Preliminary Documentation Review",Overview!$D$4="Preliminary Precertification Review"),IF(AND(T19=0,U19=0),"",IF(AND(T19&gt;0,U19&gt;0),"MISMATCH","")),"")</f>
        <v/>
      </c>
      <c r="O19" s="305" t="str">
        <f>IF(OR(Overview!$D$4="Preliminary Documentation Review",Overview!$D$4="Preliminary Precertification Review"),IF(AND(V19=0,W19=0),"",IF(AND(V19&gt;0,W19&gt;0),"","MISMATCH")),"")</f>
        <v/>
      </c>
      <c r="P19" s="286">
        <f t="shared" si="0"/>
        <v>0</v>
      </c>
      <c r="Q19" s="286">
        <f t="shared" si="5"/>
        <v>0</v>
      </c>
      <c r="R19" s="305">
        <f t="shared" si="1"/>
        <v>0</v>
      </c>
      <c r="S19" s="305">
        <f t="shared" si="6"/>
        <v>0</v>
      </c>
      <c r="T19" s="305">
        <f t="shared" si="2"/>
        <v>0</v>
      </c>
      <c r="U19" s="305">
        <f t="shared" si="3"/>
        <v>0</v>
      </c>
      <c r="V19" s="305">
        <f t="shared" si="7"/>
        <v>0</v>
      </c>
      <c r="W19" s="305">
        <f t="shared" si="4"/>
        <v>0</v>
      </c>
    </row>
    <row r="20" spans="2:23" ht="45.6">
      <c r="B20" s="849"/>
      <c r="C20" s="548" t="s">
        <v>752</v>
      </c>
      <c r="D20" s="550" t="s">
        <v>765</v>
      </c>
      <c r="E20" s="550" t="s">
        <v>1173</v>
      </c>
      <c r="F20" s="558"/>
      <c r="G20" s="552" t="s">
        <v>1162</v>
      </c>
      <c r="H20" s="553" t="s">
        <v>1458</v>
      </c>
      <c r="I20" s="557" t="s">
        <v>1166</v>
      </c>
      <c r="L20" s="305" t="str">
        <f>IF(OR(Overview!$D$4="Preliminary Documentation Review",Overview!$D$4="Preliminary Precertification Review"),IF(AND(P20=0,Q20=0),"",IF(AND(P20&gt;0,Q20&gt;0),"","MISMATCH")),"")</f>
        <v/>
      </c>
      <c r="M20" s="305" t="str">
        <f>IF(OR(Overview!$D$4="Preliminary Documentation Review",Overview!$D$4="Preliminary Precertification Review"),IF(AND(R20=0,S20=0),"",IF(AND(R20&gt;0,S20&gt;0),"","MISMATCH")),"")</f>
        <v/>
      </c>
      <c r="N20" s="305" t="str">
        <f>IF(OR(Overview!$D$4="Preliminary Documentation Review",Overview!$D$4="Preliminary Precertification Review"),IF(AND(T20=0,U20=0),"",IF(AND(T20&gt;0,U20&gt;0),"MISMATCH","")),"")</f>
        <v/>
      </c>
      <c r="O20" s="305" t="str">
        <f>IF(OR(Overview!$D$4="Preliminary Documentation Review",Overview!$D$4="Preliminary Precertification Review"),IF(AND(V20=0,W20=0),"",IF(AND(V20&gt;0,W20&gt;0),"","MISMATCH")),"")</f>
        <v/>
      </c>
      <c r="P20" s="286">
        <f t="shared" si="0"/>
        <v>0</v>
      </c>
      <c r="Q20" s="286">
        <f t="shared" si="5"/>
        <v>0</v>
      </c>
      <c r="R20" s="305">
        <f t="shared" si="1"/>
        <v>0</v>
      </c>
      <c r="S20" s="305">
        <f t="shared" si="6"/>
        <v>0</v>
      </c>
      <c r="T20" s="305">
        <f t="shared" si="2"/>
        <v>0</v>
      </c>
      <c r="U20" s="305">
        <f t="shared" si="3"/>
        <v>0</v>
      </c>
      <c r="V20" s="305">
        <f t="shared" si="7"/>
        <v>0</v>
      </c>
      <c r="W20" s="305">
        <f t="shared" si="4"/>
        <v>0</v>
      </c>
    </row>
    <row r="21" spans="2:23" ht="316.8">
      <c r="B21" s="849"/>
      <c r="C21" s="838" t="s">
        <v>767</v>
      </c>
      <c r="D21" s="837" t="s">
        <v>768</v>
      </c>
      <c r="E21" s="550" t="s">
        <v>1174</v>
      </c>
      <c r="F21" s="559">
        <v>2</v>
      </c>
      <c r="G21" s="552" t="s">
        <v>309</v>
      </c>
      <c r="H21" s="553" t="s">
        <v>1458</v>
      </c>
      <c r="I21" s="554" t="s">
        <v>1524</v>
      </c>
      <c r="L21" s="305" t="str">
        <f>IF(OR(Overview!$D$4="Preliminary Documentation Review",Overview!$D$4="Preliminary Precertification Review"),IF(AND(P21=0,Q21=0),"",IF(AND(P21&gt;0,Q21&gt;0),"","MISMATCH")),"")</f>
        <v/>
      </c>
      <c r="M21" s="305" t="str">
        <f>IF(OR(Overview!$D$4="Preliminary Documentation Review",Overview!$D$4="Preliminary Precertification Review"),IF(AND(R21=0,S21=0),"",IF(AND(R21&gt;0,S21&gt;0),"","MISMATCH")),"")</f>
        <v/>
      </c>
      <c r="N21" s="305" t="str">
        <f>IF(OR(Overview!$D$4="Preliminary Documentation Review",Overview!$D$4="Preliminary Precertification Review"),IF(AND(T21=0,U21=0),"",IF(AND(T21&gt;0,U21&gt;0),"MISMATCH","")),"")</f>
        <v/>
      </c>
      <c r="O21" s="305" t="str">
        <f>IF(OR(Overview!$D$4="Preliminary Documentation Review",Overview!$D$4="Preliminary Precertification Review"),IF(AND(V21=0,W21=0),"",IF(AND(V21&gt;0,W21&gt;0),"","MISMATCH")),"")</f>
        <v/>
      </c>
      <c r="P21" s="286">
        <f t="shared" si="0"/>
        <v>381</v>
      </c>
      <c r="Q21" s="286">
        <f t="shared" si="5"/>
        <v>0</v>
      </c>
      <c r="R21" s="305">
        <f t="shared" si="1"/>
        <v>912</v>
      </c>
      <c r="S21" s="305">
        <f t="shared" si="6"/>
        <v>0</v>
      </c>
      <c r="T21" s="305">
        <f t="shared" si="2"/>
        <v>869</v>
      </c>
      <c r="U21" s="305">
        <f t="shared" si="3"/>
        <v>0</v>
      </c>
      <c r="V21" s="305">
        <f t="shared" si="7"/>
        <v>0</v>
      </c>
      <c r="W21" s="305">
        <f t="shared" si="4"/>
        <v>0</v>
      </c>
    </row>
    <row r="22" spans="2:23" ht="60.6">
      <c r="B22" s="849"/>
      <c r="C22" s="838"/>
      <c r="D22" s="837"/>
      <c r="E22" s="844" t="s">
        <v>1175</v>
      </c>
      <c r="F22" s="848">
        <v>1</v>
      </c>
      <c r="G22" s="841" t="s">
        <v>309</v>
      </c>
      <c r="H22" s="846" t="s">
        <v>1458</v>
      </c>
      <c r="I22" s="757" t="s">
        <v>1525</v>
      </c>
      <c r="L22" s="305" t="str">
        <f>IF(OR(Overview!$D$4="Preliminary Documentation Review",Overview!$D$4="Preliminary Precertification Review"),IF(AND(P22=0,Q22=0),"",IF(AND(P22&gt;0,Q22&gt;0),"","MISMATCH")),"")</f>
        <v/>
      </c>
      <c r="M22" s="305" t="str">
        <f>IF(OR(Overview!$D$4="Preliminary Documentation Review",Overview!$D$4="Preliminary Precertification Review"),IF(AND(R22=0,S22=0),"",IF(AND(R22&gt;0,S22&gt;0),"","MISMATCH")),"")</f>
        <v/>
      </c>
      <c r="N22" s="305" t="str">
        <f>IF(OR(Overview!$D$4="Preliminary Documentation Review",Overview!$D$4="Preliminary Precertification Review"),IF(AND(T22=0,U22=0),"",IF(AND(T22&gt;0,U22&gt;0),"MISMATCH","")),"")</f>
        <v/>
      </c>
      <c r="O22" s="305" t="str">
        <f>IF(OR(Overview!$D$4="Preliminary Documentation Review",Overview!$D$4="Preliminary Precertification Review"),IF(AND(V22=0,W22=0),"",IF(AND(V22&gt;0,W22&gt;0),"","MISMATCH")),"")</f>
        <v/>
      </c>
      <c r="P22" s="286">
        <f t="shared" si="0"/>
        <v>0</v>
      </c>
      <c r="Q22" s="286">
        <f t="shared" si="5"/>
        <v>0</v>
      </c>
      <c r="R22" s="305">
        <f t="shared" si="1"/>
        <v>0</v>
      </c>
      <c r="S22" s="305">
        <f t="shared" si="6"/>
        <v>0</v>
      </c>
      <c r="T22" s="305">
        <f t="shared" si="2"/>
        <v>0</v>
      </c>
      <c r="U22" s="305">
        <f t="shared" si="3"/>
        <v>0</v>
      </c>
      <c r="V22" s="305">
        <f t="shared" si="7"/>
        <v>0</v>
      </c>
      <c r="W22" s="305">
        <f t="shared" si="4"/>
        <v>0</v>
      </c>
    </row>
    <row r="23" spans="2:23" ht="286.8">
      <c r="B23" s="849"/>
      <c r="C23" s="838"/>
      <c r="D23" s="837"/>
      <c r="E23" s="845"/>
      <c r="F23" s="848"/>
      <c r="G23" s="842"/>
      <c r="H23" s="847"/>
      <c r="I23" s="758" t="s">
        <v>1457</v>
      </c>
      <c r="N23" s="305"/>
      <c r="O23" s="305"/>
      <c r="R23" s="305"/>
      <c r="S23" s="305"/>
      <c r="T23" s="305"/>
      <c r="U23" s="305"/>
      <c r="V23" s="305"/>
      <c r="W23" s="305"/>
    </row>
    <row r="24" spans="2:23" ht="45.6">
      <c r="B24" s="849"/>
      <c r="C24" s="838"/>
      <c r="D24" s="837"/>
      <c r="E24" s="550" t="s">
        <v>1178</v>
      </c>
      <c r="F24" s="562"/>
      <c r="G24" s="552" t="s">
        <v>25</v>
      </c>
      <c r="H24" s="561" t="s">
        <v>1176</v>
      </c>
      <c r="I24" s="554" t="s">
        <v>1177</v>
      </c>
      <c r="L24" s="305" t="str">
        <f>IF(OR(Overview!$D$4="Preliminary Documentation Review",Overview!$D$4="Preliminary Precertification Review"),IF(AND(P24=0,Q24=0),"",IF(AND(P24&gt;0,Q24&gt;0),"","MISMATCH")),"")</f>
        <v/>
      </c>
      <c r="M24" s="305" t="str">
        <f>IF(OR(Overview!$D$4="Preliminary Documentation Review",Overview!$D$4="Preliminary Precertification Review"),IF(AND(R24=0,S24=0),"",IF(AND(R24&gt;0,S24&gt;0),"","MISMATCH")),"")</f>
        <v/>
      </c>
      <c r="N24" s="305" t="str">
        <f>IF(OR(Overview!$D$4="Preliminary Documentation Review",Overview!$D$4="Preliminary Precertification Review"),IF(AND(T24=0,U24=0),"",IF(AND(T24&gt;0,U24&gt;0),"MISMATCH","")),"")</f>
        <v/>
      </c>
      <c r="O24" s="305" t="str">
        <f>IF(OR(Overview!$D$4="Preliminary Documentation Review",Overview!$D$4="Preliminary Precertification Review"),IF(AND(V24=0,W24=0),"",IF(AND(V24&gt;0,W24&gt;0),"","MISMATCH")),"")</f>
        <v/>
      </c>
      <c r="P24" s="286">
        <f t="shared" si="0"/>
        <v>0</v>
      </c>
      <c r="Q24" s="286">
        <f t="shared" si="5"/>
        <v>0</v>
      </c>
      <c r="R24" s="305">
        <f t="shared" si="1"/>
        <v>0</v>
      </c>
      <c r="S24" s="305">
        <f t="shared" si="6"/>
        <v>0</v>
      </c>
      <c r="T24" s="305">
        <f t="shared" si="2"/>
        <v>35</v>
      </c>
      <c r="U24" s="305">
        <f t="shared" si="3"/>
        <v>0</v>
      </c>
      <c r="V24" s="305">
        <f t="shared" si="7"/>
        <v>35</v>
      </c>
      <c r="W24" s="305">
        <f>IFERROR(SEARCH("Not Attempted",$H24),0)</f>
        <v>1</v>
      </c>
    </row>
    <row r="25" spans="2:23" ht="45.6">
      <c r="B25" s="849"/>
      <c r="C25" s="851" t="s">
        <v>767</v>
      </c>
      <c r="D25" s="837" t="s">
        <v>772</v>
      </c>
      <c r="E25" s="550" t="s">
        <v>1179</v>
      </c>
      <c r="F25" s="559">
        <v>1</v>
      </c>
      <c r="G25" s="552" t="s">
        <v>309</v>
      </c>
      <c r="H25" s="553" t="s">
        <v>1458</v>
      </c>
      <c r="I25" s="557" t="s">
        <v>1166</v>
      </c>
      <c r="K25" s="563"/>
      <c r="L25" s="305" t="str">
        <f>IF(OR(Overview!$D$4="Preliminary Documentation Review",Overview!$D$4="Preliminary Precertification Review"),IF(AND(P25=0,Q25=0),"",IF(AND(P25&gt;0,Q25&gt;0),"","MISMATCH")),"")</f>
        <v/>
      </c>
      <c r="M25" s="305" t="str">
        <f>IF(OR(Overview!$D$4="Preliminary Documentation Review",Overview!$D$4="Preliminary Precertification Review"),IF(AND(R25=0,S25=0),"",IF(AND(R25&gt;0,S25&gt;0),"","MISMATCH")),"")</f>
        <v/>
      </c>
      <c r="N25" s="305" t="str">
        <f>IF(OR(Overview!$D$4="Preliminary Documentation Review",Overview!$D$4="Preliminary Precertification Review"),IF(AND(T25=0,U25=0),"",IF(AND(T25&gt;0,U25&gt;0),"MISMATCH","")),"")</f>
        <v/>
      </c>
      <c r="O25" s="305" t="str">
        <f>IF(OR(Overview!$D$4="Preliminary Documentation Review",Overview!$D$4="Preliminary Precertification Review"),IF(AND(V25=0,W25=0),"",IF(AND(V25&gt;0,W25&gt;0),"","MISMATCH")),"")</f>
        <v/>
      </c>
      <c r="P25" s="286">
        <f t="shared" si="0"/>
        <v>0</v>
      </c>
      <c r="Q25" s="286">
        <f t="shared" si="5"/>
        <v>0</v>
      </c>
      <c r="R25" s="305">
        <f t="shared" si="1"/>
        <v>0</v>
      </c>
      <c r="S25" s="305">
        <f t="shared" si="6"/>
        <v>0</v>
      </c>
      <c r="T25" s="305">
        <f>IFERROR(SEARCH("This Part has no",$I25),0)</f>
        <v>0</v>
      </c>
      <c r="U25" s="305">
        <f>IFERROR(SEARCH("Anticipated",$H25),0)</f>
        <v>0</v>
      </c>
      <c r="V25" s="305">
        <f t="shared" si="7"/>
        <v>0</v>
      </c>
      <c r="W25" s="305">
        <f t="shared" ref="W25:W88" si="8">IFERROR(SEARCH("Not Attempted",$H25),0)</f>
        <v>0</v>
      </c>
    </row>
    <row r="26" spans="2:23" ht="45.6">
      <c r="B26" s="849"/>
      <c r="C26" s="853"/>
      <c r="D26" s="837"/>
      <c r="E26" s="550" t="s">
        <v>1180</v>
      </c>
      <c r="F26" s="560"/>
      <c r="G26" s="552" t="s">
        <v>25</v>
      </c>
      <c r="H26" s="553" t="s">
        <v>1176</v>
      </c>
      <c r="I26" s="554" t="s">
        <v>1177</v>
      </c>
      <c r="K26" s="286"/>
      <c r="L26" s="305" t="str">
        <f>IF(OR(Overview!$D$4="Preliminary Documentation Review",Overview!$D$4="Preliminary Precertification Review"),IF(AND(P26=0,Q26=0),"",IF(AND(P26&gt;0,Q26&gt;0),"","MISMATCH")),"")</f>
        <v/>
      </c>
      <c r="M26" s="305" t="str">
        <f>IF(OR(Overview!$D$4="Preliminary Documentation Review",Overview!$D$4="Preliminary Precertification Review"),IF(AND(R26=0,S26=0),"",IF(AND(R26&gt;0,S26&gt;0),"","MISMATCH")),"")</f>
        <v/>
      </c>
      <c r="N26" s="305" t="str">
        <f>IF(OR(Overview!$D$4="Preliminary Documentation Review",Overview!$D$4="Preliminary Precertification Review"),IF(AND(T26=0,U26=0),"",IF(AND(T26&gt;0,U26&gt;0),"MISMATCH","")),"")</f>
        <v/>
      </c>
      <c r="O26" s="305" t="str">
        <f>IF(OR(Overview!$D$4="Preliminary Documentation Review",Overview!$D$4="Preliminary Precertification Review"),IF(AND(V26=0,W26=0),"",IF(AND(V26&gt;0,W26&gt;0),"","MISMATCH")),"")</f>
        <v/>
      </c>
      <c r="P26" s="286">
        <f t="shared" si="0"/>
        <v>0</v>
      </c>
      <c r="Q26" s="286">
        <f t="shared" si="5"/>
        <v>0</v>
      </c>
      <c r="R26" s="305">
        <f t="shared" si="1"/>
        <v>0</v>
      </c>
      <c r="S26" s="305">
        <f t="shared" si="6"/>
        <v>0</v>
      </c>
      <c r="T26" s="305">
        <f t="shared" ref="T26:T89" si="9">IFERROR(SEARCH("This Part has no",$I26),0)</f>
        <v>35</v>
      </c>
      <c r="U26" s="305">
        <f t="shared" ref="U26:U89" si="10">IFERROR(SEARCH("Anticipated",$H26),0)</f>
        <v>0</v>
      </c>
      <c r="V26" s="305">
        <f t="shared" si="7"/>
        <v>35</v>
      </c>
      <c r="W26" s="305">
        <f t="shared" si="8"/>
        <v>1</v>
      </c>
    </row>
    <row r="27" spans="2:23" ht="45.6">
      <c r="B27" s="849"/>
      <c r="C27" s="853"/>
      <c r="D27" s="837"/>
      <c r="E27" s="550" t="s">
        <v>1181</v>
      </c>
      <c r="F27" s="560"/>
      <c r="G27" s="552" t="s">
        <v>25</v>
      </c>
      <c r="H27" s="553" t="s">
        <v>1176</v>
      </c>
      <c r="I27" s="554" t="s">
        <v>1177</v>
      </c>
      <c r="L27" s="305" t="str">
        <f>IF(OR(Overview!$D$4="Preliminary Documentation Review",Overview!$D$4="Preliminary Precertification Review"),IF(AND(P27=0,Q27=0),"",IF(AND(P27&gt;0,Q27&gt;0),"","MISMATCH")),"")</f>
        <v/>
      </c>
      <c r="M27" s="305" t="str">
        <f>IF(OR(Overview!$D$4="Preliminary Documentation Review",Overview!$D$4="Preliminary Precertification Review"),IF(AND(R27=0,S27=0),"",IF(AND(R27&gt;0,S27&gt;0),"","MISMATCH")),"")</f>
        <v/>
      </c>
      <c r="N27" s="305" t="str">
        <f>IF(OR(Overview!$D$4="Preliminary Documentation Review",Overview!$D$4="Preliminary Precertification Review"),IF(AND(T27=0,U27=0),"",IF(AND(T27&gt;0,U27&gt;0),"MISMATCH","")),"")</f>
        <v/>
      </c>
      <c r="O27" s="305" t="str">
        <f>IF(OR(Overview!$D$4="Preliminary Documentation Review",Overview!$D$4="Preliminary Precertification Review"),IF(AND(V27=0,W27=0),"",IF(AND(V27&gt;0,W27&gt;0),"","MISMATCH")),"")</f>
        <v/>
      </c>
      <c r="P27" s="286">
        <f t="shared" si="0"/>
        <v>0</v>
      </c>
      <c r="Q27" s="286">
        <f t="shared" si="5"/>
        <v>0</v>
      </c>
      <c r="R27" s="305">
        <f t="shared" si="1"/>
        <v>0</v>
      </c>
      <c r="S27" s="305">
        <f t="shared" si="6"/>
        <v>0</v>
      </c>
      <c r="T27" s="305">
        <f t="shared" si="9"/>
        <v>35</v>
      </c>
      <c r="U27" s="305">
        <f t="shared" si="10"/>
        <v>0</v>
      </c>
      <c r="V27" s="305">
        <f t="shared" si="7"/>
        <v>35</v>
      </c>
      <c r="W27" s="305">
        <f t="shared" si="8"/>
        <v>1</v>
      </c>
    </row>
    <row r="28" spans="2:23" ht="45.6">
      <c r="B28" s="849"/>
      <c r="C28" s="852"/>
      <c r="D28" s="837"/>
      <c r="E28" s="550" t="s">
        <v>1182</v>
      </c>
      <c r="F28" s="562"/>
      <c r="G28" s="552" t="s">
        <v>25</v>
      </c>
      <c r="H28" s="553" t="s">
        <v>1176</v>
      </c>
      <c r="I28" s="554" t="s">
        <v>1177</v>
      </c>
      <c r="L28" s="305" t="str">
        <f>IF(OR(Overview!$D$4="Preliminary Documentation Review",Overview!$D$4="Preliminary Precertification Review"),IF(AND(P28=0,Q28=0),"",IF(AND(P28&gt;0,Q28&gt;0),"","MISMATCH")),"")</f>
        <v/>
      </c>
      <c r="M28" s="305" t="str">
        <f>IF(OR(Overview!$D$4="Preliminary Documentation Review",Overview!$D$4="Preliminary Precertification Review"),IF(AND(R28=0,S28=0),"",IF(AND(R28&gt;0,S28&gt;0),"","MISMATCH")),"")</f>
        <v/>
      </c>
      <c r="N28" s="305" t="str">
        <f>IF(OR(Overview!$D$4="Preliminary Documentation Review",Overview!$D$4="Preliminary Precertification Review"),IF(AND(T28=0,U28=0),"",IF(AND(T28&gt;0,U28&gt;0),"MISMATCH","")),"")</f>
        <v/>
      </c>
      <c r="O28" s="305" t="str">
        <f>IF(OR(Overview!$D$4="Preliminary Documentation Review",Overview!$D$4="Preliminary Precertification Review"),IF(AND(V28=0,W28=0),"",IF(AND(V28&gt;0,W28&gt;0),"","MISMATCH")),"")</f>
        <v/>
      </c>
      <c r="P28" s="286">
        <f t="shared" si="0"/>
        <v>0</v>
      </c>
      <c r="Q28" s="286">
        <f t="shared" si="5"/>
        <v>0</v>
      </c>
      <c r="R28" s="305">
        <f t="shared" si="1"/>
        <v>0</v>
      </c>
      <c r="S28" s="305">
        <f t="shared" si="6"/>
        <v>0</v>
      </c>
      <c r="T28" s="305">
        <f t="shared" si="9"/>
        <v>35</v>
      </c>
      <c r="U28" s="305">
        <f t="shared" si="10"/>
        <v>0</v>
      </c>
      <c r="V28" s="305">
        <f t="shared" si="7"/>
        <v>35</v>
      </c>
      <c r="W28" s="305">
        <f t="shared" si="8"/>
        <v>1</v>
      </c>
    </row>
    <row r="29" spans="2:23" ht="45.6">
      <c r="B29" s="849"/>
      <c r="C29" s="838" t="s">
        <v>767</v>
      </c>
      <c r="D29" s="837" t="s">
        <v>777</v>
      </c>
      <c r="E29" s="550" t="s">
        <v>1183</v>
      </c>
      <c r="F29" s="559"/>
      <c r="G29" s="552" t="s">
        <v>25</v>
      </c>
      <c r="H29" s="553" t="s">
        <v>1176</v>
      </c>
      <c r="I29" s="554" t="s">
        <v>1177</v>
      </c>
      <c r="L29" s="305" t="str">
        <f>IF(OR(Overview!$D$4="Preliminary Documentation Review",Overview!$D$4="Preliminary Precertification Review"),IF(AND(P29=0,Q29=0),"",IF(AND(P29&gt;0,Q29&gt;0),"","MISMATCH")),"")</f>
        <v/>
      </c>
      <c r="M29" s="305" t="str">
        <f>IF(OR(Overview!$D$4="Preliminary Documentation Review",Overview!$D$4="Preliminary Precertification Review"),IF(AND(R29=0,S29=0),"",IF(AND(R29&gt;0,S29&gt;0),"","MISMATCH")),"")</f>
        <v/>
      </c>
      <c r="N29" s="305" t="str">
        <f>IF(OR(Overview!$D$4="Preliminary Documentation Review",Overview!$D$4="Preliminary Precertification Review"),IF(AND(T29=0,U29=0),"",IF(AND(T29&gt;0,U29&gt;0),"MISMATCH","")),"")</f>
        <v/>
      </c>
      <c r="O29" s="305" t="str">
        <f>IF(OR(Overview!$D$4="Preliminary Documentation Review",Overview!$D$4="Preliminary Precertification Review"),IF(AND(V29=0,W29=0),"",IF(AND(V29&gt;0,W29&gt;0),"","MISMATCH")),"")</f>
        <v/>
      </c>
      <c r="P29" s="286">
        <f t="shared" si="0"/>
        <v>0</v>
      </c>
      <c r="Q29" s="286">
        <f t="shared" si="5"/>
        <v>0</v>
      </c>
      <c r="R29" s="305">
        <f t="shared" si="1"/>
        <v>0</v>
      </c>
      <c r="S29" s="305">
        <f t="shared" si="6"/>
        <v>0</v>
      </c>
      <c r="T29" s="305">
        <f t="shared" si="9"/>
        <v>35</v>
      </c>
      <c r="U29" s="305">
        <f t="shared" si="10"/>
        <v>0</v>
      </c>
      <c r="V29" s="305">
        <f t="shared" si="7"/>
        <v>35</v>
      </c>
      <c r="W29" s="305">
        <f t="shared" si="8"/>
        <v>1</v>
      </c>
    </row>
    <row r="30" spans="2:23" ht="45.6">
      <c r="B30" s="849"/>
      <c r="C30" s="838"/>
      <c r="D30" s="837"/>
      <c r="E30" s="550" t="s">
        <v>1184</v>
      </c>
      <c r="F30" s="560"/>
      <c r="G30" s="552" t="s">
        <v>25</v>
      </c>
      <c r="H30" s="553" t="s">
        <v>1176</v>
      </c>
      <c r="I30" s="554" t="s">
        <v>1177</v>
      </c>
      <c r="L30" s="305" t="str">
        <f>IF(OR(Overview!$D$4="Preliminary Documentation Review",Overview!$D$4="Preliminary Precertification Review"),IF(AND(P30=0,Q30=0),"",IF(AND(P30&gt;0,Q30&gt;0),"","MISMATCH")),"")</f>
        <v/>
      </c>
      <c r="M30" s="305" t="str">
        <f>IF(OR(Overview!$D$4="Preliminary Documentation Review",Overview!$D$4="Preliminary Precertification Review"),IF(AND(R30=0,S30=0),"",IF(AND(R30&gt;0,S30&gt;0),"","MISMATCH")),"")</f>
        <v/>
      </c>
      <c r="N30" s="305" t="str">
        <f>IF(OR(Overview!$D$4="Preliminary Documentation Review",Overview!$D$4="Preliminary Precertification Review"),IF(AND(T30=0,U30=0),"",IF(AND(T30&gt;0,U30&gt;0),"MISMATCH","")),"")</f>
        <v/>
      </c>
      <c r="O30" s="305" t="str">
        <f>IF(OR(Overview!$D$4="Preliminary Documentation Review",Overview!$D$4="Preliminary Precertification Review"),IF(AND(V30=0,W30=0),"",IF(AND(V30&gt;0,W30&gt;0),"","MISMATCH")),"")</f>
        <v/>
      </c>
      <c r="P30" s="286">
        <f t="shared" si="0"/>
        <v>0</v>
      </c>
      <c r="Q30" s="286">
        <f t="shared" si="5"/>
        <v>0</v>
      </c>
      <c r="R30" s="305">
        <f t="shared" si="1"/>
        <v>0</v>
      </c>
      <c r="S30" s="305">
        <f t="shared" si="6"/>
        <v>0</v>
      </c>
      <c r="T30" s="305">
        <f t="shared" si="9"/>
        <v>35</v>
      </c>
      <c r="U30" s="305">
        <f t="shared" si="10"/>
        <v>0</v>
      </c>
      <c r="V30" s="305">
        <f t="shared" si="7"/>
        <v>35</v>
      </c>
      <c r="W30" s="305">
        <f t="shared" si="8"/>
        <v>1</v>
      </c>
    </row>
    <row r="31" spans="2:23" ht="45.6">
      <c r="B31" s="849"/>
      <c r="C31" s="838"/>
      <c r="D31" s="837"/>
      <c r="E31" s="550" t="s">
        <v>1185</v>
      </c>
      <c r="F31" s="562"/>
      <c r="G31" s="552" t="s">
        <v>25</v>
      </c>
      <c r="H31" s="553" t="s">
        <v>1176</v>
      </c>
      <c r="I31" s="554" t="s">
        <v>1177</v>
      </c>
      <c r="L31" s="305" t="str">
        <f>IF(OR(Overview!$D$4="Preliminary Documentation Review",Overview!$D$4="Preliminary Precertification Review"),IF(AND(P31=0,Q31=0),"",IF(AND(P31&gt;0,Q31&gt;0),"","MISMATCH")),"")</f>
        <v/>
      </c>
      <c r="M31" s="305" t="str">
        <f>IF(OR(Overview!$D$4="Preliminary Documentation Review",Overview!$D$4="Preliminary Precertification Review"),IF(AND(R31=0,S31=0),"",IF(AND(R31&gt;0,S31&gt;0),"","MISMATCH")),"")</f>
        <v/>
      </c>
      <c r="N31" s="305" t="str">
        <f>IF(OR(Overview!$D$4="Preliminary Documentation Review",Overview!$D$4="Preliminary Precertification Review"),IF(AND(T31=0,U31=0),"",IF(AND(T31&gt;0,U31&gt;0),"MISMATCH","")),"")</f>
        <v/>
      </c>
      <c r="O31" s="305" t="str">
        <f>IF(OR(Overview!$D$4="Preliminary Documentation Review",Overview!$D$4="Preliminary Precertification Review"),IF(AND(V31=0,W31=0),"",IF(AND(V31&gt;0,W31&gt;0),"","MISMATCH")),"")</f>
        <v/>
      </c>
      <c r="P31" s="286">
        <f t="shared" si="0"/>
        <v>0</v>
      </c>
      <c r="Q31" s="286">
        <f t="shared" si="5"/>
        <v>0</v>
      </c>
      <c r="R31" s="305">
        <f t="shared" si="1"/>
        <v>0</v>
      </c>
      <c r="S31" s="305">
        <f t="shared" si="6"/>
        <v>0</v>
      </c>
      <c r="T31" s="305">
        <f t="shared" si="9"/>
        <v>35</v>
      </c>
      <c r="U31" s="305">
        <f t="shared" si="10"/>
        <v>0</v>
      </c>
      <c r="V31" s="305">
        <f t="shared" si="7"/>
        <v>35</v>
      </c>
      <c r="W31" s="305">
        <f t="shared" si="8"/>
        <v>1</v>
      </c>
    </row>
    <row r="32" spans="2:23" ht="45.6">
      <c r="B32" s="849"/>
      <c r="C32" s="838" t="s">
        <v>767</v>
      </c>
      <c r="D32" s="837" t="s">
        <v>781</v>
      </c>
      <c r="E32" s="550" t="s">
        <v>1186</v>
      </c>
      <c r="F32" s="559"/>
      <c r="G32" s="552" t="s">
        <v>25</v>
      </c>
      <c r="H32" s="553" t="s">
        <v>1176</v>
      </c>
      <c r="I32" s="554" t="s">
        <v>1177</v>
      </c>
      <c r="L32" s="305" t="str">
        <f>IF(OR(Overview!$D$4="Preliminary Documentation Review",Overview!$D$4="Preliminary Precertification Review"),IF(AND(P32=0,Q32=0),"",IF(AND(P32&gt;0,Q32&gt;0),"","MISMATCH")),"")</f>
        <v/>
      </c>
      <c r="M32" s="305" t="str">
        <f>IF(OR(Overview!$D$4="Preliminary Documentation Review",Overview!$D$4="Preliminary Precertification Review"),IF(AND(R32=0,S32=0),"",IF(AND(R32&gt;0,S32&gt;0),"","MISMATCH")),"")</f>
        <v/>
      </c>
      <c r="N32" s="305" t="str">
        <f>IF(OR(Overview!$D$4="Preliminary Documentation Review",Overview!$D$4="Preliminary Precertification Review"),IF(AND(T32=0,U32=0),"",IF(AND(T32&gt;0,U32&gt;0),"MISMATCH","")),"")</f>
        <v/>
      </c>
      <c r="O32" s="305" t="str">
        <f>IF(OR(Overview!$D$4="Preliminary Documentation Review",Overview!$D$4="Preliminary Precertification Review"),IF(AND(V32=0,W32=0),"",IF(AND(V32&gt;0,W32&gt;0),"","MISMATCH")),"")</f>
        <v/>
      </c>
      <c r="P32" s="286">
        <f t="shared" si="0"/>
        <v>0</v>
      </c>
      <c r="Q32" s="286">
        <f t="shared" si="5"/>
        <v>0</v>
      </c>
      <c r="R32" s="305">
        <f t="shared" si="1"/>
        <v>0</v>
      </c>
      <c r="S32" s="305">
        <f t="shared" si="6"/>
        <v>0</v>
      </c>
      <c r="T32" s="305">
        <f t="shared" si="9"/>
        <v>35</v>
      </c>
      <c r="U32" s="305">
        <f t="shared" si="10"/>
        <v>0</v>
      </c>
      <c r="V32" s="305">
        <f t="shared" si="7"/>
        <v>35</v>
      </c>
      <c r="W32" s="305">
        <f t="shared" si="8"/>
        <v>1</v>
      </c>
    </row>
    <row r="33" spans="2:23" ht="45.6">
      <c r="B33" s="849"/>
      <c r="C33" s="838"/>
      <c r="D33" s="837"/>
      <c r="E33" s="550" t="s">
        <v>1187</v>
      </c>
      <c r="F33" s="562"/>
      <c r="G33" s="552" t="s">
        <v>25</v>
      </c>
      <c r="H33" s="553" t="s">
        <v>1176</v>
      </c>
      <c r="I33" s="554" t="s">
        <v>1177</v>
      </c>
      <c r="L33" s="305" t="str">
        <f>IF(OR(Overview!$D$4="Preliminary Documentation Review",Overview!$D$4="Preliminary Precertification Review"),IF(AND(P33=0,Q33=0),"",IF(AND(P33&gt;0,Q33&gt;0),"","MISMATCH")),"")</f>
        <v/>
      </c>
      <c r="M33" s="305" t="str">
        <f>IF(OR(Overview!$D$4="Preliminary Documentation Review",Overview!$D$4="Preliminary Precertification Review"),IF(AND(R33=0,S33=0),"",IF(AND(R33&gt;0,S33&gt;0),"","MISMATCH")),"")</f>
        <v/>
      </c>
      <c r="N33" s="305" t="str">
        <f>IF(OR(Overview!$D$4="Preliminary Documentation Review",Overview!$D$4="Preliminary Precertification Review"),IF(AND(T33=0,U33=0),"",IF(AND(T33&gt;0,U33&gt;0),"MISMATCH","")),"")</f>
        <v/>
      </c>
      <c r="O33" s="305" t="str">
        <f>IF(OR(Overview!$D$4="Preliminary Documentation Review",Overview!$D$4="Preliminary Precertification Review"),IF(AND(V33=0,W33=0),"",IF(AND(V33&gt;0,W33&gt;0),"","MISMATCH")),"")</f>
        <v/>
      </c>
      <c r="P33" s="286">
        <f t="shared" si="0"/>
        <v>0</v>
      </c>
      <c r="Q33" s="286">
        <f t="shared" si="5"/>
        <v>0</v>
      </c>
      <c r="R33" s="305">
        <f t="shared" si="1"/>
        <v>0</v>
      </c>
      <c r="S33" s="305">
        <f t="shared" si="6"/>
        <v>0</v>
      </c>
      <c r="T33" s="305">
        <f t="shared" si="9"/>
        <v>35</v>
      </c>
      <c r="U33" s="305">
        <f t="shared" si="10"/>
        <v>0</v>
      </c>
      <c r="V33" s="305">
        <f t="shared" si="7"/>
        <v>35</v>
      </c>
      <c r="W33" s="305">
        <f t="shared" si="8"/>
        <v>1</v>
      </c>
    </row>
    <row r="34" spans="2:23" ht="287.39999999999998">
      <c r="B34" s="849"/>
      <c r="C34" s="548" t="s">
        <v>767</v>
      </c>
      <c r="D34" s="550" t="s">
        <v>784</v>
      </c>
      <c r="E34" s="550" t="s">
        <v>1188</v>
      </c>
      <c r="F34" s="564">
        <v>1</v>
      </c>
      <c r="G34" s="552" t="s">
        <v>309</v>
      </c>
      <c r="H34" s="553" t="s">
        <v>1458</v>
      </c>
      <c r="I34" s="565" t="s">
        <v>1460</v>
      </c>
      <c r="L34" s="305" t="str">
        <f>IF(OR(Overview!$D$4="Preliminary Documentation Review",Overview!$D$4="Preliminary Precertification Review"),IF(AND(P34=0,Q34=0),"",IF(AND(P34&gt;0,Q34&gt;0),"","MISMATCH")),"")</f>
        <v/>
      </c>
      <c r="M34" s="305" t="str">
        <f>IF(OR(Overview!$D$4="Preliminary Documentation Review",Overview!$D$4="Preliminary Precertification Review"),IF(AND(R34=0,S34=0),"",IF(AND(R34&gt;0,S34&gt;0),"","MISMATCH")),"")</f>
        <v/>
      </c>
      <c r="N34" s="305" t="str">
        <f>IF(OR(Overview!$D$4="Preliminary Documentation Review",Overview!$D$4="Preliminary Precertification Review"),IF(AND(T34=0,U34=0),"",IF(AND(T34&gt;0,U34&gt;0),"MISMATCH","")),"")</f>
        <v/>
      </c>
      <c r="O34" s="305" t="str">
        <f>IF(OR(Overview!$D$4="Preliminary Documentation Review",Overview!$D$4="Preliminary Precertification Review"),IF(AND(V34=0,W34=0),"",IF(AND(V34&gt;0,W34&gt;0),"","MISMATCH")),"")</f>
        <v/>
      </c>
      <c r="P34" s="286">
        <f t="shared" si="0"/>
        <v>318</v>
      </c>
      <c r="Q34" s="286">
        <f t="shared" si="5"/>
        <v>0</v>
      </c>
      <c r="R34" s="305">
        <f t="shared" si="1"/>
        <v>737</v>
      </c>
      <c r="S34" s="305">
        <f t="shared" si="6"/>
        <v>0</v>
      </c>
      <c r="T34" s="305">
        <f t="shared" si="9"/>
        <v>0</v>
      </c>
      <c r="U34" s="305">
        <f t="shared" si="10"/>
        <v>0</v>
      </c>
      <c r="V34" s="305">
        <f t="shared" si="7"/>
        <v>0</v>
      </c>
      <c r="W34" s="305">
        <f t="shared" si="8"/>
        <v>0</v>
      </c>
    </row>
    <row r="35" spans="2:23" ht="136.19999999999999">
      <c r="B35" s="849"/>
      <c r="C35" s="548" t="s">
        <v>767</v>
      </c>
      <c r="D35" s="550" t="s">
        <v>786</v>
      </c>
      <c r="E35" s="550" t="s">
        <v>1189</v>
      </c>
      <c r="F35" s="564">
        <v>1</v>
      </c>
      <c r="G35" s="552" t="s">
        <v>309</v>
      </c>
      <c r="H35" s="553" t="s">
        <v>1458</v>
      </c>
      <c r="I35" s="565" t="s">
        <v>1461</v>
      </c>
      <c r="L35" s="305" t="str">
        <f>IF(OR(Overview!$D$4="Preliminary Documentation Review",Overview!$D$4="Preliminary Precertification Review"),IF(AND(P35=0,Q35=0),"",IF(AND(P35&gt;0,Q35&gt;0),"","MISMATCH")),"")</f>
        <v/>
      </c>
      <c r="M35" s="305" t="str">
        <f>IF(OR(Overview!$D$4="Preliminary Documentation Review",Overview!$D$4="Preliminary Precertification Review"),IF(AND(R35=0,S35=0),"",IF(AND(R35&gt;0,S35&gt;0),"","MISMATCH")),"")</f>
        <v/>
      </c>
      <c r="N35" s="305" t="str">
        <f>IF(OR(Overview!$D$4="Preliminary Documentation Review",Overview!$D$4="Preliminary Precertification Review"),IF(AND(T35=0,U35=0),"",IF(AND(T35&gt;0,U35&gt;0),"MISMATCH","")),"")</f>
        <v/>
      </c>
      <c r="O35" s="305" t="str">
        <f>IF(OR(Overview!$D$4="Preliminary Documentation Review",Overview!$D$4="Preliminary Precertification Review"),IF(AND(V35=0,W35=0),"",IF(AND(V35&gt;0,W35&gt;0),"","MISMATCH")),"")</f>
        <v/>
      </c>
      <c r="P35" s="286">
        <f t="shared" si="0"/>
        <v>0</v>
      </c>
      <c r="Q35" s="286">
        <f t="shared" si="5"/>
        <v>0</v>
      </c>
      <c r="R35" s="305">
        <f t="shared" si="1"/>
        <v>178</v>
      </c>
      <c r="S35" s="305">
        <f t="shared" si="6"/>
        <v>0</v>
      </c>
      <c r="T35" s="305">
        <f t="shared" si="9"/>
        <v>0</v>
      </c>
      <c r="U35" s="305">
        <f t="shared" si="10"/>
        <v>0</v>
      </c>
      <c r="V35" s="305">
        <f t="shared" si="7"/>
        <v>0</v>
      </c>
      <c r="W35" s="305">
        <f t="shared" si="8"/>
        <v>0</v>
      </c>
    </row>
    <row r="36" spans="2:23" ht="45.6">
      <c r="B36" s="849"/>
      <c r="C36" s="548" t="s">
        <v>767</v>
      </c>
      <c r="D36" s="550" t="s">
        <v>788</v>
      </c>
      <c r="E36" s="550" t="s">
        <v>1190</v>
      </c>
      <c r="F36" s="564">
        <v>1</v>
      </c>
      <c r="G36" s="552" t="s">
        <v>309</v>
      </c>
      <c r="H36" s="553" t="s">
        <v>1458</v>
      </c>
      <c r="I36" s="557" t="s">
        <v>1166</v>
      </c>
      <c r="L36" s="305" t="str">
        <f>IF(OR(Overview!$D$4="Preliminary Documentation Review",Overview!$D$4="Preliminary Precertification Review"),IF(AND(P36=0,Q36=0),"",IF(AND(P36&gt;0,Q36&gt;0),"","MISMATCH")),"")</f>
        <v/>
      </c>
      <c r="M36" s="305" t="str">
        <f>IF(OR(Overview!$D$4="Preliminary Documentation Review",Overview!$D$4="Preliminary Precertification Review"),IF(AND(R36=0,S36=0),"",IF(AND(R36&gt;0,S36&gt;0),"","MISMATCH")),"")</f>
        <v/>
      </c>
      <c r="N36" s="305" t="str">
        <f>IF(OR(Overview!$D$4="Preliminary Documentation Review",Overview!$D$4="Preliminary Precertification Review"),IF(AND(T36=0,U36=0),"",IF(AND(T36&gt;0,U36&gt;0),"MISMATCH","")),"")</f>
        <v/>
      </c>
      <c r="O36" s="305" t="str">
        <f>IF(OR(Overview!$D$4="Preliminary Documentation Review",Overview!$D$4="Preliminary Precertification Review"),IF(AND(V36=0,W36=0),"",IF(AND(V36&gt;0,W36&gt;0),"","MISMATCH")),"")</f>
        <v/>
      </c>
      <c r="P36" s="286">
        <f t="shared" si="0"/>
        <v>0</v>
      </c>
      <c r="Q36" s="286">
        <f t="shared" si="5"/>
        <v>0</v>
      </c>
      <c r="R36" s="305">
        <f t="shared" si="1"/>
        <v>0</v>
      </c>
      <c r="S36" s="305">
        <f t="shared" si="6"/>
        <v>0</v>
      </c>
      <c r="T36" s="305">
        <f t="shared" si="9"/>
        <v>0</v>
      </c>
      <c r="U36" s="305">
        <f t="shared" si="10"/>
        <v>0</v>
      </c>
      <c r="V36" s="305">
        <f t="shared" si="7"/>
        <v>0</v>
      </c>
      <c r="W36" s="305">
        <f t="shared" si="8"/>
        <v>0</v>
      </c>
    </row>
    <row r="37" spans="2:23" ht="181.2">
      <c r="B37" s="849"/>
      <c r="C37" s="548" t="s">
        <v>767</v>
      </c>
      <c r="D37" s="550" t="s">
        <v>790</v>
      </c>
      <c r="E37" s="550" t="s">
        <v>1191</v>
      </c>
      <c r="F37" s="564">
        <v>1</v>
      </c>
      <c r="G37" s="552" t="s">
        <v>309</v>
      </c>
      <c r="H37" s="553" t="s">
        <v>1458</v>
      </c>
      <c r="I37" s="565" t="s">
        <v>1462</v>
      </c>
      <c r="L37" s="305" t="str">
        <f>IF(OR(Overview!$D$4="Preliminary Documentation Review",Overview!$D$4="Preliminary Precertification Review"),IF(AND(P37=0,Q37=0),"",IF(AND(P37&gt;0,Q37&gt;0),"","MISMATCH")),"")</f>
        <v/>
      </c>
      <c r="M37" s="305" t="str">
        <f>IF(OR(Overview!$D$4="Preliminary Documentation Review",Overview!$D$4="Preliminary Precertification Review"),IF(AND(R37=0,S37=0),"",IF(AND(R37&gt;0,S37&gt;0),"","MISMATCH")),"")</f>
        <v/>
      </c>
      <c r="N37" s="305" t="str">
        <f>IF(OR(Overview!$D$4="Preliminary Documentation Review",Overview!$D$4="Preliminary Precertification Review"),IF(AND(T37=0,U37=0),"",IF(AND(T37&gt;0,U37&gt;0),"MISMATCH","")),"")</f>
        <v/>
      </c>
      <c r="O37" s="305" t="str">
        <f>IF(OR(Overview!$D$4="Preliminary Documentation Review",Overview!$D$4="Preliminary Precertification Review"),IF(AND(V37=0,W37=0),"",IF(AND(V37&gt;0,W37&gt;0),"","MISMATCH")),"")</f>
        <v/>
      </c>
      <c r="P37" s="286">
        <f t="shared" si="0"/>
        <v>0</v>
      </c>
      <c r="Q37" s="286">
        <f t="shared" si="5"/>
        <v>0</v>
      </c>
      <c r="R37" s="305">
        <f t="shared" si="1"/>
        <v>178</v>
      </c>
      <c r="S37" s="305">
        <f t="shared" si="6"/>
        <v>0</v>
      </c>
      <c r="T37" s="305">
        <f t="shared" si="9"/>
        <v>0</v>
      </c>
      <c r="U37" s="305">
        <f t="shared" si="10"/>
        <v>0</v>
      </c>
      <c r="V37" s="305">
        <f t="shared" si="7"/>
        <v>0</v>
      </c>
      <c r="W37" s="305">
        <f t="shared" si="8"/>
        <v>0</v>
      </c>
    </row>
    <row r="38" spans="2:23" ht="45.6">
      <c r="B38" s="849"/>
      <c r="C38" s="548" t="s">
        <v>767</v>
      </c>
      <c r="D38" s="550" t="s">
        <v>792</v>
      </c>
      <c r="E38" s="550" t="s">
        <v>1192</v>
      </c>
      <c r="F38" s="564"/>
      <c r="G38" s="552" t="s">
        <v>25</v>
      </c>
      <c r="H38" s="553" t="s">
        <v>1176</v>
      </c>
      <c r="I38" s="554" t="s">
        <v>1177</v>
      </c>
      <c r="L38" s="305" t="str">
        <f>IF(OR(Overview!$D$4="Preliminary Documentation Review",Overview!$D$4="Preliminary Precertification Review"),IF(AND(P38=0,Q38=0),"",IF(AND(P38&gt;0,Q38&gt;0),"","MISMATCH")),"")</f>
        <v/>
      </c>
      <c r="M38" s="305" t="str">
        <f>IF(OR(Overview!$D$4="Preliminary Documentation Review",Overview!$D$4="Preliminary Precertification Review"),IF(AND(R38=0,S38=0),"",IF(AND(R38&gt;0,S38&gt;0),"","MISMATCH")),"")</f>
        <v/>
      </c>
      <c r="N38" s="305" t="str">
        <f>IF(OR(Overview!$D$4="Preliminary Documentation Review",Overview!$D$4="Preliminary Precertification Review"),IF(AND(T38=0,U38=0),"",IF(AND(T38&gt;0,U38&gt;0),"MISMATCH","")),"")</f>
        <v/>
      </c>
      <c r="O38" s="305" t="str">
        <f>IF(OR(Overview!$D$4="Preliminary Documentation Review",Overview!$D$4="Preliminary Precertification Review"),IF(AND(V38=0,W38=0),"",IF(AND(V38&gt;0,W38&gt;0),"","MISMATCH")),"")</f>
        <v/>
      </c>
      <c r="P38" s="286">
        <f t="shared" si="0"/>
        <v>0</v>
      </c>
      <c r="Q38" s="286">
        <f t="shared" si="5"/>
        <v>0</v>
      </c>
      <c r="R38" s="305">
        <f t="shared" si="1"/>
        <v>0</v>
      </c>
      <c r="S38" s="305">
        <f t="shared" si="6"/>
        <v>0</v>
      </c>
      <c r="T38" s="305">
        <f t="shared" si="9"/>
        <v>35</v>
      </c>
      <c r="U38" s="305">
        <f t="shared" si="10"/>
        <v>0</v>
      </c>
      <c r="V38" s="305">
        <f t="shared" si="7"/>
        <v>35</v>
      </c>
      <c r="W38" s="305">
        <f t="shared" si="8"/>
        <v>1</v>
      </c>
    </row>
    <row r="39" spans="2:23" ht="45.6">
      <c r="B39" s="849"/>
      <c r="C39" s="838" t="s">
        <v>767</v>
      </c>
      <c r="D39" s="837" t="s">
        <v>794</v>
      </c>
      <c r="E39" s="550" t="s">
        <v>1193</v>
      </c>
      <c r="F39" s="566"/>
      <c r="G39" s="552" t="s">
        <v>25</v>
      </c>
      <c r="H39" s="553" t="s">
        <v>1176</v>
      </c>
      <c r="I39" s="554" t="s">
        <v>1177</v>
      </c>
      <c r="L39" s="305" t="str">
        <f>IF(OR(Overview!$D$4="Preliminary Documentation Review",Overview!$D$4="Preliminary Precertification Review"),IF(AND(P39=0,Q39=0),"",IF(AND(P39&gt;0,Q39&gt;0),"","MISMATCH")),"")</f>
        <v/>
      </c>
      <c r="M39" s="305" t="str">
        <f>IF(OR(Overview!$D$4="Preliminary Documentation Review",Overview!$D$4="Preliminary Precertification Review"),IF(AND(R39=0,S39=0),"",IF(AND(R39&gt;0,S39&gt;0),"","MISMATCH")),"")</f>
        <v/>
      </c>
      <c r="N39" s="305" t="str">
        <f>IF(OR(Overview!$D$4="Preliminary Documentation Review",Overview!$D$4="Preliminary Precertification Review"),IF(AND(T39=0,U39=0),"",IF(AND(T39&gt;0,U39&gt;0),"MISMATCH","")),"")</f>
        <v/>
      </c>
      <c r="O39" s="305" t="str">
        <f>IF(OR(Overview!$D$4="Preliminary Documentation Review",Overview!$D$4="Preliminary Precertification Review"),IF(AND(V39=0,W39=0),"",IF(AND(V39&gt;0,W39&gt;0),"","MISMATCH")),"")</f>
        <v/>
      </c>
      <c r="P39" s="286">
        <f t="shared" si="0"/>
        <v>0</v>
      </c>
      <c r="Q39" s="286">
        <f t="shared" si="5"/>
        <v>0</v>
      </c>
      <c r="R39" s="305">
        <f t="shared" si="1"/>
        <v>0</v>
      </c>
      <c r="S39" s="305">
        <f t="shared" si="6"/>
        <v>0</v>
      </c>
      <c r="T39" s="305">
        <f t="shared" si="9"/>
        <v>35</v>
      </c>
      <c r="U39" s="305">
        <f t="shared" si="10"/>
        <v>0</v>
      </c>
      <c r="V39" s="305">
        <f t="shared" si="7"/>
        <v>35</v>
      </c>
      <c r="W39" s="305">
        <f t="shared" si="8"/>
        <v>1</v>
      </c>
    </row>
    <row r="40" spans="2:23" ht="105.6">
      <c r="B40" s="849"/>
      <c r="C40" s="838"/>
      <c r="D40" s="837"/>
      <c r="E40" s="550" t="s">
        <v>1194</v>
      </c>
      <c r="F40" s="566">
        <v>1</v>
      </c>
      <c r="G40" s="552" t="s">
        <v>309</v>
      </c>
      <c r="H40" s="553" t="s">
        <v>1458</v>
      </c>
      <c r="I40" s="557" t="s">
        <v>1195</v>
      </c>
      <c r="L40" s="305" t="str">
        <f>IF(OR(Overview!$D$4="Preliminary Documentation Review",Overview!$D$4="Preliminary Precertification Review"),IF(AND(P40=0,Q40=0),"",IF(AND(P40&gt;0,Q40&gt;0),"","MISMATCH")),"")</f>
        <v/>
      </c>
      <c r="M40" s="305" t="str">
        <f>IF(OR(Overview!$D$4="Preliminary Documentation Review",Overview!$D$4="Preliminary Precertification Review"),IF(AND(R40=0,S40=0),"",IF(AND(R40&gt;0,S40&gt;0),"","MISMATCH")),"")</f>
        <v/>
      </c>
      <c r="N40" s="305" t="str">
        <f>IF(OR(Overview!$D$4="Preliminary Documentation Review",Overview!$D$4="Preliminary Precertification Review"),IF(AND(T40=0,U40=0),"",IF(AND(T40&gt;0,U40&gt;0),"MISMATCH","")),"")</f>
        <v/>
      </c>
      <c r="O40" s="305" t="str">
        <f>IF(OR(Overview!$D$4="Preliminary Documentation Review",Overview!$D$4="Preliminary Precertification Review"),IF(AND(V40=0,W40=0),"",IF(AND(V40&gt;0,W40&gt;0),"","MISMATCH")),"")</f>
        <v/>
      </c>
      <c r="P40" s="286">
        <f t="shared" si="0"/>
        <v>0</v>
      </c>
      <c r="Q40" s="286">
        <f t="shared" si="5"/>
        <v>0</v>
      </c>
      <c r="R40" s="305">
        <f t="shared" si="1"/>
        <v>0</v>
      </c>
      <c r="S40" s="305">
        <f t="shared" si="6"/>
        <v>0</v>
      </c>
      <c r="T40" s="305">
        <f t="shared" si="9"/>
        <v>0</v>
      </c>
      <c r="U40" s="305">
        <f t="shared" si="10"/>
        <v>0</v>
      </c>
      <c r="V40" s="305">
        <f t="shared" si="7"/>
        <v>0</v>
      </c>
      <c r="W40" s="305">
        <f t="shared" si="8"/>
        <v>0</v>
      </c>
    </row>
    <row r="41" spans="2:23">
      <c r="B41" s="545"/>
      <c r="C41" s="567"/>
      <c r="D41" s="568"/>
      <c r="E41" s="569"/>
      <c r="F41" s="570"/>
      <c r="G41" s="570"/>
      <c r="H41" s="571"/>
      <c r="I41" s="572"/>
      <c r="L41" s="305" t="str">
        <f>IF(OR(Overview!$D$4="Preliminary Documentation Review",Overview!$D$4="Preliminary Precertification Review"),IF(AND(P41=0,Q41=0),"",IF(AND(P41&gt;0,Q41&gt;0),"","MISMATCH")),"")</f>
        <v/>
      </c>
      <c r="M41" s="305" t="str">
        <f>IF(OR(Overview!$D$4="Preliminary Documentation Review",Overview!$D$4="Preliminary Precertification Review"),IF(AND(R41=0,S41=0),"",IF(AND(R41&gt;0,S41&gt;0),"","MISMATCH")),"")</f>
        <v/>
      </c>
      <c r="N41" s="305" t="str">
        <f>IF(OR(Overview!$D$4="Preliminary Documentation Review",Overview!$D$4="Preliminary Precertification Review"),IF(AND(T41=0,U41=0),"",IF(AND(T41&gt;0,U41&gt;0),"MISMATCH","")),"")</f>
        <v/>
      </c>
      <c r="O41" s="305" t="str">
        <f>IF(OR(Overview!$D$4="Preliminary Documentation Review",Overview!$D$4="Preliminary Precertification Review"),IF(AND(V41=0,W41=0),"",IF(AND(V41&gt;0,W41&gt;0),"","MISMATCH")),"")</f>
        <v/>
      </c>
      <c r="P41" s="286">
        <f t="shared" si="0"/>
        <v>0</v>
      </c>
      <c r="Q41" s="286">
        <f t="shared" si="5"/>
        <v>0</v>
      </c>
      <c r="R41" s="305">
        <f t="shared" si="1"/>
        <v>0</v>
      </c>
      <c r="S41" s="305">
        <f t="shared" si="6"/>
        <v>0</v>
      </c>
      <c r="T41" s="305">
        <f t="shared" si="9"/>
        <v>0</v>
      </c>
      <c r="U41" s="305">
        <f t="shared" si="10"/>
        <v>0</v>
      </c>
      <c r="V41" s="305">
        <f t="shared" si="7"/>
        <v>0</v>
      </c>
      <c r="W41" s="305">
        <f t="shared" si="8"/>
        <v>0</v>
      </c>
    </row>
    <row r="42" spans="2:23">
      <c r="B42" s="573"/>
      <c r="C42" s="574"/>
      <c r="D42" s="575"/>
      <c r="E42" s="576"/>
      <c r="F42" s="577"/>
      <c r="G42" s="577"/>
      <c r="H42" s="578"/>
      <c r="I42" s="579"/>
      <c r="L42" s="305" t="str">
        <f>IF(OR(Overview!$D$4="Preliminary Documentation Review",Overview!$D$4="Preliminary Precertification Review"),IF(AND(P42=0,Q42=0),"",IF(AND(P42&gt;0,Q42&gt;0),"","MISMATCH")),"")</f>
        <v/>
      </c>
      <c r="M42" s="305" t="str">
        <f>IF(OR(Overview!$D$4="Preliminary Documentation Review",Overview!$D$4="Preliminary Precertification Review"),IF(AND(R42=0,S42=0),"",IF(AND(R42&gt;0,S42&gt;0),"","MISMATCH")),"")</f>
        <v/>
      </c>
      <c r="N42" s="305" t="str">
        <f>IF(OR(Overview!$D$4="Preliminary Documentation Review",Overview!$D$4="Preliminary Precertification Review"),IF(AND(T42=0,U42=0),"",IF(AND(T42&gt;0,U42&gt;0),"MISMATCH","")),"")</f>
        <v/>
      </c>
      <c r="O42" s="305" t="str">
        <f>IF(OR(Overview!$D$4="Preliminary Documentation Review",Overview!$D$4="Preliminary Precertification Review"),IF(AND(V42=0,W42=0),"",IF(AND(V42&gt;0,W42&gt;0),"","MISMATCH")),"")</f>
        <v/>
      </c>
      <c r="P42" s="286">
        <f t="shared" si="0"/>
        <v>0</v>
      </c>
      <c r="Q42" s="286">
        <f t="shared" si="5"/>
        <v>0</v>
      </c>
      <c r="R42" s="305">
        <f t="shared" si="1"/>
        <v>0</v>
      </c>
      <c r="S42" s="305">
        <f t="shared" si="6"/>
        <v>0</v>
      </c>
      <c r="T42" s="305">
        <f t="shared" si="9"/>
        <v>0</v>
      </c>
      <c r="U42" s="305">
        <f t="shared" si="10"/>
        <v>0</v>
      </c>
      <c r="V42" s="305">
        <f t="shared" si="7"/>
        <v>0</v>
      </c>
      <c r="W42" s="305">
        <f t="shared" si="8"/>
        <v>0</v>
      </c>
    </row>
    <row r="43" spans="2:23">
      <c r="B43" s="580"/>
      <c r="C43" s="581"/>
      <c r="D43" s="581"/>
      <c r="E43" s="581"/>
      <c r="F43" s="581"/>
      <c r="G43" s="581"/>
      <c r="H43" s="581"/>
      <c r="I43" s="582"/>
      <c r="L43" s="305" t="str">
        <f>IF(OR(Overview!$D$4="Preliminary Documentation Review",Overview!$D$4="Preliminary Precertification Review"),IF(AND(P43=0,Q43=0),"",IF(AND(P43&gt;0,Q43&gt;0),"","MISMATCH")),"")</f>
        <v/>
      </c>
      <c r="M43" s="305" t="str">
        <f>IF(OR(Overview!$D$4="Preliminary Documentation Review",Overview!$D$4="Preliminary Precertification Review"),IF(AND(R43=0,S43=0),"",IF(AND(R43&gt;0,S43&gt;0),"","MISMATCH")),"")</f>
        <v/>
      </c>
      <c r="N43" s="305" t="str">
        <f>IF(OR(Overview!$D$4="Preliminary Documentation Review",Overview!$D$4="Preliminary Precertification Review"),IF(AND(T43=0,U43=0),"",IF(AND(T43&gt;0,U43&gt;0),"MISMATCH","")),"")</f>
        <v/>
      </c>
      <c r="O43" s="305" t="str">
        <f>IF(OR(Overview!$D$4="Preliminary Documentation Review",Overview!$D$4="Preliminary Precertification Review"),IF(AND(V43=0,W43=0),"",IF(AND(V43&gt;0,W43&gt;0),"","MISMATCH")),"")</f>
        <v/>
      </c>
      <c r="T43" s="305">
        <f t="shared" si="9"/>
        <v>0</v>
      </c>
      <c r="U43" s="305">
        <f t="shared" si="10"/>
        <v>0</v>
      </c>
      <c r="V43" s="305">
        <f t="shared" si="7"/>
        <v>0</v>
      </c>
      <c r="W43" s="305">
        <f t="shared" si="8"/>
        <v>0</v>
      </c>
    </row>
    <row r="44" spans="2:23" s="547" customFormat="1" ht="99.9" hidden="1" customHeight="1">
      <c r="B44" s="583"/>
      <c r="C44" s="854" t="s">
        <v>1196</v>
      </c>
      <c r="D44" s="855"/>
      <c r="E44" s="855"/>
      <c r="F44" s="855"/>
      <c r="G44" s="855"/>
      <c r="H44" s="855"/>
      <c r="I44" s="856"/>
      <c r="J44" s="546"/>
      <c r="K44" s="531"/>
      <c r="L44" s="305" t="str">
        <f>IF(OR(Overview!$D$4="Preliminary Documentation Review",Overview!$D$4="Preliminary Precertification Review"),IF(AND(P44=0,Q44=0),"",IF(AND(P44&gt;0,Q44&gt;0),"","MISMATCH")),"")</f>
        <v/>
      </c>
      <c r="M44" s="305" t="str">
        <f>IF(OR(Overview!$D$4="Preliminary Documentation Review",Overview!$D$4="Preliminary Precertification Review"),IF(AND(R44=0,S44=0),"",IF(AND(R44&gt;0,S44&gt;0),"","MISMATCH")),"")</f>
        <v/>
      </c>
      <c r="N44" s="305" t="str">
        <f>IF(OR(Overview!$D$4="Preliminary Documentation Review",Overview!$D$4="Preliminary Precertification Review"),IF(AND(T44=0,U44=0),"",IF(AND(T44&gt;0,U44&gt;0),"MISMATCH","")),"")</f>
        <v/>
      </c>
      <c r="O44" s="305" t="str">
        <f>IF(OR(Overview!$D$4="Preliminary Documentation Review",Overview!$D$4="Preliminary Precertification Review"),IF(AND(V44=0,W44=0),"",IF(AND(V44&gt;0,W44&gt;0),"","MISMATCH")),"")</f>
        <v/>
      </c>
      <c r="T44" s="305">
        <f t="shared" si="9"/>
        <v>0</v>
      </c>
      <c r="U44" s="305">
        <f t="shared" si="10"/>
        <v>0</v>
      </c>
      <c r="V44" s="305">
        <f t="shared" si="7"/>
        <v>0</v>
      </c>
      <c r="W44" s="305">
        <f t="shared" si="8"/>
        <v>0</v>
      </c>
    </row>
    <row r="45" spans="2:23" s="547" customFormat="1" ht="15.6" hidden="1" customHeight="1">
      <c r="B45" s="583"/>
      <c r="C45" s="857"/>
      <c r="D45" s="857"/>
      <c r="E45" s="857"/>
      <c r="F45" s="857"/>
      <c r="G45" s="857"/>
      <c r="H45" s="857"/>
      <c r="I45" s="858"/>
      <c r="J45" s="546"/>
      <c r="K45" s="531"/>
      <c r="L45" s="305" t="str">
        <f>IF(OR(Overview!$D$4="Preliminary Documentation Review",Overview!$D$4="Preliminary Precertification Review"),IF(AND(P45=0,Q45=0),"",IF(AND(P45&gt;0,Q45&gt;0),"","MISMATCH")),"")</f>
        <v/>
      </c>
      <c r="M45" s="305" t="str">
        <f>IF(OR(Overview!$D$4="Preliminary Documentation Review",Overview!$D$4="Preliminary Precertification Review"),IF(AND(R45=0,S45=0),"",IF(AND(R45&gt;0,S45&gt;0),"","MISMATCH")),"")</f>
        <v/>
      </c>
      <c r="N45" s="305" t="str">
        <f>IF(OR(Overview!$D$4="Preliminary Documentation Review",Overview!$D$4="Preliminary Precertification Review"),IF(AND(T45=0,U45=0),"",IF(AND(T45&gt;0,U45&gt;0),"MISMATCH","")),"")</f>
        <v/>
      </c>
      <c r="O45" s="305" t="str">
        <f>IF(OR(Overview!$D$4="Preliminary Documentation Review",Overview!$D$4="Preliminary Precertification Review"),IF(AND(V45=0,W45=0),"",IF(AND(V45&gt;0,W45&gt;0),"","MISMATCH")),"")</f>
        <v/>
      </c>
      <c r="T45" s="305">
        <f t="shared" si="9"/>
        <v>0</v>
      </c>
      <c r="U45" s="305">
        <f t="shared" si="10"/>
        <v>0</v>
      </c>
      <c r="V45" s="305">
        <f t="shared" si="7"/>
        <v>0</v>
      </c>
      <c r="W45" s="305">
        <f t="shared" si="8"/>
        <v>0</v>
      </c>
    </row>
    <row r="46" spans="2:23" ht="152.4">
      <c r="B46" s="859" t="s">
        <v>104</v>
      </c>
      <c r="C46" s="838" t="s">
        <v>752</v>
      </c>
      <c r="D46" s="837" t="s">
        <v>797</v>
      </c>
      <c r="E46" s="550" t="s">
        <v>1197</v>
      </c>
      <c r="F46" s="584"/>
      <c r="G46" s="552" t="s">
        <v>1162</v>
      </c>
      <c r="H46" s="553" t="s">
        <v>1458</v>
      </c>
      <c r="I46" s="554" t="s">
        <v>1463</v>
      </c>
      <c r="L46" s="305" t="str">
        <f>IF(OR(Overview!$D$4="Preliminary Documentation Review",Overview!$D$4="Preliminary Precertification Review"),IF(AND(P46=0,Q46=0),"",IF(AND(P46&gt;0,Q46&gt;0),"","MISMATCH")),"")</f>
        <v/>
      </c>
      <c r="M46" s="305" t="str">
        <f>IF(OR(Overview!$D$4="Preliminary Documentation Review",Overview!$D$4="Preliminary Precertification Review"),IF(AND(R46=0,S46=0),"",IF(AND(R46&gt;0,S46&gt;0),"","MISMATCH")),"")</f>
        <v/>
      </c>
      <c r="N46" s="305" t="str">
        <f>IF(OR(Overview!$D$4="Preliminary Documentation Review",Overview!$D$4="Preliminary Precertification Review"),IF(AND(T46=0,U46=0),"",IF(AND(T46&gt;0,U46&gt;0),"MISMATCH","")),"")</f>
        <v/>
      </c>
      <c r="O46" s="305" t="str">
        <f>IF(OR(Overview!$D$4="Preliminary Documentation Review",Overview!$D$4="Preliminary Precertification Review"),IF(AND(V46=0,W46=0),"",IF(AND(V46&gt;0,W46&gt;0),"","MISMATCH")),"")</f>
        <v/>
      </c>
      <c r="P46" s="286">
        <f t="shared" ref="P46:P68" si="11">IFERROR(SEARCH("COMMENTS TO BE ADDRESS",$I46),0)</f>
        <v>0</v>
      </c>
      <c r="Q46" s="286">
        <f t="shared" si="5"/>
        <v>0</v>
      </c>
      <c r="R46" s="305">
        <f t="shared" ref="R46:R68" si="12">IFERROR(SEARCH("equirements of this part will be v",$I46),0)</f>
        <v>248</v>
      </c>
      <c r="S46" s="305">
        <f t="shared" si="6"/>
        <v>0</v>
      </c>
      <c r="T46" s="305">
        <f t="shared" si="9"/>
        <v>205</v>
      </c>
      <c r="U46" s="305">
        <f t="shared" si="10"/>
        <v>0</v>
      </c>
      <c r="V46" s="305">
        <f t="shared" si="7"/>
        <v>0</v>
      </c>
      <c r="W46" s="305">
        <f t="shared" si="8"/>
        <v>0</v>
      </c>
    </row>
    <row r="47" spans="2:23" ht="152.4">
      <c r="B47" s="859"/>
      <c r="C47" s="838"/>
      <c r="D47" s="837"/>
      <c r="E47" s="550" t="s">
        <v>1198</v>
      </c>
      <c r="F47" s="585"/>
      <c r="G47" s="552" t="s">
        <v>1162</v>
      </c>
      <c r="H47" s="553" t="s">
        <v>1458</v>
      </c>
      <c r="I47" s="554" t="s">
        <v>1463</v>
      </c>
      <c r="L47" s="305" t="str">
        <f>IF(OR(Overview!$D$4="Preliminary Documentation Review",Overview!$D$4="Preliminary Precertification Review"),IF(AND(P47=0,Q47=0),"",IF(AND(P47&gt;0,Q47&gt;0),"","MISMATCH")),"")</f>
        <v/>
      </c>
      <c r="M47" s="305" t="str">
        <f>IF(OR(Overview!$D$4="Preliminary Documentation Review",Overview!$D$4="Preliminary Precertification Review"),IF(AND(R47=0,S47=0),"",IF(AND(R47&gt;0,S47&gt;0),"","MISMATCH")),"")</f>
        <v/>
      </c>
      <c r="N47" s="305" t="str">
        <f>IF(OR(Overview!$D$4="Preliminary Documentation Review",Overview!$D$4="Preliminary Precertification Review"),IF(AND(T47=0,U47=0),"",IF(AND(T47&gt;0,U47&gt;0),"MISMATCH","")),"")</f>
        <v/>
      </c>
      <c r="O47" s="305" t="str">
        <f>IF(OR(Overview!$D$4="Preliminary Documentation Review",Overview!$D$4="Preliminary Precertification Review"),IF(AND(V47=0,W47=0),"",IF(AND(V47&gt;0,W47&gt;0),"","MISMATCH")),"")</f>
        <v/>
      </c>
      <c r="P47" s="286">
        <f t="shared" si="11"/>
        <v>0</v>
      </c>
      <c r="Q47" s="286">
        <f t="shared" si="5"/>
        <v>0</v>
      </c>
      <c r="R47" s="305">
        <f t="shared" si="12"/>
        <v>248</v>
      </c>
      <c r="S47" s="305">
        <f t="shared" si="6"/>
        <v>0</v>
      </c>
      <c r="T47" s="305">
        <f t="shared" si="9"/>
        <v>205</v>
      </c>
      <c r="U47" s="305">
        <f t="shared" si="10"/>
        <v>0</v>
      </c>
      <c r="V47" s="305">
        <f t="shared" si="7"/>
        <v>0</v>
      </c>
      <c r="W47" s="305">
        <f t="shared" si="8"/>
        <v>0</v>
      </c>
    </row>
    <row r="48" spans="2:23" ht="151.19999999999999">
      <c r="B48" s="859"/>
      <c r="C48" s="838"/>
      <c r="D48" s="837"/>
      <c r="E48" s="550" t="s">
        <v>1199</v>
      </c>
      <c r="F48" s="585"/>
      <c r="G48" s="552" t="s">
        <v>1162</v>
      </c>
      <c r="H48" s="553" t="s">
        <v>1458</v>
      </c>
      <c r="I48" s="565" t="s">
        <v>1464</v>
      </c>
      <c r="L48" s="305" t="str">
        <f>IF(OR(Overview!$D$4="Preliminary Documentation Review",Overview!$D$4="Preliminary Precertification Review"),IF(AND(P48=0,Q48=0),"",IF(AND(P48&gt;0,Q48&gt;0),"","MISMATCH")),"")</f>
        <v/>
      </c>
      <c r="M48" s="305" t="str">
        <f>IF(OR(Overview!$D$4="Preliminary Documentation Review",Overview!$D$4="Preliminary Precertification Review"),IF(AND(R48=0,S48=0),"",IF(AND(R48&gt;0,S48&gt;0),"","MISMATCH")),"")</f>
        <v/>
      </c>
      <c r="N48" s="305" t="str">
        <f>IF(OR(Overview!$D$4="Preliminary Documentation Review",Overview!$D$4="Preliminary Precertification Review"),IF(AND(T48=0,U48=0),"",IF(AND(T48&gt;0,U48&gt;0),"MISMATCH","")),"")</f>
        <v/>
      </c>
      <c r="O48" s="305" t="str">
        <f>IF(OR(Overview!$D$4="Preliminary Documentation Review",Overview!$D$4="Preliminary Precertification Review"),IF(AND(V48=0,W48=0),"",IF(AND(V48&gt;0,W48&gt;0),"","MISMATCH")),"")</f>
        <v/>
      </c>
      <c r="P48" s="286">
        <f t="shared" si="11"/>
        <v>0</v>
      </c>
      <c r="Q48" s="286">
        <f t="shared" si="5"/>
        <v>0</v>
      </c>
      <c r="R48" s="305">
        <f t="shared" si="12"/>
        <v>0</v>
      </c>
      <c r="S48" s="305">
        <f t="shared" si="6"/>
        <v>0</v>
      </c>
      <c r="T48" s="305">
        <f t="shared" si="9"/>
        <v>141</v>
      </c>
      <c r="U48" s="305">
        <f t="shared" si="10"/>
        <v>0</v>
      </c>
      <c r="V48" s="305">
        <f t="shared" si="7"/>
        <v>0</v>
      </c>
      <c r="W48" s="305">
        <f t="shared" si="8"/>
        <v>0</v>
      </c>
    </row>
    <row r="49" spans="2:23" ht="152.4">
      <c r="B49" s="859"/>
      <c r="C49" s="838" t="s">
        <v>752</v>
      </c>
      <c r="D49" s="837" t="s">
        <v>801</v>
      </c>
      <c r="E49" s="550" t="s">
        <v>1200</v>
      </c>
      <c r="F49" s="585"/>
      <c r="G49" s="552" t="s">
        <v>1162</v>
      </c>
      <c r="H49" s="553" t="s">
        <v>1458</v>
      </c>
      <c r="I49" s="554" t="s">
        <v>1463</v>
      </c>
      <c r="L49" s="305" t="str">
        <f>IF(OR(Overview!$D$4="Preliminary Documentation Review",Overview!$D$4="Preliminary Precertification Review"),IF(AND(P49=0,Q49=0),"",IF(AND(P49&gt;0,Q49&gt;0),"","MISMATCH")),"")</f>
        <v/>
      </c>
      <c r="M49" s="305" t="str">
        <f>IF(OR(Overview!$D$4="Preliminary Documentation Review",Overview!$D$4="Preliminary Precertification Review"),IF(AND(R49=0,S49=0),"",IF(AND(R49&gt;0,S49&gt;0),"","MISMATCH")),"")</f>
        <v/>
      </c>
      <c r="N49" s="305" t="str">
        <f>IF(OR(Overview!$D$4="Preliminary Documentation Review",Overview!$D$4="Preliminary Precertification Review"),IF(AND(T49=0,U49=0),"",IF(AND(T49&gt;0,U49&gt;0),"MISMATCH","")),"")</f>
        <v/>
      </c>
      <c r="O49" s="305" t="str">
        <f>IF(OR(Overview!$D$4="Preliminary Documentation Review",Overview!$D$4="Preliminary Precertification Review"),IF(AND(V49=0,W49=0),"",IF(AND(V49&gt;0,W49&gt;0),"","MISMATCH")),"")</f>
        <v/>
      </c>
      <c r="P49" s="286">
        <f t="shared" si="11"/>
        <v>0</v>
      </c>
      <c r="Q49" s="286">
        <f t="shared" si="5"/>
        <v>0</v>
      </c>
      <c r="R49" s="305">
        <f t="shared" si="12"/>
        <v>248</v>
      </c>
      <c r="S49" s="305">
        <f t="shared" si="6"/>
        <v>0</v>
      </c>
      <c r="T49" s="305">
        <f t="shared" si="9"/>
        <v>205</v>
      </c>
      <c r="U49" s="305">
        <f t="shared" si="10"/>
        <v>0</v>
      </c>
      <c r="V49" s="305">
        <f t="shared" si="7"/>
        <v>0</v>
      </c>
      <c r="W49" s="305">
        <f t="shared" si="8"/>
        <v>0</v>
      </c>
    </row>
    <row r="50" spans="2:23" ht="152.4">
      <c r="B50" s="859"/>
      <c r="C50" s="838"/>
      <c r="D50" s="837"/>
      <c r="E50" s="550" t="s">
        <v>1201</v>
      </c>
      <c r="F50" s="585"/>
      <c r="G50" s="552" t="s">
        <v>1162</v>
      </c>
      <c r="H50" s="553" t="s">
        <v>1458</v>
      </c>
      <c r="I50" s="554" t="s">
        <v>1463</v>
      </c>
      <c r="L50" s="305" t="str">
        <f>IF(OR(Overview!$D$4="Preliminary Documentation Review",Overview!$D$4="Preliminary Precertification Review"),IF(AND(P50=0,Q50=0),"",IF(AND(P50&gt;0,Q50&gt;0),"","MISMATCH")),"")</f>
        <v/>
      </c>
      <c r="M50" s="305" t="str">
        <f>IF(OR(Overview!$D$4="Preliminary Documentation Review",Overview!$D$4="Preliminary Precertification Review"),IF(AND(R50=0,S50=0),"",IF(AND(R50&gt;0,S50&gt;0),"","MISMATCH")),"")</f>
        <v/>
      </c>
      <c r="N50" s="305" t="str">
        <f>IF(OR(Overview!$D$4="Preliminary Documentation Review",Overview!$D$4="Preliminary Precertification Review"),IF(AND(T50=0,U50=0),"",IF(AND(T50&gt;0,U50&gt;0),"MISMATCH","")),"")</f>
        <v/>
      </c>
      <c r="O50" s="305" t="str">
        <f>IF(OR(Overview!$D$4="Preliminary Documentation Review",Overview!$D$4="Preliminary Precertification Review"),IF(AND(V50=0,W50=0),"",IF(AND(V50&gt;0,W50&gt;0),"","MISMATCH")),"")</f>
        <v/>
      </c>
      <c r="P50" s="286">
        <f t="shared" si="11"/>
        <v>0</v>
      </c>
      <c r="Q50" s="286">
        <f t="shared" si="5"/>
        <v>0</v>
      </c>
      <c r="R50" s="305">
        <f t="shared" si="12"/>
        <v>248</v>
      </c>
      <c r="S50" s="305">
        <f t="shared" si="6"/>
        <v>0</v>
      </c>
      <c r="T50" s="305">
        <f t="shared" si="9"/>
        <v>205</v>
      </c>
      <c r="U50" s="305">
        <f t="shared" si="10"/>
        <v>0</v>
      </c>
      <c r="V50" s="305">
        <f t="shared" si="7"/>
        <v>0</v>
      </c>
      <c r="W50" s="305">
        <f t="shared" si="8"/>
        <v>0</v>
      </c>
    </row>
    <row r="51" spans="2:23" ht="303">
      <c r="B51" s="859"/>
      <c r="C51" s="838"/>
      <c r="D51" s="837"/>
      <c r="E51" s="550" t="s">
        <v>1202</v>
      </c>
      <c r="F51" s="585"/>
      <c r="G51" s="552" t="s">
        <v>1162</v>
      </c>
      <c r="H51" s="553" t="s">
        <v>1458</v>
      </c>
      <c r="I51" s="554" t="s">
        <v>1527</v>
      </c>
      <c r="L51" s="305" t="str">
        <f>IF(OR(Overview!$D$4="Preliminary Documentation Review",Overview!$D$4="Preliminary Precertification Review"),IF(AND(P51=0,Q51=0),"",IF(AND(P51&gt;0,Q51&gt;0),"","MISMATCH")),"")</f>
        <v/>
      </c>
      <c r="M51" s="305" t="str">
        <f>IF(OR(Overview!$D$4="Preliminary Documentation Review",Overview!$D$4="Preliminary Precertification Review"),IF(AND(R51=0,S51=0),"",IF(AND(R51&gt;0,S51&gt;0),"","MISMATCH")),"")</f>
        <v/>
      </c>
      <c r="N51" s="305" t="str">
        <f>IF(OR(Overview!$D$4="Preliminary Documentation Review",Overview!$D$4="Preliminary Precertification Review"),IF(AND(T51=0,U51=0),"",IF(AND(T51&gt;0,U51&gt;0),"MISMATCH","")),"")</f>
        <v/>
      </c>
      <c r="O51" s="305" t="str">
        <f>IF(OR(Overview!$D$4="Preliminary Documentation Review",Overview!$D$4="Preliminary Precertification Review"),IF(AND(V51=0,W51=0),"",IF(AND(V51&gt;0,W51&gt;0),"","MISMATCH")),"")</f>
        <v/>
      </c>
      <c r="P51" s="286">
        <f t="shared" si="11"/>
        <v>381</v>
      </c>
      <c r="Q51" s="286">
        <f t="shared" si="5"/>
        <v>0</v>
      </c>
      <c r="R51" s="305">
        <f t="shared" si="12"/>
        <v>840</v>
      </c>
      <c r="S51" s="305">
        <f t="shared" si="6"/>
        <v>0</v>
      </c>
      <c r="T51" s="305">
        <f t="shared" si="9"/>
        <v>797</v>
      </c>
      <c r="U51" s="305">
        <f t="shared" si="10"/>
        <v>0</v>
      </c>
      <c r="V51" s="305">
        <f t="shared" si="7"/>
        <v>0</v>
      </c>
      <c r="W51" s="305">
        <f t="shared" si="8"/>
        <v>0</v>
      </c>
    </row>
    <row r="52" spans="2:23" ht="303">
      <c r="B52" s="859"/>
      <c r="C52" s="838"/>
      <c r="D52" s="837"/>
      <c r="E52" s="550" t="s">
        <v>1203</v>
      </c>
      <c r="F52" s="585"/>
      <c r="G52" s="552" t="s">
        <v>1162</v>
      </c>
      <c r="H52" s="553" t="s">
        <v>1458</v>
      </c>
      <c r="I52" s="554" t="s">
        <v>1527</v>
      </c>
      <c r="L52" s="305" t="str">
        <f>IF(OR(Overview!$D$4="Preliminary Documentation Review",Overview!$D$4="Preliminary Precertification Review"),IF(AND(P52=0,Q52=0),"",IF(AND(P52&gt;0,Q52&gt;0),"","MISMATCH")),"")</f>
        <v/>
      </c>
      <c r="M52" s="305" t="str">
        <f>IF(OR(Overview!$D$4="Preliminary Documentation Review",Overview!$D$4="Preliminary Precertification Review"),IF(AND(R52=0,S52=0),"",IF(AND(R52&gt;0,S52&gt;0),"","MISMATCH")),"")</f>
        <v/>
      </c>
      <c r="N52" s="305" t="str">
        <f>IF(OR(Overview!$D$4="Preliminary Documentation Review",Overview!$D$4="Preliminary Precertification Review"),IF(AND(T52=0,U52=0),"",IF(AND(T52&gt;0,U52&gt;0),"MISMATCH","")),"")</f>
        <v/>
      </c>
      <c r="O52" s="305" t="str">
        <f>IF(OR(Overview!$D$4="Preliminary Documentation Review",Overview!$D$4="Preliminary Precertification Review"),IF(AND(V52=0,W52=0),"",IF(AND(V52&gt;0,W52&gt;0),"","MISMATCH")),"")</f>
        <v/>
      </c>
      <c r="P52" s="286">
        <f t="shared" si="11"/>
        <v>381</v>
      </c>
      <c r="Q52" s="286">
        <f t="shared" si="5"/>
        <v>0</v>
      </c>
      <c r="R52" s="305">
        <f t="shared" si="12"/>
        <v>840</v>
      </c>
      <c r="S52" s="305">
        <f t="shared" si="6"/>
        <v>0</v>
      </c>
      <c r="T52" s="305">
        <f t="shared" si="9"/>
        <v>797</v>
      </c>
      <c r="U52" s="305">
        <f t="shared" si="10"/>
        <v>0</v>
      </c>
      <c r="V52" s="305">
        <f t="shared" si="7"/>
        <v>0</v>
      </c>
      <c r="W52" s="305">
        <f t="shared" si="8"/>
        <v>0</v>
      </c>
    </row>
    <row r="53" spans="2:23" ht="152.4">
      <c r="B53" s="859"/>
      <c r="C53" s="838"/>
      <c r="D53" s="837"/>
      <c r="E53" s="550" t="s">
        <v>1204</v>
      </c>
      <c r="F53" s="585"/>
      <c r="G53" s="552" t="s">
        <v>1162</v>
      </c>
      <c r="H53" s="553" t="s">
        <v>1458</v>
      </c>
      <c r="I53" s="554" t="s">
        <v>1463</v>
      </c>
      <c r="L53" s="305" t="str">
        <f>IF(OR(Overview!$D$4="Preliminary Documentation Review",Overview!$D$4="Preliminary Precertification Review"),IF(AND(P53=0,Q53=0),"",IF(AND(P53&gt;0,Q53&gt;0),"","MISMATCH")),"")</f>
        <v/>
      </c>
      <c r="M53" s="305" t="str">
        <f>IF(OR(Overview!$D$4="Preliminary Documentation Review",Overview!$D$4="Preliminary Precertification Review"),IF(AND(R53=0,S53=0),"",IF(AND(R53&gt;0,S53&gt;0),"","MISMATCH")),"")</f>
        <v/>
      </c>
      <c r="N53" s="305" t="str">
        <f>IF(OR(Overview!$D$4="Preliminary Documentation Review",Overview!$D$4="Preliminary Precertification Review"),IF(AND(T53=0,U53=0),"",IF(AND(T53&gt;0,U53&gt;0),"MISMATCH","")),"")</f>
        <v/>
      </c>
      <c r="O53" s="305" t="str">
        <f>IF(OR(Overview!$D$4="Preliminary Documentation Review",Overview!$D$4="Preliminary Precertification Review"),IF(AND(V53=0,W53=0),"",IF(AND(V53&gt;0,W53&gt;0),"","MISMATCH")),"")</f>
        <v/>
      </c>
      <c r="P53" s="286">
        <f t="shared" si="11"/>
        <v>0</v>
      </c>
      <c r="Q53" s="286">
        <f t="shared" si="5"/>
        <v>0</v>
      </c>
      <c r="R53" s="305">
        <f t="shared" si="12"/>
        <v>248</v>
      </c>
      <c r="S53" s="305">
        <f t="shared" si="6"/>
        <v>0</v>
      </c>
      <c r="T53" s="305">
        <f t="shared" si="9"/>
        <v>205</v>
      </c>
      <c r="U53" s="305">
        <f t="shared" si="10"/>
        <v>0</v>
      </c>
      <c r="V53" s="305">
        <f t="shared" si="7"/>
        <v>0</v>
      </c>
      <c r="W53" s="305">
        <f t="shared" si="8"/>
        <v>0</v>
      </c>
    </row>
    <row r="54" spans="2:23" ht="152.4">
      <c r="B54" s="859"/>
      <c r="C54" s="838"/>
      <c r="D54" s="837"/>
      <c r="E54" s="550" t="s">
        <v>1205</v>
      </c>
      <c r="F54" s="585"/>
      <c r="G54" s="552" t="s">
        <v>1162</v>
      </c>
      <c r="H54" s="553" t="s">
        <v>1458</v>
      </c>
      <c r="I54" s="554" t="s">
        <v>1463</v>
      </c>
      <c r="L54" s="305" t="str">
        <f>IF(OR(Overview!$D$4="Preliminary Documentation Review",Overview!$D$4="Preliminary Precertification Review"),IF(AND(P54=0,Q54=0),"",IF(AND(P54&gt;0,Q54&gt;0),"","MISMATCH")),"")</f>
        <v/>
      </c>
      <c r="M54" s="305" t="str">
        <f>IF(OR(Overview!$D$4="Preliminary Documentation Review",Overview!$D$4="Preliminary Precertification Review"),IF(AND(R54=0,S54=0),"",IF(AND(R54&gt;0,S54&gt;0),"","MISMATCH")),"")</f>
        <v/>
      </c>
      <c r="N54" s="305" t="str">
        <f>IF(OR(Overview!$D$4="Preliminary Documentation Review",Overview!$D$4="Preliminary Precertification Review"),IF(AND(T54=0,U54=0),"",IF(AND(T54&gt;0,U54&gt;0),"MISMATCH","")),"")</f>
        <v/>
      </c>
      <c r="O54" s="305" t="str">
        <f>IF(OR(Overview!$D$4="Preliminary Documentation Review",Overview!$D$4="Preliminary Precertification Review"),IF(AND(V54=0,W54=0),"",IF(AND(V54&gt;0,W54&gt;0),"","MISMATCH")),"")</f>
        <v/>
      </c>
      <c r="P54" s="286">
        <f t="shared" si="11"/>
        <v>0</v>
      </c>
      <c r="Q54" s="286">
        <f t="shared" si="5"/>
        <v>0</v>
      </c>
      <c r="R54" s="305">
        <f t="shared" si="12"/>
        <v>248</v>
      </c>
      <c r="S54" s="305">
        <f t="shared" si="6"/>
        <v>0</v>
      </c>
      <c r="T54" s="305">
        <f t="shared" si="9"/>
        <v>205</v>
      </c>
      <c r="U54" s="305">
        <f t="shared" si="10"/>
        <v>0</v>
      </c>
      <c r="V54" s="305">
        <f t="shared" si="7"/>
        <v>0</v>
      </c>
      <c r="W54" s="305">
        <f t="shared" si="8"/>
        <v>0</v>
      </c>
    </row>
    <row r="55" spans="2:23" ht="151.19999999999999">
      <c r="B55" s="859"/>
      <c r="C55" s="838"/>
      <c r="D55" s="837"/>
      <c r="E55" s="550" t="s">
        <v>1206</v>
      </c>
      <c r="F55" s="585"/>
      <c r="G55" s="552" t="s">
        <v>1162</v>
      </c>
      <c r="H55" s="553" t="s">
        <v>1458</v>
      </c>
      <c r="I55" s="565" t="s">
        <v>1464</v>
      </c>
      <c r="L55" s="305" t="str">
        <f>IF(OR(Overview!$D$4="Preliminary Documentation Review",Overview!$D$4="Preliminary Precertification Review"),IF(AND(P55=0,Q55=0),"",IF(AND(P55&gt;0,Q55&gt;0),"","MISMATCH")),"")</f>
        <v/>
      </c>
      <c r="M55" s="305" t="str">
        <f>IF(OR(Overview!$D$4="Preliminary Documentation Review",Overview!$D$4="Preliminary Precertification Review"),IF(AND(R55=0,S55=0),"",IF(AND(R55&gt;0,S55&gt;0),"","MISMATCH")),"")</f>
        <v/>
      </c>
      <c r="N55" s="305" t="str">
        <f>IF(OR(Overview!$D$4="Preliminary Documentation Review",Overview!$D$4="Preliminary Precertification Review"),IF(AND(T55=0,U55=0),"",IF(AND(T55&gt;0,U55&gt;0),"MISMATCH","")),"")</f>
        <v/>
      </c>
      <c r="O55" s="305" t="str">
        <f>IF(OR(Overview!$D$4="Preliminary Documentation Review",Overview!$D$4="Preliminary Precertification Review"),IF(AND(V55=0,W55=0),"",IF(AND(V55&gt;0,W55&gt;0),"","MISMATCH")),"")</f>
        <v/>
      </c>
      <c r="P55" s="286">
        <f t="shared" si="11"/>
        <v>0</v>
      </c>
      <c r="Q55" s="286">
        <f t="shared" si="5"/>
        <v>0</v>
      </c>
      <c r="R55" s="305">
        <f t="shared" si="12"/>
        <v>0</v>
      </c>
      <c r="S55" s="305">
        <f t="shared" si="6"/>
        <v>0</v>
      </c>
      <c r="T55" s="305">
        <f t="shared" si="9"/>
        <v>141</v>
      </c>
      <c r="U55" s="305">
        <f t="shared" si="10"/>
        <v>0</v>
      </c>
      <c r="V55" s="305">
        <f t="shared" si="7"/>
        <v>0</v>
      </c>
      <c r="W55" s="305">
        <f t="shared" si="8"/>
        <v>0</v>
      </c>
    </row>
    <row r="56" spans="2:23" ht="39.75" customHeight="1">
      <c r="B56" s="859"/>
      <c r="C56" s="548" t="s">
        <v>752</v>
      </c>
      <c r="D56" s="550" t="s">
        <v>809</v>
      </c>
      <c r="E56" s="550" t="s">
        <v>1207</v>
      </c>
      <c r="F56" s="586"/>
      <c r="G56" s="552" t="s">
        <v>1162</v>
      </c>
      <c r="H56" s="553" t="s">
        <v>1458</v>
      </c>
      <c r="I56" s="554" t="s">
        <v>1208</v>
      </c>
      <c r="L56" s="305" t="str">
        <f>IF(OR(Overview!$D$4="Preliminary Documentation Review",Overview!$D$4="Preliminary Precertification Review"),IF(AND(P56=0,Q56=0),"",IF(AND(P56&gt;0,Q56&gt;0),"","MISMATCH")),"")</f>
        <v/>
      </c>
      <c r="M56" s="305" t="str">
        <f>IF(OR(Overview!$D$4="Preliminary Documentation Review",Overview!$D$4="Preliminary Precertification Review"),IF(AND(R56=0,S56=0),"",IF(AND(R56&gt;0,S56&gt;0),"","MISMATCH")),"")</f>
        <v/>
      </c>
      <c r="N56" s="305" t="str">
        <f>IF(OR(Overview!$D$4="Preliminary Documentation Review",Overview!$D$4="Preliminary Precertification Review"),IF(AND(T56=0,U56=0),"",IF(AND(T56&gt;0,U56&gt;0),"MISMATCH","")),"")</f>
        <v/>
      </c>
      <c r="O56" s="305" t="str">
        <f>IF(OR(Overview!$D$4="Preliminary Documentation Review",Overview!$D$4="Preliminary Precertification Review"),IF(AND(V56=0,W56=0),"",IF(AND(V56&gt;0,W56&gt;0),"","MISMATCH")),"")</f>
        <v/>
      </c>
      <c r="P56" s="286">
        <f t="shared" si="11"/>
        <v>0</v>
      </c>
      <c r="Q56" s="286">
        <f t="shared" si="5"/>
        <v>0</v>
      </c>
      <c r="R56" s="305">
        <f t="shared" si="12"/>
        <v>0</v>
      </c>
      <c r="S56" s="305">
        <f t="shared" si="6"/>
        <v>0</v>
      </c>
      <c r="T56" s="305">
        <f t="shared" si="9"/>
        <v>0</v>
      </c>
      <c r="U56" s="305">
        <f t="shared" si="10"/>
        <v>0</v>
      </c>
      <c r="V56" s="305">
        <f t="shared" si="7"/>
        <v>0</v>
      </c>
      <c r="W56" s="305">
        <f t="shared" si="8"/>
        <v>0</v>
      </c>
    </row>
    <row r="57" spans="2:23" ht="152.4">
      <c r="B57" s="859"/>
      <c r="C57" s="548" t="s">
        <v>767</v>
      </c>
      <c r="D57" s="550" t="s">
        <v>811</v>
      </c>
      <c r="E57" s="550" t="s">
        <v>1209</v>
      </c>
      <c r="F57" s="587">
        <v>1</v>
      </c>
      <c r="G57" s="552" t="s">
        <v>309</v>
      </c>
      <c r="H57" s="553" t="s">
        <v>1458</v>
      </c>
      <c r="I57" s="554" t="s">
        <v>1463</v>
      </c>
      <c r="L57" s="305" t="str">
        <f>IF(OR(Overview!$D$4="Preliminary Documentation Review",Overview!$D$4="Preliminary Precertification Review"),IF(AND(P57=0,Q57=0),"",IF(AND(P57&gt;0,Q57&gt;0),"","MISMATCH")),"")</f>
        <v/>
      </c>
      <c r="M57" s="305" t="str">
        <f>IF(OR(Overview!$D$4="Preliminary Documentation Review",Overview!$D$4="Preliminary Precertification Review"),IF(AND(R57=0,S57=0),"",IF(AND(R57&gt;0,S57&gt;0),"","MISMATCH")),"")</f>
        <v/>
      </c>
      <c r="N57" s="305" t="str">
        <f>IF(OR(Overview!$D$4="Preliminary Documentation Review",Overview!$D$4="Preliminary Precertification Review"),IF(AND(T57=0,U57=0),"",IF(AND(T57&gt;0,U57&gt;0),"MISMATCH","")),"")</f>
        <v/>
      </c>
      <c r="O57" s="305" t="str">
        <f>IF(OR(Overview!$D$4="Preliminary Documentation Review",Overview!$D$4="Preliminary Precertification Review"),IF(AND(V57=0,W57=0),"",IF(AND(V57&gt;0,W57&gt;0),"","MISMATCH")),"")</f>
        <v/>
      </c>
      <c r="P57" s="286">
        <f t="shared" si="11"/>
        <v>0</v>
      </c>
      <c r="Q57" s="286">
        <f t="shared" si="5"/>
        <v>0</v>
      </c>
      <c r="R57" s="305">
        <f t="shared" si="12"/>
        <v>248</v>
      </c>
      <c r="S57" s="305">
        <f t="shared" si="6"/>
        <v>0</v>
      </c>
      <c r="T57" s="305">
        <f t="shared" si="9"/>
        <v>205</v>
      </c>
      <c r="U57" s="305">
        <f t="shared" si="10"/>
        <v>0</v>
      </c>
      <c r="V57" s="305">
        <f t="shared" si="7"/>
        <v>0</v>
      </c>
      <c r="W57" s="305">
        <f t="shared" si="8"/>
        <v>0</v>
      </c>
    </row>
    <row r="58" spans="2:23" ht="181.2">
      <c r="B58" s="859"/>
      <c r="C58" s="838" t="s">
        <v>767</v>
      </c>
      <c r="D58" s="837" t="s">
        <v>813</v>
      </c>
      <c r="E58" s="550" t="s">
        <v>1210</v>
      </c>
      <c r="F58" s="588">
        <v>1</v>
      </c>
      <c r="G58" s="552" t="s">
        <v>309</v>
      </c>
      <c r="H58" s="553" t="s">
        <v>1458</v>
      </c>
      <c r="I58" s="565" t="s">
        <v>1465</v>
      </c>
      <c r="L58" s="305" t="str">
        <f>IF(OR(Overview!$D$4="Preliminary Documentation Review",Overview!$D$4="Preliminary Precertification Review"),IF(AND(P58=0,Q58=0),"",IF(AND(P58&gt;0,Q58&gt;0),"","MISMATCH")),"")</f>
        <v/>
      </c>
      <c r="M58" s="305" t="str">
        <f>IF(OR(Overview!$D$4="Preliminary Documentation Review",Overview!$D$4="Preliminary Precertification Review"),IF(AND(R58=0,S58=0),"",IF(AND(R58&gt;0,S58&gt;0),"","MISMATCH")),"")</f>
        <v/>
      </c>
      <c r="N58" s="305" t="str">
        <f>IF(OR(Overview!$D$4="Preliminary Documentation Review",Overview!$D$4="Preliminary Precertification Review"),IF(AND(T58=0,U58=0),"",IF(AND(T58&gt;0,U58&gt;0),"MISMATCH","")),"")</f>
        <v/>
      </c>
      <c r="O58" s="305" t="str">
        <f>IF(OR(Overview!$D$4="Preliminary Documentation Review",Overview!$D$4="Preliminary Precertification Review"),IF(AND(V58=0,W58=0),"",IF(AND(V58&gt;0,W58&gt;0),"","MISMATCH")),"")</f>
        <v/>
      </c>
      <c r="P58" s="286">
        <f t="shared" si="11"/>
        <v>0</v>
      </c>
      <c r="Q58" s="286">
        <f t="shared" si="5"/>
        <v>0</v>
      </c>
      <c r="R58" s="305">
        <f t="shared" si="12"/>
        <v>178</v>
      </c>
      <c r="S58" s="305">
        <f t="shared" si="6"/>
        <v>0</v>
      </c>
      <c r="T58" s="305">
        <f t="shared" si="9"/>
        <v>0</v>
      </c>
      <c r="U58" s="305">
        <f t="shared" si="10"/>
        <v>0</v>
      </c>
      <c r="V58" s="305">
        <f t="shared" si="7"/>
        <v>0</v>
      </c>
      <c r="W58" s="305">
        <f t="shared" si="8"/>
        <v>0</v>
      </c>
    </row>
    <row r="59" spans="2:23" ht="196.2">
      <c r="B59" s="859"/>
      <c r="C59" s="838"/>
      <c r="D59" s="837"/>
      <c r="E59" s="550" t="s">
        <v>1211</v>
      </c>
      <c r="F59" s="589">
        <v>1</v>
      </c>
      <c r="G59" s="552" t="s">
        <v>309</v>
      </c>
      <c r="H59" s="553" t="s">
        <v>1458</v>
      </c>
      <c r="I59" s="565" t="s">
        <v>1466</v>
      </c>
      <c r="L59" s="305" t="str">
        <f>IF(OR(Overview!$D$4="Preliminary Documentation Review",Overview!$D$4="Preliminary Precertification Review"),IF(AND(P59=0,Q59=0),"",IF(AND(P59&gt;0,Q59&gt;0),"","MISMATCH")),"")</f>
        <v/>
      </c>
      <c r="M59" s="305" t="str">
        <f>IF(OR(Overview!$D$4="Preliminary Documentation Review",Overview!$D$4="Preliminary Precertification Review"),IF(AND(R59=0,S59=0),"",IF(AND(R59&gt;0,S59&gt;0),"","MISMATCH")),"")</f>
        <v/>
      </c>
      <c r="N59" s="305" t="str">
        <f>IF(OR(Overview!$D$4="Preliminary Documentation Review",Overview!$D$4="Preliminary Precertification Review"),IF(AND(T59=0,U59=0),"",IF(AND(T59&gt;0,U59&gt;0),"MISMATCH","")),"")</f>
        <v/>
      </c>
      <c r="O59" s="305" t="str">
        <f>IF(OR(Overview!$D$4="Preliminary Documentation Review",Overview!$D$4="Preliminary Precertification Review"),IF(AND(V59=0,W59=0),"",IF(AND(V59&gt;0,W59&gt;0),"","MISMATCH")),"")</f>
        <v/>
      </c>
      <c r="P59" s="286">
        <f t="shared" si="11"/>
        <v>0</v>
      </c>
      <c r="Q59" s="286">
        <f t="shared" si="5"/>
        <v>0</v>
      </c>
      <c r="R59" s="305">
        <f t="shared" si="12"/>
        <v>178</v>
      </c>
      <c r="S59" s="305">
        <f t="shared" si="6"/>
        <v>0</v>
      </c>
      <c r="T59" s="305">
        <f t="shared" si="9"/>
        <v>0</v>
      </c>
      <c r="U59" s="305">
        <f t="shared" si="10"/>
        <v>0</v>
      </c>
      <c r="V59" s="305">
        <f t="shared" si="7"/>
        <v>0</v>
      </c>
      <c r="W59" s="305">
        <f t="shared" si="8"/>
        <v>0</v>
      </c>
    </row>
    <row r="60" spans="2:23" ht="45.6">
      <c r="B60" s="859"/>
      <c r="C60" s="548" t="s">
        <v>767</v>
      </c>
      <c r="D60" s="550" t="s">
        <v>816</v>
      </c>
      <c r="E60" s="550" t="s">
        <v>1212</v>
      </c>
      <c r="F60" s="587">
        <v>1</v>
      </c>
      <c r="G60" s="552" t="s">
        <v>309</v>
      </c>
      <c r="H60" s="553" t="s">
        <v>1458</v>
      </c>
      <c r="I60" s="554" t="s">
        <v>1208</v>
      </c>
      <c r="L60" s="305" t="str">
        <f>IF(OR(Overview!$D$4="Preliminary Documentation Review",Overview!$D$4="Preliminary Precertification Review"),IF(AND(P60=0,Q60=0),"",IF(AND(P60&gt;0,Q60&gt;0),"","MISMATCH")),"")</f>
        <v/>
      </c>
      <c r="M60" s="305" t="str">
        <f>IF(OR(Overview!$D$4="Preliminary Documentation Review",Overview!$D$4="Preliminary Precertification Review"),IF(AND(R60=0,S60=0),"",IF(AND(R60&gt;0,S60&gt;0),"","MISMATCH")),"")</f>
        <v/>
      </c>
      <c r="N60" s="305" t="str">
        <f>IF(OR(Overview!$D$4="Preliminary Documentation Review",Overview!$D$4="Preliminary Precertification Review"),IF(AND(T60=0,U60=0),"",IF(AND(T60&gt;0,U60&gt;0),"MISMATCH","")),"")</f>
        <v/>
      </c>
      <c r="O60" s="305" t="str">
        <f>IF(OR(Overview!$D$4="Preliminary Documentation Review",Overview!$D$4="Preliminary Precertification Review"),IF(AND(V60=0,W60=0),"",IF(AND(V60&gt;0,W60&gt;0),"","MISMATCH")),"")</f>
        <v/>
      </c>
      <c r="P60" s="286">
        <f t="shared" si="11"/>
        <v>0</v>
      </c>
      <c r="Q60" s="286">
        <f t="shared" si="5"/>
        <v>0</v>
      </c>
      <c r="R60" s="305">
        <f t="shared" si="12"/>
        <v>0</v>
      </c>
      <c r="S60" s="305">
        <f t="shared" si="6"/>
        <v>0</v>
      </c>
      <c r="T60" s="305">
        <f t="shared" si="9"/>
        <v>0</v>
      </c>
      <c r="U60" s="305">
        <f t="shared" si="10"/>
        <v>0</v>
      </c>
      <c r="V60" s="305">
        <f t="shared" si="7"/>
        <v>0</v>
      </c>
      <c r="W60" s="305">
        <f t="shared" si="8"/>
        <v>0</v>
      </c>
    </row>
    <row r="61" spans="2:23" ht="45" customHeight="1">
      <c r="B61" s="859"/>
      <c r="C61" s="838" t="s">
        <v>767</v>
      </c>
      <c r="D61" s="837" t="s">
        <v>818</v>
      </c>
      <c r="E61" s="550" t="s">
        <v>1213</v>
      </c>
      <c r="F61" s="588">
        <v>1</v>
      </c>
      <c r="G61" s="552" t="s">
        <v>309</v>
      </c>
      <c r="H61" s="553" t="s">
        <v>1458</v>
      </c>
      <c r="I61" s="554" t="s">
        <v>1208</v>
      </c>
      <c r="L61" s="305" t="str">
        <f>IF(OR(Overview!$D$4="Preliminary Documentation Review",Overview!$D$4="Preliminary Precertification Review"),IF(AND(P61=0,Q61=0),"",IF(AND(P61&gt;0,Q61&gt;0),"","MISMATCH")),"")</f>
        <v/>
      </c>
      <c r="M61" s="305" t="str">
        <f>IF(OR(Overview!$D$4="Preliminary Documentation Review",Overview!$D$4="Preliminary Precertification Review"),IF(AND(R61=0,S61=0),"",IF(AND(R61&gt;0,S61&gt;0),"","MISMATCH")),"")</f>
        <v/>
      </c>
      <c r="N61" s="305" t="str">
        <f>IF(OR(Overview!$D$4="Preliminary Documentation Review",Overview!$D$4="Preliminary Precertification Review"),IF(AND(T61=0,U61=0),"",IF(AND(T61&gt;0,U61&gt;0),"MISMATCH","")),"")</f>
        <v/>
      </c>
      <c r="O61" s="305" t="str">
        <f>IF(OR(Overview!$D$4="Preliminary Documentation Review",Overview!$D$4="Preliminary Precertification Review"),IF(AND(V61=0,W61=0),"",IF(AND(V61&gt;0,W61&gt;0),"","MISMATCH")),"")</f>
        <v/>
      </c>
      <c r="P61" s="286">
        <f t="shared" si="11"/>
        <v>0</v>
      </c>
      <c r="Q61" s="286">
        <f t="shared" si="5"/>
        <v>0</v>
      </c>
      <c r="R61" s="305">
        <f t="shared" si="12"/>
        <v>0</v>
      </c>
      <c r="S61" s="305">
        <f t="shared" si="6"/>
        <v>0</v>
      </c>
      <c r="T61" s="305">
        <f t="shared" si="9"/>
        <v>0</v>
      </c>
      <c r="U61" s="305">
        <f t="shared" si="10"/>
        <v>0</v>
      </c>
      <c r="V61" s="305">
        <f t="shared" si="7"/>
        <v>0</v>
      </c>
      <c r="W61" s="305">
        <f t="shared" si="8"/>
        <v>0</v>
      </c>
    </row>
    <row r="62" spans="2:23" ht="45.6">
      <c r="B62" s="859"/>
      <c r="C62" s="838"/>
      <c r="D62" s="837"/>
      <c r="E62" s="550" t="s">
        <v>1214</v>
      </c>
      <c r="F62" s="590">
        <v>1</v>
      </c>
      <c r="G62" s="552" t="s">
        <v>309</v>
      </c>
      <c r="H62" s="553" t="s">
        <v>1458</v>
      </c>
      <c r="I62" s="554" t="s">
        <v>1208</v>
      </c>
      <c r="L62" s="305" t="str">
        <f>IF(OR(Overview!$D$4="Preliminary Documentation Review",Overview!$D$4="Preliminary Precertification Review"),IF(AND(P62=0,Q62=0),"",IF(AND(P62&gt;0,Q62&gt;0),"","MISMATCH")),"")</f>
        <v/>
      </c>
      <c r="M62" s="305" t="str">
        <f>IF(OR(Overview!$D$4="Preliminary Documentation Review",Overview!$D$4="Preliminary Precertification Review"),IF(AND(R62=0,S62=0),"",IF(AND(R62&gt;0,S62&gt;0),"","MISMATCH")),"")</f>
        <v/>
      </c>
      <c r="N62" s="305" t="str">
        <f>IF(OR(Overview!$D$4="Preliminary Documentation Review",Overview!$D$4="Preliminary Precertification Review"),IF(AND(T62=0,U62=0),"",IF(AND(T62&gt;0,U62&gt;0),"MISMATCH","")),"")</f>
        <v/>
      </c>
      <c r="O62" s="305" t="str">
        <f>IF(OR(Overview!$D$4="Preliminary Documentation Review",Overview!$D$4="Preliminary Precertification Review"),IF(AND(V62=0,W62=0),"",IF(AND(V62&gt;0,W62&gt;0),"","MISMATCH")),"")</f>
        <v/>
      </c>
      <c r="P62" s="286">
        <f t="shared" si="11"/>
        <v>0</v>
      </c>
      <c r="Q62" s="286">
        <f t="shared" si="5"/>
        <v>0</v>
      </c>
      <c r="R62" s="305">
        <f t="shared" si="12"/>
        <v>0</v>
      </c>
      <c r="S62" s="305">
        <f t="shared" si="6"/>
        <v>0</v>
      </c>
      <c r="T62" s="305">
        <f t="shared" si="9"/>
        <v>0</v>
      </c>
      <c r="U62" s="305">
        <f t="shared" si="10"/>
        <v>0</v>
      </c>
      <c r="V62" s="305">
        <f t="shared" si="7"/>
        <v>0</v>
      </c>
      <c r="W62" s="305">
        <f t="shared" si="8"/>
        <v>0</v>
      </c>
    </row>
    <row r="63" spans="2:23" ht="45.6">
      <c r="B63" s="859"/>
      <c r="C63" s="838"/>
      <c r="D63" s="837"/>
      <c r="E63" s="550" t="s">
        <v>1215</v>
      </c>
      <c r="F63" s="589">
        <v>1</v>
      </c>
      <c r="G63" s="552" t="s">
        <v>309</v>
      </c>
      <c r="H63" s="553" t="s">
        <v>1458</v>
      </c>
      <c r="I63" s="554" t="s">
        <v>1208</v>
      </c>
      <c r="L63" s="305" t="str">
        <f>IF(OR(Overview!$D$4="Preliminary Documentation Review",Overview!$D$4="Preliminary Precertification Review"),IF(AND(P63=0,Q63=0),"",IF(AND(P63&gt;0,Q63&gt;0),"","MISMATCH")),"")</f>
        <v/>
      </c>
      <c r="M63" s="305" t="str">
        <f>IF(OR(Overview!$D$4="Preliminary Documentation Review",Overview!$D$4="Preliminary Precertification Review"),IF(AND(R63=0,S63=0),"",IF(AND(R63&gt;0,S63&gt;0),"","MISMATCH")),"")</f>
        <v/>
      </c>
      <c r="N63" s="305" t="str">
        <f>IF(OR(Overview!$D$4="Preliminary Documentation Review",Overview!$D$4="Preliminary Precertification Review"),IF(AND(T63=0,U63=0),"",IF(AND(T63&gt;0,U63&gt;0),"MISMATCH","")),"")</f>
        <v/>
      </c>
      <c r="O63" s="305" t="str">
        <f>IF(OR(Overview!$D$4="Preliminary Documentation Review",Overview!$D$4="Preliminary Precertification Review"),IF(AND(V63=0,W63=0),"",IF(AND(V63&gt;0,W63&gt;0),"","MISMATCH")),"")</f>
        <v/>
      </c>
      <c r="P63" s="286">
        <f t="shared" si="11"/>
        <v>0</v>
      </c>
      <c r="Q63" s="286">
        <f t="shared" si="5"/>
        <v>0</v>
      </c>
      <c r="R63" s="305">
        <f t="shared" si="12"/>
        <v>0</v>
      </c>
      <c r="S63" s="305">
        <f t="shared" si="6"/>
        <v>0</v>
      </c>
      <c r="T63" s="305">
        <f t="shared" si="9"/>
        <v>0</v>
      </c>
      <c r="U63" s="305">
        <f t="shared" si="10"/>
        <v>0</v>
      </c>
      <c r="V63" s="305">
        <f t="shared" si="7"/>
        <v>0</v>
      </c>
      <c r="W63" s="305">
        <f t="shared" si="8"/>
        <v>0</v>
      </c>
    </row>
    <row r="64" spans="2:23" ht="45.6">
      <c r="B64" s="859"/>
      <c r="C64" s="838" t="s">
        <v>767</v>
      </c>
      <c r="D64" s="837" t="s">
        <v>822</v>
      </c>
      <c r="E64" s="550" t="s">
        <v>1216</v>
      </c>
      <c r="F64" s="588">
        <v>1</v>
      </c>
      <c r="G64" s="552" t="s">
        <v>309</v>
      </c>
      <c r="H64" s="553" t="s">
        <v>1458</v>
      </c>
      <c r="I64" s="554" t="s">
        <v>1208</v>
      </c>
      <c r="L64" s="305" t="str">
        <f>IF(OR(Overview!$D$4="Preliminary Documentation Review",Overview!$D$4="Preliminary Precertification Review"),IF(AND(P64=0,Q64=0),"",IF(AND(P64&gt;0,Q64&gt;0),"","MISMATCH")),"")</f>
        <v/>
      </c>
      <c r="M64" s="305" t="str">
        <f>IF(OR(Overview!$D$4="Preliminary Documentation Review",Overview!$D$4="Preliminary Precertification Review"),IF(AND(R64=0,S64=0),"",IF(AND(R64&gt;0,S64&gt;0),"","MISMATCH")),"")</f>
        <v/>
      </c>
      <c r="N64" s="305" t="str">
        <f>IF(OR(Overview!$D$4="Preliminary Documentation Review",Overview!$D$4="Preliminary Precertification Review"),IF(AND(T64=0,U64=0),"",IF(AND(T64&gt;0,U64&gt;0),"MISMATCH","")),"")</f>
        <v/>
      </c>
      <c r="O64" s="305" t="str">
        <f>IF(OR(Overview!$D$4="Preliminary Documentation Review",Overview!$D$4="Preliminary Precertification Review"),IF(AND(V64=0,W64=0),"",IF(AND(V64&gt;0,W64&gt;0),"","MISMATCH")),"")</f>
        <v/>
      </c>
      <c r="P64" s="286">
        <f t="shared" si="11"/>
        <v>0</v>
      </c>
      <c r="Q64" s="286">
        <f t="shared" si="5"/>
        <v>0</v>
      </c>
      <c r="R64" s="305">
        <f t="shared" si="12"/>
        <v>0</v>
      </c>
      <c r="S64" s="305">
        <f t="shared" si="6"/>
        <v>0</v>
      </c>
      <c r="T64" s="305">
        <f t="shared" si="9"/>
        <v>0</v>
      </c>
      <c r="U64" s="305">
        <f t="shared" si="10"/>
        <v>0</v>
      </c>
      <c r="V64" s="305">
        <f t="shared" si="7"/>
        <v>0</v>
      </c>
      <c r="W64" s="305">
        <f t="shared" si="8"/>
        <v>0</v>
      </c>
    </row>
    <row r="65" spans="2:23" ht="271.8">
      <c r="B65" s="859"/>
      <c r="C65" s="838"/>
      <c r="D65" s="837"/>
      <c r="E65" s="550" t="s">
        <v>1217</v>
      </c>
      <c r="F65" s="589">
        <v>1</v>
      </c>
      <c r="G65" s="552" t="s">
        <v>309</v>
      </c>
      <c r="H65" s="553" t="s">
        <v>1458</v>
      </c>
      <c r="I65" s="554" t="s">
        <v>1528</v>
      </c>
      <c r="K65" s="555" t="s">
        <v>825</v>
      </c>
      <c r="L65" s="305" t="str">
        <f>IF(OR(Overview!$D$4="Preliminary Documentation Review",Overview!$D$4="Preliminary Precertification Review"),IF(AND(P65=0,Q65=0),"",IF(AND(P65&gt;0,Q65&gt;0),"","MISMATCH")),"")</f>
        <v/>
      </c>
      <c r="M65" s="305" t="str">
        <f>IF(OR(Overview!$D$4="Preliminary Documentation Review",Overview!$D$4="Preliminary Precertification Review"),IF(AND(R65=0,S65=0),"",IF(AND(R65&gt;0,S65&gt;0),"","MISMATCH")),"")</f>
        <v/>
      </c>
      <c r="N65" s="305" t="str">
        <f>IF(OR(Overview!$D$4="Preliminary Documentation Review",Overview!$D$4="Preliminary Precertification Review"),IF(AND(T65=0,U65=0),"",IF(AND(T65&gt;0,U65&gt;0),"MISMATCH","")),"")</f>
        <v/>
      </c>
      <c r="O65" s="305" t="str">
        <f>IF(OR(Overview!$D$4="Preliminary Documentation Review",Overview!$D$4="Preliminary Precertification Review"),IF(AND(V65=0,W65=0),"",IF(AND(V65&gt;0,W65&gt;0),"","MISMATCH")),"")</f>
        <v/>
      </c>
      <c r="P65" s="286">
        <f t="shared" si="11"/>
        <v>254</v>
      </c>
      <c r="Q65" s="286">
        <f t="shared" si="5"/>
        <v>0</v>
      </c>
      <c r="R65" s="305">
        <f t="shared" si="12"/>
        <v>644</v>
      </c>
      <c r="S65" s="305">
        <f t="shared" si="6"/>
        <v>0</v>
      </c>
      <c r="T65" s="305">
        <f t="shared" si="9"/>
        <v>601</v>
      </c>
      <c r="U65" s="305">
        <f t="shared" si="10"/>
        <v>0</v>
      </c>
      <c r="V65" s="305">
        <f t="shared" si="7"/>
        <v>0</v>
      </c>
      <c r="W65" s="305">
        <f t="shared" si="8"/>
        <v>0</v>
      </c>
    </row>
    <row r="66" spans="2:23" ht="60" hidden="1">
      <c r="B66" s="859"/>
      <c r="C66" s="548" t="s">
        <v>767</v>
      </c>
      <c r="D66" s="550" t="s">
        <v>1218</v>
      </c>
      <c r="E66" s="550" t="s">
        <v>1219</v>
      </c>
      <c r="F66" s="591"/>
      <c r="G66" s="591"/>
      <c r="H66" s="592"/>
      <c r="I66" s="554"/>
      <c r="L66" s="305" t="str">
        <f>IF(OR(Overview!$D$4="Preliminary Documentation Review",Overview!$D$4="Preliminary Precertification Review"),IF(AND(P66=0,Q66=0),"",IF(AND(P66&gt;0,Q66&gt;0),"","MISMATCH")),"")</f>
        <v/>
      </c>
      <c r="M66" s="305" t="str">
        <f>IF(OR(Overview!$D$4="Preliminary Documentation Review",Overview!$D$4="Preliminary Precertification Review"),IF(AND(R66=0,S66=0),"",IF(AND(R66&gt;0,S66&gt;0),"","MISMATCH")),"")</f>
        <v/>
      </c>
      <c r="N66" s="305" t="str">
        <f>IF(OR(Overview!$D$4="Preliminary Documentation Review",Overview!$D$4="Preliminary Precertification Review"),IF(AND(T66=0,U66=0),"",IF(AND(T66&gt;0,U66&gt;0),"MISMATCH","")),"")</f>
        <v/>
      </c>
      <c r="O66" s="305" t="str">
        <f>IF(OR(Overview!$D$4="Preliminary Documentation Review",Overview!$D$4="Preliminary Precertification Review"),IF(AND(V66=0,W66=0),"",IF(AND(V66&gt;0,W66&gt;0),"","MISMATCH")),"")</f>
        <v/>
      </c>
      <c r="P66" s="286">
        <f t="shared" si="11"/>
        <v>0</v>
      </c>
      <c r="Q66" s="286">
        <f t="shared" si="5"/>
        <v>0</v>
      </c>
      <c r="R66" s="305">
        <f t="shared" si="12"/>
        <v>0</v>
      </c>
      <c r="S66" s="305">
        <f t="shared" si="6"/>
        <v>0</v>
      </c>
      <c r="T66" s="305">
        <f t="shared" si="9"/>
        <v>0</v>
      </c>
      <c r="U66" s="305">
        <f t="shared" si="10"/>
        <v>0</v>
      </c>
      <c r="V66" s="305">
        <f t="shared" si="7"/>
        <v>0</v>
      </c>
      <c r="W66" s="305">
        <f t="shared" si="8"/>
        <v>0</v>
      </c>
    </row>
    <row r="67" spans="2:23">
      <c r="B67" s="593"/>
      <c r="C67" s="594"/>
      <c r="D67" s="595"/>
      <c r="E67" s="596"/>
      <c r="F67" s="597"/>
      <c r="G67" s="577"/>
      <c r="H67" s="598"/>
      <c r="I67" s="599"/>
      <c r="L67" s="305" t="str">
        <f>IF(OR(Overview!$D$4="Preliminary Documentation Review",Overview!$D$4="Preliminary Precertification Review"),IF(AND(P67=0,Q67=0),"",IF(AND(P67&gt;0,Q67&gt;0),"","MISMATCH")),"")</f>
        <v/>
      </c>
      <c r="M67" s="305" t="str">
        <f>IF(OR(Overview!$D$4="Preliminary Documentation Review",Overview!$D$4="Preliminary Precertification Review"),IF(AND(R67=0,S67=0),"",IF(AND(R67&gt;0,S67&gt;0),"","MISMATCH")),"")</f>
        <v/>
      </c>
      <c r="N67" s="305" t="str">
        <f>IF(OR(Overview!$D$4="Preliminary Documentation Review",Overview!$D$4="Preliminary Precertification Review"),IF(AND(T67=0,U67=0),"",IF(AND(T67&gt;0,U67&gt;0),"MISMATCH","")),"")</f>
        <v/>
      </c>
      <c r="O67" s="305" t="str">
        <f>IF(OR(Overview!$D$4="Preliminary Documentation Review",Overview!$D$4="Preliminary Precertification Review"),IF(AND(V67=0,W67=0),"",IF(AND(V67&gt;0,W67&gt;0),"","MISMATCH")),"")</f>
        <v/>
      </c>
      <c r="P67" s="286">
        <f t="shared" si="11"/>
        <v>0</v>
      </c>
      <c r="Q67" s="286">
        <f t="shared" si="5"/>
        <v>0</v>
      </c>
      <c r="R67" s="305">
        <f t="shared" si="12"/>
        <v>0</v>
      </c>
      <c r="S67" s="305">
        <f t="shared" si="6"/>
        <v>0</v>
      </c>
      <c r="T67" s="305">
        <f t="shared" si="9"/>
        <v>0</v>
      </c>
      <c r="U67" s="305">
        <f t="shared" si="10"/>
        <v>0</v>
      </c>
      <c r="V67" s="305">
        <f t="shared" si="7"/>
        <v>0</v>
      </c>
      <c r="W67" s="305">
        <f t="shared" si="8"/>
        <v>0</v>
      </c>
    </row>
    <row r="68" spans="2:23">
      <c r="B68" s="573"/>
      <c r="C68" s="574"/>
      <c r="D68" s="575"/>
      <c r="E68" s="576"/>
      <c r="F68" s="577"/>
      <c r="G68" s="577"/>
      <c r="H68" s="578"/>
      <c r="I68" s="579"/>
      <c r="L68" s="305" t="str">
        <f>IF(OR(Overview!$D$4="Preliminary Documentation Review",Overview!$D$4="Preliminary Precertification Review"),IF(AND(P68=0,Q68=0),"",IF(AND(P68&gt;0,Q68&gt;0),"","MISMATCH")),"")</f>
        <v/>
      </c>
      <c r="M68" s="305" t="str">
        <f>IF(OR(Overview!$D$4="Preliminary Documentation Review",Overview!$D$4="Preliminary Precertification Review"),IF(AND(R68=0,S68=0),"",IF(AND(R68&gt;0,S68&gt;0),"","MISMATCH")),"")</f>
        <v/>
      </c>
      <c r="N68" s="305" t="str">
        <f>IF(OR(Overview!$D$4="Preliminary Documentation Review",Overview!$D$4="Preliminary Precertification Review"),IF(AND(T68=0,U68=0),"",IF(AND(T68&gt;0,U68&gt;0),"MISMATCH","")),"")</f>
        <v/>
      </c>
      <c r="O68" s="305" t="str">
        <f>IF(OR(Overview!$D$4="Preliminary Documentation Review",Overview!$D$4="Preliminary Precertification Review"),IF(AND(V68=0,W68=0),"",IF(AND(V68&gt;0,W68&gt;0),"","MISMATCH")),"")</f>
        <v/>
      </c>
      <c r="P68" s="286">
        <f t="shared" si="11"/>
        <v>0</v>
      </c>
      <c r="Q68" s="286">
        <f t="shared" si="5"/>
        <v>0</v>
      </c>
      <c r="R68" s="305">
        <f t="shared" si="12"/>
        <v>0</v>
      </c>
      <c r="S68" s="305">
        <f t="shared" si="6"/>
        <v>0</v>
      </c>
      <c r="T68" s="305">
        <f t="shared" si="9"/>
        <v>0</v>
      </c>
      <c r="U68" s="305">
        <f t="shared" si="10"/>
        <v>0</v>
      </c>
      <c r="V68" s="305">
        <f t="shared" si="7"/>
        <v>0</v>
      </c>
      <c r="W68" s="305">
        <f t="shared" si="8"/>
        <v>0</v>
      </c>
    </row>
    <row r="69" spans="2:23">
      <c r="B69" s="600"/>
      <c r="C69" s="601"/>
      <c r="D69" s="601"/>
      <c r="E69" s="601"/>
      <c r="F69" s="601"/>
      <c r="G69" s="601"/>
      <c r="H69" s="601"/>
      <c r="I69" s="602"/>
      <c r="L69" s="305" t="str">
        <f>IF(OR(Overview!$D$4="Preliminary Documentation Review",Overview!$D$4="Preliminary Precertification Review"),IF(AND(P69=0,Q69=0),"",IF(AND(P69&gt;0,Q69&gt;0),"","MISMATCH")),"")</f>
        <v/>
      </c>
      <c r="M69" s="305" t="str">
        <f>IF(OR(Overview!$D$4="Preliminary Documentation Review",Overview!$D$4="Preliminary Precertification Review"),IF(AND(R69=0,S69=0),"",IF(AND(R69&gt;0,S69&gt;0),"","MISMATCH")),"")</f>
        <v/>
      </c>
      <c r="N69" s="305" t="str">
        <f>IF(OR(Overview!$D$4="Preliminary Documentation Review",Overview!$D$4="Preliminary Precertification Review"),IF(AND(T69=0,U69=0),"",IF(AND(T69&gt;0,U69&gt;0),"MISMATCH","")),"")</f>
        <v/>
      </c>
      <c r="O69" s="305" t="str">
        <f>IF(OR(Overview!$D$4="Preliminary Documentation Review",Overview!$D$4="Preliminary Precertification Review"),IF(AND(V69=0,W69=0),"",IF(AND(V69&gt;0,W69&gt;0),"","MISMATCH")),"")</f>
        <v/>
      </c>
      <c r="T69" s="305">
        <f t="shared" si="9"/>
        <v>0</v>
      </c>
      <c r="U69" s="305">
        <f t="shared" si="10"/>
        <v>0</v>
      </c>
      <c r="V69" s="305">
        <f t="shared" si="7"/>
        <v>0</v>
      </c>
      <c r="W69" s="305">
        <f t="shared" si="8"/>
        <v>0</v>
      </c>
    </row>
    <row r="70" spans="2:23" s="547" customFormat="1" ht="99.9" hidden="1" customHeight="1">
      <c r="B70" s="603"/>
      <c r="C70" s="832" t="s">
        <v>1220</v>
      </c>
      <c r="D70" s="833"/>
      <c r="E70" s="833"/>
      <c r="F70" s="833"/>
      <c r="G70" s="833"/>
      <c r="H70" s="833"/>
      <c r="I70" s="834"/>
      <c r="J70" s="546"/>
      <c r="K70" s="531"/>
      <c r="L70" s="305" t="str">
        <f>IF(OR(Overview!$D$4="Preliminary Documentation Review",Overview!$D$4="Preliminary Precertification Review"),IF(AND(P70=0,Q70=0),"",IF(AND(P70&gt;0,Q70&gt;0),"","MISMATCH")),"")</f>
        <v/>
      </c>
      <c r="M70" s="305" t="str">
        <f>IF(OR(Overview!$D$4="Preliminary Documentation Review",Overview!$D$4="Preliminary Precertification Review"),IF(AND(R70=0,S70=0),"",IF(AND(R70&gt;0,S70&gt;0),"","MISMATCH")),"")</f>
        <v/>
      </c>
      <c r="N70" s="305" t="str">
        <f>IF(OR(Overview!$D$4="Preliminary Documentation Review",Overview!$D$4="Preliminary Precertification Review"),IF(AND(T70=0,U70=0),"",IF(AND(T70&gt;0,U70&gt;0),"MISMATCH","")),"")</f>
        <v/>
      </c>
      <c r="O70" s="305" t="str">
        <f>IF(OR(Overview!$D$4="Preliminary Documentation Review",Overview!$D$4="Preliminary Precertification Review"),IF(AND(V70=0,W70=0),"",IF(AND(V70&gt;0,W70&gt;0),"","MISMATCH")),"")</f>
        <v/>
      </c>
      <c r="T70" s="305">
        <f t="shared" si="9"/>
        <v>0</v>
      </c>
      <c r="U70" s="305">
        <f t="shared" si="10"/>
        <v>0</v>
      </c>
      <c r="V70" s="305">
        <f t="shared" si="7"/>
        <v>0</v>
      </c>
      <c r="W70" s="305">
        <f t="shared" si="8"/>
        <v>0</v>
      </c>
    </row>
    <row r="71" spans="2:23" s="547" customFormat="1" ht="15.6" hidden="1" customHeight="1">
      <c r="B71" s="603"/>
      <c r="C71" s="860"/>
      <c r="D71" s="860"/>
      <c r="E71" s="860"/>
      <c r="F71" s="860"/>
      <c r="G71" s="860"/>
      <c r="H71" s="860"/>
      <c r="I71" s="861"/>
      <c r="J71" s="546"/>
      <c r="K71" s="531"/>
      <c r="L71" s="305" t="str">
        <f>IF(OR(Overview!$D$4="Preliminary Documentation Review",Overview!$D$4="Preliminary Precertification Review"),IF(AND(P71=0,Q71=0),"",IF(AND(P71&gt;0,Q71&gt;0),"","MISMATCH")),"")</f>
        <v/>
      </c>
      <c r="M71" s="305" t="str">
        <f>IF(OR(Overview!$D$4="Preliminary Documentation Review",Overview!$D$4="Preliminary Precertification Review"),IF(AND(R71=0,S71=0),"",IF(AND(R71&gt;0,S71&gt;0),"","MISMATCH")),"")</f>
        <v/>
      </c>
      <c r="N71" s="305" t="str">
        <f>IF(OR(Overview!$D$4="Preliminary Documentation Review",Overview!$D$4="Preliminary Precertification Review"),IF(AND(T71=0,U71=0),"",IF(AND(T71&gt;0,U71&gt;0),"MISMATCH","")),"")</f>
        <v/>
      </c>
      <c r="O71" s="305" t="str">
        <f>IF(OR(Overview!$D$4="Preliminary Documentation Review",Overview!$D$4="Preliminary Precertification Review"),IF(AND(V71=0,W71=0),"",IF(AND(V71&gt;0,W71&gt;0),"","MISMATCH")),"")</f>
        <v/>
      </c>
      <c r="T71" s="305">
        <f t="shared" si="9"/>
        <v>0</v>
      </c>
      <c r="U71" s="305">
        <f t="shared" si="10"/>
        <v>0</v>
      </c>
      <c r="V71" s="305">
        <f t="shared" si="7"/>
        <v>0</v>
      </c>
      <c r="W71" s="305">
        <f t="shared" si="8"/>
        <v>0</v>
      </c>
    </row>
    <row r="72" spans="2:23" ht="45.6">
      <c r="B72" s="862" t="s">
        <v>828</v>
      </c>
      <c r="C72" s="838" t="s">
        <v>752</v>
      </c>
      <c r="D72" s="837" t="s">
        <v>829</v>
      </c>
      <c r="E72" s="550" t="s">
        <v>1221</v>
      </c>
      <c r="F72" s="584"/>
      <c r="G72" s="552" t="s">
        <v>1162</v>
      </c>
      <c r="H72" s="553" t="s">
        <v>1458</v>
      </c>
      <c r="I72" s="554" t="s">
        <v>1208</v>
      </c>
      <c r="L72" s="305" t="str">
        <f>IF(OR(Overview!$D$4="Preliminary Documentation Review",Overview!$D$4="Preliminary Precertification Review"),IF(AND(P72=0,Q72=0),"",IF(AND(P72&gt;0,Q72&gt;0),"","MISMATCH")),"")</f>
        <v/>
      </c>
      <c r="M72" s="305" t="str">
        <f>IF(OR(Overview!$D$4="Preliminary Documentation Review",Overview!$D$4="Preliminary Precertification Review"),IF(AND(R72=0,S72=0),"",IF(AND(R72&gt;0,S72&gt;0),"","MISMATCH")),"")</f>
        <v/>
      </c>
      <c r="N72" s="305" t="str">
        <f>IF(OR(Overview!$D$4="Preliminary Documentation Review",Overview!$D$4="Preliminary Precertification Review"),IF(AND(T72=0,U72=0),"",IF(AND(T72&gt;0,U72&gt;0),"MISMATCH","")),"")</f>
        <v/>
      </c>
      <c r="O72" s="305" t="str">
        <f>IF(OR(Overview!$D$4="Preliminary Documentation Review",Overview!$D$4="Preliminary Precertification Review"),IF(AND(V72=0,W72=0),"",IF(AND(V72&gt;0,W72&gt;0),"","MISMATCH")),"")</f>
        <v/>
      </c>
      <c r="P72" s="286">
        <f t="shared" ref="P72:P96" si="13">IFERROR(SEARCH("COMMENTS TO BE ADDRESS",$I72),0)</f>
        <v>0</v>
      </c>
      <c r="Q72" s="286">
        <f t="shared" si="5"/>
        <v>0</v>
      </c>
      <c r="R72" s="305">
        <f t="shared" ref="R72:R96" si="14">IFERROR(SEARCH("equirements of this part will be v",$I72),0)</f>
        <v>0</v>
      </c>
      <c r="S72" s="305">
        <f t="shared" si="6"/>
        <v>0</v>
      </c>
      <c r="T72" s="305">
        <f t="shared" si="9"/>
        <v>0</v>
      </c>
      <c r="U72" s="305">
        <f t="shared" si="10"/>
        <v>0</v>
      </c>
      <c r="V72" s="305">
        <f t="shared" si="7"/>
        <v>0</v>
      </c>
      <c r="W72" s="305">
        <f t="shared" si="8"/>
        <v>0</v>
      </c>
    </row>
    <row r="73" spans="2:23" ht="136.19999999999999">
      <c r="B73" s="862"/>
      <c r="C73" s="838"/>
      <c r="D73" s="837"/>
      <c r="E73" s="550" t="s">
        <v>1222</v>
      </c>
      <c r="F73" s="585"/>
      <c r="G73" s="552" t="s">
        <v>1162</v>
      </c>
      <c r="H73" s="553" t="s">
        <v>1458</v>
      </c>
      <c r="I73" s="554" t="s">
        <v>1459</v>
      </c>
      <c r="L73" s="305" t="str">
        <f>IF(OR(Overview!$D$4="Preliminary Documentation Review",Overview!$D$4="Preliminary Precertification Review"),IF(AND(P73=0,Q73=0),"",IF(AND(P73&gt;0,Q73&gt;0),"","MISMATCH")),"")</f>
        <v/>
      </c>
      <c r="M73" s="305" t="str">
        <f>IF(OR(Overview!$D$4="Preliminary Documentation Review",Overview!$D$4="Preliminary Precertification Review"),IF(AND(R73=0,S73=0),"",IF(AND(R73&gt;0,S73&gt;0),"","MISMATCH")),"")</f>
        <v/>
      </c>
      <c r="N73" s="305" t="str">
        <f>IF(OR(Overview!$D$4="Preliminary Documentation Review",Overview!$D$4="Preliminary Precertification Review"),IF(AND(T73=0,U73=0),"",IF(AND(T73&gt;0,U73&gt;0),"MISMATCH","")),"")</f>
        <v/>
      </c>
      <c r="O73" s="305" t="str">
        <f>IF(OR(Overview!$D$4="Preliminary Documentation Review",Overview!$D$4="Preliminary Precertification Review"),IF(AND(V73=0,W73=0),"",IF(AND(V73&gt;0,W73&gt;0),"","MISMATCH")),"")</f>
        <v/>
      </c>
      <c r="P73" s="286">
        <f t="shared" si="13"/>
        <v>0</v>
      </c>
      <c r="Q73" s="286">
        <f t="shared" si="5"/>
        <v>0</v>
      </c>
      <c r="R73" s="305">
        <f t="shared" si="14"/>
        <v>185</v>
      </c>
      <c r="S73" s="305">
        <f t="shared" si="6"/>
        <v>0</v>
      </c>
      <c r="T73" s="305">
        <f t="shared" si="9"/>
        <v>142</v>
      </c>
      <c r="U73" s="305">
        <f t="shared" si="10"/>
        <v>0</v>
      </c>
      <c r="V73" s="305">
        <f t="shared" si="7"/>
        <v>0</v>
      </c>
      <c r="W73" s="305">
        <f t="shared" si="8"/>
        <v>0</v>
      </c>
    </row>
    <row r="74" spans="2:23" ht="136.19999999999999">
      <c r="B74" s="862"/>
      <c r="C74" s="838" t="s">
        <v>752</v>
      </c>
      <c r="D74" s="837" t="s">
        <v>832</v>
      </c>
      <c r="E74" s="550" t="s">
        <v>1223</v>
      </c>
      <c r="F74" s="585"/>
      <c r="G74" s="552" t="s">
        <v>1162</v>
      </c>
      <c r="H74" s="553" t="s">
        <v>1458</v>
      </c>
      <c r="I74" s="554" t="s">
        <v>1459</v>
      </c>
      <c r="L74" s="305" t="str">
        <f>IF(OR(Overview!$D$4="Preliminary Documentation Review",Overview!$D$4="Preliminary Precertification Review"),IF(AND(P74=0,Q74=0),"",IF(AND(P74&gt;0,Q74&gt;0),"","MISMATCH")),"")</f>
        <v/>
      </c>
      <c r="M74" s="305" t="str">
        <f>IF(OR(Overview!$D$4="Preliminary Documentation Review",Overview!$D$4="Preliminary Precertification Review"),IF(AND(R74=0,S74=0),"",IF(AND(R74&gt;0,S74&gt;0),"","MISMATCH")),"")</f>
        <v/>
      </c>
      <c r="N74" s="305" t="str">
        <f>IF(OR(Overview!$D$4="Preliminary Documentation Review",Overview!$D$4="Preliminary Precertification Review"),IF(AND(T74=0,U74=0),"",IF(AND(T74&gt;0,U74&gt;0),"MISMATCH","")),"")</f>
        <v/>
      </c>
      <c r="O74" s="305" t="str">
        <f>IF(OR(Overview!$D$4="Preliminary Documentation Review",Overview!$D$4="Preliminary Precertification Review"),IF(AND(V74=0,W74=0),"",IF(AND(V74&gt;0,W74&gt;0),"","MISMATCH")),"")</f>
        <v/>
      </c>
      <c r="P74" s="286">
        <f t="shared" si="13"/>
        <v>0</v>
      </c>
      <c r="Q74" s="286">
        <f t="shared" si="5"/>
        <v>0</v>
      </c>
      <c r="R74" s="305">
        <f t="shared" si="14"/>
        <v>185</v>
      </c>
      <c r="S74" s="305">
        <f t="shared" si="6"/>
        <v>0</v>
      </c>
      <c r="T74" s="305">
        <f t="shared" si="9"/>
        <v>142</v>
      </c>
      <c r="U74" s="305">
        <f t="shared" si="10"/>
        <v>0</v>
      </c>
      <c r="V74" s="305">
        <f t="shared" si="7"/>
        <v>0</v>
      </c>
      <c r="W74" s="305">
        <f t="shared" si="8"/>
        <v>0</v>
      </c>
    </row>
    <row r="75" spans="2:23" ht="136.19999999999999">
      <c r="B75" s="862"/>
      <c r="C75" s="838"/>
      <c r="D75" s="837"/>
      <c r="E75" s="550" t="s">
        <v>1224</v>
      </c>
      <c r="F75" s="585"/>
      <c r="G75" s="552" t="s">
        <v>1162</v>
      </c>
      <c r="H75" s="553" t="s">
        <v>1458</v>
      </c>
      <c r="I75" s="554" t="s">
        <v>1459</v>
      </c>
      <c r="L75" s="305" t="str">
        <f>IF(OR(Overview!$D$4="Preliminary Documentation Review",Overview!$D$4="Preliminary Precertification Review"),IF(AND(P75=0,Q75=0),"",IF(AND(P75&gt;0,Q75&gt;0),"","MISMATCH")),"")</f>
        <v/>
      </c>
      <c r="M75" s="305" t="str">
        <f>IF(OR(Overview!$D$4="Preliminary Documentation Review",Overview!$D$4="Preliminary Precertification Review"),IF(AND(R75=0,S75=0),"",IF(AND(R75&gt;0,S75&gt;0),"","MISMATCH")),"")</f>
        <v/>
      </c>
      <c r="N75" s="305" t="str">
        <f>IF(OR(Overview!$D$4="Preliminary Documentation Review",Overview!$D$4="Preliminary Precertification Review"),IF(AND(T75=0,U75=0),"",IF(AND(T75&gt;0,U75&gt;0),"MISMATCH","")),"")</f>
        <v/>
      </c>
      <c r="O75" s="305" t="str">
        <f>IF(OR(Overview!$D$4="Preliminary Documentation Review",Overview!$D$4="Preliminary Precertification Review"),IF(AND(V75=0,W75=0),"",IF(AND(V75&gt;0,W75&gt;0),"","MISMATCH")),"")</f>
        <v/>
      </c>
      <c r="P75" s="286">
        <f t="shared" si="13"/>
        <v>0</v>
      </c>
      <c r="Q75" s="286">
        <f t="shared" si="5"/>
        <v>0</v>
      </c>
      <c r="R75" s="305">
        <f t="shared" si="14"/>
        <v>185</v>
      </c>
      <c r="S75" s="305">
        <f t="shared" si="6"/>
        <v>0</v>
      </c>
      <c r="T75" s="305">
        <f t="shared" si="9"/>
        <v>142</v>
      </c>
      <c r="U75" s="305">
        <f t="shared" si="10"/>
        <v>0</v>
      </c>
      <c r="V75" s="305">
        <f t="shared" si="7"/>
        <v>0</v>
      </c>
      <c r="W75" s="305">
        <f t="shared" si="8"/>
        <v>0</v>
      </c>
    </row>
    <row r="76" spans="2:23" ht="136.19999999999999">
      <c r="B76" s="862"/>
      <c r="C76" s="838"/>
      <c r="D76" s="837"/>
      <c r="E76" s="550" t="s">
        <v>1225</v>
      </c>
      <c r="F76" s="586"/>
      <c r="G76" s="552" t="s">
        <v>1162</v>
      </c>
      <c r="H76" s="553" t="s">
        <v>1458</v>
      </c>
      <c r="I76" s="554" t="s">
        <v>1459</v>
      </c>
      <c r="L76" s="305" t="str">
        <f>IF(OR(Overview!$D$4="Preliminary Documentation Review",Overview!$D$4="Preliminary Precertification Review"),IF(AND(P76=0,Q76=0),"",IF(AND(P76&gt;0,Q76&gt;0),"","MISMATCH")),"")</f>
        <v/>
      </c>
      <c r="M76" s="305" t="str">
        <f>IF(OR(Overview!$D$4="Preliminary Documentation Review",Overview!$D$4="Preliminary Precertification Review"),IF(AND(R76=0,S76=0),"",IF(AND(R76&gt;0,S76&gt;0),"","MISMATCH")),"")</f>
        <v/>
      </c>
      <c r="N76" s="305" t="str">
        <f>IF(OR(Overview!$D$4="Preliminary Documentation Review",Overview!$D$4="Preliminary Precertification Review"),IF(AND(T76=0,U76=0),"",IF(AND(T76&gt;0,U76&gt;0),"MISMATCH","")),"")</f>
        <v/>
      </c>
      <c r="O76" s="305" t="str">
        <f>IF(OR(Overview!$D$4="Preliminary Documentation Review",Overview!$D$4="Preliminary Precertification Review"),IF(AND(V76=0,W76=0),"",IF(AND(V76&gt;0,W76&gt;0),"","MISMATCH")),"")</f>
        <v/>
      </c>
      <c r="P76" s="286">
        <f t="shared" si="13"/>
        <v>0</v>
      </c>
      <c r="Q76" s="286">
        <f t="shared" si="5"/>
        <v>0</v>
      </c>
      <c r="R76" s="305">
        <f t="shared" si="14"/>
        <v>185</v>
      </c>
      <c r="S76" s="305">
        <f t="shared" si="6"/>
        <v>0</v>
      </c>
      <c r="T76" s="305">
        <f t="shared" si="9"/>
        <v>142</v>
      </c>
      <c r="U76" s="305">
        <f t="shared" si="10"/>
        <v>0</v>
      </c>
      <c r="V76" s="305">
        <f t="shared" si="7"/>
        <v>0</v>
      </c>
      <c r="W76" s="305">
        <f t="shared" si="8"/>
        <v>0</v>
      </c>
    </row>
    <row r="77" spans="2:23" ht="45.6">
      <c r="B77" s="862"/>
      <c r="C77" s="838" t="s">
        <v>767</v>
      </c>
      <c r="D77" s="837" t="s">
        <v>836</v>
      </c>
      <c r="E77" s="550" t="s">
        <v>1226</v>
      </c>
      <c r="F77" s="559"/>
      <c r="G77" s="552" t="s">
        <v>25</v>
      </c>
      <c r="H77" s="553" t="s">
        <v>1176</v>
      </c>
      <c r="I77" s="554" t="s">
        <v>1177</v>
      </c>
      <c r="L77" s="305" t="str">
        <f>IF(OR(Overview!$D$4="Preliminary Documentation Review",Overview!$D$4="Preliminary Precertification Review"),IF(AND(P77=0,Q77=0),"",IF(AND(P77&gt;0,Q77&gt;0),"","MISMATCH")),"")</f>
        <v/>
      </c>
      <c r="M77" s="305" t="str">
        <f>IF(OR(Overview!$D$4="Preliminary Documentation Review",Overview!$D$4="Preliminary Precertification Review"),IF(AND(R77=0,S77=0),"",IF(AND(R77&gt;0,S77&gt;0),"","MISMATCH")),"")</f>
        <v/>
      </c>
      <c r="N77" s="305" t="str">
        <f>IF(OR(Overview!$D$4="Preliminary Documentation Review",Overview!$D$4="Preliminary Precertification Review"),IF(AND(T77=0,U77=0),"",IF(AND(T77&gt;0,U77&gt;0),"MISMATCH","")),"")</f>
        <v/>
      </c>
      <c r="O77" s="305" t="str">
        <f>IF(OR(Overview!$D$4="Preliminary Documentation Review",Overview!$D$4="Preliminary Precertification Review"),IF(AND(V77=0,W77=0),"",IF(AND(V77&gt;0,W77&gt;0),"","MISMATCH")),"")</f>
        <v/>
      </c>
      <c r="P77" s="286">
        <f t="shared" si="13"/>
        <v>0</v>
      </c>
      <c r="Q77" s="286">
        <f t="shared" si="5"/>
        <v>0</v>
      </c>
      <c r="R77" s="305">
        <f t="shared" si="14"/>
        <v>0</v>
      </c>
      <c r="S77" s="305">
        <f t="shared" si="6"/>
        <v>0</v>
      </c>
      <c r="T77" s="305">
        <f t="shared" si="9"/>
        <v>35</v>
      </c>
      <c r="U77" s="305">
        <f t="shared" si="10"/>
        <v>0</v>
      </c>
      <c r="V77" s="305">
        <f t="shared" ref="V77:V140" si="15">IFERROR(SEARCH("This Part has not been attempted.",$I77),IFERROR(SEARCH("Not Attempted",$I77),0))</f>
        <v>35</v>
      </c>
      <c r="W77" s="305">
        <f t="shared" si="8"/>
        <v>1</v>
      </c>
    </row>
    <row r="78" spans="2:23" ht="45.6">
      <c r="B78" s="862"/>
      <c r="C78" s="838"/>
      <c r="D78" s="837"/>
      <c r="E78" s="550" t="s">
        <v>1227</v>
      </c>
      <c r="F78" s="560"/>
      <c r="G78" s="552" t="s">
        <v>25</v>
      </c>
      <c r="H78" s="553" t="s">
        <v>1176</v>
      </c>
      <c r="I78" s="554" t="s">
        <v>1177</v>
      </c>
      <c r="L78" s="305" t="str">
        <f>IF(OR(Overview!$D$4="Preliminary Documentation Review",Overview!$D$4="Preliminary Precertification Review"),IF(AND(P78=0,Q78=0),"",IF(AND(P78&gt;0,Q78&gt;0),"","MISMATCH")),"")</f>
        <v/>
      </c>
      <c r="M78" s="305" t="str">
        <f>IF(OR(Overview!$D$4="Preliminary Documentation Review",Overview!$D$4="Preliminary Precertification Review"),IF(AND(R78=0,S78=0),"",IF(AND(R78&gt;0,S78&gt;0),"","MISMATCH")),"")</f>
        <v/>
      </c>
      <c r="N78" s="305" t="str">
        <f>IF(OR(Overview!$D$4="Preliminary Documentation Review",Overview!$D$4="Preliminary Precertification Review"),IF(AND(T78=0,U78=0),"",IF(AND(T78&gt;0,U78&gt;0),"MISMATCH","")),"")</f>
        <v/>
      </c>
      <c r="O78" s="305" t="str">
        <f>IF(OR(Overview!$D$4="Preliminary Documentation Review",Overview!$D$4="Preliminary Precertification Review"),IF(AND(V78=0,W78=0),"",IF(AND(V78&gt;0,W78&gt;0),"","MISMATCH")),"")</f>
        <v/>
      </c>
      <c r="P78" s="286">
        <f t="shared" si="13"/>
        <v>0</v>
      </c>
      <c r="Q78" s="286">
        <f t="shared" si="5"/>
        <v>0</v>
      </c>
      <c r="R78" s="305">
        <f t="shared" si="14"/>
        <v>0</v>
      </c>
      <c r="S78" s="305">
        <f t="shared" si="6"/>
        <v>0</v>
      </c>
      <c r="T78" s="305">
        <f t="shared" si="9"/>
        <v>35</v>
      </c>
      <c r="U78" s="305">
        <f t="shared" si="10"/>
        <v>0</v>
      </c>
      <c r="V78" s="305">
        <f t="shared" si="15"/>
        <v>35</v>
      </c>
      <c r="W78" s="305">
        <f t="shared" si="8"/>
        <v>1</v>
      </c>
    </row>
    <row r="79" spans="2:23" ht="45.6">
      <c r="B79" s="862"/>
      <c r="C79" s="838"/>
      <c r="D79" s="837"/>
      <c r="E79" s="550" t="s">
        <v>1228</v>
      </c>
      <c r="F79" s="562"/>
      <c r="G79" s="552" t="s">
        <v>25</v>
      </c>
      <c r="H79" s="553" t="s">
        <v>1176</v>
      </c>
      <c r="I79" s="554" t="s">
        <v>1177</v>
      </c>
      <c r="L79" s="305" t="str">
        <f>IF(OR(Overview!$D$4="Preliminary Documentation Review",Overview!$D$4="Preliminary Precertification Review"),IF(AND(P79=0,Q79=0),"",IF(AND(P79&gt;0,Q79&gt;0),"","MISMATCH")),"")</f>
        <v/>
      </c>
      <c r="M79" s="305" t="str">
        <f>IF(OR(Overview!$D$4="Preliminary Documentation Review",Overview!$D$4="Preliminary Precertification Review"),IF(AND(R79=0,S79=0),"",IF(AND(R79&gt;0,S79&gt;0),"","MISMATCH")),"")</f>
        <v/>
      </c>
      <c r="N79" s="305" t="str">
        <f>IF(OR(Overview!$D$4="Preliminary Documentation Review",Overview!$D$4="Preliminary Precertification Review"),IF(AND(T79=0,U79=0),"",IF(AND(T79&gt;0,U79&gt;0),"MISMATCH","")),"")</f>
        <v/>
      </c>
      <c r="O79" s="305" t="str">
        <f>IF(OR(Overview!$D$4="Preliminary Documentation Review",Overview!$D$4="Preliminary Precertification Review"),IF(AND(V79=0,W79=0),"",IF(AND(V79&gt;0,W79&gt;0),"","MISMATCH")),"")</f>
        <v/>
      </c>
      <c r="P79" s="286">
        <f t="shared" si="13"/>
        <v>0</v>
      </c>
      <c r="Q79" s="286">
        <f t="shared" si="5"/>
        <v>0</v>
      </c>
      <c r="R79" s="305">
        <f t="shared" si="14"/>
        <v>0</v>
      </c>
      <c r="S79" s="305">
        <f t="shared" si="6"/>
        <v>0</v>
      </c>
      <c r="T79" s="305">
        <f t="shared" si="9"/>
        <v>35</v>
      </c>
      <c r="U79" s="305">
        <f t="shared" si="10"/>
        <v>0</v>
      </c>
      <c r="V79" s="305">
        <f t="shared" si="15"/>
        <v>35</v>
      </c>
      <c r="W79" s="305">
        <f t="shared" si="8"/>
        <v>1</v>
      </c>
    </row>
    <row r="80" spans="2:23" ht="136.19999999999999">
      <c r="B80" s="862"/>
      <c r="C80" s="838" t="s">
        <v>767</v>
      </c>
      <c r="D80" s="837" t="s">
        <v>840</v>
      </c>
      <c r="E80" s="550" t="s">
        <v>1229</v>
      </c>
      <c r="F80" s="559">
        <v>1</v>
      </c>
      <c r="G80" s="552" t="s">
        <v>309</v>
      </c>
      <c r="H80" s="553" t="s">
        <v>1458</v>
      </c>
      <c r="I80" s="565" t="s">
        <v>1461</v>
      </c>
      <c r="L80" s="305" t="str">
        <f>IF(OR(Overview!$D$4="Preliminary Documentation Review",Overview!$D$4="Preliminary Precertification Review"),IF(AND(P80=0,Q80=0),"",IF(AND(P80&gt;0,Q80&gt;0),"","MISMATCH")),"")</f>
        <v/>
      </c>
      <c r="M80" s="305" t="str">
        <f>IF(OR(Overview!$D$4="Preliminary Documentation Review",Overview!$D$4="Preliminary Precertification Review"),IF(AND(R80=0,S80=0),"",IF(AND(R80&gt;0,S80&gt;0),"","MISMATCH")),"")</f>
        <v/>
      </c>
      <c r="N80" s="305" t="str">
        <f>IF(OR(Overview!$D$4="Preliminary Documentation Review",Overview!$D$4="Preliminary Precertification Review"),IF(AND(T80=0,U80=0),"",IF(AND(T80&gt;0,U80&gt;0),"MISMATCH","")),"")</f>
        <v/>
      </c>
      <c r="O80" s="305" t="str">
        <f>IF(OR(Overview!$D$4="Preliminary Documentation Review",Overview!$D$4="Preliminary Precertification Review"),IF(AND(V80=0,W80=0),"",IF(AND(V80&gt;0,W80&gt;0),"","MISMATCH")),"")</f>
        <v/>
      </c>
      <c r="P80" s="286">
        <f t="shared" si="13"/>
        <v>0</v>
      </c>
      <c r="Q80" s="286">
        <f t="shared" si="5"/>
        <v>0</v>
      </c>
      <c r="R80" s="305">
        <f t="shared" si="14"/>
        <v>178</v>
      </c>
      <c r="S80" s="305">
        <f t="shared" si="6"/>
        <v>0</v>
      </c>
      <c r="T80" s="305">
        <f t="shared" si="9"/>
        <v>0</v>
      </c>
      <c r="U80" s="305">
        <f t="shared" si="10"/>
        <v>0</v>
      </c>
      <c r="V80" s="305">
        <f t="shared" si="15"/>
        <v>0</v>
      </c>
      <c r="W80" s="305">
        <f t="shared" si="8"/>
        <v>0</v>
      </c>
    </row>
    <row r="81" spans="2:23" ht="45.6">
      <c r="B81" s="862"/>
      <c r="C81" s="838"/>
      <c r="D81" s="837"/>
      <c r="E81" s="550" t="s">
        <v>1230</v>
      </c>
      <c r="F81" s="562"/>
      <c r="G81" s="552" t="s">
        <v>25</v>
      </c>
      <c r="H81" s="553" t="s">
        <v>1176</v>
      </c>
      <c r="I81" s="554" t="s">
        <v>1177</v>
      </c>
      <c r="L81" s="305" t="str">
        <f>IF(OR(Overview!$D$4="Preliminary Documentation Review",Overview!$D$4="Preliminary Precertification Review"),IF(AND(P81=0,Q81=0),"",IF(AND(P81&gt;0,Q81&gt;0),"","MISMATCH")),"")</f>
        <v/>
      </c>
      <c r="M81" s="305" t="str">
        <f>IF(OR(Overview!$D$4="Preliminary Documentation Review",Overview!$D$4="Preliminary Precertification Review"),IF(AND(R81=0,S81=0),"",IF(AND(R81&gt;0,S81&gt;0),"","MISMATCH")),"")</f>
        <v/>
      </c>
      <c r="N81" s="305" t="str">
        <f>IF(OR(Overview!$D$4="Preliminary Documentation Review",Overview!$D$4="Preliminary Precertification Review"),IF(AND(T81=0,U81=0),"",IF(AND(T81&gt;0,U81&gt;0),"MISMATCH","")),"")</f>
        <v/>
      </c>
      <c r="O81" s="305" t="str">
        <f>IF(OR(Overview!$D$4="Preliminary Documentation Review",Overview!$D$4="Preliminary Precertification Review"),IF(AND(V81=0,W81=0),"",IF(AND(V81&gt;0,W81&gt;0),"","MISMATCH")),"")</f>
        <v/>
      </c>
      <c r="P81" s="286">
        <f>IFERROR(SEARCH("COMMENTS TO BE ADDRESS",$I81),0)</f>
        <v>0</v>
      </c>
      <c r="Q81" s="286">
        <f t="shared" si="5"/>
        <v>0</v>
      </c>
      <c r="R81" s="305">
        <f>IFERROR(SEARCH("equirements of this part will be v",$I81),0)</f>
        <v>0</v>
      </c>
      <c r="S81" s="305">
        <f t="shared" si="6"/>
        <v>0</v>
      </c>
      <c r="T81" s="305">
        <f>IFERROR(SEARCH("This Part has no",$I81),0)</f>
        <v>35</v>
      </c>
      <c r="U81" s="305">
        <f t="shared" si="10"/>
        <v>0</v>
      </c>
      <c r="V81" s="305">
        <f>IFERROR(SEARCH("This Part has not been attempted.",$I81),IFERROR(SEARCH("Not Attempted",$I81),0))</f>
        <v>35</v>
      </c>
      <c r="W81" s="305">
        <f t="shared" si="8"/>
        <v>1</v>
      </c>
    </row>
    <row r="82" spans="2:23" ht="45.6">
      <c r="B82" s="862"/>
      <c r="C82" s="548" t="s">
        <v>767</v>
      </c>
      <c r="D82" s="550" t="s">
        <v>843</v>
      </c>
      <c r="E82" s="550" t="s">
        <v>1231</v>
      </c>
      <c r="F82" s="564"/>
      <c r="G82" s="552" t="s">
        <v>25</v>
      </c>
      <c r="H82" s="553" t="s">
        <v>1176</v>
      </c>
      <c r="I82" s="554" t="s">
        <v>1177</v>
      </c>
      <c r="L82" s="305" t="str">
        <f>IF(OR(Overview!$D$4="Preliminary Documentation Review",Overview!$D$4="Preliminary Precertification Review"),IF(AND(P82=0,Q82=0),"",IF(AND(P82&gt;0,Q82&gt;0),"","MISMATCH")),"")</f>
        <v/>
      </c>
      <c r="M82" s="305" t="str">
        <f>IF(OR(Overview!$D$4="Preliminary Documentation Review",Overview!$D$4="Preliminary Precertification Review"),IF(AND(R82=0,S82=0),"",IF(AND(R82&gt;0,S82&gt;0),"","MISMATCH")),"")</f>
        <v/>
      </c>
      <c r="N82" s="305" t="str">
        <f>IF(OR(Overview!$D$4="Preliminary Documentation Review",Overview!$D$4="Preliminary Precertification Review"),IF(AND(T82=0,U82=0),"",IF(AND(T82&gt;0,U82&gt;0),"MISMATCH","")),"")</f>
        <v/>
      </c>
      <c r="O82" s="305" t="str">
        <f>IF(OR(Overview!$D$4="Preliminary Documentation Review",Overview!$D$4="Preliminary Precertification Review"),IF(AND(V82=0,W82=0),"",IF(AND(V82&gt;0,W82&gt;0),"","MISMATCH")),"")</f>
        <v/>
      </c>
      <c r="P82" s="286">
        <f>IFERROR(SEARCH("COMMENTS TO BE ADDRESS",$I82),0)</f>
        <v>0</v>
      </c>
      <c r="Q82" s="286">
        <f t="shared" si="5"/>
        <v>0</v>
      </c>
      <c r="R82" s="305">
        <f>IFERROR(SEARCH("equirements of this part will be v",$I82),0)</f>
        <v>0</v>
      </c>
      <c r="S82" s="305">
        <f t="shared" si="6"/>
        <v>0</v>
      </c>
      <c r="T82" s="305">
        <f>IFERROR(SEARCH("This Part has no",$I82),0)</f>
        <v>35</v>
      </c>
      <c r="U82" s="305">
        <f t="shared" si="10"/>
        <v>0</v>
      </c>
      <c r="V82" s="305">
        <f>IFERROR(SEARCH("This Part has not been attempted.",$I82),IFERROR(SEARCH("Not Attempted",$I82),0))</f>
        <v>35</v>
      </c>
      <c r="W82" s="305">
        <f t="shared" si="8"/>
        <v>1</v>
      </c>
    </row>
    <row r="83" spans="2:23" ht="45.6">
      <c r="B83" s="862"/>
      <c r="C83" s="548" t="s">
        <v>767</v>
      </c>
      <c r="D83" s="550" t="s">
        <v>845</v>
      </c>
      <c r="E83" s="550" t="s">
        <v>1232</v>
      </c>
      <c r="F83" s="564"/>
      <c r="G83" s="552" t="s">
        <v>25</v>
      </c>
      <c r="H83" s="553" t="s">
        <v>1176</v>
      </c>
      <c r="I83" s="554" t="s">
        <v>1177</v>
      </c>
      <c r="L83" s="305" t="str">
        <f>IF(OR(Overview!$D$4="Preliminary Documentation Review",Overview!$D$4="Preliminary Precertification Review"),IF(AND(P83=0,Q83=0),"",IF(AND(P83&gt;0,Q83&gt;0),"","MISMATCH")),"")</f>
        <v/>
      </c>
      <c r="M83" s="305" t="str">
        <f>IF(OR(Overview!$D$4="Preliminary Documentation Review",Overview!$D$4="Preliminary Precertification Review"),IF(AND(R83=0,S83=0),"",IF(AND(R83&gt;0,S83&gt;0),"","MISMATCH")),"")</f>
        <v/>
      </c>
      <c r="N83" s="305" t="str">
        <f>IF(OR(Overview!$D$4="Preliminary Documentation Review",Overview!$D$4="Preliminary Precertification Review"),IF(AND(T83=0,U83=0),"",IF(AND(T83&gt;0,U83&gt;0),"MISMATCH","")),"")</f>
        <v/>
      </c>
      <c r="O83" s="305" t="str">
        <f>IF(OR(Overview!$D$4="Preliminary Documentation Review",Overview!$D$4="Preliminary Precertification Review"),IF(AND(V83=0,W83=0),"",IF(AND(V83&gt;0,W83&gt;0),"","MISMATCH")),"")</f>
        <v/>
      </c>
      <c r="P83" s="286">
        <f t="shared" si="13"/>
        <v>0</v>
      </c>
      <c r="Q83" s="286">
        <f t="shared" ref="Q83:Q158" si="16">IFERROR(SEARCH("Pending Documentation",$H83),0)</f>
        <v>0</v>
      </c>
      <c r="R83" s="305">
        <f t="shared" si="14"/>
        <v>0</v>
      </c>
      <c r="S83" s="305">
        <f t="shared" ref="S83:S158" si="17">IFERROR(SEARCH("Pending On",$H83),0)</f>
        <v>0</v>
      </c>
      <c r="T83" s="305">
        <f t="shared" si="9"/>
        <v>35</v>
      </c>
      <c r="U83" s="305">
        <f t="shared" si="10"/>
        <v>0</v>
      </c>
      <c r="V83" s="305">
        <f t="shared" si="15"/>
        <v>35</v>
      </c>
      <c r="W83" s="305">
        <f t="shared" si="8"/>
        <v>1</v>
      </c>
    </row>
    <row r="84" spans="2:23" ht="45.6">
      <c r="B84" s="862"/>
      <c r="C84" s="548" t="s">
        <v>767</v>
      </c>
      <c r="D84" s="550" t="s">
        <v>847</v>
      </c>
      <c r="E84" s="550" t="s">
        <v>1233</v>
      </c>
      <c r="F84" s="564">
        <v>1</v>
      </c>
      <c r="G84" s="552" t="s">
        <v>309</v>
      </c>
      <c r="H84" s="553" t="s">
        <v>1458</v>
      </c>
      <c r="I84" s="554" t="s">
        <v>1208</v>
      </c>
      <c r="L84" s="305" t="str">
        <f>IF(OR(Overview!$D$4="Preliminary Documentation Review",Overview!$D$4="Preliminary Precertification Review"),IF(AND(P84=0,Q84=0),"",IF(AND(P84&gt;0,Q84&gt;0),"","MISMATCH")),"")</f>
        <v/>
      </c>
      <c r="M84" s="305" t="str">
        <f>IF(OR(Overview!$D$4="Preliminary Documentation Review",Overview!$D$4="Preliminary Precertification Review"),IF(AND(R84=0,S84=0),"",IF(AND(R84&gt;0,S84&gt;0),"","MISMATCH")),"")</f>
        <v/>
      </c>
      <c r="N84" s="305" t="str">
        <f>IF(OR(Overview!$D$4="Preliminary Documentation Review",Overview!$D$4="Preliminary Precertification Review"),IF(AND(T84=0,U84=0),"",IF(AND(T84&gt;0,U84&gt;0),"MISMATCH","")),"")</f>
        <v/>
      </c>
      <c r="O84" s="305" t="str">
        <f>IF(OR(Overview!$D$4="Preliminary Documentation Review",Overview!$D$4="Preliminary Precertification Review"),IF(AND(V84=0,W84=0),"",IF(AND(V84&gt;0,W84&gt;0),"","MISMATCH")),"")</f>
        <v/>
      </c>
      <c r="P84" s="286">
        <f t="shared" si="13"/>
        <v>0</v>
      </c>
      <c r="Q84" s="286">
        <f t="shared" si="16"/>
        <v>0</v>
      </c>
      <c r="R84" s="305">
        <f t="shared" si="14"/>
        <v>0</v>
      </c>
      <c r="S84" s="305">
        <f t="shared" si="17"/>
        <v>0</v>
      </c>
      <c r="T84" s="305">
        <f t="shared" si="9"/>
        <v>0</v>
      </c>
      <c r="U84" s="305">
        <f t="shared" si="10"/>
        <v>0</v>
      </c>
      <c r="V84" s="305">
        <f t="shared" si="15"/>
        <v>0</v>
      </c>
      <c r="W84" s="305">
        <f t="shared" si="8"/>
        <v>0</v>
      </c>
    </row>
    <row r="85" spans="2:23" ht="45.6">
      <c r="B85" s="862"/>
      <c r="C85" s="838" t="s">
        <v>767</v>
      </c>
      <c r="D85" s="837" t="s">
        <v>849</v>
      </c>
      <c r="E85" s="550" t="s">
        <v>1234</v>
      </c>
      <c r="F85" s="559"/>
      <c r="G85" s="552" t="s">
        <v>25</v>
      </c>
      <c r="H85" s="553" t="s">
        <v>1176</v>
      </c>
      <c r="I85" s="554" t="s">
        <v>1177</v>
      </c>
      <c r="L85" s="305" t="str">
        <f>IF(OR(Overview!$D$4="Preliminary Documentation Review",Overview!$D$4="Preliminary Precertification Review"),IF(AND(P85=0,Q85=0),"",IF(AND(P85&gt;0,Q85&gt;0),"","MISMATCH")),"")</f>
        <v/>
      </c>
      <c r="M85" s="305" t="str">
        <f>IF(OR(Overview!$D$4="Preliminary Documentation Review",Overview!$D$4="Preliminary Precertification Review"),IF(AND(R85=0,S85=0),"",IF(AND(R85&gt;0,S85&gt;0),"","MISMATCH")),"")</f>
        <v/>
      </c>
      <c r="N85" s="305" t="str">
        <f>IF(OR(Overview!$D$4="Preliminary Documentation Review",Overview!$D$4="Preliminary Precertification Review"),IF(AND(T85=0,U85=0),"",IF(AND(T85&gt;0,U85&gt;0),"MISMATCH","")),"")</f>
        <v/>
      </c>
      <c r="O85" s="305" t="str">
        <f>IF(OR(Overview!$D$4="Preliminary Documentation Review",Overview!$D$4="Preliminary Precertification Review"),IF(AND(V85=0,W85=0),"",IF(AND(V85&gt;0,W85&gt;0),"","MISMATCH")),"")</f>
        <v/>
      </c>
      <c r="P85" s="286">
        <f t="shared" si="13"/>
        <v>0</v>
      </c>
      <c r="Q85" s="286">
        <f t="shared" si="16"/>
        <v>0</v>
      </c>
      <c r="R85" s="305">
        <f t="shared" si="14"/>
        <v>0</v>
      </c>
      <c r="S85" s="305">
        <f t="shared" si="17"/>
        <v>0</v>
      </c>
      <c r="T85" s="305">
        <f t="shared" si="9"/>
        <v>35</v>
      </c>
      <c r="U85" s="305">
        <f t="shared" si="10"/>
        <v>0</v>
      </c>
      <c r="V85" s="305">
        <f t="shared" si="15"/>
        <v>35</v>
      </c>
      <c r="W85" s="305">
        <f t="shared" si="8"/>
        <v>1</v>
      </c>
    </row>
    <row r="86" spans="2:23" ht="45.6">
      <c r="B86" s="862"/>
      <c r="C86" s="838"/>
      <c r="D86" s="837"/>
      <c r="E86" s="550" t="s">
        <v>1235</v>
      </c>
      <c r="F86" s="562">
        <v>1</v>
      </c>
      <c r="G86" s="552" t="s">
        <v>309</v>
      </c>
      <c r="H86" s="553" t="s">
        <v>1458</v>
      </c>
      <c r="I86" s="554" t="s">
        <v>1208</v>
      </c>
      <c r="L86" s="305" t="str">
        <f>IF(OR(Overview!$D$4="Preliminary Documentation Review",Overview!$D$4="Preliminary Precertification Review"),IF(AND(P86=0,Q86=0),"",IF(AND(P86&gt;0,Q86&gt;0),"","MISMATCH")),"")</f>
        <v/>
      </c>
      <c r="M86" s="305" t="str">
        <f>IF(OR(Overview!$D$4="Preliminary Documentation Review",Overview!$D$4="Preliminary Precertification Review"),IF(AND(R86=0,S86=0),"",IF(AND(R86&gt;0,S86&gt;0),"","MISMATCH")),"")</f>
        <v/>
      </c>
      <c r="N86" s="305" t="str">
        <f>IF(OR(Overview!$D$4="Preliminary Documentation Review",Overview!$D$4="Preliminary Precertification Review"),IF(AND(T86=0,U86=0),"",IF(AND(T86&gt;0,U86&gt;0),"MISMATCH","")),"")</f>
        <v/>
      </c>
      <c r="O86" s="305" t="str">
        <f>IF(OR(Overview!$D$4="Preliminary Documentation Review",Overview!$D$4="Preliminary Precertification Review"),IF(AND(V86=0,W86=0),"",IF(AND(V86&gt;0,W86&gt;0),"","MISMATCH")),"")</f>
        <v/>
      </c>
      <c r="P86" s="286">
        <f t="shared" si="13"/>
        <v>0</v>
      </c>
      <c r="Q86" s="286">
        <f t="shared" si="16"/>
        <v>0</v>
      </c>
      <c r="R86" s="305">
        <f t="shared" si="14"/>
        <v>0</v>
      </c>
      <c r="S86" s="305">
        <f t="shared" si="17"/>
        <v>0</v>
      </c>
      <c r="T86" s="305">
        <f t="shared" si="9"/>
        <v>0</v>
      </c>
      <c r="U86" s="305">
        <f t="shared" si="10"/>
        <v>0</v>
      </c>
      <c r="V86" s="305">
        <f t="shared" si="15"/>
        <v>0</v>
      </c>
      <c r="W86" s="305">
        <f t="shared" si="8"/>
        <v>0</v>
      </c>
    </row>
    <row r="87" spans="2:23" ht="45.6">
      <c r="B87" s="862"/>
      <c r="C87" s="838" t="s">
        <v>767</v>
      </c>
      <c r="D87" s="837" t="s">
        <v>852</v>
      </c>
      <c r="E87" s="550" t="s">
        <v>1236</v>
      </c>
      <c r="F87" s="559"/>
      <c r="G87" s="552" t="s">
        <v>25</v>
      </c>
      <c r="H87" s="553" t="s">
        <v>1176</v>
      </c>
      <c r="I87" s="554" t="s">
        <v>1177</v>
      </c>
      <c r="L87" s="305" t="str">
        <f>IF(OR(Overview!$D$4="Preliminary Documentation Review",Overview!$D$4="Preliminary Precertification Review"),IF(AND(P87=0,Q87=0),"",IF(AND(P87&gt;0,Q87&gt;0),"","MISMATCH")),"")</f>
        <v/>
      </c>
      <c r="M87" s="305" t="str">
        <f>IF(OR(Overview!$D$4="Preliminary Documentation Review",Overview!$D$4="Preliminary Precertification Review"),IF(AND(R87=0,S87=0),"",IF(AND(R87&gt;0,S87&gt;0),"","MISMATCH")),"")</f>
        <v/>
      </c>
      <c r="N87" s="305" t="str">
        <f>IF(OR(Overview!$D$4="Preliminary Documentation Review",Overview!$D$4="Preliminary Precertification Review"),IF(AND(T87=0,U87=0),"",IF(AND(T87&gt;0,U87&gt;0),"MISMATCH","")),"")</f>
        <v/>
      </c>
      <c r="O87" s="305" t="str">
        <f>IF(OR(Overview!$D$4="Preliminary Documentation Review",Overview!$D$4="Preliminary Precertification Review"),IF(AND(V87=0,W87=0),"",IF(AND(V87&gt;0,W87&gt;0),"","MISMATCH")),"")</f>
        <v/>
      </c>
      <c r="P87" s="286">
        <f t="shared" si="13"/>
        <v>0</v>
      </c>
      <c r="Q87" s="286">
        <f t="shared" si="16"/>
        <v>0</v>
      </c>
      <c r="R87" s="305">
        <f t="shared" si="14"/>
        <v>0</v>
      </c>
      <c r="S87" s="305">
        <f t="shared" si="17"/>
        <v>0</v>
      </c>
      <c r="T87" s="305">
        <f t="shared" si="9"/>
        <v>35</v>
      </c>
      <c r="U87" s="305">
        <f t="shared" si="10"/>
        <v>0</v>
      </c>
      <c r="V87" s="305">
        <f t="shared" si="15"/>
        <v>35</v>
      </c>
      <c r="W87" s="305">
        <f t="shared" si="8"/>
        <v>1</v>
      </c>
    </row>
    <row r="88" spans="2:23" ht="45.6">
      <c r="B88" s="862"/>
      <c r="C88" s="838"/>
      <c r="D88" s="837"/>
      <c r="E88" s="550" t="s">
        <v>1237</v>
      </c>
      <c r="F88" s="562">
        <v>1</v>
      </c>
      <c r="G88" s="552" t="s">
        <v>309</v>
      </c>
      <c r="H88" s="553" t="s">
        <v>1458</v>
      </c>
      <c r="I88" s="554" t="s">
        <v>1208</v>
      </c>
      <c r="L88" s="305" t="str">
        <f>IF(OR(Overview!$D$4="Preliminary Documentation Review",Overview!$D$4="Preliminary Precertification Review"),IF(AND(P88=0,Q88=0),"",IF(AND(P88&gt;0,Q88&gt;0),"","MISMATCH")),"")</f>
        <v/>
      </c>
      <c r="M88" s="305" t="str">
        <f>IF(OR(Overview!$D$4="Preliminary Documentation Review",Overview!$D$4="Preliminary Precertification Review"),IF(AND(R88=0,S88=0),"",IF(AND(R88&gt;0,S88&gt;0),"","MISMATCH")),"")</f>
        <v/>
      </c>
      <c r="N88" s="305" t="str">
        <f>IF(OR(Overview!$D$4="Preliminary Documentation Review",Overview!$D$4="Preliminary Precertification Review"),IF(AND(T88=0,U88=0),"",IF(AND(T88&gt;0,U88&gt;0),"MISMATCH","")),"")</f>
        <v/>
      </c>
      <c r="O88" s="305" t="str">
        <f>IF(OR(Overview!$D$4="Preliminary Documentation Review",Overview!$D$4="Preliminary Precertification Review"),IF(AND(V88=0,W88=0),"",IF(AND(V88&gt;0,W88&gt;0),"","MISMATCH")),"")</f>
        <v/>
      </c>
      <c r="P88" s="286">
        <f t="shared" si="13"/>
        <v>0</v>
      </c>
      <c r="Q88" s="286">
        <f t="shared" si="16"/>
        <v>0</v>
      </c>
      <c r="R88" s="305">
        <f t="shared" si="14"/>
        <v>0</v>
      </c>
      <c r="S88" s="305">
        <f t="shared" si="17"/>
        <v>0</v>
      </c>
      <c r="T88" s="305">
        <f t="shared" si="9"/>
        <v>0</v>
      </c>
      <c r="U88" s="305">
        <f t="shared" si="10"/>
        <v>0</v>
      </c>
      <c r="V88" s="305">
        <f t="shared" si="15"/>
        <v>0</v>
      </c>
      <c r="W88" s="305">
        <f t="shared" si="8"/>
        <v>0</v>
      </c>
    </row>
    <row r="89" spans="2:23" ht="286.8">
      <c r="B89" s="862"/>
      <c r="C89" s="548" t="s">
        <v>767</v>
      </c>
      <c r="D89" s="550" t="s">
        <v>855</v>
      </c>
      <c r="E89" s="550" t="s">
        <v>1238</v>
      </c>
      <c r="F89" s="564">
        <v>1</v>
      </c>
      <c r="G89" s="552" t="s">
        <v>309</v>
      </c>
      <c r="H89" s="553" t="s">
        <v>1458</v>
      </c>
      <c r="I89" s="565" t="s">
        <v>1529</v>
      </c>
      <c r="L89" s="305" t="str">
        <f>IF(OR(Overview!$D$4="Preliminary Documentation Review",Overview!$D$4="Preliminary Precertification Review"),IF(AND(P89=0,Q89=0),"",IF(AND(P89&gt;0,Q89&gt;0),"","MISMATCH")),"")</f>
        <v/>
      </c>
      <c r="M89" s="305" t="str">
        <f>IF(OR(Overview!$D$4="Preliminary Documentation Review",Overview!$D$4="Preliminary Precertification Review"),IF(AND(R89=0,S89=0),"",IF(AND(R89&gt;0,S89&gt;0),"","MISMATCH")),"")</f>
        <v/>
      </c>
      <c r="N89" s="305" t="str">
        <f>IF(OR(Overview!$D$4="Preliminary Documentation Review",Overview!$D$4="Preliminary Precertification Review"),IF(AND(T89=0,U89=0),"",IF(AND(T89&gt;0,U89&gt;0),"MISMATCH","")),"")</f>
        <v/>
      </c>
      <c r="O89" s="305" t="str">
        <f>IF(OR(Overview!$D$4="Preliminary Documentation Review",Overview!$D$4="Preliminary Precertification Review"),IF(AND(V89=0,W89=0),"",IF(AND(V89&gt;0,W89&gt;0),"","MISMATCH")),"")</f>
        <v/>
      </c>
      <c r="P89" s="286">
        <f t="shared" si="13"/>
        <v>254</v>
      </c>
      <c r="Q89" s="286">
        <f t="shared" si="16"/>
        <v>0</v>
      </c>
      <c r="R89" s="305">
        <f t="shared" si="14"/>
        <v>715</v>
      </c>
      <c r="S89" s="305">
        <f t="shared" si="17"/>
        <v>0</v>
      </c>
      <c r="T89" s="305">
        <f t="shared" si="9"/>
        <v>0</v>
      </c>
      <c r="U89" s="305">
        <f t="shared" si="10"/>
        <v>0</v>
      </c>
      <c r="V89" s="305">
        <f t="shared" si="15"/>
        <v>0</v>
      </c>
      <c r="W89" s="305">
        <f t="shared" ref="W89:W154" si="18">IFERROR(SEARCH("Not Attempted",$H89),0)</f>
        <v>0</v>
      </c>
    </row>
    <row r="90" spans="2:23" ht="45.6">
      <c r="B90" s="862"/>
      <c r="C90" s="548" t="s">
        <v>767</v>
      </c>
      <c r="D90" s="550" t="s">
        <v>857</v>
      </c>
      <c r="E90" s="550" t="s">
        <v>1239</v>
      </c>
      <c r="F90" s="564"/>
      <c r="G90" s="552" t="s">
        <v>25</v>
      </c>
      <c r="H90" s="553" t="s">
        <v>1176</v>
      </c>
      <c r="I90" s="554" t="s">
        <v>1177</v>
      </c>
      <c r="L90" s="305" t="str">
        <f>IF(OR(Overview!$D$4="Preliminary Documentation Review",Overview!$D$4="Preliminary Precertification Review"),IF(AND(P90=0,Q90=0),"",IF(AND(P90&gt;0,Q90&gt;0),"","MISMATCH")),"")</f>
        <v/>
      </c>
      <c r="M90" s="305" t="str">
        <f>IF(OR(Overview!$D$4="Preliminary Documentation Review",Overview!$D$4="Preliminary Precertification Review"),IF(AND(R90=0,S90=0),"",IF(AND(R90&gt;0,S90&gt;0),"","MISMATCH")),"")</f>
        <v/>
      </c>
      <c r="N90" s="305" t="str">
        <f>IF(OR(Overview!$D$4="Preliminary Documentation Review",Overview!$D$4="Preliminary Precertification Review"),IF(AND(T90=0,U90=0),"",IF(AND(T90&gt;0,U90&gt;0),"MISMATCH","")),"")</f>
        <v/>
      </c>
      <c r="O90" s="305" t="str">
        <f>IF(OR(Overview!$D$4="Preliminary Documentation Review",Overview!$D$4="Preliminary Precertification Review"),IF(AND(V90=0,W90=0),"",IF(AND(V90&gt;0,W90&gt;0),"","MISMATCH")),"")</f>
        <v/>
      </c>
      <c r="P90" s="286">
        <f t="shared" si="13"/>
        <v>0</v>
      </c>
      <c r="Q90" s="286">
        <f t="shared" si="16"/>
        <v>0</v>
      </c>
      <c r="R90" s="305">
        <f t="shared" si="14"/>
        <v>0</v>
      </c>
      <c r="S90" s="305">
        <f t="shared" si="17"/>
        <v>0</v>
      </c>
      <c r="T90" s="305">
        <f t="shared" ref="T90:T155" si="19">IFERROR(SEARCH("This Part has no",$I90),0)</f>
        <v>35</v>
      </c>
      <c r="U90" s="305">
        <f t="shared" ref="U90:U155" si="20">IFERROR(SEARCH("Anticipated",$H90),0)</f>
        <v>0</v>
      </c>
      <c r="V90" s="305">
        <f t="shared" si="15"/>
        <v>35</v>
      </c>
      <c r="W90" s="305">
        <f t="shared" si="18"/>
        <v>1</v>
      </c>
    </row>
    <row r="91" spans="2:23" ht="45.6">
      <c r="B91" s="862"/>
      <c r="C91" s="838" t="s">
        <v>767</v>
      </c>
      <c r="D91" s="837" t="s">
        <v>859</v>
      </c>
      <c r="E91" s="550" t="s">
        <v>1240</v>
      </c>
      <c r="F91" s="559"/>
      <c r="G91" s="552" t="s">
        <v>25</v>
      </c>
      <c r="H91" s="553" t="s">
        <v>1176</v>
      </c>
      <c r="I91" s="554" t="s">
        <v>1177</v>
      </c>
      <c r="L91" s="305" t="str">
        <f>IF(OR(Overview!$D$4="Preliminary Documentation Review",Overview!$D$4="Preliminary Precertification Review"),IF(AND(P91=0,Q91=0),"",IF(AND(P91&gt;0,Q91&gt;0),"","MISMATCH")),"")</f>
        <v/>
      </c>
      <c r="M91" s="305" t="str">
        <f>IF(OR(Overview!$D$4="Preliminary Documentation Review",Overview!$D$4="Preliminary Precertification Review"),IF(AND(R91=0,S91=0),"",IF(AND(R91&gt;0,S91&gt;0),"","MISMATCH")),"")</f>
        <v/>
      </c>
      <c r="N91" s="305" t="str">
        <f>IF(OR(Overview!$D$4="Preliminary Documentation Review",Overview!$D$4="Preliminary Precertification Review"),IF(AND(T91=0,U91=0),"",IF(AND(T91&gt;0,U91&gt;0),"MISMATCH","")),"")</f>
        <v/>
      </c>
      <c r="O91" s="305" t="str">
        <f>IF(OR(Overview!$D$4="Preliminary Documentation Review",Overview!$D$4="Preliminary Precertification Review"),IF(AND(V91=0,W91=0),"",IF(AND(V91&gt;0,W91&gt;0),"","MISMATCH")),"")</f>
        <v/>
      </c>
      <c r="P91" s="286">
        <f t="shared" si="13"/>
        <v>0</v>
      </c>
      <c r="Q91" s="286">
        <f t="shared" si="16"/>
        <v>0</v>
      </c>
      <c r="R91" s="305">
        <f t="shared" si="14"/>
        <v>0</v>
      </c>
      <c r="S91" s="305">
        <f t="shared" si="17"/>
        <v>0</v>
      </c>
      <c r="T91" s="305">
        <f t="shared" si="19"/>
        <v>35</v>
      </c>
      <c r="U91" s="305">
        <f t="shared" si="20"/>
        <v>0</v>
      </c>
      <c r="V91" s="305">
        <f t="shared" si="15"/>
        <v>35</v>
      </c>
      <c r="W91" s="305">
        <f t="shared" si="18"/>
        <v>1</v>
      </c>
    </row>
    <row r="92" spans="2:23" ht="45.6">
      <c r="B92" s="862"/>
      <c r="C92" s="838"/>
      <c r="D92" s="837"/>
      <c r="E92" s="550" t="s">
        <v>1241</v>
      </c>
      <c r="F92" s="562"/>
      <c r="G92" s="552" t="s">
        <v>25</v>
      </c>
      <c r="H92" s="553" t="s">
        <v>1176</v>
      </c>
      <c r="I92" s="554" t="s">
        <v>1177</v>
      </c>
      <c r="L92" s="305" t="str">
        <f>IF(OR(Overview!$D$4="Preliminary Documentation Review",Overview!$D$4="Preliminary Precertification Review"),IF(AND(P92=0,Q92=0),"",IF(AND(P92&gt;0,Q92&gt;0),"","MISMATCH")),"")</f>
        <v/>
      </c>
      <c r="M92" s="305" t="str">
        <f>IF(OR(Overview!$D$4="Preliminary Documentation Review",Overview!$D$4="Preliminary Precertification Review"),IF(AND(R92=0,S92=0),"",IF(AND(R92&gt;0,S92&gt;0),"","MISMATCH")),"")</f>
        <v/>
      </c>
      <c r="N92" s="305" t="str">
        <f>IF(OR(Overview!$D$4="Preliminary Documentation Review",Overview!$D$4="Preliminary Precertification Review"),IF(AND(T92=0,U92=0),"",IF(AND(T92&gt;0,U92&gt;0),"MISMATCH","")),"")</f>
        <v/>
      </c>
      <c r="O92" s="305" t="str">
        <f>IF(OR(Overview!$D$4="Preliminary Documentation Review",Overview!$D$4="Preliminary Precertification Review"),IF(AND(V92=0,W92=0),"",IF(AND(V92&gt;0,W92&gt;0),"","MISMATCH")),"")</f>
        <v/>
      </c>
      <c r="P92" s="286">
        <f t="shared" si="13"/>
        <v>0</v>
      </c>
      <c r="Q92" s="286">
        <f t="shared" si="16"/>
        <v>0</v>
      </c>
      <c r="R92" s="305">
        <f t="shared" si="14"/>
        <v>0</v>
      </c>
      <c r="S92" s="305">
        <f t="shared" si="17"/>
        <v>0</v>
      </c>
      <c r="T92" s="305">
        <f t="shared" si="19"/>
        <v>35</v>
      </c>
      <c r="U92" s="305">
        <f t="shared" si="20"/>
        <v>0</v>
      </c>
      <c r="V92" s="305">
        <f t="shared" si="15"/>
        <v>35</v>
      </c>
      <c r="W92" s="305">
        <f t="shared" si="18"/>
        <v>1</v>
      </c>
    </row>
    <row r="93" spans="2:23" ht="45.6">
      <c r="B93" s="862"/>
      <c r="C93" s="548" t="s">
        <v>767</v>
      </c>
      <c r="D93" s="550" t="s">
        <v>862</v>
      </c>
      <c r="E93" s="550" t="s">
        <v>1242</v>
      </c>
      <c r="F93" s="564"/>
      <c r="G93" s="552" t="s">
        <v>25</v>
      </c>
      <c r="H93" s="553" t="s">
        <v>1176</v>
      </c>
      <c r="I93" s="554" t="s">
        <v>1177</v>
      </c>
      <c r="K93" s="555" t="s">
        <v>864</v>
      </c>
      <c r="L93" s="305" t="str">
        <f>IF(OR(Overview!$D$4="Preliminary Documentation Review",Overview!$D$4="Preliminary Precertification Review"),IF(AND(P93=0,Q93=0),"",IF(AND(P93&gt;0,Q93&gt;0),"","MISMATCH")),"")</f>
        <v/>
      </c>
      <c r="M93" s="305" t="str">
        <f>IF(OR(Overview!$D$4="Preliminary Documentation Review",Overview!$D$4="Preliminary Precertification Review"),IF(AND(R93=0,S93=0),"",IF(AND(R93&gt;0,S93&gt;0),"","MISMATCH")),"")</f>
        <v/>
      </c>
      <c r="N93" s="305" t="str">
        <f>IF(OR(Overview!$D$4="Preliminary Documentation Review",Overview!$D$4="Preliminary Precertification Review"),IF(AND(T93=0,U93=0),"",IF(AND(T93&gt;0,U93&gt;0),"MISMATCH","")),"")</f>
        <v/>
      </c>
      <c r="O93" s="305" t="str">
        <f>IF(OR(Overview!$D$4="Preliminary Documentation Review",Overview!$D$4="Preliminary Precertification Review"),IF(AND(V93=0,W93=0),"",IF(AND(V93&gt;0,W93&gt;0),"","MISMATCH")),"")</f>
        <v/>
      </c>
      <c r="P93" s="286">
        <f t="shared" si="13"/>
        <v>0</v>
      </c>
      <c r="Q93" s="286">
        <f t="shared" si="16"/>
        <v>0</v>
      </c>
      <c r="R93" s="305">
        <f t="shared" si="14"/>
        <v>0</v>
      </c>
      <c r="S93" s="305">
        <f t="shared" si="17"/>
        <v>0</v>
      </c>
      <c r="T93" s="305">
        <f t="shared" si="19"/>
        <v>35</v>
      </c>
      <c r="U93" s="305">
        <f t="shared" si="20"/>
        <v>0</v>
      </c>
      <c r="V93" s="305">
        <f t="shared" si="15"/>
        <v>35</v>
      </c>
      <c r="W93" s="305">
        <f t="shared" si="18"/>
        <v>1</v>
      </c>
    </row>
    <row r="94" spans="2:23" ht="30" hidden="1">
      <c r="B94" s="862"/>
      <c r="C94" s="548" t="s">
        <v>767</v>
      </c>
      <c r="D94" s="550" t="s">
        <v>865</v>
      </c>
      <c r="E94" s="550" t="s">
        <v>1243</v>
      </c>
      <c r="F94" s="604"/>
      <c r="G94" s="591"/>
      <c r="H94" s="592"/>
      <c r="I94" s="554"/>
      <c r="L94" s="305" t="str">
        <f>IF(OR(Overview!$D$4="Preliminary Documentation Review",Overview!$D$4="Preliminary Precertification Review"),IF(AND(P94=0,Q94=0),"",IF(AND(P94&gt;0,Q94&gt;0),"","MISMATCH")),"")</f>
        <v/>
      </c>
      <c r="M94" s="305" t="str">
        <f>IF(OR(Overview!$D$4="Preliminary Documentation Review",Overview!$D$4="Preliminary Precertification Review"),IF(AND(R94=0,S94=0),"",IF(AND(R94&gt;0,S94&gt;0),"","MISMATCH")),"")</f>
        <v/>
      </c>
      <c r="N94" s="305" t="str">
        <f>IF(OR(Overview!$D$4="Preliminary Documentation Review",Overview!$D$4="Preliminary Precertification Review"),IF(AND(T94=0,U94=0),"",IF(AND(T94&gt;0,U94&gt;0),"MISMATCH","")),"")</f>
        <v/>
      </c>
      <c r="O94" s="305" t="str">
        <f>IF(OR(Overview!$D$4="Preliminary Documentation Review",Overview!$D$4="Preliminary Precertification Review"),IF(AND(V94=0,W94=0),"",IF(AND(V94&gt;0,W94&gt;0),"","MISMATCH")),"")</f>
        <v/>
      </c>
      <c r="P94" s="286">
        <f t="shared" si="13"/>
        <v>0</v>
      </c>
      <c r="Q94" s="286">
        <f t="shared" si="16"/>
        <v>0</v>
      </c>
      <c r="R94" s="305">
        <f t="shared" si="14"/>
        <v>0</v>
      </c>
      <c r="S94" s="305">
        <f t="shared" si="17"/>
        <v>0</v>
      </c>
      <c r="T94" s="305">
        <f t="shared" si="19"/>
        <v>0</v>
      </c>
      <c r="U94" s="305">
        <f t="shared" si="20"/>
        <v>0</v>
      </c>
      <c r="V94" s="305">
        <f t="shared" si="15"/>
        <v>0</v>
      </c>
      <c r="W94" s="305">
        <f t="shared" si="18"/>
        <v>0</v>
      </c>
    </row>
    <row r="95" spans="2:23">
      <c r="B95" s="605"/>
      <c r="C95" s="606"/>
      <c r="D95" s="607"/>
      <c r="E95" s="608"/>
      <c r="F95" s="597"/>
      <c r="G95" s="577"/>
      <c r="H95" s="609"/>
      <c r="I95" s="610"/>
      <c r="L95" s="305" t="str">
        <f>IF(OR(Overview!$D$4="Preliminary Documentation Review",Overview!$D$4="Preliminary Precertification Review"),IF(AND(P95=0,Q95=0),"",IF(AND(P95&gt;0,Q95&gt;0),"","MISMATCH")),"")</f>
        <v/>
      </c>
      <c r="M95" s="305" t="str">
        <f>IF(OR(Overview!$D$4="Preliminary Documentation Review",Overview!$D$4="Preliminary Precertification Review"),IF(AND(R95=0,S95=0),"",IF(AND(R95&gt;0,S95&gt;0),"","MISMATCH")),"")</f>
        <v/>
      </c>
      <c r="N95" s="305" t="str">
        <f>IF(OR(Overview!$D$4="Preliminary Documentation Review",Overview!$D$4="Preliminary Precertification Review"),IF(AND(T95=0,U95=0),"",IF(AND(T95&gt;0,U95&gt;0),"MISMATCH","")),"")</f>
        <v/>
      </c>
      <c r="O95" s="305" t="str">
        <f>IF(OR(Overview!$D$4="Preliminary Documentation Review",Overview!$D$4="Preliminary Precertification Review"),IF(AND(V95=0,W95=0),"",IF(AND(V95&gt;0,W95&gt;0),"","MISMATCH")),"")</f>
        <v/>
      </c>
      <c r="P95" s="286">
        <f t="shared" si="13"/>
        <v>0</v>
      </c>
      <c r="Q95" s="286">
        <f t="shared" si="16"/>
        <v>0</v>
      </c>
      <c r="R95" s="305">
        <f t="shared" si="14"/>
        <v>0</v>
      </c>
      <c r="S95" s="305">
        <f t="shared" si="17"/>
        <v>0</v>
      </c>
      <c r="T95" s="305">
        <f t="shared" si="19"/>
        <v>0</v>
      </c>
      <c r="U95" s="305">
        <f t="shared" si="20"/>
        <v>0</v>
      </c>
      <c r="V95" s="305">
        <f t="shared" si="15"/>
        <v>0</v>
      </c>
      <c r="W95" s="305">
        <f t="shared" si="18"/>
        <v>0</v>
      </c>
    </row>
    <row r="96" spans="2:23">
      <c r="B96" s="573"/>
      <c r="C96" s="574"/>
      <c r="D96" s="575"/>
      <c r="E96" s="576"/>
      <c r="F96" s="597"/>
      <c r="G96" s="577"/>
      <c r="H96" s="578"/>
      <c r="I96" s="579"/>
      <c r="L96" s="305" t="str">
        <f>IF(OR(Overview!$D$4="Preliminary Documentation Review",Overview!$D$4="Preliminary Precertification Review"),IF(AND(P96=0,Q96=0),"",IF(AND(P96&gt;0,Q96&gt;0),"","MISMATCH")),"")</f>
        <v/>
      </c>
      <c r="M96" s="305" t="str">
        <f>IF(OR(Overview!$D$4="Preliminary Documentation Review",Overview!$D$4="Preliminary Precertification Review"),IF(AND(R96=0,S96=0),"",IF(AND(R96&gt;0,S96&gt;0),"","MISMATCH")),"")</f>
        <v/>
      </c>
      <c r="N96" s="305" t="str">
        <f>IF(OR(Overview!$D$4="Preliminary Documentation Review",Overview!$D$4="Preliminary Precertification Review"),IF(AND(T96=0,U96=0),"",IF(AND(T96&gt;0,U96&gt;0),"MISMATCH","")),"")</f>
        <v/>
      </c>
      <c r="O96" s="305" t="str">
        <f>IF(OR(Overview!$D$4="Preliminary Documentation Review",Overview!$D$4="Preliminary Precertification Review"),IF(AND(V96=0,W96=0),"",IF(AND(V96&gt;0,W96&gt;0),"","MISMATCH")),"")</f>
        <v/>
      </c>
      <c r="P96" s="286">
        <f t="shared" si="13"/>
        <v>0</v>
      </c>
      <c r="Q96" s="286">
        <f t="shared" si="16"/>
        <v>0</v>
      </c>
      <c r="R96" s="305">
        <f t="shared" si="14"/>
        <v>0</v>
      </c>
      <c r="S96" s="305">
        <f t="shared" si="17"/>
        <v>0</v>
      </c>
      <c r="T96" s="305">
        <f t="shared" si="19"/>
        <v>0</v>
      </c>
      <c r="U96" s="305">
        <f t="shared" si="20"/>
        <v>0</v>
      </c>
      <c r="V96" s="305">
        <f t="shared" si="15"/>
        <v>0</v>
      </c>
      <c r="W96" s="305">
        <f t="shared" si="18"/>
        <v>0</v>
      </c>
    </row>
    <row r="97" spans="2:23">
      <c r="B97" s="863"/>
      <c r="C97" s="864"/>
      <c r="D97" s="864"/>
      <c r="E97" s="864"/>
      <c r="F97" s="864"/>
      <c r="G97" s="864"/>
      <c r="H97" s="864"/>
      <c r="I97" s="865"/>
      <c r="L97" s="305" t="str">
        <f>IF(OR(Overview!$D$4="Preliminary Documentation Review",Overview!$D$4="Preliminary Precertification Review"),IF(AND(P97=0,Q97=0),"",IF(AND(P97&gt;0,Q97&gt;0),"","MISMATCH")),"")</f>
        <v/>
      </c>
      <c r="M97" s="305" t="str">
        <f>IF(OR(Overview!$D$4="Preliminary Documentation Review",Overview!$D$4="Preliminary Precertification Review"),IF(AND(R97=0,S97=0),"",IF(AND(R97&gt;0,S97&gt;0),"","MISMATCH")),"")</f>
        <v/>
      </c>
      <c r="N97" s="305" t="str">
        <f>IF(OR(Overview!$D$4="Preliminary Documentation Review",Overview!$D$4="Preliminary Precertification Review"),IF(AND(T97=0,U97=0),"",IF(AND(T97&gt;0,U97&gt;0),"MISMATCH","")),"")</f>
        <v/>
      </c>
      <c r="O97" s="305" t="str">
        <f>IF(OR(Overview!$D$4="Preliminary Documentation Review",Overview!$D$4="Preliminary Precertification Review"),IF(AND(V97=0,W97=0),"",IF(AND(V97&gt;0,W97&gt;0),"","MISMATCH")),"")</f>
        <v/>
      </c>
      <c r="T97" s="305">
        <f t="shared" si="19"/>
        <v>0</v>
      </c>
      <c r="U97" s="305">
        <f t="shared" si="20"/>
        <v>0</v>
      </c>
      <c r="V97" s="305">
        <f t="shared" si="15"/>
        <v>0</v>
      </c>
      <c r="W97" s="305">
        <f t="shared" si="18"/>
        <v>0</v>
      </c>
    </row>
    <row r="98" spans="2:23" s="547" customFormat="1" ht="99.9" hidden="1" customHeight="1">
      <c r="B98" s="611"/>
      <c r="C98" s="832" t="s">
        <v>1244</v>
      </c>
      <c r="D98" s="833"/>
      <c r="E98" s="833"/>
      <c r="F98" s="833"/>
      <c r="G98" s="833"/>
      <c r="H98" s="833"/>
      <c r="I98" s="834"/>
      <c r="J98" s="546"/>
      <c r="K98" s="531"/>
      <c r="L98" s="305" t="str">
        <f>IF(OR(Overview!$D$4="Preliminary Documentation Review",Overview!$D$4="Preliminary Precertification Review"),IF(AND(P98=0,Q98=0),"",IF(AND(P98&gt;0,Q98&gt;0),"","MISMATCH")),"")</f>
        <v/>
      </c>
      <c r="M98" s="305" t="str">
        <f>IF(OR(Overview!$D$4="Preliminary Documentation Review",Overview!$D$4="Preliminary Precertification Review"),IF(AND(R98=0,S98=0),"",IF(AND(R98&gt;0,S98&gt;0),"","MISMATCH")),"")</f>
        <v/>
      </c>
      <c r="N98" s="305" t="str">
        <f>IF(OR(Overview!$D$4="Preliminary Documentation Review",Overview!$D$4="Preliminary Precertification Review"),IF(AND(T98=0,U98=0),"",IF(AND(T98&gt;0,U98&gt;0),"MISMATCH","")),"")</f>
        <v/>
      </c>
      <c r="O98" s="305" t="str">
        <f>IF(OR(Overview!$D$4="Preliminary Documentation Review",Overview!$D$4="Preliminary Precertification Review"),IF(AND(V98=0,W98=0),"",IF(AND(V98&gt;0,W98&gt;0),"","MISMATCH")),"")</f>
        <v/>
      </c>
      <c r="T98" s="305">
        <f t="shared" si="19"/>
        <v>0</v>
      </c>
      <c r="U98" s="305">
        <f t="shared" si="20"/>
        <v>0</v>
      </c>
      <c r="V98" s="305">
        <f t="shared" si="15"/>
        <v>0</v>
      </c>
      <c r="W98" s="305">
        <f t="shared" si="18"/>
        <v>0</v>
      </c>
    </row>
    <row r="99" spans="2:23" s="547" customFormat="1" ht="15.6" hidden="1" customHeight="1">
      <c r="B99" s="611"/>
      <c r="C99" s="864"/>
      <c r="D99" s="864"/>
      <c r="E99" s="864"/>
      <c r="F99" s="864"/>
      <c r="G99" s="864"/>
      <c r="H99" s="864"/>
      <c r="I99" s="865"/>
      <c r="J99" s="546"/>
      <c r="K99" s="531"/>
      <c r="L99" s="305" t="str">
        <f>IF(OR(Overview!$D$4="Preliminary Documentation Review",Overview!$D$4="Preliminary Precertification Review"),IF(AND(P99=0,Q99=0),"",IF(AND(P99&gt;0,Q99&gt;0),"","MISMATCH")),"")</f>
        <v/>
      </c>
      <c r="M99" s="305" t="str">
        <f>IF(OR(Overview!$D$4="Preliminary Documentation Review",Overview!$D$4="Preliminary Precertification Review"),IF(AND(R99=0,S99=0),"",IF(AND(R99&gt;0,S99&gt;0),"","MISMATCH")),"")</f>
        <v/>
      </c>
      <c r="N99" s="305" t="str">
        <f>IF(OR(Overview!$D$4="Preliminary Documentation Review",Overview!$D$4="Preliminary Precertification Review"),IF(AND(T99=0,U99=0),"",IF(AND(T99&gt;0,U99&gt;0),"MISMATCH","")),"")</f>
        <v/>
      </c>
      <c r="O99" s="305" t="str">
        <f>IF(OR(Overview!$D$4="Preliminary Documentation Review",Overview!$D$4="Preliminary Precertification Review"),IF(AND(V99=0,W99=0),"",IF(AND(V99&gt;0,W99&gt;0),"","MISMATCH")),"")</f>
        <v/>
      </c>
      <c r="T99" s="305">
        <f t="shared" si="19"/>
        <v>0</v>
      </c>
      <c r="U99" s="305">
        <f t="shared" si="20"/>
        <v>0</v>
      </c>
      <c r="V99" s="305">
        <f t="shared" si="15"/>
        <v>0</v>
      </c>
      <c r="W99" s="305">
        <f t="shared" si="18"/>
        <v>0</v>
      </c>
    </row>
    <row r="100" spans="2:23" ht="45.6">
      <c r="B100" s="866" t="s">
        <v>137</v>
      </c>
      <c r="C100" s="838" t="s">
        <v>752</v>
      </c>
      <c r="D100" s="837" t="s">
        <v>867</v>
      </c>
      <c r="E100" s="550" t="s">
        <v>1245</v>
      </c>
      <c r="F100" s="551"/>
      <c r="G100" s="552" t="s">
        <v>1162</v>
      </c>
      <c r="H100" s="553" t="s">
        <v>1458</v>
      </c>
      <c r="I100" s="554" t="s">
        <v>1208</v>
      </c>
      <c r="L100" s="305" t="str">
        <f>IF(OR(Overview!$D$4="Preliminary Documentation Review",Overview!$D$4="Preliminary Precertification Review"),IF(AND(P100=0,Q100=0),"",IF(AND(P100&gt;0,Q100&gt;0),"","MISMATCH")),"")</f>
        <v/>
      </c>
      <c r="M100" s="305" t="str">
        <f>IF(OR(Overview!$D$4="Preliminary Documentation Review",Overview!$D$4="Preliminary Precertification Review"),IF(AND(R100=0,S100=0),"",IF(AND(R100&gt;0,S100&gt;0),"","MISMATCH")),"")</f>
        <v/>
      </c>
      <c r="N100" s="305" t="str">
        <f>IF(OR(Overview!$D$4="Preliminary Documentation Review",Overview!$D$4="Preliminary Precertification Review"),IF(AND(T100=0,U100=0),"",IF(AND(T100&gt;0,U100&gt;0),"MISMATCH","")),"")</f>
        <v/>
      </c>
      <c r="O100" s="305" t="str">
        <f>IF(OR(Overview!$D$4="Preliminary Documentation Review",Overview!$D$4="Preliminary Precertification Review"),IF(AND(V100=0,W100=0),"",IF(AND(V100&gt;0,W100&gt;0),"","MISMATCH")),"")</f>
        <v/>
      </c>
      <c r="P100" s="286">
        <f t="shared" ref="P100:P115" si="21">IFERROR(SEARCH("COMMENTS TO BE ADDRESS",$I100),0)</f>
        <v>0</v>
      </c>
      <c r="Q100" s="286">
        <f t="shared" si="16"/>
        <v>0</v>
      </c>
      <c r="R100" s="305">
        <f t="shared" ref="R100:R115" si="22">IFERROR(SEARCH("equirements of this part will be v",$I100),0)</f>
        <v>0</v>
      </c>
      <c r="S100" s="305">
        <f t="shared" si="17"/>
        <v>0</v>
      </c>
      <c r="T100" s="305">
        <f t="shared" si="19"/>
        <v>0</v>
      </c>
      <c r="U100" s="305">
        <f t="shared" si="20"/>
        <v>0</v>
      </c>
      <c r="V100" s="305">
        <f t="shared" si="15"/>
        <v>0</v>
      </c>
      <c r="W100" s="305">
        <f t="shared" si="18"/>
        <v>0</v>
      </c>
    </row>
    <row r="101" spans="2:23" ht="167.4">
      <c r="B101" s="866"/>
      <c r="C101" s="838"/>
      <c r="D101" s="837"/>
      <c r="E101" s="550" t="s">
        <v>1246</v>
      </c>
      <c r="F101" s="556"/>
      <c r="G101" s="552" t="s">
        <v>1162</v>
      </c>
      <c r="H101" s="553" t="s">
        <v>1458</v>
      </c>
      <c r="I101" s="554" t="s">
        <v>1247</v>
      </c>
      <c r="L101" s="305" t="str">
        <f>IF(OR(Overview!$D$4="Preliminary Documentation Review",Overview!$D$4="Preliminary Precertification Review"),IF(AND(P101=0,Q101=0),"",IF(AND(P101&gt;0,Q101&gt;0),"","MISMATCH")),"")</f>
        <v/>
      </c>
      <c r="M101" s="305" t="str">
        <f>IF(OR(Overview!$D$4="Preliminary Documentation Review",Overview!$D$4="Preliminary Precertification Review"),IF(AND(R101=0,S101=0),"",IF(AND(R101&gt;0,S101&gt;0),"","MISMATCH")),"")</f>
        <v/>
      </c>
      <c r="N101" s="305" t="str">
        <f>IF(OR(Overview!$D$4="Preliminary Documentation Review",Overview!$D$4="Preliminary Precertification Review"),IF(AND(T101=0,U101=0),"",IF(AND(T101&gt;0,U101&gt;0),"MISMATCH","")),"")</f>
        <v/>
      </c>
      <c r="O101" s="305" t="str">
        <f>IF(OR(Overview!$D$4="Preliminary Documentation Review",Overview!$D$4="Preliminary Precertification Review"),IF(AND(V101=0,W101=0),"",IF(AND(V101&gt;0,W101&gt;0),"","MISMATCH")),"")</f>
        <v/>
      </c>
      <c r="P101" s="286">
        <f t="shared" si="21"/>
        <v>211</v>
      </c>
      <c r="Q101" s="286">
        <f t="shared" si="16"/>
        <v>0</v>
      </c>
      <c r="R101" s="305">
        <f t="shared" si="22"/>
        <v>0</v>
      </c>
      <c r="S101" s="305">
        <f t="shared" si="17"/>
        <v>0</v>
      </c>
      <c r="T101" s="305">
        <f t="shared" si="19"/>
        <v>0</v>
      </c>
      <c r="U101" s="305">
        <f t="shared" si="20"/>
        <v>0</v>
      </c>
      <c r="V101" s="305">
        <f t="shared" si="15"/>
        <v>0</v>
      </c>
      <c r="W101" s="305">
        <f t="shared" si="18"/>
        <v>0</v>
      </c>
    </row>
    <row r="102" spans="2:23" ht="151.19999999999999">
      <c r="B102" s="866"/>
      <c r="C102" s="548" t="s">
        <v>752</v>
      </c>
      <c r="D102" s="550" t="s">
        <v>870</v>
      </c>
      <c r="E102" s="550" t="s">
        <v>1248</v>
      </c>
      <c r="F102" s="558"/>
      <c r="G102" s="552" t="s">
        <v>1162</v>
      </c>
      <c r="H102" s="553" t="s">
        <v>1458</v>
      </c>
      <c r="I102" s="554" t="s">
        <v>1467</v>
      </c>
      <c r="L102" s="305" t="str">
        <f>IF(OR(Overview!$D$4="Preliminary Documentation Review",Overview!$D$4="Preliminary Precertification Review"),IF(AND(P102=0,Q102=0),"",IF(AND(P102&gt;0,Q102&gt;0),"","MISMATCH")),"")</f>
        <v/>
      </c>
      <c r="M102" s="305" t="str">
        <f>IF(OR(Overview!$D$4="Preliminary Documentation Review",Overview!$D$4="Preliminary Precertification Review"),IF(AND(R102=0,S102=0),"",IF(AND(R102&gt;0,S102&gt;0),"","MISMATCH")),"")</f>
        <v/>
      </c>
      <c r="N102" s="305" t="str">
        <f>IF(OR(Overview!$D$4="Preliminary Documentation Review",Overview!$D$4="Preliminary Precertification Review"),IF(AND(T102=0,U102=0),"",IF(AND(T102&gt;0,U102&gt;0),"MISMATCH","")),"")</f>
        <v/>
      </c>
      <c r="O102" s="305" t="str">
        <f>IF(OR(Overview!$D$4="Preliminary Documentation Review",Overview!$D$4="Preliminary Precertification Review"),IF(AND(V102=0,W102=0),"",IF(AND(V102&gt;0,W102&gt;0),"","MISMATCH")),"")</f>
        <v/>
      </c>
      <c r="P102" s="286">
        <f t="shared" si="21"/>
        <v>0</v>
      </c>
      <c r="Q102" s="286">
        <f t="shared" si="16"/>
        <v>0</v>
      </c>
      <c r="R102" s="305">
        <f t="shared" si="22"/>
        <v>240</v>
      </c>
      <c r="S102" s="305">
        <f t="shared" si="17"/>
        <v>0</v>
      </c>
      <c r="T102" s="305">
        <f t="shared" si="19"/>
        <v>0</v>
      </c>
      <c r="U102" s="305">
        <f t="shared" si="20"/>
        <v>0</v>
      </c>
      <c r="V102" s="305">
        <f t="shared" si="15"/>
        <v>0</v>
      </c>
      <c r="W102" s="305">
        <f t="shared" si="18"/>
        <v>0</v>
      </c>
    </row>
    <row r="103" spans="2:23" ht="45.6">
      <c r="B103" s="866"/>
      <c r="C103" s="548" t="s">
        <v>767</v>
      </c>
      <c r="D103" s="550" t="s">
        <v>872</v>
      </c>
      <c r="E103" s="550" t="s">
        <v>1249</v>
      </c>
      <c r="F103" s="562"/>
      <c r="G103" s="552" t="s">
        <v>25</v>
      </c>
      <c r="H103" s="553" t="s">
        <v>1176</v>
      </c>
      <c r="I103" s="554" t="s">
        <v>1177</v>
      </c>
      <c r="L103" s="305" t="str">
        <f>IF(OR(Overview!$D$4="Preliminary Documentation Review",Overview!$D$4="Preliminary Precertification Review"),IF(AND(P103=0,Q103=0),"",IF(AND(P103&gt;0,Q103&gt;0),"","MISMATCH")),"")</f>
        <v/>
      </c>
      <c r="M103" s="305" t="str">
        <f>IF(OR(Overview!$D$4="Preliminary Documentation Review",Overview!$D$4="Preliminary Precertification Review"),IF(AND(R103=0,S103=0),"",IF(AND(R103&gt;0,S103&gt;0),"","MISMATCH")),"")</f>
        <v/>
      </c>
      <c r="N103" s="305" t="str">
        <f>IF(OR(Overview!$D$4="Preliminary Documentation Review",Overview!$D$4="Preliminary Precertification Review"),IF(AND(T103=0,U103=0),"",IF(AND(T103&gt;0,U103&gt;0),"MISMATCH","")),"")</f>
        <v/>
      </c>
      <c r="O103" s="305" t="str">
        <f>IF(OR(Overview!$D$4="Preliminary Documentation Review",Overview!$D$4="Preliminary Precertification Review"),IF(AND(V103=0,W103=0),"",IF(AND(V103&gt;0,W103&gt;0),"","MISMATCH")),"")</f>
        <v/>
      </c>
      <c r="P103" s="286">
        <f t="shared" si="21"/>
        <v>0</v>
      </c>
      <c r="Q103" s="286">
        <f t="shared" si="16"/>
        <v>0</v>
      </c>
      <c r="R103" s="305">
        <f t="shared" si="22"/>
        <v>0</v>
      </c>
      <c r="S103" s="305">
        <f t="shared" si="17"/>
        <v>0</v>
      </c>
      <c r="T103" s="305">
        <f t="shared" si="19"/>
        <v>35</v>
      </c>
      <c r="U103" s="305">
        <f t="shared" si="20"/>
        <v>0</v>
      </c>
      <c r="V103" s="305">
        <f t="shared" si="15"/>
        <v>35</v>
      </c>
      <c r="W103" s="305">
        <f t="shared" si="18"/>
        <v>1</v>
      </c>
    </row>
    <row r="104" spans="2:23" ht="45.6">
      <c r="B104" s="866"/>
      <c r="C104" s="838" t="s">
        <v>767</v>
      </c>
      <c r="D104" s="837" t="s">
        <v>874</v>
      </c>
      <c r="E104" s="550" t="s">
        <v>1250</v>
      </c>
      <c r="F104" s="559"/>
      <c r="G104" s="552" t="s">
        <v>25</v>
      </c>
      <c r="H104" s="553" t="s">
        <v>1176</v>
      </c>
      <c r="I104" s="554" t="s">
        <v>1177</v>
      </c>
      <c r="L104" s="305" t="str">
        <f>IF(OR(Overview!$D$4="Preliminary Documentation Review",Overview!$D$4="Preliminary Precertification Review"),IF(AND(P104=0,Q104=0),"",IF(AND(P104&gt;0,Q104&gt;0),"","MISMATCH")),"")</f>
        <v/>
      </c>
      <c r="M104" s="305" t="str">
        <f>IF(OR(Overview!$D$4="Preliminary Documentation Review",Overview!$D$4="Preliminary Precertification Review"),IF(AND(R104=0,S104=0),"",IF(AND(R104&gt;0,S104&gt;0),"","MISMATCH")),"")</f>
        <v/>
      </c>
      <c r="N104" s="305" t="str">
        <f>IF(OR(Overview!$D$4="Preliminary Documentation Review",Overview!$D$4="Preliminary Precertification Review"),IF(AND(T104=0,U104=0),"",IF(AND(T104&gt;0,U104&gt;0),"MISMATCH","")),"")</f>
        <v/>
      </c>
      <c r="O104" s="305" t="str">
        <f>IF(OR(Overview!$D$4="Preliminary Documentation Review",Overview!$D$4="Preliminary Precertification Review"),IF(AND(V104=0,W104=0),"",IF(AND(V104&gt;0,W104&gt;0),"","MISMATCH")),"")</f>
        <v/>
      </c>
      <c r="P104" s="286">
        <f t="shared" si="21"/>
        <v>0</v>
      </c>
      <c r="Q104" s="286">
        <f t="shared" si="16"/>
        <v>0</v>
      </c>
      <c r="R104" s="305">
        <f t="shared" si="22"/>
        <v>0</v>
      </c>
      <c r="S104" s="305">
        <f t="shared" si="17"/>
        <v>0</v>
      </c>
      <c r="T104" s="305">
        <f t="shared" si="19"/>
        <v>35</v>
      </c>
      <c r="U104" s="305">
        <f t="shared" si="20"/>
        <v>0</v>
      </c>
      <c r="V104" s="305">
        <f t="shared" si="15"/>
        <v>35</v>
      </c>
      <c r="W104" s="305">
        <f t="shared" si="18"/>
        <v>1</v>
      </c>
    </row>
    <row r="105" spans="2:23" ht="45.6">
      <c r="B105" s="866"/>
      <c r="C105" s="838"/>
      <c r="D105" s="837"/>
      <c r="E105" s="550" t="s">
        <v>1251</v>
      </c>
      <c r="F105" s="612">
        <v>2</v>
      </c>
      <c r="G105" s="552" t="s">
        <v>309</v>
      </c>
      <c r="H105" s="553" t="s">
        <v>1458</v>
      </c>
      <c r="I105" s="554" t="s">
        <v>1208</v>
      </c>
      <c r="L105" s="305" t="str">
        <f>IF(OR(Overview!$D$4="Preliminary Documentation Review",Overview!$D$4="Preliminary Precertification Review"),IF(AND(P105=0,Q105=0),"",IF(AND(P105&gt;0,Q105&gt;0),"","MISMATCH")),"")</f>
        <v/>
      </c>
      <c r="M105" s="305" t="str">
        <f>IF(OR(Overview!$D$4="Preliminary Documentation Review",Overview!$D$4="Preliminary Precertification Review"),IF(AND(R105=0,S105=0),"",IF(AND(R105&gt;0,S105&gt;0),"","MISMATCH")),"")</f>
        <v/>
      </c>
      <c r="N105" s="305" t="str">
        <f>IF(OR(Overview!$D$4="Preliminary Documentation Review",Overview!$D$4="Preliminary Precertification Review"),IF(AND(T105=0,U105=0),"",IF(AND(T105&gt;0,U105&gt;0),"MISMATCH","")),"")</f>
        <v/>
      </c>
      <c r="O105" s="305" t="str">
        <f>IF(OR(Overview!$D$4="Preliminary Documentation Review",Overview!$D$4="Preliminary Precertification Review"),IF(AND(V105=0,W105=0),"",IF(AND(V105&gt;0,W105&gt;0),"","MISMATCH")),"")</f>
        <v/>
      </c>
      <c r="P105" s="286">
        <f t="shared" si="21"/>
        <v>0</v>
      </c>
      <c r="Q105" s="286">
        <f t="shared" si="16"/>
        <v>0</v>
      </c>
      <c r="R105" s="305">
        <f t="shared" si="22"/>
        <v>0</v>
      </c>
      <c r="S105" s="305">
        <f t="shared" si="17"/>
        <v>0</v>
      </c>
      <c r="T105" s="305">
        <f t="shared" si="19"/>
        <v>0</v>
      </c>
      <c r="U105" s="305">
        <f t="shared" si="20"/>
        <v>0</v>
      </c>
      <c r="V105" s="305">
        <f t="shared" si="15"/>
        <v>0</v>
      </c>
      <c r="W105" s="305">
        <f t="shared" si="18"/>
        <v>0</v>
      </c>
    </row>
    <row r="106" spans="2:23" ht="45.6">
      <c r="B106" s="866"/>
      <c r="C106" s="838" t="s">
        <v>767</v>
      </c>
      <c r="D106" s="837" t="s">
        <v>877</v>
      </c>
      <c r="E106" s="550" t="s">
        <v>1252</v>
      </c>
      <c r="F106" s="559">
        <v>1</v>
      </c>
      <c r="G106" s="552" t="s">
        <v>309</v>
      </c>
      <c r="H106" s="553" t="s">
        <v>1458</v>
      </c>
      <c r="I106" s="554" t="s">
        <v>1208</v>
      </c>
      <c r="L106" s="305" t="str">
        <f>IF(OR(Overview!$D$4="Preliminary Documentation Review",Overview!$D$4="Preliminary Precertification Review"),IF(AND(P106=0,Q106=0),"",IF(AND(P106&gt;0,Q106&gt;0),"","MISMATCH")),"")</f>
        <v/>
      </c>
      <c r="M106" s="305" t="str">
        <f>IF(OR(Overview!$D$4="Preliminary Documentation Review",Overview!$D$4="Preliminary Precertification Review"),IF(AND(R106=0,S106=0),"",IF(AND(R106&gt;0,S106&gt;0),"","MISMATCH")),"")</f>
        <v/>
      </c>
      <c r="N106" s="305" t="str">
        <f>IF(OR(Overview!$D$4="Preliminary Documentation Review",Overview!$D$4="Preliminary Precertification Review"),IF(AND(T106=0,U106=0),"",IF(AND(T106&gt;0,U106&gt;0),"MISMATCH","")),"")</f>
        <v/>
      </c>
      <c r="O106" s="305" t="str">
        <f>IF(OR(Overview!$D$4="Preliminary Documentation Review",Overview!$D$4="Preliminary Precertification Review"),IF(AND(V106=0,W106=0),"",IF(AND(V106&gt;0,W106&gt;0),"","MISMATCH")),"")</f>
        <v/>
      </c>
      <c r="P106" s="286">
        <f t="shared" si="21"/>
        <v>0</v>
      </c>
      <c r="Q106" s="286">
        <f t="shared" si="16"/>
        <v>0</v>
      </c>
      <c r="R106" s="305">
        <f t="shared" si="22"/>
        <v>0</v>
      </c>
      <c r="S106" s="305">
        <f t="shared" si="17"/>
        <v>0</v>
      </c>
      <c r="T106" s="305">
        <f t="shared" si="19"/>
        <v>0</v>
      </c>
      <c r="U106" s="305">
        <f t="shared" si="20"/>
        <v>0</v>
      </c>
      <c r="V106" s="305">
        <f t="shared" si="15"/>
        <v>0</v>
      </c>
      <c r="W106" s="305">
        <f t="shared" si="18"/>
        <v>0</v>
      </c>
    </row>
    <row r="107" spans="2:23" ht="45.6">
      <c r="B107" s="866"/>
      <c r="C107" s="838"/>
      <c r="D107" s="837"/>
      <c r="E107" s="550" t="s">
        <v>1253</v>
      </c>
      <c r="F107" s="560"/>
      <c r="G107" s="552" t="s">
        <v>25</v>
      </c>
      <c r="H107" s="553" t="s">
        <v>1176</v>
      </c>
      <c r="I107" s="554" t="s">
        <v>1177</v>
      </c>
      <c r="L107" s="305" t="str">
        <f>IF(OR(Overview!$D$4="Preliminary Documentation Review",Overview!$D$4="Preliminary Precertification Review"),IF(AND(P107=0,Q107=0),"",IF(AND(P107&gt;0,Q107&gt;0),"","MISMATCH")),"")</f>
        <v/>
      </c>
      <c r="M107" s="305" t="str">
        <f>IF(OR(Overview!$D$4="Preliminary Documentation Review",Overview!$D$4="Preliminary Precertification Review"),IF(AND(R107=0,S107=0),"",IF(AND(R107&gt;0,S107&gt;0),"","MISMATCH")),"")</f>
        <v/>
      </c>
      <c r="N107" s="305" t="str">
        <f>IF(OR(Overview!$D$4="Preliminary Documentation Review",Overview!$D$4="Preliminary Precertification Review"),IF(AND(T107=0,U107=0),"",IF(AND(T107&gt;0,U107&gt;0),"MISMATCH","")),"")</f>
        <v/>
      </c>
      <c r="O107" s="305" t="str">
        <f>IF(OR(Overview!$D$4="Preliminary Documentation Review",Overview!$D$4="Preliminary Precertification Review"),IF(AND(V107=0,W107=0),"",IF(AND(V107&gt;0,W107&gt;0),"","MISMATCH")),"")</f>
        <v/>
      </c>
      <c r="P107" s="286">
        <f t="shared" si="21"/>
        <v>0</v>
      </c>
      <c r="Q107" s="286">
        <f t="shared" si="16"/>
        <v>0</v>
      </c>
      <c r="R107" s="305">
        <f t="shared" si="22"/>
        <v>0</v>
      </c>
      <c r="S107" s="305">
        <f t="shared" si="17"/>
        <v>0</v>
      </c>
      <c r="T107" s="305">
        <f t="shared" si="19"/>
        <v>35</v>
      </c>
      <c r="U107" s="305">
        <f t="shared" si="20"/>
        <v>0</v>
      </c>
      <c r="V107" s="305">
        <f t="shared" si="15"/>
        <v>35</v>
      </c>
      <c r="W107" s="305">
        <f t="shared" si="18"/>
        <v>1</v>
      </c>
    </row>
    <row r="108" spans="2:23" ht="45.6">
      <c r="B108" s="866"/>
      <c r="C108" s="838"/>
      <c r="D108" s="837"/>
      <c r="E108" s="550" t="s">
        <v>1254</v>
      </c>
      <c r="F108" s="562">
        <v>1</v>
      </c>
      <c r="G108" s="552" t="s">
        <v>309</v>
      </c>
      <c r="H108" s="553" t="s">
        <v>1458</v>
      </c>
      <c r="I108" s="554" t="s">
        <v>1208</v>
      </c>
      <c r="L108" s="305" t="str">
        <f>IF(OR(Overview!$D$4="Preliminary Documentation Review",Overview!$D$4="Preliminary Precertification Review"),IF(AND(P108=0,Q108=0),"",IF(AND(P108&gt;0,Q108&gt;0),"","MISMATCH")),"")</f>
        <v/>
      </c>
      <c r="M108" s="305" t="str">
        <f>IF(OR(Overview!$D$4="Preliminary Documentation Review",Overview!$D$4="Preliminary Precertification Review"),IF(AND(R108=0,S108=0),"",IF(AND(R108&gt;0,S108&gt;0),"","MISMATCH")),"")</f>
        <v/>
      </c>
      <c r="N108" s="305" t="str">
        <f>IF(OR(Overview!$D$4="Preliminary Documentation Review",Overview!$D$4="Preliminary Precertification Review"),IF(AND(T108=0,U108=0),"",IF(AND(T108&gt;0,U108&gt;0),"MISMATCH","")),"")</f>
        <v/>
      </c>
      <c r="O108" s="305" t="str">
        <f>IF(OR(Overview!$D$4="Preliminary Documentation Review",Overview!$D$4="Preliminary Precertification Review"),IF(AND(V108=0,W108=0),"",IF(AND(V108&gt;0,W108&gt;0),"","MISMATCH")),"")</f>
        <v/>
      </c>
      <c r="P108" s="286">
        <f t="shared" si="21"/>
        <v>0</v>
      </c>
      <c r="Q108" s="286">
        <f t="shared" si="16"/>
        <v>0</v>
      </c>
      <c r="R108" s="305">
        <f t="shared" si="22"/>
        <v>0</v>
      </c>
      <c r="S108" s="305">
        <f t="shared" si="17"/>
        <v>0</v>
      </c>
      <c r="T108" s="305">
        <f t="shared" si="19"/>
        <v>0</v>
      </c>
      <c r="U108" s="305">
        <f t="shared" si="20"/>
        <v>0</v>
      </c>
      <c r="V108" s="305">
        <f t="shared" si="15"/>
        <v>0</v>
      </c>
      <c r="W108" s="305">
        <f t="shared" si="18"/>
        <v>0</v>
      </c>
    </row>
    <row r="109" spans="2:23" ht="45.6">
      <c r="B109" s="866"/>
      <c r="C109" s="548" t="s">
        <v>767</v>
      </c>
      <c r="D109" s="550" t="s">
        <v>881</v>
      </c>
      <c r="E109" s="550" t="s">
        <v>1255</v>
      </c>
      <c r="F109" s="564"/>
      <c r="G109" s="552" t="s">
        <v>25</v>
      </c>
      <c r="H109" s="553" t="s">
        <v>1176</v>
      </c>
      <c r="I109" s="554" t="s">
        <v>1177</v>
      </c>
      <c r="L109" s="305" t="str">
        <f>IF(OR(Overview!$D$4="Preliminary Documentation Review",Overview!$D$4="Preliminary Precertification Review"),IF(AND(P109=0,Q109=0),"",IF(AND(P109&gt;0,Q109&gt;0),"","MISMATCH")),"")</f>
        <v/>
      </c>
      <c r="M109" s="305" t="str">
        <f>IF(OR(Overview!$D$4="Preliminary Documentation Review",Overview!$D$4="Preliminary Precertification Review"),IF(AND(R109=0,S109=0),"",IF(AND(R109&gt;0,S109&gt;0),"","MISMATCH")),"")</f>
        <v/>
      </c>
      <c r="N109" s="305" t="str">
        <f>IF(OR(Overview!$D$4="Preliminary Documentation Review",Overview!$D$4="Preliminary Precertification Review"),IF(AND(T109=0,U109=0),"",IF(AND(T109&gt;0,U109&gt;0),"MISMATCH","")),"")</f>
        <v/>
      </c>
      <c r="O109" s="305" t="str">
        <f>IF(OR(Overview!$D$4="Preliminary Documentation Review",Overview!$D$4="Preliminary Precertification Review"),IF(AND(V109=0,W109=0),"",IF(AND(V109&gt;0,W109&gt;0),"","MISMATCH")),"")</f>
        <v/>
      </c>
      <c r="P109" s="286">
        <f t="shared" si="21"/>
        <v>0</v>
      </c>
      <c r="Q109" s="286">
        <f t="shared" si="16"/>
        <v>0</v>
      </c>
      <c r="R109" s="305">
        <f t="shared" si="22"/>
        <v>0</v>
      </c>
      <c r="S109" s="305">
        <f t="shared" si="17"/>
        <v>0</v>
      </c>
      <c r="T109" s="305">
        <f t="shared" si="19"/>
        <v>35</v>
      </c>
      <c r="U109" s="305">
        <f t="shared" si="20"/>
        <v>0</v>
      </c>
      <c r="V109" s="305">
        <f t="shared" si="15"/>
        <v>35</v>
      </c>
      <c r="W109" s="305">
        <f t="shared" si="18"/>
        <v>1</v>
      </c>
    </row>
    <row r="110" spans="2:23" ht="45.6">
      <c r="B110" s="866"/>
      <c r="C110" s="838" t="s">
        <v>767</v>
      </c>
      <c r="D110" s="837" t="s">
        <v>883</v>
      </c>
      <c r="E110" s="550" t="s">
        <v>1256</v>
      </c>
      <c r="F110" s="559"/>
      <c r="G110" s="552" t="s">
        <v>25</v>
      </c>
      <c r="H110" s="553" t="s">
        <v>1176</v>
      </c>
      <c r="I110" s="554" t="s">
        <v>1177</v>
      </c>
      <c r="L110" s="305" t="str">
        <f>IF(OR(Overview!$D$4="Preliminary Documentation Review",Overview!$D$4="Preliminary Precertification Review"),IF(AND(P110=0,Q110=0),"",IF(AND(P110&gt;0,Q110&gt;0),"","MISMATCH")),"")</f>
        <v/>
      </c>
      <c r="M110" s="305" t="str">
        <f>IF(OR(Overview!$D$4="Preliminary Documentation Review",Overview!$D$4="Preliminary Precertification Review"),IF(AND(R110=0,S110=0),"",IF(AND(R110&gt;0,S110&gt;0),"","MISMATCH")),"")</f>
        <v/>
      </c>
      <c r="N110" s="305" t="str">
        <f>IF(OR(Overview!$D$4="Preliminary Documentation Review",Overview!$D$4="Preliminary Precertification Review"),IF(AND(T110=0,U110=0),"",IF(AND(T110&gt;0,U110&gt;0),"MISMATCH","")),"")</f>
        <v/>
      </c>
      <c r="O110" s="305" t="str">
        <f>IF(OR(Overview!$D$4="Preliminary Documentation Review",Overview!$D$4="Preliminary Precertification Review"),IF(AND(V110=0,W110=0),"",IF(AND(V110&gt;0,W110&gt;0),"","MISMATCH")),"")</f>
        <v/>
      </c>
      <c r="P110" s="286">
        <f t="shared" si="21"/>
        <v>0</v>
      </c>
      <c r="Q110" s="286">
        <f t="shared" si="16"/>
        <v>0</v>
      </c>
      <c r="R110" s="305">
        <f t="shared" si="22"/>
        <v>0</v>
      </c>
      <c r="S110" s="305">
        <f t="shared" si="17"/>
        <v>0</v>
      </c>
      <c r="T110" s="305">
        <f t="shared" si="19"/>
        <v>35</v>
      </c>
      <c r="U110" s="305">
        <f t="shared" si="20"/>
        <v>0</v>
      </c>
      <c r="V110" s="305">
        <f t="shared" si="15"/>
        <v>35</v>
      </c>
      <c r="W110" s="305">
        <f t="shared" si="18"/>
        <v>1</v>
      </c>
    </row>
    <row r="111" spans="2:23" ht="45.6">
      <c r="B111" s="866"/>
      <c r="C111" s="838"/>
      <c r="D111" s="837"/>
      <c r="E111" s="550" t="s">
        <v>1257</v>
      </c>
      <c r="F111" s="562">
        <v>1</v>
      </c>
      <c r="G111" s="552" t="s">
        <v>309</v>
      </c>
      <c r="H111" s="553" t="s">
        <v>1458</v>
      </c>
      <c r="I111" s="554" t="s">
        <v>1208</v>
      </c>
      <c r="L111" s="305" t="str">
        <f>IF(OR(Overview!$D$4="Preliminary Documentation Review",Overview!$D$4="Preliminary Precertification Review"),IF(AND(P111=0,Q111=0),"",IF(AND(P111&gt;0,Q111&gt;0),"","MISMATCH")),"")</f>
        <v/>
      </c>
      <c r="M111" s="305" t="str">
        <f>IF(OR(Overview!$D$4="Preliminary Documentation Review",Overview!$D$4="Preliminary Precertification Review"),IF(AND(R111=0,S111=0),"",IF(AND(R111&gt;0,S111&gt;0),"","MISMATCH")),"")</f>
        <v/>
      </c>
      <c r="N111" s="305" t="str">
        <f>IF(OR(Overview!$D$4="Preliminary Documentation Review",Overview!$D$4="Preliminary Precertification Review"),IF(AND(T111=0,U111=0),"",IF(AND(T111&gt;0,U111&gt;0),"MISMATCH","")),"")</f>
        <v/>
      </c>
      <c r="O111" s="305" t="str">
        <f>IF(OR(Overview!$D$4="Preliminary Documentation Review",Overview!$D$4="Preliminary Precertification Review"),IF(AND(V111=0,W111=0),"",IF(AND(V111&gt;0,W111&gt;0),"","MISMATCH")),"")</f>
        <v/>
      </c>
      <c r="P111" s="286">
        <f t="shared" si="21"/>
        <v>0</v>
      </c>
      <c r="Q111" s="286">
        <f t="shared" si="16"/>
        <v>0</v>
      </c>
      <c r="R111" s="305">
        <f t="shared" si="22"/>
        <v>0</v>
      </c>
      <c r="S111" s="305">
        <f t="shared" si="17"/>
        <v>0</v>
      </c>
      <c r="T111" s="305">
        <f t="shared" si="19"/>
        <v>0</v>
      </c>
      <c r="U111" s="305">
        <f t="shared" si="20"/>
        <v>0</v>
      </c>
      <c r="V111" s="305">
        <f t="shared" si="15"/>
        <v>0</v>
      </c>
      <c r="W111" s="305">
        <f t="shared" si="18"/>
        <v>0</v>
      </c>
    </row>
    <row r="112" spans="2:23" ht="45.6">
      <c r="B112" s="866"/>
      <c r="C112" s="838" t="s">
        <v>767</v>
      </c>
      <c r="D112" s="837" t="s">
        <v>886</v>
      </c>
      <c r="E112" s="550" t="s">
        <v>1258</v>
      </c>
      <c r="F112" s="566"/>
      <c r="G112" s="552" t="s">
        <v>25</v>
      </c>
      <c r="H112" s="553" t="s">
        <v>1176</v>
      </c>
      <c r="I112" s="554" t="s">
        <v>1177</v>
      </c>
      <c r="L112" s="305" t="str">
        <f>IF(OR(Overview!$D$4="Preliminary Documentation Review",Overview!$D$4="Preliminary Precertification Review"),IF(AND(P112=0,Q112=0),"",IF(AND(P112&gt;0,Q112&gt;0),"","MISMATCH")),"")</f>
        <v/>
      </c>
      <c r="M112" s="305" t="str">
        <f>IF(OR(Overview!$D$4="Preliminary Documentation Review",Overview!$D$4="Preliminary Precertification Review"),IF(AND(R112=0,S112=0),"",IF(AND(R112&gt;0,S112&gt;0),"","MISMATCH")),"")</f>
        <v/>
      </c>
      <c r="N112" s="305" t="str">
        <f>IF(OR(Overview!$D$4="Preliminary Documentation Review",Overview!$D$4="Preliminary Precertification Review"),IF(AND(T112=0,U112=0),"",IF(AND(T112&gt;0,U112&gt;0),"MISMATCH","")),"")</f>
        <v/>
      </c>
      <c r="O112" s="305" t="str">
        <f>IF(OR(Overview!$D$4="Preliminary Documentation Review",Overview!$D$4="Preliminary Precertification Review"),IF(AND(V112=0,W112=0),"",IF(AND(V112&gt;0,W112&gt;0),"","MISMATCH")),"")</f>
        <v/>
      </c>
      <c r="P112" s="286">
        <f t="shared" si="21"/>
        <v>0</v>
      </c>
      <c r="Q112" s="286">
        <f t="shared" si="16"/>
        <v>0</v>
      </c>
      <c r="R112" s="305">
        <f t="shared" si="22"/>
        <v>0</v>
      </c>
      <c r="S112" s="305">
        <f t="shared" si="17"/>
        <v>0</v>
      </c>
      <c r="T112" s="305">
        <f t="shared" si="19"/>
        <v>35</v>
      </c>
      <c r="U112" s="305">
        <f t="shared" si="20"/>
        <v>0</v>
      </c>
      <c r="V112" s="305">
        <f t="shared" si="15"/>
        <v>35</v>
      </c>
      <c r="W112" s="305">
        <f t="shared" si="18"/>
        <v>1</v>
      </c>
    </row>
    <row r="113" spans="2:23" ht="45.6">
      <c r="B113" s="866"/>
      <c r="C113" s="838"/>
      <c r="D113" s="837"/>
      <c r="E113" s="550" t="s">
        <v>1259</v>
      </c>
      <c r="F113" s="566"/>
      <c r="G113" s="552" t="s">
        <v>25</v>
      </c>
      <c r="H113" s="553" t="s">
        <v>1176</v>
      </c>
      <c r="I113" s="554" t="s">
        <v>1177</v>
      </c>
      <c r="L113" s="305" t="str">
        <f>IF(OR(Overview!$D$4="Preliminary Documentation Review",Overview!$D$4="Preliminary Precertification Review"),IF(AND(P113=0,Q113=0),"",IF(AND(P113&gt;0,Q113&gt;0),"","MISMATCH")),"")</f>
        <v/>
      </c>
      <c r="M113" s="305" t="str">
        <f>IF(OR(Overview!$D$4="Preliminary Documentation Review",Overview!$D$4="Preliminary Precertification Review"),IF(AND(R113=0,S113=0),"",IF(AND(R113&gt;0,S113&gt;0),"","MISMATCH")),"")</f>
        <v/>
      </c>
      <c r="N113" s="305" t="str">
        <f>IF(OR(Overview!$D$4="Preliminary Documentation Review",Overview!$D$4="Preliminary Precertification Review"),IF(AND(T113=0,U113=0),"",IF(AND(T113&gt;0,U113&gt;0),"MISMATCH","")),"")</f>
        <v/>
      </c>
      <c r="O113" s="305" t="str">
        <f>IF(OR(Overview!$D$4="Preliminary Documentation Review",Overview!$D$4="Preliminary Precertification Review"),IF(AND(V113=0,W113=0),"",IF(AND(V113&gt;0,W113&gt;0),"","MISMATCH")),"")</f>
        <v/>
      </c>
      <c r="P113" s="286">
        <f t="shared" si="21"/>
        <v>0</v>
      </c>
      <c r="Q113" s="286">
        <f t="shared" si="16"/>
        <v>0</v>
      </c>
      <c r="R113" s="305">
        <f t="shared" si="22"/>
        <v>0</v>
      </c>
      <c r="S113" s="305">
        <f t="shared" si="17"/>
        <v>0</v>
      </c>
      <c r="T113" s="305">
        <f t="shared" si="19"/>
        <v>35</v>
      </c>
      <c r="U113" s="305">
        <f t="shared" si="20"/>
        <v>0</v>
      </c>
      <c r="V113" s="305">
        <f t="shared" si="15"/>
        <v>35</v>
      </c>
      <c r="W113" s="305">
        <f t="shared" si="18"/>
        <v>1</v>
      </c>
    </row>
    <row r="114" spans="2:23">
      <c r="B114" s="613"/>
      <c r="C114" s="614"/>
      <c r="D114" s="615"/>
      <c r="E114" s="616"/>
      <c r="F114" s="597"/>
      <c r="G114" s="577"/>
      <c r="H114" s="617"/>
      <c r="I114" s="618"/>
      <c r="L114" s="305" t="str">
        <f>IF(OR(Overview!$D$4="Preliminary Documentation Review",Overview!$D$4="Preliminary Precertification Review"),IF(AND(P114=0,Q114=0),"",IF(AND(P114&gt;0,Q114&gt;0),"","MISMATCH")),"")</f>
        <v/>
      </c>
      <c r="M114" s="305" t="str">
        <f>IF(OR(Overview!$D$4="Preliminary Documentation Review",Overview!$D$4="Preliminary Precertification Review"),IF(AND(R114=0,S114=0),"",IF(AND(R114&gt;0,S114&gt;0),"","MISMATCH")),"")</f>
        <v/>
      </c>
      <c r="N114" s="305" t="str">
        <f>IF(OR(Overview!$D$4="Preliminary Documentation Review",Overview!$D$4="Preliminary Precertification Review"),IF(AND(T114=0,U114=0),"",IF(AND(T114&gt;0,U114&gt;0),"MISMATCH","")),"")</f>
        <v/>
      </c>
      <c r="O114" s="305" t="str">
        <f>IF(OR(Overview!$D$4="Preliminary Documentation Review",Overview!$D$4="Preliminary Precertification Review"),IF(AND(V114=0,W114=0),"",IF(AND(V114&gt;0,W114&gt;0),"","MISMATCH")),"")</f>
        <v/>
      </c>
      <c r="P114" s="286">
        <f t="shared" si="21"/>
        <v>0</v>
      </c>
      <c r="Q114" s="286">
        <f t="shared" si="16"/>
        <v>0</v>
      </c>
      <c r="R114" s="305">
        <f t="shared" si="22"/>
        <v>0</v>
      </c>
      <c r="S114" s="305">
        <f t="shared" si="17"/>
        <v>0</v>
      </c>
      <c r="T114" s="305">
        <f t="shared" si="19"/>
        <v>0</v>
      </c>
      <c r="U114" s="305">
        <f t="shared" si="20"/>
        <v>0</v>
      </c>
      <c r="V114" s="305">
        <f t="shared" si="15"/>
        <v>0</v>
      </c>
      <c r="W114" s="305">
        <f t="shared" si="18"/>
        <v>0</v>
      </c>
    </row>
    <row r="115" spans="2:23">
      <c r="B115" s="573"/>
      <c r="C115" s="574"/>
      <c r="D115" s="575"/>
      <c r="E115" s="576"/>
      <c r="F115" s="577"/>
      <c r="G115" s="577"/>
      <c r="H115" s="578"/>
      <c r="I115" s="579"/>
      <c r="L115" s="305" t="str">
        <f>IF(OR(Overview!$D$4="Preliminary Documentation Review",Overview!$D$4="Preliminary Precertification Review"),IF(AND(P115=0,Q115=0),"",IF(AND(P115&gt;0,Q115&gt;0),"","MISMATCH")),"")</f>
        <v/>
      </c>
      <c r="M115" s="305" t="str">
        <f>IF(OR(Overview!$D$4="Preliminary Documentation Review",Overview!$D$4="Preliminary Precertification Review"),IF(AND(R115=0,S115=0),"",IF(AND(R115&gt;0,S115&gt;0),"","MISMATCH")),"")</f>
        <v/>
      </c>
      <c r="N115" s="305" t="str">
        <f>IF(OR(Overview!$D$4="Preliminary Documentation Review",Overview!$D$4="Preliminary Precertification Review"),IF(AND(T115=0,U115=0),"",IF(AND(T115&gt;0,U115&gt;0),"MISMATCH","")),"")</f>
        <v/>
      </c>
      <c r="O115" s="305" t="str">
        <f>IF(OR(Overview!$D$4="Preliminary Documentation Review",Overview!$D$4="Preliminary Precertification Review"),IF(AND(V115=0,W115=0),"",IF(AND(V115&gt;0,W115&gt;0),"","MISMATCH")),"")</f>
        <v/>
      </c>
      <c r="P115" s="286">
        <f t="shared" si="21"/>
        <v>0</v>
      </c>
      <c r="Q115" s="286">
        <f t="shared" si="16"/>
        <v>0</v>
      </c>
      <c r="R115" s="305">
        <f t="shared" si="22"/>
        <v>0</v>
      </c>
      <c r="S115" s="305">
        <f t="shared" si="17"/>
        <v>0</v>
      </c>
      <c r="T115" s="305">
        <f t="shared" si="19"/>
        <v>0</v>
      </c>
      <c r="U115" s="305">
        <f t="shared" si="20"/>
        <v>0</v>
      </c>
      <c r="V115" s="305">
        <f t="shared" si="15"/>
        <v>0</v>
      </c>
      <c r="W115" s="305">
        <f t="shared" si="18"/>
        <v>0</v>
      </c>
    </row>
    <row r="116" spans="2:23">
      <c r="B116" s="867"/>
      <c r="C116" s="868"/>
      <c r="D116" s="868"/>
      <c r="E116" s="868"/>
      <c r="F116" s="868"/>
      <c r="G116" s="868"/>
      <c r="H116" s="868"/>
      <c r="I116" s="619"/>
      <c r="L116" s="305" t="str">
        <f>IF(OR(Overview!$D$4="Preliminary Documentation Review",Overview!$D$4="Preliminary Precertification Review"),IF(AND(P116=0,Q116=0),"",IF(AND(P116&gt;0,Q116&gt;0),"","MISMATCH")),"")</f>
        <v/>
      </c>
      <c r="M116" s="305" t="str">
        <f>IF(OR(Overview!$D$4="Preliminary Documentation Review",Overview!$D$4="Preliminary Precertification Review"),IF(AND(R116=0,S116=0),"",IF(AND(R116&gt;0,S116&gt;0),"","MISMATCH")),"")</f>
        <v/>
      </c>
      <c r="N116" s="305" t="str">
        <f>IF(OR(Overview!$D$4="Preliminary Documentation Review",Overview!$D$4="Preliminary Precertification Review"),IF(AND(T116=0,U116=0),"",IF(AND(T116&gt;0,U116&gt;0),"MISMATCH","")),"")</f>
        <v/>
      </c>
      <c r="O116" s="305" t="str">
        <f>IF(OR(Overview!$D$4="Preliminary Documentation Review",Overview!$D$4="Preliminary Precertification Review"),IF(AND(V116=0,W116=0),"",IF(AND(V116&gt;0,W116&gt;0),"","MISMATCH")),"")</f>
        <v/>
      </c>
      <c r="T116" s="305">
        <f t="shared" si="19"/>
        <v>0</v>
      </c>
      <c r="U116" s="305">
        <f t="shared" si="20"/>
        <v>0</v>
      </c>
      <c r="V116" s="305">
        <f t="shared" si="15"/>
        <v>0</v>
      </c>
      <c r="W116" s="305">
        <f t="shared" si="18"/>
        <v>0</v>
      </c>
    </row>
    <row r="117" spans="2:23" s="547" customFormat="1" ht="99.9" hidden="1" customHeight="1">
      <c r="B117" s="620"/>
      <c r="C117" s="832" t="s">
        <v>1260</v>
      </c>
      <c r="D117" s="833"/>
      <c r="E117" s="833"/>
      <c r="F117" s="833"/>
      <c r="G117" s="833"/>
      <c r="H117" s="833"/>
      <c r="I117" s="834"/>
      <c r="J117" s="546"/>
      <c r="K117" s="531"/>
      <c r="L117" s="305" t="str">
        <f>IF(OR(Overview!$D$4="Preliminary Documentation Review",Overview!$D$4="Preliminary Precertification Review"),IF(AND(P117=0,Q117=0),"",IF(AND(P117&gt;0,Q117&gt;0),"","MISMATCH")),"")</f>
        <v/>
      </c>
      <c r="M117" s="305" t="str">
        <f>IF(OR(Overview!$D$4="Preliminary Documentation Review",Overview!$D$4="Preliminary Precertification Review"),IF(AND(R117=0,S117=0),"",IF(AND(R117&gt;0,S117&gt;0),"","MISMATCH")),"")</f>
        <v/>
      </c>
      <c r="N117" s="305" t="str">
        <f>IF(OR(Overview!$D$4="Preliminary Documentation Review",Overview!$D$4="Preliminary Precertification Review"),IF(AND(T117=0,U117=0),"",IF(AND(T117&gt;0,U117&gt;0),"MISMATCH","")),"")</f>
        <v/>
      </c>
      <c r="O117" s="305" t="str">
        <f>IF(OR(Overview!$D$4="Preliminary Documentation Review",Overview!$D$4="Preliminary Precertification Review"),IF(AND(V117=0,W117=0),"",IF(AND(V117&gt;0,W117&gt;0),"","MISMATCH")),"")</f>
        <v/>
      </c>
      <c r="T117" s="305">
        <f t="shared" si="19"/>
        <v>0</v>
      </c>
      <c r="U117" s="305">
        <f t="shared" si="20"/>
        <v>0</v>
      </c>
      <c r="V117" s="305">
        <f t="shared" si="15"/>
        <v>0</v>
      </c>
      <c r="W117" s="305">
        <f t="shared" si="18"/>
        <v>0</v>
      </c>
    </row>
    <row r="118" spans="2:23" s="547" customFormat="1" ht="15.6" hidden="1" customHeight="1">
      <c r="B118" s="620"/>
      <c r="C118" s="868"/>
      <c r="D118" s="868"/>
      <c r="E118" s="868"/>
      <c r="F118" s="868"/>
      <c r="G118" s="868"/>
      <c r="H118" s="868"/>
      <c r="I118" s="869"/>
      <c r="J118" s="546"/>
      <c r="K118" s="531"/>
      <c r="L118" s="305" t="str">
        <f>IF(OR(Overview!$D$4="Preliminary Documentation Review",Overview!$D$4="Preliminary Precertification Review"),IF(AND(P118=0,Q118=0),"",IF(AND(P118&gt;0,Q118&gt;0),"","MISMATCH")),"")</f>
        <v/>
      </c>
      <c r="M118" s="305" t="str">
        <f>IF(OR(Overview!$D$4="Preliminary Documentation Review",Overview!$D$4="Preliminary Precertification Review"),IF(AND(R118=0,S118=0),"",IF(AND(R118&gt;0,S118&gt;0),"","MISMATCH")),"")</f>
        <v/>
      </c>
      <c r="N118" s="305" t="str">
        <f>IF(OR(Overview!$D$4="Preliminary Documentation Review",Overview!$D$4="Preliminary Precertification Review"),IF(AND(T118=0,U118=0),"",IF(AND(T118&gt;0,U118&gt;0),"MISMATCH","")),"")</f>
        <v/>
      </c>
      <c r="O118" s="305" t="str">
        <f>IF(OR(Overview!$D$4="Preliminary Documentation Review",Overview!$D$4="Preliminary Precertification Review"),IF(AND(V118=0,W118=0),"",IF(AND(V118&gt;0,W118&gt;0),"","MISMATCH")),"")</f>
        <v/>
      </c>
      <c r="T118" s="305">
        <f t="shared" si="19"/>
        <v>0</v>
      </c>
      <c r="U118" s="305">
        <f t="shared" si="20"/>
        <v>0</v>
      </c>
      <c r="V118" s="305">
        <f t="shared" si="15"/>
        <v>0</v>
      </c>
      <c r="W118" s="305">
        <f t="shared" si="18"/>
        <v>0</v>
      </c>
    </row>
    <row r="119" spans="2:23" ht="135.6">
      <c r="B119" s="870" t="s">
        <v>889</v>
      </c>
      <c r="C119" s="548" t="s">
        <v>752</v>
      </c>
      <c r="D119" s="550" t="s">
        <v>890</v>
      </c>
      <c r="E119" s="550" t="s">
        <v>1261</v>
      </c>
      <c r="F119" s="551"/>
      <c r="G119" s="552" t="s">
        <v>1162</v>
      </c>
      <c r="H119" s="553" t="s">
        <v>1458</v>
      </c>
      <c r="I119" s="621" t="s">
        <v>1262</v>
      </c>
      <c r="K119" s="563"/>
      <c r="L119" s="305" t="str">
        <f>IF(OR(Overview!$D$4="Preliminary Documentation Review",Overview!$D$4="Preliminary Precertification Review"),IF(AND(P119=0,Q119=0),"",IF(AND(P119&gt;0,Q119&gt;0),"","MISMATCH")),"")</f>
        <v/>
      </c>
      <c r="M119" s="305" t="str">
        <f>IF(OR(Overview!$D$4="Preliminary Documentation Review",Overview!$D$4="Preliminary Precertification Review"),IF(AND(R119=0,S119=0),"",IF(AND(R119&gt;0,S119&gt;0),"","MISMATCH")),"")</f>
        <v/>
      </c>
      <c r="N119" s="305" t="str">
        <f>IF(OR(Overview!$D$4="Preliminary Documentation Review",Overview!$D$4="Preliminary Precertification Review"),IF(AND(T119=0,U119=0),"",IF(AND(T119&gt;0,U119&gt;0),"MISMATCH","")),"")</f>
        <v/>
      </c>
      <c r="O119" s="305" t="str">
        <f>IF(OR(Overview!$D$4="Preliminary Documentation Review",Overview!$D$4="Preliminary Precertification Review"),IF(AND(V119=0,W119=0),"",IF(AND(V119&gt;0,W119&gt;0),"","MISMATCH")),"")</f>
        <v/>
      </c>
      <c r="P119" s="286">
        <f t="shared" ref="P119:P149" si="23">IFERROR(SEARCH("COMMENTS TO BE ADDRESS",$I119),0)</f>
        <v>0</v>
      </c>
      <c r="Q119" s="286">
        <f t="shared" si="16"/>
        <v>0</v>
      </c>
      <c r="R119" s="305">
        <f>IFERROR(SEARCH("Theequirements of this part will be v",$I119),0)</f>
        <v>0</v>
      </c>
      <c r="S119" s="305">
        <f t="shared" si="17"/>
        <v>0</v>
      </c>
      <c r="T119" s="305">
        <f t="shared" si="19"/>
        <v>35</v>
      </c>
      <c r="U119" s="305">
        <f t="shared" si="20"/>
        <v>0</v>
      </c>
      <c r="V119" s="305">
        <f t="shared" si="15"/>
        <v>0</v>
      </c>
      <c r="W119" s="305">
        <f t="shared" si="18"/>
        <v>0</v>
      </c>
    </row>
    <row r="120" spans="2:23" ht="136.80000000000001">
      <c r="B120" s="870"/>
      <c r="C120" s="838" t="s">
        <v>752</v>
      </c>
      <c r="D120" s="837" t="s">
        <v>892</v>
      </c>
      <c r="E120" s="550" t="s">
        <v>1263</v>
      </c>
      <c r="F120" s="556"/>
      <c r="G120" s="552" t="s">
        <v>1162</v>
      </c>
      <c r="H120" s="553" t="s">
        <v>1458</v>
      </c>
      <c r="I120" s="565" t="s">
        <v>1468</v>
      </c>
      <c r="L120" s="305" t="str">
        <f>IF(OR(Overview!$D$4="Preliminary Documentation Review",Overview!$D$4="Preliminary Precertification Review"),IF(AND(P120=0,Q120=0),"",IF(AND(P120&gt;0,Q120&gt;0),"","MISMATCH")),"")</f>
        <v/>
      </c>
      <c r="M120" s="305" t="str">
        <f>IF(OR(Overview!$D$4="Preliminary Documentation Review",Overview!$D$4="Preliminary Precertification Review"),IF(AND(R120=0,S120=0),"",IF(AND(R120&gt;0,S120&gt;0),"","MISMATCH")),"")</f>
        <v/>
      </c>
      <c r="N120" s="305" t="str">
        <f>IF(OR(Overview!$D$4="Preliminary Documentation Review",Overview!$D$4="Preliminary Precertification Review"),IF(AND(T120=0,U120=0),"",IF(AND(T120&gt;0,U120&gt;0),"MISMATCH","")),"")</f>
        <v/>
      </c>
      <c r="O120" s="305" t="str">
        <f>IF(OR(Overview!$D$4="Preliminary Documentation Review",Overview!$D$4="Preliminary Precertification Review"),IF(AND(V120=0,W120=0),"",IF(AND(V120&gt;0,W120&gt;0),"","MISMATCH")),"")</f>
        <v/>
      </c>
      <c r="P120" s="286">
        <f t="shared" si="23"/>
        <v>0</v>
      </c>
      <c r="Q120" s="286">
        <f t="shared" si="16"/>
        <v>0</v>
      </c>
      <c r="R120" s="305">
        <f t="shared" ref="R120:R149" si="24">IFERROR(SEARCH("equirements of this part will be v",$I120),0)</f>
        <v>178</v>
      </c>
      <c r="S120" s="305">
        <f t="shared" si="17"/>
        <v>0</v>
      </c>
      <c r="T120" s="305">
        <f t="shared" si="19"/>
        <v>0</v>
      </c>
      <c r="U120" s="305">
        <f t="shared" si="20"/>
        <v>0</v>
      </c>
      <c r="V120" s="305">
        <f t="shared" si="15"/>
        <v>0</v>
      </c>
      <c r="W120" s="305">
        <f t="shared" si="18"/>
        <v>0</v>
      </c>
    </row>
    <row r="121" spans="2:23" ht="136.80000000000001">
      <c r="B121" s="870"/>
      <c r="C121" s="838"/>
      <c r="D121" s="837"/>
      <c r="E121" s="550" t="s">
        <v>1264</v>
      </c>
      <c r="F121" s="556"/>
      <c r="G121" s="552" t="s">
        <v>1162</v>
      </c>
      <c r="H121" s="553" t="s">
        <v>1458</v>
      </c>
      <c r="I121" s="565" t="s">
        <v>1468</v>
      </c>
      <c r="L121" s="305" t="str">
        <f>IF(OR(Overview!$D$4="Preliminary Documentation Review",Overview!$D$4="Preliminary Precertification Review"),IF(AND(P121=0,Q121=0),"",IF(AND(P121&gt;0,Q121&gt;0),"","MISMATCH")),"")</f>
        <v/>
      </c>
      <c r="M121" s="305" t="str">
        <f>IF(OR(Overview!$D$4="Preliminary Documentation Review",Overview!$D$4="Preliminary Precertification Review"),IF(AND(R121=0,S121=0),"",IF(AND(R121&gt;0,S121&gt;0),"","MISMATCH")),"")</f>
        <v/>
      </c>
      <c r="N121" s="305" t="str">
        <f>IF(OR(Overview!$D$4="Preliminary Documentation Review",Overview!$D$4="Preliminary Precertification Review"),IF(AND(T121=0,U121=0),"",IF(AND(T121&gt;0,U121&gt;0),"MISMATCH","")),"")</f>
        <v/>
      </c>
      <c r="O121" s="305" t="str">
        <f>IF(OR(Overview!$D$4="Preliminary Documentation Review",Overview!$D$4="Preliminary Precertification Review"),IF(AND(V121=0,W121=0),"",IF(AND(V121&gt;0,W121&gt;0),"","MISMATCH")),"")</f>
        <v/>
      </c>
      <c r="P121" s="286">
        <f t="shared" si="23"/>
        <v>0</v>
      </c>
      <c r="Q121" s="286">
        <f t="shared" si="16"/>
        <v>0</v>
      </c>
      <c r="R121" s="305">
        <f t="shared" si="24"/>
        <v>178</v>
      </c>
      <c r="S121" s="305">
        <f t="shared" si="17"/>
        <v>0</v>
      </c>
      <c r="T121" s="305">
        <f t="shared" si="19"/>
        <v>0</v>
      </c>
      <c r="U121" s="305">
        <f t="shared" si="20"/>
        <v>0</v>
      </c>
      <c r="V121" s="305">
        <f t="shared" si="15"/>
        <v>0</v>
      </c>
      <c r="W121" s="305">
        <f t="shared" si="18"/>
        <v>0</v>
      </c>
    </row>
    <row r="122" spans="2:23" ht="136.80000000000001">
      <c r="B122" s="870"/>
      <c r="C122" s="838"/>
      <c r="D122" s="837"/>
      <c r="E122" s="550" t="s">
        <v>1265</v>
      </c>
      <c r="F122" s="556"/>
      <c r="G122" s="552" t="s">
        <v>1162</v>
      </c>
      <c r="H122" s="553" t="s">
        <v>1458</v>
      </c>
      <c r="I122" s="565" t="s">
        <v>1468</v>
      </c>
      <c r="L122" s="305" t="str">
        <f>IF(OR(Overview!$D$4="Preliminary Documentation Review",Overview!$D$4="Preliminary Precertification Review"),IF(AND(P122=0,Q122=0),"",IF(AND(P122&gt;0,Q122&gt;0),"","MISMATCH")),"")</f>
        <v/>
      </c>
      <c r="M122" s="305" t="str">
        <f>IF(OR(Overview!$D$4="Preliminary Documentation Review",Overview!$D$4="Preliminary Precertification Review"),IF(AND(R122=0,S122=0),"",IF(AND(R122&gt;0,S122&gt;0),"","MISMATCH")),"")</f>
        <v/>
      </c>
      <c r="N122" s="305" t="str">
        <f>IF(OR(Overview!$D$4="Preliminary Documentation Review",Overview!$D$4="Preliminary Precertification Review"),IF(AND(T122=0,U122=0),"",IF(AND(T122&gt;0,U122&gt;0),"MISMATCH","")),"")</f>
        <v/>
      </c>
      <c r="O122" s="305" t="str">
        <f>IF(OR(Overview!$D$4="Preliminary Documentation Review",Overview!$D$4="Preliminary Precertification Review"),IF(AND(V122=0,W122=0),"",IF(AND(V122&gt;0,W122&gt;0),"","MISMATCH")),"")</f>
        <v/>
      </c>
      <c r="P122" s="286">
        <f t="shared" si="23"/>
        <v>0</v>
      </c>
      <c r="Q122" s="286">
        <f t="shared" si="16"/>
        <v>0</v>
      </c>
      <c r="R122" s="305">
        <f t="shared" si="24"/>
        <v>178</v>
      </c>
      <c r="S122" s="305">
        <f t="shared" si="17"/>
        <v>0</v>
      </c>
      <c r="T122" s="305">
        <f t="shared" si="19"/>
        <v>0</v>
      </c>
      <c r="U122" s="305">
        <f t="shared" si="20"/>
        <v>0</v>
      </c>
      <c r="V122" s="305">
        <f t="shared" si="15"/>
        <v>0</v>
      </c>
      <c r="W122" s="305">
        <f t="shared" si="18"/>
        <v>0</v>
      </c>
    </row>
    <row r="123" spans="2:23" ht="136.80000000000001">
      <c r="B123" s="870"/>
      <c r="C123" s="838"/>
      <c r="D123" s="837"/>
      <c r="E123" s="550" t="s">
        <v>1266</v>
      </c>
      <c r="F123" s="556"/>
      <c r="G123" s="552" t="s">
        <v>1162</v>
      </c>
      <c r="H123" s="553" t="s">
        <v>1458</v>
      </c>
      <c r="I123" s="565" t="s">
        <v>1468</v>
      </c>
      <c r="L123" s="305" t="str">
        <f>IF(OR(Overview!$D$4="Preliminary Documentation Review",Overview!$D$4="Preliminary Precertification Review"),IF(AND(P123=0,Q123=0),"",IF(AND(P123&gt;0,Q123&gt;0),"","MISMATCH")),"")</f>
        <v/>
      </c>
      <c r="M123" s="305" t="str">
        <f>IF(OR(Overview!$D$4="Preliminary Documentation Review",Overview!$D$4="Preliminary Precertification Review"),IF(AND(R123=0,S123=0),"",IF(AND(R123&gt;0,S123&gt;0),"","MISMATCH")),"")</f>
        <v/>
      </c>
      <c r="N123" s="305" t="str">
        <f>IF(OR(Overview!$D$4="Preliminary Documentation Review",Overview!$D$4="Preliminary Precertification Review"),IF(AND(T123=0,U123=0),"",IF(AND(T123&gt;0,U123&gt;0),"MISMATCH","")),"")</f>
        <v/>
      </c>
      <c r="O123" s="305" t="str">
        <f>IF(OR(Overview!$D$4="Preliminary Documentation Review",Overview!$D$4="Preliminary Precertification Review"),IF(AND(V123=0,W123=0),"",IF(AND(V123&gt;0,W123&gt;0),"","MISMATCH")),"")</f>
        <v/>
      </c>
      <c r="P123" s="286">
        <f t="shared" si="23"/>
        <v>0</v>
      </c>
      <c r="Q123" s="286">
        <f t="shared" si="16"/>
        <v>0</v>
      </c>
      <c r="R123" s="305">
        <f t="shared" si="24"/>
        <v>178</v>
      </c>
      <c r="S123" s="305">
        <f t="shared" si="17"/>
        <v>0</v>
      </c>
      <c r="T123" s="305">
        <f t="shared" si="19"/>
        <v>0</v>
      </c>
      <c r="U123" s="305">
        <f t="shared" si="20"/>
        <v>0</v>
      </c>
      <c r="V123" s="305">
        <f t="shared" si="15"/>
        <v>0</v>
      </c>
      <c r="W123" s="305">
        <f t="shared" si="18"/>
        <v>0</v>
      </c>
    </row>
    <row r="124" spans="2:23" ht="45" customHeight="1">
      <c r="B124" s="870"/>
      <c r="C124" s="838"/>
      <c r="D124" s="837"/>
      <c r="E124" s="550" t="s">
        <v>1267</v>
      </c>
      <c r="F124" s="558"/>
      <c r="G124" s="552" t="s">
        <v>1162</v>
      </c>
      <c r="H124" s="553" t="s">
        <v>1458</v>
      </c>
      <c r="I124" s="565" t="s">
        <v>1208</v>
      </c>
      <c r="L124" s="305" t="str">
        <f>IF(OR(Overview!$D$4="Preliminary Documentation Review",Overview!$D$4="Preliminary Precertification Review"),IF(AND(P124=0,Q124=0),"",IF(AND(P124&gt;0,Q124&gt;0),"","MISMATCH")),"")</f>
        <v/>
      </c>
      <c r="M124" s="305" t="str">
        <f>IF(OR(Overview!$D$4="Preliminary Documentation Review",Overview!$D$4="Preliminary Precertification Review"),IF(AND(R124=0,S124=0),"",IF(AND(R124&gt;0,S124&gt;0),"","MISMATCH")),"")</f>
        <v/>
      </c>
      <c r="N124" s="305" t="str">
        <f>IF(OR(Overview!$D$4="Preliminary Documentation Review",Overview!$D$4="Preliminary Precertification Review"),IF(AND(T124=0,U124=0),"",IF(AND(T124&gt;0,U124&gt;0),"MISMATCH","")),"")</f>
        <v/>
      </c>
      <c r="O124" s="305" t="str">
        <f>IF(OR(Overview!$D$4="Preliminary Documentation Review",Overview!$D$4="Preliminary Precertification Review"),IF(AND(V124=0,W124=0),"",IF(AND(V124&gt;0,W124&gt;0),"","MISMATCH")),"")</f>
        <v/>
      </c>
      <c r="P124" s="286">
        <f t="shared" si="23"/>
        <v>0</v>
      </c>
      <c r="Q124" s="286">
        <f t="shared" si="16"/>
        <v>0</v>
      </c>
      <c r="R124" s="305">
        <f t="shared" si="24"/>
        <v>0</v>
      </c>
      <c r="S124" s="305">
        <f t="shared" si="17"/>
        <v>0</v>
      </c>
      <c r="T124" s="305">
        <f t="shared" si="19"/>
        <v>0</v>
      </c>
      <c r="U124" s="305">
        <f t="shared" si="20"/>
        <v>0</v>
      </c>
      <c r="V124" s="305">
        <f t="shared" si="15"/>
        <v>0</v>
      </c>
      <c r="W124" s="305">
        <f t="shared" si="18"/>
        <v>0</v>
      </c>
    </row>
    <row r="125" spans="2:23" ht="136.80000000000001">
      <c r="B125" s="870"/>
      <c r="C125" s="838" t="s">
        <v>767</v>
      </c>
      <c r="D125" s="837" t="s">
        <v>898</v>
      </c>
      <c r="E125" s="550" t="s">
        <v>1268</v>
      </c>
      <c r="F125" s="559">
        <v>1</v>
      </c>
      <c r="G125" s="552" t="s">
        <v>309</v>
      </c>
      <c r="H125" s="553" t="s">
        <v>1458</v>
      </c>
      <c r="I125" s="565" t="s">
        <v>1468</v>
      </c>
      <c r="L125" s="305" t="str">
        <f>IF(OR(Overview!$D$4="Preliminary Documentation Review",Overview!$D$4="Preliminary Precertification Review"),IF(AND(P125=0,Q125=0),"",IF(AND(P125&gt;0,Q125&gt;0),"","MISMATCH")),"")</f>
        <v/>
      </c>
      <c r="M125" s="305" t="str">
        <f>IF(OR(Overview!$D$4="Preliminary Documentation Review",Overview!$D$4="Preliminary Precertification Review"),IF(AND(R125=0,S125=0),"",IF(AND(R125&gt;0,S125&gt;0),"","MISMATCH")),"")</f>
        <v/>
      </c>
      <c r="N125" s="305" t="str">
        <f>IF(OR(Overview!$D$4="Preliminary Documentation Review",Overview!$D$4="Preliminary Precertification Review"),IF(AND(T125=0,U125=0),"",IF(AND(T125&gt;0,U125&gt;0),"MISMATCH","")),"")</f>
        <v/>
      </c>
      <c r="O125" s="305" t="str">
        <f>IF(OR(Overview!$D$4="Preliminary Documentation Review",Overview!$D$4="Preliminary Precertification Review"),IF(AND(V125=0,W125=0),"",IF(AND(V125&gt;0,W125&gt;0),"","MISMATCH")),"")</f>
        <v/>
      </c>
      <c r="P125" s="286">
        <f t="shared" si="23"/>
        <v>0</v>
      </c>
      <c r="Q125" s="286">
        <f t="shared" si="16"/>
        <v>0</v>
      </c>
      <c r="R125" s="305">
        <f t="shared" si="24"/>
        <v>178</v>
      </c>
      <c r="S125" s="305">
        <f t="shared" si="17"/>
        <v>0</v>
      </c>
      <c r="T125" s="305">
        <f t="shared" si="19"/>
        <v>0</v>
      </c>
      <c r="U125" s="305">
        <f t="shared" si="20"/>
        <v>0</v>
      </c>
      <c r="V125" s="305">
        <f t="shared" si="15"/>
        <v>0</v>
      </c>
      <c r="W125" s="305">
        <f t="shared" si="18"/>
        <v>0</v>
      </c>
    </row>
    <row r="126" spans="2:23" ht="136.80000000000001">
      <c r="B126" s="870"/>
      <c r="C126" s="838"/>
      <c r="D126" s="837"/>
      <c r="E126" s="550" t="s">
        <v>1269</v>
      </c>
      <c r="F126" s="560">
        <v>1</v>
      </c>
      <c r="G126" s="552" t="s">
        <v>309</v>
      </c>
      <c r="H126" s="553" t="s">
        <v>1458</v>
      </c>
      <c r="I126" s="565" t="s">
        <v>1468</v>
      </c>
      <c r="L126" s="305" t="str">
        <f>IF(OR(Overview!$D$4="Preliminary Documentation Review",Overview!$D$4="Preliminary Precertification Review"),IF(AND(P126=0,Q126=0),"",IF(AND(P126&gt;0,Q126&gt;0),"","MISMATCH")),"")</f>
        <v/>
      </c>
      <c r="M126" s="305" t="str">
        <f>IF(OR(Overview!$D$4="Preliminary Documentation Review",Overview!$D$4="Preliminary Precertification Review"),IF(AND(R126=0,S126=0),"",IF(AND(R126&gt;0,S126&gt;0),"","MISMATCH")),"")</f>
        <v/>
      </c>
      <c r="N126" s="305" t="str">
        <f>IF(OR(Overview!$D$4="Preliminary Documentation Review",Overview!$D$4="Preliminary Precertification Review"),IF(AND(T126=0,U126=0),"",IF(AND(T126&gt;0,U126&gt;0),"MISMATCH","")),"")</f>
        <v/>
      </c>
      <c r="O126" s="305" t="str">
        <f>IF(OR(Overview!$D$4="Preliminary Documentation Review",Overview!$D$4="Preliminary Precertification Review"),IF(AND(V126=0,W126=0),"",IF(AND(V126&gt;0,W126&gt;0),"","MISMATCH")),"")</f>
        <v/>
      </c>
      <c r="P126" s="286">
        <f t="shared" si="23"/>
        <v>0</v>
      </c>
      <c r="Q126" s="286">
        <f t="shared" si="16"/>
        <v>0</v>
      </c>
      <c r="R126" s="305">
        <f t="shared" si="24"/>
        <v>178</v>
      </c>
      <c r="S126" s="305">
        <f t="shared" si="17"/>
        <v>0</v>
      </c>
      <c r="T126" s="305">
        <f t="shared" si="19"/>
        <v>0</v>
      </c>
      <c r="U126" s="305">
        <f t="shared" si="20"/>
        <v>0</v>
      </c>
      <c r="V126" s="305">
        <f t="shared" si="15"/>
        <v>0</v>
      </c>
      <c r="W126" s="305">
        <f t="shared" si="18"/>
        <v>0</v>
      </c>
    </row>
    <row r="127" spans="2:23" ht="45.6">
      <c r="B127" s="870"/>
      <c r="C127" s="838"/>
      <c r="D127" s="837"/>
      <c r="E127" s="550" t="s">
        <v>1270</v>
      </c>
      <c r="F127" s="562"/>
      <c r="G127" s="552" t="s">
        <v>25</v>
      </c>
      <c r="H127" s="553" t="s">
        <v>1176</v>
      </c>
      <c r="I127" s="554" t="s">
        <v>1177</v>
      </c>
      <c r="L127" s="305" t="str">
        <f>IF(OR(Overview!$D$4="Preliminary Documentation Review",Overview!$D$4="Preliminary Precertification Review"),IF(AND(P127=0,Q127=0),"",IF(AND(P127&gt;0,Q127&gt;0),"","MISMATCH")),"")</f>
        <v/>
      </c>
      <c r="M127" s="305" t="str">
        <f>IF(OR(Overview!$D$4="Preliminary Documentation Review",Overview!$D$4="Preliminary Precertification Review"),IF(AND(R127=0,S127=0),"",IF(AND(R127&gt;0,S127&gt;0),"","MISMATCH")),"")</f>
        <v/>
      </c>
      <c r="N127" s="305" t="str">
        <f>IF(OR(Overview!$D$4="Preliminary Documentation Review",Overview!$D$4="Preliminary Precertification Review"),IF(AND(T127=0,U127=0),"",IF(AND(T127&gt;0,U127&gt;0),"MISMATCH","")),"")</f>
        <v/>
      </c>
      <c r="O127" s="305" t="str">
        <f>IF(OR(Overview!$D$4="Preliminary Documentation Review",Overview!$D$4="Preliminary Precertification Review"),IF(AND(V127=0,W127=0),"",IF(AND(V127&gt;0,W127&gt;0),"","MISMATCH")),"")</f>
        <v/>
      </c>
      <c r="P127" s="286">
        <f t="shared" si="23"/>
        <v>0</v>
      </c>
      <c r="Q127" s="286">
        <f t="shared" si="16"/>
        <v>0</v>
      </c>
      <c r="R127" s="305">
        <f t="shared" si="24"/>
        <v>0</v>
      </c>
      <c r="S127" s="305">
        <f t="shared" si="17"/>
        <v>0</v>
      </c>
      <c r="T127" s="305">
        <f t="shared" si="19"/>
        <v>35</v>
      </c>
      <c r="U127" s="305">
        <f t="shared" si="20"/>
        <v>0</v>
      </c>
      <c r="V127" s="305">
        <f t="shared" si="15"/>
        <v>35</v>
      </c>
      <c r="W127" s="305">
        <f t="shared" si="18"/>
        <v>1</v>
      </c>
    </row>
    <row r="128" spans="2:23" ht="136.19999999999999">
      <c r="B128" s="870"/>
      <c r="C128" s="838" t="s">
        <v>767</v>
      </c>
      <c r="D128" s="837" t="s">
        <v>902</v>
      </c>
      <c r="E128" s="550" t="s">
        <v>1271</v>
      </c>
      <c r="F128" s="559">
        <v>2</v>
      </c>
      <c r="G128" s="552" t="s">
        <v>309</v>
      </c>
      <c r="H128" s="553" t="s">
        <v>1458</v>
      </c>
      <c r="I128" s="565" t="s">
        <v>1469</v>
      </c>
      <c r="L128" s="305" t="str">
        <f>IF(OR(Overview!$D$4="Preliminary Documentation Review",Overview!$D$4="Preliminary Precertification Review"),IF(AND(P128=0,Q128=0),"",IF(AND(P128&gt;0,Q128&gt;0),"","MISMATCH")),"")</f>
        <v/>
      </c>
      <c r="M128" s="305" t="str">
        <f>IF(OR(Overview!$D$4="Preliminary Documentation Review",Overview!$D$4="Preliminary Precertification Review"),IF(AND(R128=0,S128=0),"",IF(AND(R128&gt;0,S128&gt;0),"","MISMATCH")),"")</f>
        <v/>
      </c>
      <c r="N128" s="305" t="str">
        <f>IF(OR(Overview!$D$4="Preliminary Documentation Review",Overview!$D$4="Preliminary Precertification Review"),IF(AND(T128=0,U128=0),"",IF(AND(T128&gt;0,U128&gt;0),"MISMATCH","")),"")</f>
        <v/>
      </c>
      <c r="O128" s="305" t="str">
        <f>IF(OR(Overview!$D$4="Preliminary Documentation Review",Overview!$D$4="Preliminary Precertification Review"),IF(AND(V128=0,W128=0),"",IF(AND(V128&gt;0,W128&gt;0),"","MISMATCH")),"")</f>
        <v/>
      </c>
      <c r="P128" s="286">
        <f t="shared" si="23"/>
        <v>0</v>
      </c>
      <c r="Q128" s="286">
        <f t="shared" si="16"/>
        <v>0</v>
      </c>
      <c r="R128" s="305">
        <f t="shared" si="24"/>
        <v>188</v>
      </c>
      <c r="S128" s="305">
        <f t="shared" si="17"/>
        <v>0</v>
      </c>
      <c r="T128" s="305">
        <f t="shared" si="19"/>
        <v>0</v>
      </c>
      <c r="U128" s="305">
        <f t="shared" si="20"/>
        <v>0</v>
      </c>
      <c r="V128" s="305">
        <f t="shared" si="15"/>
        <v>0</v>
      </c>
      <c r="W128" s="305">
        <f t="shared" si="18"/>
        <v>0</v>
      </c>
    </row>
    <row r="129" spans="2:23" ht="48.75" customHeight="1">
      <c r="B129" s="870"/>
      <c r="C129" s="838"/>
      <c r="D129" s="837"/>
      <c r="E129" s="550" t="s">
        <v>1272</v>
      </c>
      <c r="F129" s="562"/>
      <c r="G129" s="552" t="s">
        <v>25</v>
      </c>
      <c r="H129" s="553" t="s">
        <v>1176</v>
      </c>
      <c r="I129" s="554" t="s">
        <v>1177</v>
      </c>
      <c r="L129" s="305" t="str">
        <f>IF(OR(Overview!$D$4="Preliminary Documentation Review",Overview!$D$4="Preliminary Precertification Review"),IF(AND(P129=0,Q129=0),"",IF(AND(P129&gt;0,Q129&gt;0),"","MISMATCH")),"")</f>
        <v/>
      </c>
      <c r="M129" s="305" t="str">
        <f>IF(OR(Overview!$D$4="Preliminary Documentation Review",Overview!$D$4="Preliminary Precertification Review"),IF(AND(R129=0,S129=0),"",IF(AND(R129&gt;0,S129&gt;0),"","MISMATCH")),"")</f>
        <v/>
      </c>
      <c r="N129" s="305" t="str">
        <f>IF(OR(Overview!$D$4="Preliminary Documentation Review",Overview!$D$4="Preliminary Precertification Review"),IF(AND(T129=0,U129=0),"",IF(AND(T129&gt;0,U129&gt;0),"MISMATCH","")),"")</f>
        <v/>
      </c>
      <c r="O129" s="305" t="str">
        <f>IF(OR(Overview!$D$4="Preliminary Documentation Review",Overview!$D$4="Preliminary Precertification Review"),IF(AND(V129=0,W129=0),"",IF(AND(V129&gt;0,W129&gt;0),"","MISMATCH")),"")</f>
        <v/>
      </c>
      <c r="P129" s="286">
        <f t="shared" si="23"/>
        <v>0</v>
      </c>
      <c r="Q129" s="286">
        <f t="shared" si="16"/>
        <v>0</v>
      </c>
      <c r="R129" s="305">
        <f t="shared" si="24"/>
        <v>0</v>
      </c>
      <c r="S129" s="305">
        <f t="shared" si="17"/>
        <v>0</v>
      </c>
      <c r="T129" s="305">
        <f t="shared" si="19"/>
        <v>35</v>
      </c>
      <c r="U129" s="305">
        <f t="shared" si="20"/>
        <v>0</v>
      </c>
      <c r="V129" s="305">
        <f t="shared" si="15"/>
        <v>35</v>
      </c>
      <c r="W129" s="305">
        <f t="shared" si="18"/>
        <v>1</v>
      </c>
    </row>
    <row r="130" spans="2:23" ht="46.5" customHeight="1">
      <c r="B130" s="870"/>
      <c r="C130" s="838" t="s">
        <v>767</v>
      </c>
      <c r="D130" s="837" t="s">
        <v>905</v>
      </c>
      <c r="E130" s="550" t="s">
        <v>1273</v>
      </c>
      <c r="F130" s="559">
        <v>2</v>
      </c>
      <c r="G130" s="552" t="s">
        <v>309</v>
      </c>
      <c r="H130" s="553" t="s">
        <v>1458</v>
      </c>
      <c r="I130" s="565" t="s">
        <v>1208</v>
      </c>
      <c r="L130" s="305" t="str">
        <f>IF(OR(Overview!$D$4="Preliminary Documentation Review",Overview!$D$4="Preliminary Precertification Review"),IF(AND(P130=0,Q130=0),"",IF(AND(P130&gt;0,Q130&gt;0),"","MISMATCH")),"")</f>
        <v/>
      </c>
      <c r="M130" s="305" t="str">
        <f>IF(OR(Overview!$D$4="Preliminary Documentation Review",Overview!$D$4="Preliminary Precertification Review"),IF(AND(R130=0,S130=0),"",IF(AND(R130&gt;0,S130&gt;0),"","MISMATCH")),"")</f>
        <v/>
      </c>
      <c r="N130" s="305" t="str">
        <f>IF(OR(Overview!$D$4="Preliminary Documentation Review",Overview!$D$4="Preliminary Precertification Review"),IF(AND(T130=0,U130=0),"",IF(AND(T130&gt;0,U130&gt;0),"MISMATCH","")),"")</f>
        <v/>
      </c>
      <c r="O130" s="305" t="str">
        <f>IF(OR(Overview!$D$4="Preliminary Documentation Review",Overview!$D$4="Preliminary Precertification Review"),IF(AND(V130=0,W130=0),"",IF(AND(V130&gt;0,W130&gt;0),"","MISMATCH")),"")</f>
        <v/>
      </c>
      <c r="P130" s="286">
        <f t="shared" si="23"/>
        <v>0</v>
      </c>
      <c r="Q130" s="286">
        <f t="shared" si="16"/>
        <v>0</v>
      </c>
      <c r="R130" s="305">
        <f t="shared" si="24"/>
        <v>0</v>
      </c>
      <c r="S130" s="305">
        <f t="shared" si="17"/>
        <v>0</v>
      </c>
      <c r="T130" s="305">
        <f t="shared" si="19"/>
        <v>0</v>
      </c>
      <c r="U130" s="305">
        <f t="shared" si="20"/>
        <v>0</v>
      </c>
      <c r="V130" s="305">
        <f t="shared" si="15"/>
        <v>0</v>
      </c>
      <c r="W130" s="305">
        <f t="shared" si="18"/>
        <v>0</v>
      </c>
    </row>
    <row r="131" spans="2:23" ht="105.6">
      <c r="B131" s="870"/>
      <c r="C131" s="838"/>
      <c r="D131" s="837"/>
      <c r="E131" s="550" t="s">
        <v>1274</v>
      </c>
      <c r="F131" s="622">
        <v>1</v>
      </c>
      <c r="G131" s="552" t="s">
        <v>309</v>
      </c>
      <c r="H131" s="553" t="s">
        <v>1458</v>
      </c>
      <c r="I131" s="554" t="s">
        <v>1275</v>
      </c>
      <c r="L131" s="305" t="str">
        <f>IF(OR(Overview!$D$4="Preliminary Documentation Review",Overview!$D$4="Preliminary Precertification Review"),IF(AND(P131=0,Q131=0),"",IF(AND(P131&gt;0,Q131&gt;0),"","MISMATCH")),"")</f>
        <v/>
      </c>
      <c r="M131" s="305" t="str">
        <f>IF(OR(Overview!$D$4="Preliminary Documentation Review",Overview!$D$4="Preliminary Precertification Review"),IF(AND(R131=0,S131=0),"",IF(AND(R131&gt;0,S131&gt;0),"","MISMATCH")),"")</f>
        <v/>
      </c>
      <c r="N131" s="305" t="str">
        <f>IF(OR(Overview!$D$4="Preliminary Documentation Review",Overview!$D$4="Preliminary Precertification Review"),IF(AND(T131=0,U131=0),"",IF(AND(T131&gt;0,U131&gt;0),"MISMATCH","")),"")</f>
        <v/>
      </c>
      <c r="O131" s="305" t="str">
        <f>IF(OR(Overview!$D$4="Preliminary Documentation Review",Overview!$D$4="Preliminary Precertification Review"),IF(AND(V131=0,W131=0),"",IF(AND(V131&gt;0,W131&gt;0),"","MISMATCH")),"")</f>
        <v/>
      </c>
      <c r="P131" s="286">
        <f t="shared" si="23"/>
        <v>0</v>
      </c>
      <c r="Q131" s="286">
        <f t="shared" si="16"/>
        <v>0</v>
      </c>
      <c r="R131" s="305">
        <f t="shared" si="24"/>
        <v>0</v>
      </c>
      <c r="S131" s="305">
        <f t="shared" si="17"/>
        <v>0</v>
      </c>
      <c r="T131" s="305">
        <f t="shared" si="19"/>
        <v>0</v>
      </c>
      <c r="U131" s="305">
        <f t="shared" si="20"/>
        <v>0</v>
      </c>
      <c r="V131" s="305">
        <f t="shared" si="15"/>
        <v>0</v>
      </c>
      <c r="W131" s="305">
        <f t="shared" si="18"/>
        <v>0</v>
      </c>
    </row>
    <row r="132" spans="2:23" ht="45.6">
      <c r="B132" s="870"/>
      <c r="C132" s="838"/>
      <c r="D132" s="837"/>
      <c r="E132" s="550" t="s">
        <v>1276</v>
      </c>
      <c r="F132" s="560"/>
      <c r="G132" s="552" t="s">
        <v>25</v>
      </c>
      <c r="H132" s="553" t="s">
        <v>1176</v>
      </c>
      <c r="I132" s="554" t="s">
        <v>1177</v>
      </c>
      <c r="L132" s="305" t="str">
        <f>IF(OR(Overview!$D$4="Preliminary Documentation Review",Overview!$D$4="Preliminary Precertification Review"),IF(AND(P132=0,Q132=0),"",IF(AND(P132&gt;0,Q132&gt;0),"","MISMATCH")),"")</f>
        <v/>
      </c>
      <c r="M132" s="305" t="str">
        <f>IF(OR(Overview!$D$4="Preliminary Documentation Review",Overview!$D$4="Preliminary Precertification Review"),IF(AND(R132=0,S132=0),"",IF(AND(R132&gt;0,S132&gt;0),"","MISMATCH")),"")</f>
        <v/>
      </c>
      <c r="N132" s="305" t="str">
        <f>IF(OR(Overview!$D$4="Preliminary Documentation Review",Overview!$D$4="Preliminary Precertification Review"),IF(AND(T132=0,U132=0),"",IF(AND(T132&gt;0,U132&gt;0),"MISMATCH","")),"")</f>
        <v/>
      </c>
      <c r="O132" s="305" t="str">
        <f>IF(OR(Overview!$D$4="Preliminary Documentation Review",Overview!$D$4="Preliminary Precertification Review"),IF(AND(V132=0,W132=0),"",IF(AND(V132&gt;0,W132&gt;0),"","MISMATCH")),"")</f>
        <v/>
      </c>
      <c r="P132" s="286">
        <f t="shared" si="23"/>
        <v>0</v>
      </c>
      <c r="Q132" s="286">
        <f t="shared" si="16"/>
        <v>0</v>
      </c>
      <c r="R132" s="305">
        <f t="shared" si="24"/>
        <v>0</v>
      </c>
      <c r="S132" s="305">
        <f t="shared" si="17"/>
        <v>0</v>
      </c>
      <c r="T132" s="305">
        <f t="shared" si="19"/>
        <v>35</v>
      </c>
      <c r="U132" s="305">
        <f t="shared" si="20"/>
        <v>0</v>
      </c>
      <c r="V132" s="305">
        <f t="shared" si="15"/>
        <v>35</v>
      </c>
      <c r="W132" s="305">
        <f t="shared" si="18"/>
        <v>1</v>
      </c>
    </row>
    <row r="133" spans="2:23" ht="45.6">
      <c r="B133" s="870"/>
      <c r="C133" s="838"/>
      <c r="D133" s="837"/>
      <c r="E133" s="550" t="s">
        <v>1277</v>
      </c>
      <c r="F133" s="562"/>
      <c r="G133" s="552" t="s">
        <v>25</v>
      </c>
      <c r="H133" s="553" t="s">
        <v>1176</v>
      </c>
      <c r="I133" s="554" t="s">
        <v>1177</v>
      </c>
      <c r="L133" s="305" t="str">
        <f>IF(OR(Overview!$D$4="Preliminary Documentation Review",Overview!$D$4="Preliminary Precertification Review"),IF(AND(P133=0,Q133=0),"",IF(AND(P133&gt;0,Q133&gt;0),"","MISMATCH")),"")</f>
        <v/>
      </c>
      <c r="M133" s="305" t="str">
        <f>IF(OR(Overview!$D$4="Preliminary Documentation Review",Overview!$D$4="Preliminary Precertification Review"),IF(AND(R133=0,S133=0),"",IF(AND(R133&gt;0,S133&gt;0),"","MISMATCH")),"")</f>
        <v/>
      </c>
      <c r="N133" s="305" t="str">
        <f>IF(OR(Overview!$D$4="Preliminary Documentation Review",Overview!$D$4="Preliminary Precertification Review"),IF(AND(T133=0,U133=0),"",IF(AND(T133&gt;0,U133&gt;0),"MISMATCH","")),"")</f>
        <v/>
      </c>
      <c r="O133" s="305" t="str">
        <f>IF(OR(Overview!$D$4="Preliminary Documentation Review",Overview!$D$4="Preliminary Precertification Review"),IF(AND(V133=0,W133=0),"",IF(AND(V133&gt;0,W133&gt;0),"","MISMATCH")),"")</f>
        <v/>
      </c>
      <c r="P133" s="286">
        <f t="shared" si="23"/>
        <v>0</v>
      </c>
      <c r="Q133" s="286">
        <f t="shared" si="16"/>
        <v>0</v>
      </c>
      <c r="R133" s="305">
        <f t="shared" si="24"/>
        <v>0</v>
      </c>
      <c r="S133" s="305">
        <f t="shared" si="17"/>
        <v>0</v>
      </c>
      <c r="T133" s="305">
        <f t="shared" si="19"/>
        <v>35</v>
      </c>
      <c r="U133" s="305">
        <f t="shared" si="20"/>
        <v>0</v>
      </c>
      <c r="V133" s="305">
        <f t="shared" si="15"/>
        <v>35</v>
      </c>
      <c r="W133" s="305">
        <f t="shared" si="18"/>
        <v>1</v>
      </c>
    </row>
    <row r="134" spans="2:23" ht="45.6">
      <c r="B134" s="870"/>
      <c r="C134" s="838" t="s">
        <v>767</v>
      </c>
      <c r="D134" s="837" t="s">
        <v>910</v>
      </c>
      <c r="E134" s="550" t="s">
        <v>1278</v>
      </c>
      <c r="F134" s="559"/>
      <c r="G134" s="552" t="s">
        <v>25</v>
      </c>
      <c r="H134" s="553" t="s">
        <v>1176</v>
      </c>
      <c r="I134" s="554" t="s">
        <v>1177</v>
      </c>
      <c r="L134" s="305" t="str">
        <f>IF(OR(Overview!$D$4="Preliminary Documentation Review",Overview!$D$4="Preliminary Precertification Review"),IF(AND(P134=0,Q134=0),"",IF(AND(P134&gt;0,Q134&gt;0),"","MISMATCH")),"")</f>
        <v/>
      </c>
      <c r="M134" s="305" t="str">
        <f>IF(OR(Overview!$D$4="Preliminary Documentation Review",Overview!$D$4="Preliminary Precertification Review"),IF(AND(R134=0,S134=0),"",IF(AND(R134&gt;0,S134&gt;0),"","MISMATCH")),"")</f>
        <v/>
      </c>
      <c r="N134" s="305" t="str">
        <f>IF(OR(Overview!$D$4="Preliminary Documentation Review",Overview!$D$4="Preliminary Precertification Review"),IF(AND(T134=0,U134=0),"",IF(AND(T134&gt;0,U134&gt;0),"MISMATCH","")),"")</f>
        <v/>
      </c>
      <c r="O134" s="305" t="str">
        <f>IF(OR(Overview!$D$4="Preliminary Documentation Review",Overview!$D$4="Preliminary Precertification Review"),IF(AND(V134=0,W134=0),"",IF(AND(V134&gt;0,W134&gt;0),"","MISMATCH")),"")</f>
        <v/>
      </c>
      <c r="P134" s="286">
        <f t="shared" si="23"/>
        <v>0</v>
      </c>
      <c r="Q134" s="286">
        <f t="shared" si="16"/>
        <v>0</v>
      </c>
      <c r="R134" s="305">
        <f t="shared" si="24"/>
        <v>0</v>
      </c>
      <c r="S134" s="305">
        <f t="shared" si="17"/>
        <v>0</v>
      </c>
      <c r="T134" s="305">
        <f t="shared" si="19"/>
        <v>35</v>
      </c>
      <c r="U134" s="305">
        <f t="shared" si="20"/>
        <v>0</v>
      </c>
      <c r="V134" s="305">
        <f t="shared" si="15"/>
        <v>35</v>
      </c>
      <c r="W134" s="305">
        <f t="shared" si="18"/>
        <v>1</v>
      </c>
    </row>
    <row r="135" spans="2:23" ht="45.6">
      <c r="B135" s="870"/>
      <c r="C135" s="838"/>
      <c r="D135" s="837"/>
      <c r="E135" s="550" t="s">
        <v>1279</v>
      </c>
      <c r="F135" s="562"/>
      <c r="G135" s="552" t="s">
        <v>25</v>
      </c>
      <c r="H135" s="553" t="s">
        <v>1176</v>
      </c>
      <c r="I135" s="554" t="s">
        <v>1177</v>
      </c>
      <c r="L135" s="305" t="str">
        <f>IF(OR(Overview!$D$4="Preliminary Documentation Review",Overview!$D$4="Preliminary Precertification Review"),IF(AND(P135=0,Q135=0),"",IF(AND(P135&gt;0,Q135&gt;0),"","MISMATCH")),"")</f>
        <v/>
      </c>
      <c r="M135" s="305" t="str">
        <f>IF(OR(Overview!$D$4="Preliminary Documentation Review",Overview!$D$4="Preliminary Precertification Review"),IF(AND(R135=0,S135=0),"",IF(AND(R135&gt;0,S135&gt;0),"","MISMATCH")),"")</f>
        <v/>
      </c>
      <c r="N135" s="305" t="str">
        <f>IF(OR(Overview!$D$4="Preliminary Documentation Review",Overview!$D$4="Preliminary Precertification Review"),IF(AND(T135=0,U135=0),"",IF(AND(T135&gt;0,U135&gt;0),"MISMATCH","")),"")</f>
        <v/>
      </c>
      <c r="O135" s="305" t="str">
        <f>IF(OR(Overview!$D$4="Preliminary Documentation Review",Overview!$D$4="Preliminary Precertification Review"),IF(AND(V135=0,W135=0),"",IF(AND(V135&gt;0,W135&gt;0),"","MISMATCH")),"")</f>
        <v/>
      </c>
      <c r="P135" s="286">
        <f t="shared" si="23"/>
        <v>0</v>
      </c>
      <c r="Q135" s="286">
        <f t="shared" si="16"/>
        <v>0</v>
      </c>
      <c r="R135" s="305">
        <f t="shared" si="24"/>
        <v>0</v>
      </c>
      <c r="S135" s="305">
        <f t="shared" si="17"/>
        <v>0</v>
      </c>
      <c r="T135" s="305">
        <f t="shared" si="19"/>
        <v>35</v>
      </c>
      <c r="U135" s="305">
        <f t="shared" si="20"/>
        <v>0</v>
      </c>
      <c r="V135" s="305">
        <f t="shared" si="15"/>
        <v>35</v>
      </c>
      <c r="W135" s="305">
        <f t="shared" si="18"/>
        <v>1</v>
      </c>
    </row>
    <row r="136" spans="2:23" ht="45.6">
      <c r="B136" s="870"/>
      <c r="C136" s="548" t="s">
        <v>767</v>
      </c>
      <c r="D136" s="550" t="s">
        <v>913</v>
      </c>
      <c r="E136" s="550" t="s">
        <v>1280</v>
      </c>
      <c r="F136" s="564"/>
      <c r="G136" s="552" t="s">
        <v>25</v>
      </c>
      <c r="H136" s="553" t="s">
        <v>1176</v>
      </c>
      <c r="I136" s="554" t="s">
        <v>1177</v>
      </c>
      <c r="L136" s="305" t="str">
        <f>IF(OR(Overview!$D$4="Preliminary Documentation Review",Overview!$D$4="Preliminary Precertification Review"),IF(AND(P136=0,Q136=0),"",IF(AND(P136&gt;0,Q136&gt;0),"","MISMATCH")),"")</f>
        <v/>
      </c>
      <c r="M136" s="305" t="str">
        <f>IF(OR(Overview!$D$4="Preliminary Documentation Review",Overview!$D$4="Preliminary Precertification Review"),IF(AND(R136=0,S136=0),"",IF(AND(R136&gt;0,S136&gt;0),"","MISMATCH")),"")</f>
        <v/>
      </c>
      <c r="N136" s="305" t="str">
        <f>IF(OR(Overview!$D$4="Preliminary Documentation Review",Overview!$D$4="Preliminary Precertification Review"),IF(AND(T136=0,U136=0),"",IF(AND(T136&gt;0,U136&gt;0),"MISMATCH","")),"")</f>
        <v/>
      </c>
      <c r="O136" s="305" t="str">
        <f>IF(OR(Overview!$D$4="Preliminary Documentation Review",Overview!$D$4="Preliminary Precertification Review"),IF(AND(V136=0,W136=0),"",IF(AND(V136&gt;0,W136&gt;0),"","MISMATCH")),"")</f>
        <v/>
      </c>
      <c r="P136" s="286">
        <f t="shared" si="23"/>
        <v>0</v>
      </c>
      <c r="Q136" s="286">
        <f t="shared" si="16"/>
        <v>0</v>
      </c>
      <c r="R136" s="305">
        <f t="shared" si="24"/>
        <v>0</v>
      </c>
      <c r="S136" s="305">
        <f t="shared" si="17"/>
        <v>0</v>
      </c>
      <c r="T136" s="305">
        <f t="shared" si="19"/>
        <v>35</v>
      </c>
      <c r="U136" s="305">
        <f t="shared" si="20"/>
        <v>0</v>
      </c>
      <c r="V136" s="305">
        <f t="shared" si="15"/>
        <v>35</v>
      </c>
      <c r="W136" s="305">
        <f t="shared" si="18"/>
        <v>1</v>
      </c>
    </row>
    <row r="137" spans="2:23" ht="45.6">
      <c r="B137" s="870"/>
      <c r="C137" s="838" t="s">
        <v>767</v>
      </c>
      <c r="D137" s="837" t="s">
        <v>915</v>
      </c>
      <c r="E137" s="550" t="s">
        <v>1281</v>
      </c>
      <c r="F137" s="559"/>
      <c r="G137" s="552" t="s">
        <v>25</v>
      </c>
      <c r="H137" s="553" t="s">
        <v>1176</v>
      </c>
      <c r="I137" s="554" t="s">
        <v>1177</v>
      </c>
      <c r="L137" s="305" t="str">
        <f>IF(OR(Overview!$D$4="Preliminary Documentation Review",Overview!$D$4="Preliminary Precertification Review"),IF(AND(P137=0,Q137=0),"",IF(AND(P137&gt;0,Q137&gt;0),"","MISMATCH")),"")</f>
        <v/>
      </c>
      <c r="M137" s="305" t="str">
        <f>IF(OR(Overview!$D$4="Preliminary Documentation Review",Overview!$D$4="Preliminary Precertification Review"),IF(AND(R137=0,S137=0),"",IF(AND(R137&gt;0,S137&gt;0),"","MISMATCH")),"")</f>
        <v/>
      </c>
      <c r="N137" s="305" t="str">
        <f>IF(OR(Overview!$D$4="Preliminary Documentation Review",Overview!$D$4="Preliminary Precertification Review"),IF(AND(T137=0,U137=0),"",IF(AND(T137&gt;0,U137&gt;0),"MISMATCH","")),"")</f>
        <v/>
      </c>
      <c r="O137" s="305" t="str">
        <f>IF(OR(Overview!$D$4="Preliminary Documentation Review",Overview!$D$4="Preliminary Precertification Review"),IF(AND(V137=0,W137=0),"",IF(AND(V137&gt;0,W137&gt;0),"","MISMATCH")),"")</f>
        <v/>
      </c>
      <c r="P137" s="286">
        <f t="shared" si="23"/>
        <v>0</v>
      </c>
      <c r="Q137" s="286">
        <f t="shared" si="16"/>
        <v>0</v>
      </c>
      <c r="R137" s="305">
        <f t="shared" si="24"/>
        <v>0</v>
      </c>
      <c r="S137" s="305">
        <f t="shared" si="17"/>
        <v>0</v>
      </c>
      <c r="T137" s="305">
        <f t="shared" si="19"/>
        <v>35</v>
      </c>
      <c r="U137" s="305">
        <f t="shared" si="20"/>
        <v>0</v>
      </c>
      <c r="V137" s="305">
        <f t="shared" si="15"/>
        <v>35</v>
      </c>
      <c r="W137" s="305">
        <f t="shared" si="18"/>
        <v>1</v>
      </c>
    </row>
    <row r="138" spans="2:23" ht="45.6">
      <c r="B138" s="870"/>
      <c r="C138" s="838"/>
      <c r="D138" s="837"/>
      <c r="E138" s="550" t="s">
        <v>1282</v>
      </c>
      <c r="F138" s="560"/>
      <c r="G138" s="552" t="s">
        <v>25</v>
      </c>
      <c r="H138" s="553" t="s">
        <v>1176</v>
      </c>
      <c r="I138" s="554" t="s">
        <v>1177</v>
      </c>
      <c r="L138" s="305" t="str">
        <f>IF(OR(Overview!$D$4="Preliminary Documentation Review",Overview!$D$4="Preliminary Precertification Review"),IF(AND(P138=0,Q138=0),"",IF(AND(P138&gt;0,Q138&gt;0),"","MISMATCH")),"")</f>
        <v/>
      </c>
      <c r="M138" s="305" t="str">
        <f>IF(OR(Overview!$D$4="Preliminary Documentation Review",Overview!$D$4="Preliminary Precertification Review"),IF(AND(R138=0,S138=0),"",IF(AND(R138&gt;0,S138&gt;0),"","MISMATCH")),"")</f>
        <v/>
      </c>
      <c r="N138" s="305" t="str">
        <f>IF(OR(Overview!$D$4="Preliminary Documentation Review",Overview!$D$4="Preliminary Precertification Review"),IF(AND(T138=0,U138=0),"",IF(AND(T138&gt;0,U138&gt;0),"MISMATCH","")),"")</f>
        <v/>
      </c>
      <c r="O138" s="305" t="str">
        <f>IF(OR(Overview!$D$4="Preliminary Documentation Review",Overview!$D$4="Preliminary Precertification Review"),IF(AND(V138=0,W138=0),"",IF(AND(V138&gt;0,W138&gt;0),"","MISMATCH")),"")</f>
        <v/>
      </c>
      <c r="P138" s="286">
        <f t="shared" si="23"/>
        <v>0</v>
      </c>
      <c r="Q138" s="286">
        <f t="shared" si="16"/>
        <v>0</v>
      </c>
      <c r="R138" s="305">
        <f t="shared" si="24"/>
        <v>0</v>
      </c>
      <c r="S138" s="305">
        <f t="shared" si="17"/>
        <v>0</v>
      </c>
      <c r="T138" s="305">
        <f t="shared" si="19"/>
        <v>35</v>
      </c>
      <c r="U138" s="305">
        <f t="shared" si="20"/>
        <v>0</v>
      </c>
      <c r="V138" s="305">
        <f t="shared" si="15"/>
        <v>35</v>
      </c>
      <c r="W138" s="305">
        <f t="shared" si="18"/>
        <v>1</v>
      </c>
    </row>
    <row r="139" spans="2:23" ht="106.2">
      <c r="B139" s="870"/>
      <c r="C139" s="838"/>
      <c r="D139" s="837"/>
      <c r="E139" s="550" t="s">
        <v>1283</v>
      </c>
      <c r="F139" s="562">
        <v>1</v>
      </c>
      <c r="G139" s="552" t="s">
        <v>309</v>
      </c>
      <c r="H139" s="553" t="s">
        <v>1458</v>
      </c>
      <c r="I139" s="623" t="s">
        <v>1284</v>
      </c>
      <c r="L139" s="305" t="str">
        <f>IF(OR(Overview!$D$4="Preliminary Documentation Review",Overview!$D$4="Preliminary Precertification Review"),IF(AND(P139=0,Q139=0),"",IF(AND(P139&gt;0,Q139&gt;0),"","MISMATCH")),"")</f>
        <v/>
      </c>
      <c r="M139" s="305" t="str">
        <f>IF(OR(Overview!$D$4="Preliminary Documentation Review",Overview!$D$4="Preliminary Precertification Review"),IF(AND(R139=0,S139=0),"",IF(AND(R139&gt;0,S139&gt;0),"","MISMATCH")),"")</f>
        <v/>
      </c>
      <c r="N139" s="305" t="str">
        <f>IF(OR(Overview!$D$4="Preliminary Documentation Review",Overview!$D$4="Preliminary Precertification Review"),IF(AND(T139=0,U139=0),"",IF(AND(T139&gt;0,U139&gt;0),"MISMATCH","")),"")</f>
        <v/>
      </c>
      <c r="O139" s="305" t="str">
        <f>IF(OR(Overview!$D$4="Preliminary Documentation Review",Overview!$D$4="Preliminary Precertification Review"),IF(AND(V139=0,W139=0),"",IF(AND(V139&gt;0,W139&gt;0),"","MISMATCH")),"")</f>
        <v/>
      </c>
      <c r="P139" s="286">
        <f t="shared" si="23"/>
        <v>0</v>
      </c>
      <c r="Q139" s="286">
        <f t="shared" si="16"/>
        <v>0</v>
      </c>
      <c r="R139" s="305">
        <f t="shared" si="24"/>
        <v>0</v>
      </c>
      <c r="S139" s="305">
        <f t="shared" si="17"/>
        <v>0</v>
      </c>
      <c r="T139" s="305">
        <f t="shared" si="19"/>
        <v>179</v>
      </c>
      <c r="U139" s="305">
        <f t="shared" si="20"/>
        <v>0</v>
      </c>
      <c r="V139" s="305">
        <f t="shared" si="15"/>
        <v>179</v>
      </c>
      <c r="W139" s="305">
        <f t="shared" si="18"/>
        <v>0</v>
      </c>
    </row>
    <row r="140" spans="2:23" ht="45.6">
      <c r="B140" s="870"/>
      <c r="C140" s="838" t="s">
        <v>767</v>
      </c>
      <c r="D140" s="837" t="s">
        <v>919</v>
      </c>
      <c r="E140" s="550" t="s">
        <v>1285</v>
      </c>
      <c r="F140" s="559"/>
      <c r="G140" s="552" t="s">
        <v>25</v>
      </c>
      <c r="H140" s="553" t="s">
        <v>1176</v>
      </c>
      <c r="I140" s="554" t="s">
        <v>1177</v>
      </c>
      <c r="L140" s="305" t="str">
        <f>IF(OR(Overview!$D$4="Preliminary Documentation Review",Overview!$D$4="Preliminary Precertification Review"),IF(AND(P140=0,Q140=0),"",IF(AND(P140&gt;0,Q140&gt;0),"","MISMATCH")),"")</f>
        <v/>
      </c>
      <c r="M140" s="305" t="str">
        <f>IF(OR(Overview!$D$4="Preliminary Documentation Review",Overview!$D$4="Preliminary Precertification Review"),IF(AND(R140=0,S140=0),"",IF(AND(R140&gt;0,S140&gt;0),"","MISMATCH")),"")</f>
        <v/>
      </c>
      <c r="N140" s="305" t="str">
        <f>IF(OR(Overview!$D$4="Preliminary Documentation Review",Overview!$D$4="Preliminary Precertification Review"),IF(AND(T140=0,U140=0),"",IF(AND(T140&gt;0,U140&gt;0),"MISMATCH","")),"")</f>
        <v/>
      </c>
      <c r="O140" s="305" t="str">
        <f>IF(OR(Overview!$D$4="Preliminary Documentation Review",Overview!$D$4="Preliminary Precertification Review"),IF(AND(V140=0,W140=0),"",IF(AND(V140&gt;0,W140&gt;0),"","MISMATCH")),"")</f>
        <v/>
      </c>
      <c r="P140" s="286">
        <f t="shared" si="23"/>
        <v>0</v>
      </c>
      <c r="Q140" s="286">
        <f t="shared" si="16"/>
        <v>0</v>
      </c>
      <c r="R140" s="305">
        <f t="shared" si="24"/>
        <v>0</v>
      </c>
      <c r="S140" s="305">
        <f t="shared" si="17"/>
        <v>0</v>
      </c>
      <c r="T140" s="305">
        <f t="shared" si="19"/>
        <v>35</v>
      </c>
      <c r="U140" s="305">
        <f t="shared" si="20"/>
        <v>0</v>
      </c>
      <c r="V140" s="305">
        <f t="shared" si="15"/>
        <v>35</v>
      </c>
      <c r="W140" s="305">
        <f t="shared" si="18"/>
        <v>1</v>
      </c>
    </row>
    <row r="141" spans="2:23" ht="45.6">
      <c r="B141" s="870"/>
      <c r="C141" s="838"/>
      <c r="D141" s="837"/>
      <c r="E141" s="550" t="s">
        <v>1286</v>
      </c>
      <c r="F141" s="562">
        <v>1</v>
      </c>
      <c r="G141" s="552" t="s">
        <v>309</v>
      </c>
      <c r="H141" s="553" t="s">
        <v>1458</v>
      </c>
      <c r="I141" s="554" t="s">
        <v>1208</v>
      </c>
      <c r="L141" s="305" t="str">
        <f>IF(OR(Overview!$D$4="Preliminary Documentation Review",Overview!$D$4="Preliminary Precertification Review"),IF(AND(P141=0,Q141=0),"",IF(AND(P141&gt;0,Q141&gt;0),"","MISMATCH")),"")</f>
        <v/>
      </c>
      <c r="M141" s="305" t="str">
        <f>IF(OR(Overview!$D$4="Preliminary Documentation Review",Overview!$D$4="Preliminary Precertification Review"),IF(AND(R141=0,S141=0),"",IF(AND(R141&gt;0,S141&gt;0),"","MISMATCH")),"")</f>
        <v/>
      </c>
      <c r="N141" s="305" t="str">
        <f>IF(OR(Overview!$D$4="Preliminary Documentation Review",Overview!$D$4="Preliminary Precertification Review"),IF(AND(T141=0,U141=0),"",IF(AND(T141&gt;0,U141&gt;0),"MISMATCH","")),"")</f>
        <v/>
      </c>
      <c r="O141" s="305" t="str">
        <f>IF(OR(Overview!$D$4="Preliminary Documentation Review",Overview!$D$4="Preliminary Precertification Review"),IF(AND(V141=0,W141=0),"",IF(AND(V141&gt;0,W141&gt;0),"","MISMATCH")),"")</f>
        <v/>
      </c>
      <c r="P141" s="286">
        <f t="shared" si="23"/>
        <v>0</v>
      </c>
      <c r="Q141" s="286">
        <f t="shared" si="16"/>
        <v>0</v>
      </c>
      <c r="R141" s="305">
        <f t="shared" si="24"/>
        <v>0</v>
      </c>
      <c r="S141" s="305">
        <f t="shared" si="17"/>
        <v>0</v>
      </c>
      <c r="T141" s="305">
        <f t="shared" si="19"/>
        <v>0</v>
      </c>
      <c r="U141" s="305">
        <f t="shared" si="20"/>
        <v>0</v>
      </c>
      <c r="V141" s="305">
        <f t="shared" ref="V141:V204" si="25">IFERROR(SEARCH("This Part has not been attempted.",$I141),IFERROR(SEARCH("Not Attempted",$I141),0))</f>
        <v>0</v>
      </c>
      <c r="W141" s="305">
        <f t="shared" si="18"/>
        <v>0</v>
      </c>
    </row>
    <row r="142" spans="2:23" ht="45.6">
      <c r="B142" s="870"/>
      <c r="C142" s="851" t="s">
        <v>767</v>
      </c>
      <c r="D142" s="844" t="s">
        <v>922</v>
      </c>
      <c r="E142" s="550" t="s">
        <v>1287</v>
      </c>
      <c r="F142" s="559">
        <v>1</v>
      </c>
      <c r="G142" s="552" t="s">
        <v>309</v>
      </c>
      <c r="H142" s="553" t="s">
        <v>1458</v>
      </c>
      <c r="I142" s="554" t="s">
        <v>1208</v>
      </c>
      <c r="K142" s="624" t="s">
        <v>924</v>
      </c>
      <c r="L142" s="305" t="str">
        <f>IF(OR(Overview!$D$4="Preliminary Documentation Review",Overview!$D$4="Preliminary Precertification Review"),IF(AND(P142=0,Q142=0),"",IF(AND(P142&gt;0,Q142&gt;0),"","MISMATCH")),"")</f>
        <v/>
      </c>
      <c r="M142" s="305" t="str">
        <f>IF(OR(Overview!$D$4="Preliminary Documentation Review",Overview!$D$4="Preliminary Precertification Review"),IF(AND(R142=0,S142=0),"",IF(AND(R142&gt;0,S142&gt;0),"","MISMATCH")),"")</f>
        <v/>
      </c>
      <c r="N142" s="305" t="str">
        <f>IF(OR(Overview!$D$4="Preliminary Documentation Review",Overview!$D$4="Preliminary Precertification Review"),IF(AND(T142=0,U142=0),"",IF(AND(T142&gt;0,U142&gt;0),"MISMATCH","")),"")</f>
        <v/>
      </c>
      <c r="O142" s="305" t="str">
        <f>IF(OR(Overview!$D$4="Preliminary Documentation Review",Overview!$D$4="Preliminary Precertification Review"),IF(AND(V142=0,W142=0),"",IF(AND(V142&gt;0,W142&gt;0),"","MISMATCH")),"")</f>
        <v/>
      </c>
      <c r="P142" s="286">
        <f t="shared" si="23"/>
        <v>0</v>
      </c>
      <c r="Q142" s="286">
        <f t="shared" si="16"/>
        <v>0</v>
      </c>
      <c r="R142" s="305">
        <f t="shared" si="24"/>
        <v>0</v>
      </c>
      <c r="S142" s="305">
        <f t="shared" si="17"/>
        <v>0</v>
      </c>
      <c r="T142" s="305">
        <f t="shared" si="19"/>
        <v>0</v>
      </c>
      <c r="U142" s="305">
        <f t="shared" si="20"/>
        <v>0</v>
      </c>
      <c r="V142" s="305">
        <f t="shared" si="25"/>
        <v>0</v>
      </c>
      <c r="W142" s="305">
        <f t="shared" si="18"/>
        <v>0</v>
      </c>
    </row>
    <row r="143" spans="2:23" ht="45.6">
      <c r="B143" s="870"/>
      <c r="C143" s="853"/>
      <c r="D143" s="871"/>
      <c r="E143" s="550" t="s">
        <v>1288</v>
      </c>
      <c r="F143" s="560"/>
      <c r="G143" s="552" t="s">
        <v>25</v>
      </c>
      <c r="H143" s="553" t="s">
        <v>1176</v>
      </c>
      <c r="I143" s="554" t="s">
        <v>1177</v>
      </c>
      <c r="L143" s="305" t="str">
        <f>IF(OR(Overview!$D$4="Preliminary Documentation Review",Overview!$D$4="Preliminary Precertification Review"),IF(AND(P143=0,Q143=0),"",IF(AND(P143&gt;0,Q143&gt;0),"","MISMATCH")),"")</f>
        <v/>
      </c>
      <c r="M143" s="305" t="str">
        <f>IF(OR(Overview!$D$4="Preliminary Documentation Review",Overview!$D$4="Preliminary Precertification Review"),IF(AND(R143=0,S143=0),"",IF(AND(R143&gt;0,S143&gt;0),"","MISMATCH")),"")</f>
        <v/>
      </c>
      <c r="N143" s="305" t="str">
        <f>IF(OR(Overview!$D$4="Preliminary Documentation Review",Overview!$D$4="Preliminary Precertification Review"),IF(AND(T143=0,U143=0),"",IF(AND(T143&gt;0,U143&gt;0),"MISMATCH","")),"")</f>
        <v/>
      </c>
      <c r="O143" s="305" t="str">
        <f>IF(OR(Overview!$D$4="Preliminary Documentation Review",Overview!$D$4="Preliminary Precertification Review"),IF(AND(V143=0,W143=0),"",IF(AND(V143&gt;0,W143&gt;0),"","MISMATCH")),"")</f>
        <v/>
      </c>
      <c r="P143" s="286">
        <f t="shared" si="23"/>
        <v>0</v>
      </c>
      <c r="Q143" s="286">
        <f t="shared" si="16"/>
        <v>0</v>
      </c>
      <c r="R143" s="305">
        <f t="shared" si="24"/>
        <v>0</v>
      </c>
      <c r="S143" s="305">
        <f t="shared" si="17"/>
        <v>0</v>
      </c>
      <c r="T143" s="305">
        <f t="shared" si="19"/>
        <v>35</v>
      </c>
      <c r="U143" s="305">
        <f t="shared" si="20"/>
        <v>0</v>
      </c>
      <c r="V143" s="305">
        <f t="shared" si="25"/>
        <v>35</v>
      </c>
      <c r="W143" s="305">
        <f t="shared" si="18"/>
        <v>1</v>
      </c>
    </row>
    <row r="144" spans="2:23" ht="45.6">
      <c r="B144" s="870"/>
      <c r="C144" s="852"/>
      <c r="D144" s="845"/>
      <c r="E144" s="550" t="s">
        <v>1289</v>
      </c>
      <c r="F144" s="562"/>
      <c r="G144" s="552" t="s">
        <v>25</v>
      </c>
      <c r="H144" s="553" t="s">
        <v>1176</v>
      </c>
      <c r="I144" s="554" t="s">
        <v>1177</v>
      </c>
      <c r="L144" s="305" t="str">
        <f>IF(OR(Overview!$D$4="Preliminary Documentation Review",Overview!$D$4="Preliminary Precertification Review"),IF(AND(P144=0,Q144=0),"",IF(AND(P144&gt;0,Q144&gt;0),"","MISMATCH")),"")</f>
        <v/>
      </c>
      <c r="M144" s="305" t="str">
        <f>IF(OR(Overview!$D$4="Preliminary Documentation Review",Overview!$D$4="Preliminary Precertification Review"),IF(AND(R144=0,S144=0),"",IF(AND(R144&gt;0,S144&gt;0),"","MISMATCH")),"")</f>
        <v/>
      </c>
      <c r="N144" s="305" t="str">
        <f>IF(OR(Overview!$D$4="Preliminary Documentation Review",Overview!$D$4="Preliminary Precertification Review"),IF(AND(T144=0,U144=0),"",IF(AND(T144&gt;0,U144&gt;0),"MISMATCH","")),"")</f>
        <v/>
      </c>
      <c r="O144" s="305" t="str">
        <f>IF(OR(Overview!$D$4="Preliminary Documentation Review",Overview!$D$4="Preliminary Precertification Review"),IF(AND(V144=0,W144=0),"",IF(AND(V144&gt;0,W144&gt;0),"","MISMATCH")),"")</f>
        <v/>
      </c>
      <c r="P144" s="286">
        <f t="shared" si="23"/>
        <v>0</v>
      </c>
      <c r="Q144" s="286">
        <f t="shared" si="16"/>
        <v>0</v>
      </c>
      <c r="R144" s="305">
        <f t="shared" si="24"/>
        <v>0</v>
      </c>
      <c r="S144" s="305">
        <f t="shared" si="17"/>
        <v>0</v>
      </c>
      <c r="T144" s="305">
        <f t="shared" si="19"/>
        <v>35</v>
      </c>
      <c r="U144" s="305">
        <f t="shared" si="20"/>
        <v>0</v>
      </c>
      <c r="V144" s="305">
        <f t="shared" si="25"/>
        <v>35</v>
      </c>
      <c r="W144" s="305">
        <f t="shared" si="18"/>
        <v>1</v>
      </c>
    </row>
    <row r="145" spans="1:123" ht="45.6">
      <c r="B145" s="870"/>
      <c r="C145" s="838" t="s">
        <v>767</v>
      </c>
      <c r="D145" s="837" t="s">
        <v>927</v>
      </c>
      <c r="E145" s="550" t="s">
        <v>1290</v>
      </c>
      <c r="F145" s="559">
        <v>1</v>
      </c>
      <c r="G145" s="552" t="s">
        <v>309</v>
      </c>
      <c r="H145" s="553" t="s">
        <v>1458</v>
      </c>
      <c r="I145" s="554" t="s">
        <v>1208</v>
      </c>
      <c r="L145" s="305" t="str">
        <f>IF(OR(Overview!$D$4="Preliminary Documentation Review",Overview!$D$4="Preliminary Precertification Review"),IF(AND(P145=0,Q145=0),"",IF(AND(P145&gt;0,Q145&gt;0),"","MISMATCH")),"")</f>
        <v/>
      </c>
      <c r="M145" s="305" t="str">
        <f>IF(OR(Overview!$D$4="Preliminary Documentation Review",Overview!$D$4="Preliminary Precertification Review"),IF(AND(R145=0,S145=0),"",IF(AND(R145&gt;0,S145&gt;0),"","MISMATCH")),"")</f>
        <v/>
      </c>
      <c r="N145" s="305" t="str">
        <f>IF(OR(Overview!$D$4="Preliminary Documentation Review",Overview!$D$4="Preliminary Precertification Review"),IF(AND(T145=0,U145=0),"",IF(AND(T145&gt;0,U145&gt;0),"MISMATCH","")),"")</f>
        <v/>
      </c>
      <c r="O145" s="305" t="str">
        <f>IF(OR(Overview!$D$4="Preliminary Documentation Review",Overview!$D$4="Preliminary Precertification Review"),IF(AND(V145=0,W145=0),"",IF(AND(V145&gt;0,W145&gt;0),"","MISMATCH")),"")</f>
        <v/>
      </c>
      <c r="P145" s="286">
        <f t="shared" si="23"/>
        <v>0</v>
      </c>
      <c r="Q145" s="286">
        <f t="shared" si="16"/>
        <v>0</v>
      </c>
      <c r="R145" s="305">
        <f t="shared" si="24"/>
        <v>0</v>
      </c>
      <c r="S145" s="305">
        <f t="shared" si="17"/>
        <v>0</v>
      </c>
      <c r="T145" s="305">
        <f t="shared" si="19"/>
        <v>0</v>
      </c>
      <c r="U145" s="305">
        <f t="shared" si="20"/>
        <v>0</v>
      </c>
      <c r="V145" s="305">
        <f t="shared" si="25"/>
        <v>0</v>
      </c>
      <c r="W145" s="305">
        <f t="shared" si="18"/>
        <v>0</v>
      </c>
    </row>
    <row r="146" spans="1:123" ht="45.6">
      <c r="B146" s="870"/>
      <c r="C146" s="838"/>
      <c r="D146" s="837"/>
      <c r="E146" s="550" t="s">
        <v>1291</v>
      </c>
      <c r="F146" s="562"/>
      <c r="G146" s="552" t="s">
        <v>25</v>
      </c>
      <c r="H146" s="553" t="s">
        <v>1176</v>
      </c>
      <c r="I146" s="554" t="s">
        <v>1177</v>
      </c>
      <c r="L146" s="305" t="str">
        <f>IF(OR(Overview!$D$4="Preliminary Documentation Review",Overview!$D$4="Preliminary Precertification Review"),IF(AND(P146=0,Q146=0),"",IF(AND(P146&gt;0,Q146&gt;0),"","MISMATCH")),"")</f>
        <v/>
      </c>
      <c r="M146" s="305" t="str">
        <f>IF(OR(Overview!$D$4="Preliminary Documentation Review",Overview!$D$4="Preliminary Precertification Review"),IF(AND(R146=0,S146=0),"",IF(AND(R146&gt;0,S146&gt;0),"","MISMATCH")),"")</f>
        <v/>
      </c>
      <c r="N146" s="305" t="str">
        <f>IF(OR(Overview!$D$4="Preliminary Documentation Review",Overview!$D$4="Preliminary Precertification Review"),IF(AND(T146=0,U146=0),"",IF(AND(T146&gt;0,U146&gt;0),"MISMATCH","")),"")</f>
        <v/>
      </c>
      <c r="O146" s="305" t="str">
        <f>IF(OR(Overview!$D$4="Preliminary Documentation Review",Overview!$D$4="Preliminary Precertification Review"),IF(AND(V146=0,W146=0),"",IF(AND(V146&gt;0,W146&gt;0),"","MISMATCH")),"")</f>
        <v/>
      </c>
      <c r="P146" s="286">
        <f t="shared" si="23"/>
        <v>0</v>
      </c>
      <c r="Q146" s="286">
        <f t="shared" si="16"/>
        <v>0</v>
      </c>
      <c r="R146" s="305">
        <f t="shared" si="24"/>
        <v>0</v>
      </c>
      <c r="S146" s="305">
        <f t="shared" si="17"/>
        <v>0</v>
      </c>
      <c r="T146" s="305">
        <f t="shared" si="19"/>
        <v>35</v>
      </c>
      <c r="U146" s="305">
        <f t="shared" si="20"/>
        <v>0</v>
      </c>
      <c r="V146" s="305">
        <f t="shared" si="25"/>
        <v>35</v>
      </c>
      <c r="W146" s="305">
        <f t="shared" si="18"/>
        <v>1</v>
      </c>
    </row>
    <row r="147" spans="1:123" ht="45.6">
      <c r="B147" s="870"/>
      <c r="C147" s="548" t="s">
        <v>767</v>
      </c>
      <c r="D147" s="550" t="s">
        <v>930</v>
      </c>
      <c r="E147" s="550" t="s">
        <v>1292</v>
      </c>
      <c r="F147" s="566"/>
      <c r="G147" s="552" t="s">
        <v>25</v>
      </c>
      <c r="H147" s="553" t="s">
        <v>1176</v>
      </c>
      <c r="I147" s="554" t="s">
        <v>1177</v>
      </c>
      <c r="L147" s="305" t="str">
        <f>IF(OR(Overview!$D$4="Preliminary Documentation Review",Overview!$D$4="Preliminary Precertification Review"),IF(AND(P147=0,Q147=0),"",IF(AND(P147&gt;0,Q147&gt;0),"","MISMATCH")),"")</f>
        <v/>
      </c>
      <c r="M147" s="305" t="str">
        <f>IF(OR(Overview!$D$4="Preliminary Documentation Review",Overview!$D$4="Preliminary Precertification Review"),IF(AND(R147=0,S147=0),"",IF(AND(R147&gt;0,S147&gt;0),"","MISMATCH")),"")</f>
        <v/>
      </c>
      <c r="N147" s="305" t="str">
        <f>IF(OR(Overview!$D$4="Preliminary Documentation Review",Overview!$D$4="Preliminary Precertification Review"),IF(AND(T147=0,U147=0),"",IF(AND(T147&gt;0,U147&gt;0),"MISMATCH","")),"")</f>
        <v/>
      </c>
      <c r="O147" s="305" t="str">
        <f>IF(OR(Overview!$D$4="Preliminary Documentation Review",Overview!$D$4="Preliminary Precertification Review"),IF(AND(V147=0,W147=0),"",IF(AND(V147&gt;0,W147&gt;0),"","MISMATCH")),"")</f>
        <v/>
      </c>
      <c r="P147" s="286">
        <f t="shared" si="23"/>
        <v>0</v>
      </c>
      <c r="Q147" s="286">
        <f t="shared" si="16"/>
        <v>0</v>
      </c>
      <c r="R147" s="305">
        <f t="shared" si="24"/>
        <v>0</v>
      </c>
      <c r="S147" s="305">
        <f t="shared" si="17"/>
        <v>0</v>
      </c>
      <c r="T147" s="305">
        <f t="shared" si="19"/>
        <v>35</v>
      </c>
      <c r="U147" s="305">
        <f t="shared" si="20"/>
        <v>0</v>
      </c>
      <c r="V147" s="305">
        <f t="shared" si="25"/>
        <v>35</v>
      </c>
      <c r="W147" s="305">
        <f t="shared" si="18"/>
        <v>1</v>
      </c>
    </row>
    <row r="148" spans="1:123">
      <c r="B148" s="626"/>
      <c r="C148" s="627"/>
      <c r="D148" s="628"/>
      <c r="E148" s="629"/>
      <c r="F148" s="597"/>
      <c r="G148" s="577"/>
      <c r="H148" s="630"/>
      <c r="I148" s="631"/>
      <c r="L148" s="305" t="str">
        <f>IF(OR(Overview!$D$4="Preliminary Documentation Review",Overview!$D$4="Preliminary Precertification Review"),IF(AND(P148=0,Q148=0),"",IF(AND(P148&gt;0,Q148&gt;0),"","MISMATCH")),"")</f>
        <v/>
      </c>
      <c r="M148" s="305" t="str">
        <f>IF(OR(Overview!$D$4="Preliminary Documentation Review",Overview!$D$4="Preliminary Precertification Review"),IF(AND(R148=0,S148=0),"",IF(AND(R148&gt;0,S148&gt;0),"","MISMATCH")),"")</f>
        <v/>
      </c>
      <c r="N148" s="305" t="str">
        <f>IF(OR(Overview!$D$4="Preliminary Documentation Review",Overview!$D$4="Preliminary Precertification Review"),IF(AND(T148=0,U148=0),"",IF(AND(T148&gt;0,U148&gt;0),"MISMATCH","")),"")</f>
        <v/>
      </c>
      <c r="O148" s="305" t="str">
        <f>IF(OR(Overview!$D$4="Preliminary Documentation Review",Overview!$D$4="Preliminary Precertification Review"),IF(AND(V148=0,W148=0),"",IF(AND(V148&gt;0,W148&gt;0),"","MISMATCH")),"")</f>
        <v/>
      </c>
      <c r="P148" s="286">
        <f t="shared" si="23"/>
        <v>0</v>
      </c>
      <c r="Q148" s="286">
        <f t="shared" si="16"/>
        <v>0</v>
      </c>
      <c r="R148" s="305">
        <f t="shared" si="24"/>
        <v>0</v>
      </c>
      <c r="S148" s="305">
        <f t="shared" si="17"/>
        <v>0</v>
      </c>
      <c r="T148" s="305">
        <f t="shared" si="19"/>
        <v>0</v>
      </c>
      <c r="U148" s="305">
        <f t="shared" si="20"/>
        <v>0</v>
      </c>
      <c r="V148" s="305">
        <f t="shared" si="25"/>
        <v>0</v>
      </c>
      <c r="W148" s="305">
        <f t="shared" si="18"/>
        <v>0</v>
      </c>
    </row>
    <row r="149" spans="1:123">
      <c r="B149" s="573"/>
      <c r="C149" s="574"/>
      <c r="D149" s="575"/>
      <c r="E149" s="576"/>
      <c r="F149" s="597"/>
      <c r="G149" s="577"/>
      <c r="H149" s="578"/>
      <c r="I149" s="579"/>
      <c r="L149" s="305" t="str">
        <f>IF(OR(Overview!$D$4="Preliminary Documentation Review",Overview!$D$4="Preliminary Precertification Review"),IF(AND(P149=0,Q149=0),"",IF(AND(P149&gt;0,Q149&gt;0),"","MISMATCH")),"")</f>
        <v/>
      </c>
      <c r="M149" s="305" t="str">
        <f>IF(OR(Overview!$D$4="Preliminary Documentation Review",Overview!$D$4="Preliminary Precertification Review"),IF(AND(R149=0,S149=0),"",IF(AND(R149&gt;0,S149&gt;0),"","MISMATCH")),"")</f>
        <v/>
      </c>
      <c r="N149" s="305" t="str">
        <f>IF(OR(Overview!$D$4="Preliminary Documentation Review",Overview!$D$4="Preliminary Precertification Review"),IF(AND(T149=0,U149=0),"",IF(AND(T149&gt;0,U149&gt;0),"MISMATCH","")),"")</f>
        <v/>
      </c>
      <c r="O149" s="305" t="str">
        <f>IF(OR(Overview!$D$4="Preliminary Documentation Review",Overview!$D$4="Preliminary Precertification Review"),IF(AND(V149=0,W149=0),"",IF(AND(V149&gt;0,W149&gt;0),"","MISMATCH")),"")</f>
        <v/>
      </c>
      <c r="P149" s="286">
        <f t="shared" si="23"/>
        <v>0</v>
      </c>
      <c r="Q149" s="286">
        <f t="shared" si="16"/>
        <v>0</v>
      </c>
      <c r="R149" s="305">
        <f t="shared" si="24"/>
        <v>0</v>
      </c>
      <c r="S149" s="305">
        <f t="shared" si="17"/>
        <v>0</v>
      </c>
      <c r="T149" s="305">
        <f t="shared" si="19"/>
        <v>0</v>
      </c>
      <c r="U149" s="305">
        <f t="shared" si="20"/>
        <v>0</v>
      </c>
      <c r="V149" s="305">
        <f t="shared" si="25"/>
        <v>0</v>
      </c>
      <c r="W149" s="305">
        <f t="shared" si="18"/>
        <v>0</v>
      </c>
    </row>
    <row r="150" spans="1:123">
      <c r="B150" s="872"/>
      <c r="C150" s="873"/>
      <c r="D150" s="873"/>
      <c r="E150" s="873"/>
      <c r="F150" s="873"/>
      <c r="G150" s="873"/>
      <c r="H150" s="873"/>
      <c r="I150" s="632"/>
      <c r="L150" s="305" t="str">
        <f>IF(OR(Overview!$D$4="Preliminary Documentation Review",Overview!$D$4="Preliminary Precertification Review"),IF(AND(P150=0,Q150=0),"",IF(AND(P150&gt;0,Q150&gt;0),"","MISMATCH")),"")</f>
        <v/>
      </c>
      <c r="M150" s="305" t="str">
        <f>IF(OR(Overview!$D$4="Preliminary Documentation Review",Overview!$D$4="Preliminary Precertification Review"),IF(AND(R150=0,S150=0),"",IF(AND(R150&gt;0,S150&gt;0),"","MISMATCH")),"")</f>
        <v/>
      </c>
      <c r="N150" s="305" t="str">
        <f>IF(OR(Overview!$D$4="Preliminary Documentation Review",Overview!$D$4="Preliminary Precertification Review"),IF(AND(T150=0,U150=0),"",IF(AND(T150&gt;0,U150&gt;0),"MISMATCH","")),"")</f>
        <v/>
      </c>
      <c r="O150" s="305" t="str">
        <f>IF(OR(Overview!$D$4="Preliminary Documentation Review",Overview!$D$4="Preliminary Precertification Review"),IF(AND(V150=0,W150=0),"",IF(AND(V150&gt;0,W150&gt;0),"","MISMATCH")),"")</f>
        <v/>
      </c>
      <c r="T150" s="305">
        <f t="shared" si="19"/>
        <v>0</v>
      </c>
      <c r="U150" s="305">
        <f t="shared" si="20"/>
        <v>0</v>
      </c>
      <c r="V150" s="305">
        <f t="shared" si="25"/>
        <v>0</v>
      </c>
      <c r="W150" s="305">
        <f t="shared" si="18"/>
        <v>0</v>
      </c>
    </row>
    <row r="151" spans="1:123" s="547" customFormat="1" ht="99.9" hidden="1" customHeight="1">
      <c r="B151" s="633"/>
      <c r="C151" s="832" t="s">
        <v>1293</v>
      </c>
      <c r="D151" s="833"/>
      <c r="E151" s="833"/>
      <c r="F151" s="833"/>
      <c r="G151" s="833"/>
      <c r="H151" s="833"/>
      <c r="I151" s="834"/>
      <c r="J151" s="546"/>
      <c r="K151" s="531"/>
      <c r="L151" s="305" t="str">
        <f>IF(OR(Overview!$D$4="Preliminary Documentation Review",Overview!$D$4="Preliminary Precertification Review"),IF(AND(P151=0,Q151=0),"",IF(AND(P151&gt;0,Q151&gt;0),"","MISMATCH")),"")</f>
        <v/>
      </c>
      <c r="M151" s="305" t="str">
        <f>IF(OR(Overview!$D$4="Preliminary Documentation Review",Overview!$D$4="Preliminary Precertification Review"),IF(AND(R151=0,S151=0),"",IF(AND(R151&gt;0,S151&gt;0),"","MISMATCH")),"")</f>
        <v/>
      </c>
      <c r="N151" s="305" t="str">
        <f>IF(OR(Overview!$D$4="Preliminary Documentation Review",Overview!$D$4="Preliminary Precertification Review"),IF(AND(T151=0,U151=0),"",IF(AND(T151&gt;0,U151&gt;0),"MISMATCH","")),"")</f>
        <v/>
      </c>
      <c r="O151" s="305" t="str">
        <f>IF(OR(Overview!$D$4="Preliminary Documentation Review",Overview!$D$4="Preliminary Precertification Review"),IF(AND(V151=0,W151=0),"",IF(AND(V151&gt;0,W151&gt;0),"","MISMATCH")),"")</f>
        <v/>
      </c>
      <c r="T151" s="305">
        <f t="shared" si="19"/>
        <v>0</v>
      </c>
      <c r="U151" s="305">
        <f t="shared" si="20"/>
        <v>0</v>
      </c>
      <c r="V151" s="305">
        <f t="shared" si="25"/>
        <v>0</v>
      </c>
      <c r="W151" s="305">
        <f t="shared" si="18"/>
        <v>0</v>
      </c>
    </row>
    <row r="152" spans="1:123" s="547" customFormat="1" ht="15.6" hidden="1" customHeight="1">
      <c r="B152" s="633"/>
      <c r="C152" s="873"/>
      <c r="D152" s="873"/>
      <c r="E152" s="873"/>
      <c r="F152" s="873"/>
      <c r="G152" s="873"/>
      <c r="H152" s="873"/>
      <c r="I152" s="874"/>
      <c r="J152" s="546"/>
      <c r="K152" s="531"/>
      <c r="L152" s="305" t="str">
        <f>IF(OR(Overview!$D$4="Preliminary Documentation Review",Overview!$D$4="Preliminary Precertification Review"),IF(AND(P152=0,Q152=0),"",IF(AND(P152&gt;0,Q152&gt;0),"","MISMATCH")),"")</f>
        <v/>
      </c>
      <c r="M152" s="305" t="str">
        <f>IF(OR(Overview!$D$4="Preliminary Documentation Review",Overview!$D$4="Preliminary Precertification Review"),IF(AND(R152=0,S152=0),"",IF(AND(R152&gt;0,S152&gt;0),"","MISMATCH")),"")</f>
        <v/>
      </c>
      <c r="N152" s="305" t="str">
        <f>IF(OR(Overview!$D$4="Preliminary Documentation Review",Overview!$D$4="Preliminary Precertification Review"),IF(AND(T152=0,U152=0),"",IF(AND(T152&gt;0,U152&gt;0),"MISMATCH","")),"")</f>
        <v/>
      </c>
      <c r="O152" s="305" t="str">
        <f>IF(OR(Overview!$D$4="Preliminary Documentation Review",Overview!$D$4="Preliminary Precertification Review"),IF(AND(V152=0,W152=0),"",IF(AND(V152&gt;0,W152&gt;0),"","MISMATCH")),"")</f>
        <v/>
      </c>
      <c r="T152" s="305">
        <f t="shared" si="19"/>
        <v>0</v>
      </c>
      <c r="U152" s="305">
        <f t="shared" si="20"/>
        <v>0</v>
      </c>
      <c r="V152" s="305">
        <f t="shared" si="25"/>
        <v>0</v>
      </c>
      <c r="W152" s="305">
        <f t="shared" si="18"/>
        <v>0</v>
      </c>
    </row>
    <row r="153" spans="1:123" s="634" customFormat="1" ht="151.19999999999999">
      <c r="A153" s="286"/>
      <c r="B153" s="875" t="s">
        <v>149</v>
      </c>
      <c r="C153" s="851" t="s">
        <v>752</v>
      </c>
      <c r="D153" s="837" t="s">
        <v>932</v>
      </c>
      <c r="E153" s="634" t="s">
        <v>1294</v>
      </c>
      <c r="F153" s="635"/>
      <c r="G153" s="552" t="s">
        <v>1162</v>
      </c>
      <c r="H153" s="553" t="s">
        <v>1458</v>
      </c>
      <c r="I153" s="565" t="s">
        <v>1470</v>
      </c>
      <c r="J153" s="527"/>
      <c r="K153" s="527"/>
      <c r="L153" s="305" t="str">
        <f>IF(OR(Overview!$D$4="Preliminary Documentation Review",Overview!$D$4="Preliminary Precertification Review"),IF(AND(P153=0,Q153=0),"",IF(AND(P153&gt;0,Q153&gt;0),"","MISMATCH")),"")</f>
        <v/>
      </c>
      <c r="M153" s="305" t="str">
        <f>IF(OR(Overview!$D$4="Preliminary Documentation Review",Overview!$D$4="Preliminary Precertification Review"),IF(AND(R153=0,S153=0),"",IF(AND(R153&gt;0,S153&gt;0),"","MISMATCH")),"")</f>
        <v/>
      </c>
      <c r="N153" s="305" t="str">
        <f>IF(OR(Overview!$D$4="Preliminary Documentation Review",Overview!$D$4="Preliminary Precertification Review"),IF(AND(T153=0,U153=0),"",IF(AND(T153&gt;0,U153&gt;0),"MISMATCH","")),"")</f>
        <v/>
      </c>
      <c r="O153" s="305" t="str">
        <f>IF(OR(Overview!$D$4="Preliminary Documentation Review",Overview!$D$4="Preliminary Precertification Review"),IF(AND(V153=0,W153=0),"",IF(AND(V153&gt;0,W153&gt;0),"","MISMATCH")),"")</f>
        <v/>
      </c>
      <c r="P153" s="286">
        <f t="shared" ref="P153:P170" si="26">IFERROR(SEARCH("COMMENTS TO BE ADDRESS",$I153),0)</f>
        <v>0</v>
      </c>
      <c r="Q153" s="286">
        <f t="shared" si="16"/>
        <v>0</v>
      </c>
      <c r="R153" s="305">
        <f t="shared" ref="R153:R170" si="27">IFERROR(SEARCH("equirements of this part will be v",$I153),0)</f>
        <v>251</v>
      </c>
      <c r="S153" s="305">
        <f t="shared" si="17"/>
        <v>0</v>
      </c>
      <c r="T153" s="305">
        <f t="shared" si="19"/>
        <v>0</v>
      </c>
      <c r="U153" s="305">
        <f t="shared" si="20"/>
        <v>0</v>
      </c>
      <c r="V153" s="305">
        <f t="shared" si="25"/>
        <v>0</v>
      </c>
      <c r="W153" s="305">
        <f t="shared" si="18"/>
        <v>0</v>
      </c>
      <c r="X153" s="527"/>
      <c r="Y153" s="527"/>
      <c r="Z153" s="527"/>
      <c r="AA153" s="527"/>
      <c r="AB153" s="527"/>
      <c r="AC153" s="527"/>
      <c r="AD153" s="527"/>
      <c r="AE153" s="527"/>
      <c r="AF153" s="527"/>
      <c r="AG153" s="527"/>
      <c r="AH153" s="527"/>
      <c r="AI153" s="527"/>
      <c r="AJ153" s="527"/>
      <c r="AK153" s="527"/>
      <c r="AL153" s="527"/>
      <c r="AM153" s="527"/>
      <c r="AN153" s="527"/>
      <c r="AO153" s="527"/>
      <c r="AP153" s="527"/>
      <c r="AQ153" s="527"/>
      <c r="AR153" s="527"/>
      <c r="AS153" s="527"/>
      <c r="AT153" s="527"/>
      <c r="AU153" s="527"/>
      <c r="AV153" s="527"/>
      <c r="AW153" s="527"/>
      <c r="AX153" s="527"/>
      <c r="AY153" s="527"/>
      <c r="AZ153" s="527"/>
      <c r="BA153" s="527"/>
      <c r="BB153" s="527"/>
      <c r="BC153" s="527"/>
      <c r="BD153" s="527"/>
      <c r="BE153" s="527"/>
      <c r="BF153" s="527"/>
      <c r="BG153" s="527"/>
      <c r="BH153" s="527"/>
      <c r="BI153" s="527"/>
      <c r="BJ153" s="527"/>
      <c r="BK153" s="527"/>
      <c r="BL153" s="527"/>
      <c r="BM153" s="527"/>
      <c r="BN153" s="527"/>
      <c r="BO153" s="527"/>
      <c r="BP153" s="527"/>
      <c r="BQ153" s="527"/>
      <c r="BR153" s="527"/>
      <c r="BS153" s="527"/>
      <c r="BT153" s="527"/>
      <c r="BU153" s="527"/>
      <c r="BV153" s="527"/>
      <c r="BW153" s="527"/>
      <c r="BX153" s="527"/>
      <c r="BY153" s="527"/>
      <c r="BZ153" s="527"/>
      <c r="CA153" s="527"/>
      <c r="CB153" s="527"/>
      <c r="CC153" s="527"/>
      <c r="CD153" s="527"/>
      <c r="CE153" s="527"/>
      <c r="CF153" s="527"/>
      <c r="CG153" s="527"/>
      <c r="CH153" s="527"/>
      <c r="CI153" s="527"/>
      <c r="CJ153" s="527"/>
      <c r="CK153" s="527"/>
      <c r="CL153" s="527"/>
      <c r="CM153" s="527"/>
      <c r="CN153" s="527"/>
      <c r="CO153" s="527"/>
      <c r="CP153" s="527"/>
      <c r="CQ153" s="527"/>
      <c r="CR153" s="527"/>
      <c r="CS153" s="527"/>
      <c r="CT153" s="527"/>
      <c r="CU153" s="527"/>
      <c r="CV153" s="527"/>
      <c r="CW153" s="527"/>
      <c r="CX153" s="527"/>
      <c r="CY153" s="527"/>
      <c r="CZ153" s="527"/>
      <c r="DA153" s="527"/>
      <c r="DB153" s="527"/>
      <c r="DC153" s="527"/>
      <c r="DD153" s="527"/>
      <c r="DE153" s="527"/>
      <c r="DF153" s="527"/>
      <c r="DG153" s="527"/>
      <c r="DH153" s="527"/>
      <c r="DI153" s="527"/>
      <c r="DJ153" s="527"/>
      <c r="DK153" s="527"/>
      <c r="DL153" s="527"/>
      <c r="DM153" s="527"/>
      <c r="DN153" s="527"/>
      <c r="DO153" s="527"/>
      <c r="DP153" s="527"/>
      <c r="DQ153" s="527"/>
      <c r="DR153" s="527"/>
      <c r="DS153" s="636"/>
    </row>
    <row r="154" spans="1:123" ht="105.6">
      <c r="B154" s="875"/>
      <c r="C154" s="852"/>
      <c r="D154" s="837"/>
      <c r="E154" s="550" t="s">
        <v>1295</v>
      </c>
      <c r="F154" s="558"/>
      <c r="G154" s="552" t="s">
        <v>1162</v>
      </c>
      <c r="H154" s="553" t="s">
        <v>1458</v>
      </c>
      <c r="I154" s="637" t="s">
        <v>1296</v>
      </c>
      <c r="J154" s="563"/>
      <c r="L154" s="305" t="str">
        <f>IF(OR(Overview!$D$4="Preliminary Documentation Review",Overview!$D$4="Preliminary Precertification Review"),IF(AND(P154=0,Q154=0),"",IF(AND(P154&gt;0,Q154&gt;0),"","MISMATCH")),"")</f>
        <v/>
      </c>
      <c r="M154" s="305" t="str">
        <f>IF(OR(Overview!$D$4="Preliminary Documentation Review",Overview!$D$4="Preliminary Precertification Review"),IF(AND(R154=0,S154=0),"",IF(AND(R154&gt;0,S154&gt;0),"","MISMATCH")),"")</f>
        <v/>
      </c>
      <c r="N154" s="305" t="str">
        <f>IF(OR(Overview!$D$4="Preliminary Documentation Review",Overview!$D$4="Preliminary Precertification Review"),IF(AND(T154=0,U154=0),"",IF(AND(T154&gt;0,U154&gt;0),"MISMATCH","")),"")</f>
        <v/>
      </c>
      <c r="O154" s="305" t="str">
        <f>IF(OR(Overview!$D$4="Preliminary Documentation Review",Overview!$D$4="Preliminary Precertification Review"),IF(AND(V154=0,W154=0),"",IF(AND(V154&gt;0,W154&gt;0),"","MISMATCH")),"")</f>
        <v/>
      </c>
      <c r="P154" s="286">
        <f t="shared" si="26"/>
        <v>0</v>
      </c>
      <c r="Q154" s="286">
        <f t="shared" si="16"/>
        <v>0</v>
      </c>
      <c r="R154" s="305">
        <f t="shared" si="27"/>
        <v>0</v>
      </c>
      <c r="S154" s="305">
        <f t="shared" si="17"/>
        <v>0</v>
      </c>
      <c r="T154" s="305">
        <f t="shared" si="19"/>
        <v>0</v>
      </c>
      <c r="U154" s="305">
        <f t="shared" si="20"/>
        <v>0</v>
      </c>
      <c r="V154" s="305">
        <f t="shared" si="25"/>
        <v>0</v>
      </c>
      <c r="W154" s="305">
        <f t="shared" si="18"/>
        <v>0</v>
      </c>
    </row>
    <row r="155" spans="1:123" ht="151.19999999999999">
      <c r="B155" s="875"/>
      <c r="C155" s="851" t="s">
        <v>767</v>
      </c>
      <c r="D155" s="837" t="s">
        <v>935</v>
      </c>
      <c r="E155" s="550" t="s">
        <v>1297</v>
      </c>
      <c r="F155" s="560">
        <v>1</v>
      </c>
      <c r="G155" s="552" t="s">
        <v>309</v>
      </c>
      <c r="H155" s="553" t="s">
        <v>1458</v>
      </c>
      <c r="I155" s="565" t="s">
        <v>1470</v>
      </c>
      <c r="J155" s="563"/>
      <c r="L155" s="305" t="str">
        <f>IF(OR(Overview!$D$4="Preliminary Documentation Review",Overview!$D$4="Preliminary Precertification Review"),IF(AND(P155=0,Q155=0),"",IF(AND(P155&gt;0,Q155&gt;0),"","MISMATCH")),"")</f>
        <v/>
      </c>
      <c r="M155" s="305" t="str">
        <f>IF(OR(Overview!$D$4="Preliminary Documentation Review",Overview!$D$4="Preliminary Precertification Review"),IF(AND(R155=0,S155=0),"",IF(AND(R155&gt;0,S155&gt;0),"","MISMATCH")),"")</f>
        <v/>
      </c>
      <c r="N155" s="305" t="str">
        <f>IF(OR(Overview!$D$4="Preliminary Documentation Review",Overview!$D$4="Preliminary Precertification Review"),IF(AND(T155=0,U155=0),"",IF(AND(T155&gt;0,U155&gt;0),"MISMATCH","")),"")</f>
        <v/>
      </c>
      <c r="O155" s="305" t="str">
        <f>IF(OR(Overview!$D$4="Preliminary Documentation Review",Overview!$D$4="Preliminary Precertification Review"),IF(AND(V155=0,W155=0),"",IF(AND(V155&gt;0,W155&gt;0),"","MISMATCH")),"")</f>
        <v/>
      </c>
      <c r="P155" s="286">
        <f t="shared" si="26"/>
        <v>0</v>
      </c>
      <c r="Q155" s="286">
        <f t="shared" si="16"/>
        <v>0</v>
      </c>
      <c r="R155" s="305">
        <f t="shared" si="27"/>
        <v>251</v>
      </c>
      <c r="S155" s="305">
        <f t="shared" si="17"/>
        <v>0</v>
      </c>
      <c r="T155" s="305">
        <f t="shared" si="19"/>
        <v>0</v>
      </c>
      <c r="U155" s="305">
        <f t="shared" si="20"/>
        <v>0</v>
      </c>
      <c r="V155" s="305">
        <f t="shared" si="25"/>
        <v>0</v>
      </c>
      <c r="W155" s="305">
        <f t="shared" ref="W155:W218" si="28">IFERROR(SEARCH("Not Attempted",$H155),0)</f>
        <v>0</v>
      </c>
    </row>
    <row r="156" spans="1:123" ht="271.8">
      <c r="B156" s="875"/>
      <c r="C156" s="852"/>
      <c r="D156" s="837"/>
      <c r="E156" s="550" t="s">
        <v>1298</v>
      </c>
      <c r="F156" s="562"/>
      <c r="G156" s="552" t="s">
        <v>25</v>
      </c>
      <c r="H156" s="553" t="s">
        <v>1299</v>
      </c>
      <c r="I156" s="554" t="s">
        <v>1300</v>
      </c>
      <c r="L156" s="305" t="str">
        <f>IF(OR(Overview!$D$4="Preliminary Documentation Review",Overview!$D$4="Preliminary Precertification Review"),IF(AND(P156=0,Q156=0),"",IF(AND(P156&gt;0,Q156&gt;0),"","MISMATCH")),"")</f>
        <v/>
      </c>
      <c r="M156" s="305" t="str">
        <f>IF(OR(Overview!$D$4="Preliminary Documentation Review",Overview!$D$4="Preliminary Precertification Review"),IF(AND(R156=0,S156=0),"",IF(AND(R156&gt;0,S156&gt;0),"","MISMATCH")),"")</f>
        <v/>
      </c>
      <c r="N156" s="305" t="str">
        <f>IF(OR(Overview!$D$4="Preliminary Documentation Review",Overview!$D$4="Preliminary Precertification Review"),IF(AND(T156=0,U156=0),"",IF(AND(T156&gt;0,U156&gt;0),"MISMATCH","")),"")</f>
        <v/>
      </c>
      <c r="O156" s="305" t="str">
        <f>IF(OR(Overview!$D$4="Preliminary Documentation Review",Overview!$D$4="Preliminary Precertification Review"),IF(AND(V156=0,W156=0),"",IF(AND(V156&gt;0,W156&gt;0),"","MISMATCH")),"")</f>
        <v/>
      </c>
      <c r="P156" s="286">
        <f t="shared" si="26"/>
        <v>197</v>
      </c>
      <c r="Q156" s="286">
        <f t="shared" si="16"/>
        <v>0</v>
      </c>
      <c r="R156" s="305">
        <f t="shared" si="27"/>
        <v>0</v>
      </c>
      <c r="S156" s="305">
        <f t="shared" si="17"/>
        <v>0</v>
      </c>
      <c r="T156" s="305">
        <f t="shared" ref="T156:T219" si="29">IFERROR(SEARCH("This Part has no",$I156),0)</f>
        <v>0</v>
      </c>
      <c r="U156" s="305">
        <f t="shared" ref="U156:U219" si="30">IFERROR(SEARCH("Anticipated",$H156),0)</f>
        <v>0</v>
      </c>
      <c r="V156" s="305">
        <f t="shared" si="25"/>
        <v>0</v>
      </c>
      <c r="W156" s="305">
        <f t="shared" si="28"/>
        <v>0</v>
      </c>
    </row>
    <row r="157" spans="1:123" ht="45.6">
      <c r="B157" s="875"/>
      <c r="C157" s="838" t="s">
        <v>767</v>
      </c>
      <c r="D157" s="837" t="s">
        <v>938</v>
      </c>
      <c r="E157" s="550" t="s">
        <v>1301</v>
      </c>
      <c r="F157" s="559"/>
      <c r="G157" s="552" t="s">
        <v>25</v>
      </c>
      <c r="H157" s="553" t="s">
        <v>1176</v>
      </c>
      <c r="I157" s="554" t="s">
        <v>1177</v>
      </c>
      <c r="L157" s="305" t="str">
        <f>IF(OR(Overview!$D$4="Preliminary Documentation Review",Overview!$D$4="Preliminary Precertification Review"),IF(AND(P157=0,Q157=0),"",IF(AND(P157&gt;0,Q157&gt;0),"","MISMATCH")),"")</f>
        <v/>
      </c>
      <c r="M157" s="305" t="str">
        <f>IF(OR(Overview!$D$4="Preliminary Documentation Review",Overview!$D$4="Preliminary Precertification Review"),IF(AND(R157=0,S157=0),"",IF(AND(R157&gt;0,S157&gt;0),"","MISMATCH")),"")</f>
        <v/>
      </c>
      <c r="N157" s="305" t="str">
        <f>IF(OR(Overview!$D$4="Preliminary Documentation Review",Overview!$D$4="Preliminary Precertification Review"),IF(AND(T157=0,U157=0),"",IF(AND(T157&gt;0,U157&gt;0),"MISMATCH","")),"")</f>
        <v/>
      </c>
      <c r="O157" s="305" t="str">
        <f>IF(OR(Overview!$D$4="Preliminary Documentation Review",Overview!$D$4="Preliminary Precertification Review"),IF(AND(V157=0,W157=0),"",IF(AND(V157&gt;0,W157&gt;0),"","MISMATCH")),"")</f>
        <v/>
      </c>
      <c r="P157" s="286">
        <f t="shared" si="26"/>
        <v>0</v>
      </c>
      <c r="Q157" s="286">
        <f t="shared" si="16"/>
        <v>0</v>
      </c>
      <c r="R157" s="305">
        <f t="shared" si="27"/>
        <v>0</v>
      </c>
      <c r="S157" s="305">
        <f t="shared" si="17"/>
        <v>0</v>
      </c>
      <c r="T157" s="305">
        <f t="shared" si="29"/>
        <v>35</v>
      </c>
      <c r="U157" s="305">
        <f t="shared" si="30"/>
        <v>0</v>
      </c>
      <c r="V157" s="305">
        <f t="shared" si="25"/>
        <v>35</v>
      </c>
      <c r="W157" s="305">
        <f t="shared" si="28"/>
        <v>1</v>
      </c>
    </row>
    <row r="158" spans="1:123" ht="45.6">
      <c r="B158" s="875"/>
      <c r="C158" s="838"/>
      <c r="D158" s="837"/>
      <c r="E158" s="550" t="s">
        <v>1302</v>
      </c>
      <c r="F158" s="562"/>
      <c r="G158" s="552" t="s">
        <v>25</v>
      </c>
      <c r="H158" s="553" t="s">
        <v>1176</v>
      </c>
      <c r="I158" s="554" t="s">
        <v>1177</v>
      </c>
      <c r="L158" s="305" t="str">
        <f>IF(OR(Overview!$D$4="Preliminary Documentation Review",Overview!$D$4="Preliminary Precertification Review"),IF(AND(P158=0,Q158=0),"",IF(AND(P158&gt;0,Q158&gt;0),"","MISMATCH")),"")</f>
        <v/>
      </c>
      <c r="M158" s="305" t="str">
        <f>IF(OR(Overview!$D$4="Preliminary Documentation Review",Overview!$D$4="Preliminary Precertification Review"),IF(AND(R158=0,S158=0),"",IF(AND(R158&gt;0,S158&gt;0),"","MISMATCH")),"")</f>
        <v/>
      </c>
      <c r="N158" s="305" t="str">
        <f>IF(OR(Overview!$D$4="Preliminary Documentation Review",Overview!$D$4="Preliminary Precertification Review"),IF(AND(T158=0,U158=0),"",IF(AND(T158&gt;0,U158&gt;0),"MISMATCH","")),"")</f>
        <v/>
      </c>
      <c r="O158" s="305" t="str">
        <f>IF(OR(Overview!$D$4="Preliminary Documentation Review",Overview!$D$4="Preliminary Precertification Review"),IF(AND(V158=0,W158=0),"",IF(AND(V158&gt;0,W158&gt;0),"","MISMATCH")),"")</f>
        <v/>
      </c>
      <c r="P158" s="286">
        <f t="shared" si="26"/>
        <v>0</v>
      </c>
      <c r="Q158" s="286">
        <f t="shared" si="16"/>
        <v>0</v>
      </c>
      <c r="R158" s="305">
        <f t="shared" si="27"/>
        <v>0</v>
      </c>
      <c r="S158" s="305">
        <f t="shared" si="17"/>
        <v>0</v>
      </c>
      <c r="T158" s="305">
        <f t="shared" si="29"/>
        <v>35</v>
      </c>
      <c r="U158" s="305">
        <f t="shared" si="30"/>
        <v>0</v>
      </c>
      <c r="V158" s="305">
        <f t="shared" si="25"/>
        <v>35</v>
      </c>
      <c r="W158" s="305">
        <f t="shared" si="28"/>
        <v>1</v>
      </c>
    </row>
    <row r="159" spans="1:123" ht="45.6">
      <c r="B159" s="875"/>
      <c r="C159" s="838" t="s">
        <v>767</v>
      </c>
      <c r="D159" s="837" t="s">
        <v>941</v>
      </c>
      <c r="E159" s="550" t="s">
        <v>1303</v>
      </c>
      <c r="F159" s="559"/>
      <c r="G159" s="552" t="s">
        <v>25</v>
      </c>
      <c r="H159" s="553" t="s">
        <v>1176</v>
      </c>
      <c r="I159" s="554" t="s">
        <v>1177</v>
      </c>
      <c r="L159" s="305" t="str">
        <f>IF(OR(Overview!$D$4="Preliminary Documentation Review",Overview!$D$4="Preliminary Precertification Review"),IF(AND(P159=0,Q159=0),"",IF(AND(P159&gt;0,Q159&gt;0),"","MISMATCH")),"")</f>
        <v/>
      </c>
      <c r="M159" s="305" t="str">
        <f>IF(OR(Overview!$D$4="Preliminary Documentation Review",Overview!$D$4="Preliminary Precertification Review"),IF(AND(R159=0,S159=0),"",IF(AND(R159&gt;0,S159&gt;0),"","MISMATCH")),"")</f>
        <v/>
      </c>
      <c r="N159" s="305" t="str">
        <f>IF(OR(Overview!$D$4="Preliminary Documentation Review",Overview!$D$4="Preliminary Precertification Review"),IF(AND(T159=0,U159=0),"",IF(AND(T159&gt;0,U159&gt;0),"MISMATCH","")),"")</f>
        <v/>
      </c>
      <c r="O159" s="305" t="str">
        <f>IF(OR(Overview!$D$4="Preliminary Documentation Review",Overview!$D$4="Preliminary Precertification Review"),IF(AND(V159=0,W159=0),"",IF(AND(V159&gt;0,W159&gt;0),"","MISMATCH")),"")</f>
        <v/>
      </c>
      <c r="P159" s="286">
        <f t="shared" si="26"/>
        <v>0</v>
      </c>
      <c r="Q159" s="286">
        <f t="shared" ref="Q159:Q240" si="31">IFERROR(SEARCH("Pending Documentation",$H159),0)</f>
        <v>0</v>
      </c>
      <c r="R159" s="305">
        <f t="shared" si="27"/>
        <v>0</v>
      </c>
      <c r="S159" s="305">
        <f t="shared" ref="S159:S240" si="32">IFERROR(SEARCH("Pending On",$H159),0)</f>
        <v>0</v>
      </c>
      <c r="T159" s="305">
        <f t="shared" si="29"/>
        <v>35</v>
      </c>
      <c r="U159" s="305">
        <f t="shared" si="30"/>
        <v>0</v>
      </c>
      <c r="V159" s="305">
        <f t="shared" si="25"/>
        <v>35</v>
      </c>
      <c r="W159" s="305">
        <f t="shared" si="28"/>
        <v>1</v>
      </c>
    </row>
    <row r="160" spans="1:123" ht="45.6">
      <c r="B160" s="875"/>
      <c r="C160" s="838"/>
      <c r="D160" s="837"/>
      <c r="E160" s="550" t="s">
        <v>1304</v>
      </c>
      <c r="F160" s="562"/>
      <c r="G160" s="552" t="s">
        <v>25</v>
      </c>
      <c r="H160" s="553" t="s">
        <v>1176</v>
      </c>
      <c r="I160" s="554" t="s">
        <v>1177</v>
      </c>
      <c r="L160" s="305" t="str">
        <f>IF(OR(Overview!$D$4="Preliminary Documentation Review",Overview!$D$4="Preliminary Precertification Review"),IF(AND(P160=0,Q160=0),"",IF(AND(P160&gt;0,Q160&gt;0),"","MISMATCH")),"")</f>
        <v/>
      </c>
      <c r="M160" s="305" t="str">
        <f>IF(OR(Overview!$D$4="Preliminary Documentation Review",Overview!$D$4="Preliminary Precertification Review"),IF(AND(R160=0,S160=0),"",IF(AND(R160&gt;0,S160&gt;0),"","MISMATCH")),"")</f>
        <v/>
      </c>
      <c r="N160" s="305" t="str">
        <f>IF(OR(Overview!$D$4="Preliminary Documentation Review",Overview!$D$4="Preliminary Precertification Review"),IF(AND(T160=0,U160=0),"",IF(AND(T160&gt;0,U160&gt;0),"MISMATCH","")),"")</f>
        <v/>
      </c>
      <c r="O160" s="305" t="str">
        <f>IF(OR(Overview!$D$4="Preliminary Documentation Review",Overview!$D$4="Preliminary Precertification Review"),IF(AND(V160=0,W160=0),"",IF(AND(V160&gt;0,W160&gt;0),"","MISMATCH")),"")</f>
        <v/>
      </c>
      <c r="P160" s="286">
        <f t="shared" si="26"/>
        <v>0</v>
      </c>
      <c r="Q160" s="286">
        <f t="shared" si="31"/>
        <v>0</v>
      </c>
      <c r="R160" s="305">
        <f t="shared" si="27"/>
        <v>0</v>
      </c>
      <c r="S160" s="305">
        <f t="shared" si="32"/>
        <v>0</v>
      </c>
      <c r="T160" s="305">
        <f t="shared" si="29"/>
        <v>35</v>
      </c>
      <c r="U160" s="305">
        <f t="shared" si="30"/>
        <v>0</v>
      </c>
      <c r="V160" s="305">
        <f t="shared" si="25"/>
        <v>35</v>
      </c>
      <c r="W160" s="305">
        <f t="shared" si="28"/>
        <v>1</v>
      </c>
    </row>
    <row r="161" spans="2:23" ht="45.6">
      <c r="B161" s="875"/>
      <c r="C161" s="851" t="s">
        <v>767</v>
      </c>
      <c r="D161" s="837" t="s">
        <v>944</v>
      </c>
      <c r="E161" s="550" t="s">
        <v>1305</v>
      </c>
      <c r="F161" s="559"/>
      <c r="G161" s="552" t="s">
        <v>25</v>
      </c>
      <c r="H161" s="553" t="s">
        <v>1176</v>
      </c>
      <c r="I161" s="554" t="s">
        <v>1177</v>
      </c>
      <c r="L161" s="305" t="str">
        <f>IF(OR(Overview!$D$4="Preliminary Documentation Review",Overview!$D$4="Preliminary Precertification Review"),IF(AND(P161=0,Q161=0),"",IF(AND(P161&gt;0,Q161&gt;0),"","MISMATCH")),"")</f>
        <v/>
      </c>
      <c r="M161" s="305" t="str">
        <f>IF(OR(Overview!$D$4="Preliminary Documentation Review",Overview!$D$4="Preliminary Precertification Review"),IF(AND(R161=0,S161=0),"",IF(AND(R161&gt;0,S161&gt;0),"","MISMATCH")),"")</f>
        <v/>
      </c>
      <c r="N161" s="305" t="str">
        <f>IF(OR(Overview!$D$4="Preliminary Documentation Review",Overview!$D$4="Preliminary Precertification Review"),IF(AND(T161=0,U161=0),"",IF(AND(T161&gt;0,U161&gt;0),"MISMATCH","")),"")</f>
        <v/>
      </c>
      <c r="O161" s="305" t="str">
        <f>IF(OR(Overview!$D$4="Preliminary Documentation Review",Overview!$D$4="Preliminary Precertification Review"),IF(AND(V161=0,W161=0),"",IF(AND(V161&gt;0,W161&gt;0),"","MISMATCH")),"")</f>
        <v/>
      </c>
      <c r="P161" s="286">
        <f t="shared" si="26"/>
        <v>0</v>
      </c>
      <c r="Q161" s="286">
        <f t="shared" si="31"/>
        <v>0</v>
      </c>
      <c r="R161" s="305">
        <f t="shared" si="27"/>
        <v>0</v>
      </c>
      <c r="S161" s="305">
        <f t="shared" si="32"/>
        <v>0</v>
      </c>
      <c r="T161" s="305">
        <f t="shared" si="29"/>
        <v>35</v>
      </c>
      <c r="U161" s="305">
        <f t="shared" si="30"/>
        <v>0</v>
      </c>
      <c r="V161" s="305">
        <f t="shared" si="25"/>
        <v>35</v>
      </c>
      <c r="W161" s="305">
        <f t="shared" si="28"/>
        <v>1</v>
      </c>
    </row>
    <row r="162" spans="2:23" ht="45.6">
      <c r="B162" s="875"/>
      <c r="C162" s="852"/>
      <c r="D162" s="837"/>
      <c r="E162" s="550" t="s">
        <v>1306</v>
      </c>
      <c r="F162" s="562">
        <v>1</v>
      </c>
      <c r="G162" s="552" t="s">
        <v>309</v>
      </c>
      <c r="H162" s="553" t="s">
        <v>1458</v>
      </c>
      <c r="I162" s="554" t="s">
        <v>1208</v>
      </c>
      <c r="L162" s="305" t="str">
        <f>IF(OR(Overview!$D$4="Preliminary Documentation Review",Overview!$D$4="Preliminary Precertification Review"),IF(AND(P162=0,Q162=0),"",IF(AND(P162&gt;0,Q162&gt;0),"","MISMATCH")),"")</f>
        <v/>
      </c>
      <c r="M162" s="305" t="str">
        <f>IF(OR(Overview!$D$4="Preliminary Documentation Review",Overview!$D$4="Preliminary Precertification Review"),IF(AND(R162=0,S162=0),"",IF(AND(R162&gt;0,S162&gt;0),"","MISMATCH")),"")</f>
        <v/>
      </c>
      <c r="N162" s="305" t="str">
        <f>IF(OR(Overview!$D$4="Preliminary Documentation Review",Overview!$D$4="Preliminary Precertification Review"),IF(AND(T162=0,U162=0),"",IF(AND(T162&gt;0,U162&gt;0),"MISMATCH","")),"")</f>
        <v/>
      </c>
      <c r="O162" s="305" t="str">
        <f>IF(OR(Overview!$D$4="Preliminary Documentation Review",Overview!$D$4="Preliminary Precertification Review"),IF(AND(V162=0,W162=0),"",IF(AND(V162&gt;0,W162&gt;0),"","MISMATCH")),"")</f>
        <v/>
      </c>
      <c r="P162" s="286">
        <f t="shared" si="26"/>
        <v>0</v>
      </c>
      <c r="Q162" s="286">
        <f t="shared" si="31"/>
        <v>0</v>
      </c>
      <c r="R162" s="305">
        <f t="shared" si="27"/>
        <v>0</v>
      </c>
      <c r="S162" s="305">
        <f t="shared" si="32"/>
        <v>0</v>
      </c>
      <c r="T162" s="305">
        <f t="shared" si="29"/>
        <v>0</v>
      </c>
      <c r="U162" s="305">
        <f t="shared" si="30"/>
        <v>0</v>
      </c>
      <c r="V162" s="305">
        <f t="shared" si="25"/>
        <v>0</v>
      </c>
      <c r="W162" s="305">
        <f t="shared" si="28"/>
        <v>0</v>
      </c>
    </row>
    <row r="163" spans="2:23" ht="45.6">
      <c r="B163" s="875"/>
      <c r="C163" s="548" t="s">
        <v>767</v>
      </c>
      <c r="D163" s="550" t="s">
        <v>947</v>
      </c>
      <c r="E163" s="550" t="s">
        <v>1307</v>
      </c>
      <c r="F163" s="564"/>
      <c r="G163" s="552" t="s">
        <v>25</v>
      </c>
      <c r="H163" s="553" t="s">
        <v>1176</v>
      </c>
      <c r="I163" s="554" t="s">
        <v>1177</v>
      </c>
      <c r="L163" s="305" t="str">
        <f>IF(OR(Overview!$D$4="Preliminary Documentation Review",Overview!$D$4="Preliminary Precertification Review"),IF(AND(P163=0,Q163=0),"",IF(AND(P163&gt;0,Q163&gt;0),"","MISMATCH")),"")</f>
        <v/>
      </c>
      <c r="M163" s="305" t="str">
        <f>IF(OR(Overview!$D$4="Preliminary Documentation Review",Overview!$D$4="Preliminary Precertification Review"),IF(AND(R163=0,S163=0),"",IF(AND(R163&gt;0,S163&gt;0),"","MISMATCH")),"")</f>
        <v/>
      </c>
      <c r="N163" s="305" t="str">
        <f>IF(OR(Overview!$D$4="Preliminary Documentation Review",Overview!$D$4="Preliminary Precertification Review"),IF(AND(T163=0,U163=0),"",IF(AND(T163&gt;0,U163&gt;0),"MISMATCH","")),"")</f>
        <v/>
      </c>
      <c r="O163" s="305" t="str">
        <f>IF(OR(Overview!$D$4="Preliminary Documentation Review",Overview!$D$4="Preliminary Precertification Review"),IF(AND(V163=0,W163=0),"",IF(AND(V163&gt;0,W163&gt;0),"","MISMATCH")),"")</f>
        <v/>
      </c>
      <c r="P163" s="286">
        <f t="shared" si="26"/>
        <v>0</v>
      </c>
      <c r="Q163" s="286">
        <f t="shared" si="31"/>
        <v>0</v>
      </c>
      <c r="R163" s="305">
        <f t="shared" si="27"/>
        <v>0</v>
      </c>
      <c r="S163" s="305">
        <f t="shared" si="32"/>
        <v>0</v>
      </c>
      <c r="T163" s="305">
        <f t="shared" si="29"/>
        <v>35</v>
      </c>
      <c r="U163" s="305">
        <f t="shared" si="30"/>
        <v>0</v>
      </c>
      <c r="V163" s="305">
        <f t="shared" si="25"/>
        <v>35</v>
      </c>
      <c r="W163" s="305">
        <f t="shared" si="28"/>
        <v>1</v>
      </c>
    </row>
    <row r="164" spans="2:23" ht="151.19999999999999">
      <c r="B164" s="875"/>
      <c r="C164" s="548" t="s">
        <v>767</v>
      </c>
      <c r="D164" s="550" t="s">
        <v>949</v>
      </c>
      <c r="E164" s="550" t="s">
        <v>1308</v>
      </c>
      <c r="F164" s="566">
        <v>1</v>
      </c>
      <c r="G164" s="552" t="s">
        <v>309</v>
      </c>
      <c r="H164" s="553" t="s">
        <v>1458</v>
      </c>
      <c r="I164" s="565" t="s">
        <v>1471</v>
      </c>
      <c r="K164" s="555" t="s">
        <v>1309</v>
      </c>
      <c r="L164" s="305" t="str">
        <f>IF(OR(Overview!$D$4="Preliminary Documentation Review",Overview!$D$4="Preliminary Precertification Review"),IF(AND(P164=0,Q164=0),"",IF(AND(P164&gt;0,Q164&gt;0),"","MISMATCH")),"")</f>
        <v/>
      </c>
      <c r="M164" s="305" t="str">
        <f>IF(OR(Overview!$D$4="Preliminary Documentation Review",Overview!$D$4="Preliminary Precertification Review"),IF(AND(R164=0,S164=0),"",IF(AND(R164&gt;0,S164&gt;0),"","MISMATCH")),"")</f>
        <v/>
      </c>
      <c r="N164" s="305" t="str">
        <f>IF(OR(Overview!$D$4="Preliminary Documentation Review",Overview!$D$4="Preliminary Precertification Review"),IF(AND(T164=0,U164=0),"",IF(AND(T164&gt;0,U164&gt;0),"MISMATCH","")),"")</f>
        <v/>
      </c>
      <c r="O164" s="305" t="str">
        <f>IF(OR(Overview!$D$4="Preliminary Documentation Review",Overview!$D$4="Preliminary Precertification Review"),IF(AND(V164=0,W164=0),"",IF(AND(V164&gt;0,W164&gt;0),"","MISMATCH")),"")</f>
        <v/>
      </c>
      <c r="P164" s="286">
        <f t="shared" si="26"/>
        <v>0</v>
      </c>
      <c r="Q164" s="286">
        <f t="shared" si="31"/>
        <v>0</v>
      </c>
      <c r="R164" s="305">
        <f t="shared" si="27"/>
        <v>241</v>
      </c>
      <c r="S164" s="305">
        <f t="shared" si="32"/>
        <v>0</v>
      </c>
      <c r="T164" s="305">
        <f t="shared" si="29"/>
        <v>0</v>
      </c>
      <c r="U164" s="305">
        <f t="shared" si="30"/>
        <v>0</v>
      </c>
      <c r="V164" s="305">
        <f t="shared" si="25"/>
        <v>0</v>
      </c>
      <c r="W164" s="305">
        <f t="shared" si="28"/>
        <v>0</v>
      </c>
    </row>
    <row r="165" spans="2:23" ht="30" hidden="1">
      <c r="B165" s="875"/>
      <c r="C165" s="548" t="s">
        <v>767</v>
      </c>
      <c r="D165" s="550" t="s">
        <v>952</v>
      </c>
      <c r="E165" s="550" t="s">
        <v>1310</v>
      </c>
      <c r="F165" s="638"/>
      <c r="G165" s="591"/>
      <c r="H165" s="592"/>
      <c r="I165" s="554"/>
      <c r="L165" s="305" t="str">
        <f>IF(OR(Overview!$D$4="Preliminary Documentation Review",Overview!$D$4="Preliminary Precertification Review"),IF(AND(P165=0,Q165=0),"",IF(AND(P165&gt;0,Q165&gt;0),"","MISMATCH")),"")</f>
        <v/>
      </c>
      <c r="M165" s="305" t="str">
        <f>IF(OR(Overview!$D$4="Preliminary Documentation Review",Overview!$D$4="Preliminary Precertification Review"),IF(AND(R165=0,S165=0),"",IF(AND(R165&gt;0,S165&gt;0),"","MISMATCH")),"")</f>
        <v/>
      </c>
      <c r="N165" s="305" t="str">
        <f>IF(OR(Overview!$D$4="Preliminary Documentation Review",Overview!$D$4="Preliminary Precertification Review"),IF(AND(T165=0,U165=0),"",IF(AND(T165&gt;0,U165&gt;0),"MISMATCH","")),"")</f>
        <v/>
      </c>
      <c r="O165" s="305" t="str">
        <f>IF(OR(Overview!$D$4="Preliminary Documentation Review",Overview!$D$4="Preliminary Precertification Review"),IF(AND(V165=0,W165=0),"",IF(AND(V165&gt;0,W165&gt;0),"","MISMATCH")),"")</f>
        <v/>
      </c>
      <c r="P165" s="286">
        <f t="shared" si="26"/>
        <v>0</v>
      </c>
      <c r="Q165" s="286">
        <f t="shared" si="31"/>
        <v>0</v>
      </c>
      <c r="R165" s="305">
        <f t="shared" si="27"/>
        <v>0</v>
      </c>
      <c r="S165" s="305">
        <f t="shared" si="32"/>
        <v>0</v>
      </c>
      <c r="T165" s="305">
        <f t="shared" si="29"/>
        <v>0</v>
      </c>
      <c r="U165" s="305">
        <f t="shared" si="30"/>
        <v>0</v>
      </c>
      <c r="V165" s="305">
        <f t="shared" si="25"/>
        <v>0</v>
      </c>
      <c r="W165" s="305">
        <f t="shared" si="28"/>
        <v>0</v>
      </c>
    </row>
    <row r="166" spans="2:23" ht="30" hidden="1">
      <c r="B166" s="875"/>
      <c r="C166" s="851" t="s">
        <v>767</v>
      </c>
      <c r="D166" s="844" t="s">
        <v>954</v>
      </c>
      <c r="E166" s="550" t="s">
        <v>1311</v>
      </c>
      <c r="F166" s="639"/>
      <c r="G166" s="591"/>
      <c r="H166" s="592"/>
      <c r="I166" s="554"/>
      <c r="L166" s="305" t="str">
        <f>IF(OR(Overview!$D$4="Preliminary Documentation Review",Overview!$D$4="Preliminary Precertification Review"),IF(AND(P166=0,Q166=0),"",IF(AND(P166&gt;0,Q166&gt;0),"","MISMATCH")),"")</f>
        <v/>
      </c>
      <c r="M166" s="305" t="str">
        <f>IF(OR(Overview!$D$4="Preliminary Documentation Review",Overview!$D$4="Preliminary Precertification Review"),IF(AND(R166=0,S166=0),"",IF(AND(R166&gt;0,S166&gt;0),"","MISMATCH")),"")</f>
        <v/>
      </c>
      <c r="N166" s="305" t="str">
        <f>IF(OR(Overview!$D$4="Preliminary Documentation Review",Overview!$D$4="Preliminary Precertification Review"),IF(AND(T166=0,U166=0),"",IF(AND(T166&gt;0,U166&gt;0),"MISMATCH","")),"")</f>
        <v/>
      </c>
      <c r="O166" s="305" t="str">
        <f>IF(OR(Overview!$D$4="Preliminary Documentation Review",Overview!$D$4="Preliminary Precertification Review"),IF(AND(V166=0,W166=0),"",IF(AND(V166&gt;0,W166&gt;0),"","MISMATCH")),"")</f>
        <v/>
      </c>
      <c r="P166" s="286">
        <f t="shared" si="26"/>
        <v>0</v>
      </c>
      <c r="Q166" s="286">
        <f t="shared" si="31"/>
        <v>0</v>
      </c>
      <c r="R166" s="305">
        <f t="shared" si="27"/>
        <v>0</v>
      </c>
      <c r="S166" s="305">
        <f t="shared" si="32"/>
        <v>0</v>
      </c>
      <c r="T166" s="305">
        <f t="shared" si="29"/>
        <v>0</v>
      </c>
      <c r="U166" s="305">
        <f t="shared" si="30"/>
        <v>0</v>
      </c>
      <c r="V166" s="305">
        <f t="shared" si="25"/>
        <v>0</v>
      </c>
      <c r="W166" s="305">
        <f t="shared" si="28"/>
        <v>0</v>
      </c>
    </row>
    <row r="167" spans="2:23" ht="30" hidden="1">
      <c r="B167" s="875"/>
      <c r="C167" s="853"/>
      <c r="D167" s="871"/>
      <c r="E167" s="550" t="s">
        <v>1312</v>
      </c>
      <c r="F167" s="640"/>
      <c r="G167" s="591"/>
      <c r="H167" s="592"/>
      <c r="I167" s="554"/>
      <c r="L167" s="305" t="str">
        <f>IF(OR(Overview!$D$4="Preliminary Documentation Review",Overview!$D$4="Preliminary Precertification Review"),IF(AND(P167=0,Q167=0),"",IF(AND(P167&gt;0,Q167&gt;0),"","MISMATCH")),"")</f>
        <v/>
      </c>
      <c r="M167" s="305" t="str">
        <f>IF(OR(Overview!$D$4="Preliminary Documentation Review",Overview!$D$4="Preliminary Precertification Review"),IF(AND(R167=0,S167=0),"",IF(AND(R167&gt;0,S167&gt;0),"","MISMATCH")),"")</f>
        <v/>
      </c>
      <c r="N167" s="305" t="str">
        <f>IF(OR(Overview!$D$4="Preliminary Documentation Review",Overview!$D$4="Preliminary Precertification Review"),IF(AND(T167=0,U167=0),"",IF(AND(T167&gt;0,U167&gt;0),"MISMATCH","")),"")</f>
        <v/>
      </c>
      <c r="O167" s="305" t="str">
        <f>IF(OR(Overview!$D$4="Preliminary Documentation Review",Overview!$D$4="Preliminary Precertification Review"),IF(AND(V167=0,W167=0),"",IF(AND(V167&gt;0,W167&gt;0),"","MISMATCH")),"")</f>
        <v/>
      </c>
      <c r="P167" s="286">
        <f t="shared" si="26"/>
        <v>0</v>
      </c>
      <c r="Q167" s="286">
        <f t="shared" si="31"/>
        <v>0</v>
      </c>
      <c r="R167" s="305">
        <f t="shared" si="27"/>
        <v>0</v>
      </c>
      <c r="S167" s="305">
        <f t="shared" si="32"/>
        <v>0</v>
      </c>
      <c r="T167" s="305">
        <f t="shared" si="29"/>
        <v>0</v>
      </c>
      <c r="U167" s="305">
        <f t="shared" si="30"/>
        <v>0</v>
      </c>
      <c r="V167" s="305">
        <f t="shared" si="25"/>
        <v>0</v>
      </c>
      <c r="W167" s="305">
        <f t="shared" si="28"/>
        <v>0</v>
      </c>
    </row>
    <row r="168" spans="2:23" ht="30" hidden="1">
      <c r="B168" s="875"/>
      <c r="C168" s="852"/>
      <c r="D168" s="845"/>
      <c r="E168" s="550" t="s">
        <v>1313</v>
      </c>
      <c r="F168" s="641"/>
      <c r="G168" s="591"/>
      <c r="H168" s="592"/>
      <c r="I168" s="554"/>
      <c r="L168" s="305" t="str">
        <f>IF(OR(Overview!$D$4="Preliminary Documentation Review",Overview!$D$4="Preliminary Precertification Review"),IF(AND(P168=0,Q168=0),"",IF(AND(P168&gt;0,Q168&gt;0),"","MISMATCH")),"")</f>
        <v/>
      </c>
      <c r="M168" s="305" t="str">
        <f>IF(OR(Overview!$D$4="Preliminary Documentation Review",Overview!$D$4="Preliminary Precertification Review"),IF(AND(R168=0,S168=0),"",IF(AND(R168&gt;0,S168&gt;0),"","MISMATCH")),"")</f>
        <v/>
      </c>
      <c r="N168" s="305" t="str">
        <f>IF(OR(Overview!$D$4="Preliminary Documentation Review",Overview!$D$4="Preliminary Precertification Review"),IF(AND(T168=0,U168=0),"",IF(AND(T168&gt;0,U168&gt;0),"MISMATCH","")),"")</f>
        <v/>
      </c>
      <c r="O168" s="305" t="str">
        <f>IF(OR(Overview!$D$4="Preliminary Documentation Review",Overview!$D$4="Preliminary Precertification Review"),IF(AND(V168=0,W168=0),"",IF(AND(V168&gt;0,W168&gt;0),"","MISMATCH")),"")</f>
        <v/>
      </c>
      <c r="P168" s="286">
        <f t="shared" si="26"/>
        <v>0</v>
      </c>
      <c r="Q168" s="286">
        <f t="shared" si="31"/>
        <v>0</v>
      </c>
      <c r="R168" s="305">
        <f t="shared" si="27"/>
        <v>0</v>
      </c>
      <c r="S168" s="305">
        <f t="shared" si="32"/>
        <v>0</v>
      </c>
      <c r="T168" s="305">
        <f t="shared" si="29"/>
        <v>0</v>
      </c>
      <c r="U168" s="305">
        <f t="shared" si="30"/>
        <v>0</v>
      </c>
      <c r="V168" s="305">
        <f t="shared" si="25"/>
        <v>0</v>
      </c>
      <c r="W168" s="305">
        <f t="shared" si="28"/>
        <v>0</v>
      </c>
    </row>
    <row r="169" spans="2:23">
      <c r="B169" s="642"/>
      <c r="C169" s="643"/>
      <c r="D169" s="644"/>
      <c r="E169" s="645"/>
      <c r="F169" s="597"/>
      <c r="G169" s="577"/>
      <c r="H169" s="646"/>
      <c r="I169" s="647"/>
      <c r="L169" s="305" t="str">
        <f>IF(OR(Overview!$D$4="Preliminary Documentation Review",Overview!$D$4="Preliminary Precertification Review"),IF(AND(P169=0,Q169=0),"",IF(AND(P169&gt;0,Q169&gt;0),"","MISMATCH")),"")</f>
        <v/>
      </c>
      <c r="M169" s="305" t="str">
        <f>IF(OR(Overview!$D$4="Preliminary Documentation Review",Overview!$D$4="Preliminary Precertification Review"),IF(AND(R169=0,S169=0),"",IF(AND(R169&gt;0,S169&gt;0),"","MISMATCH")),"")</f>
        <v/>
      </c>
      <c r="N169" s="305" t="str">
        <f>IF(OR(Overview!$D$4="Preliminary Documentation Review",Overview!$D$4="Preliminary Precertification Review"),IF(AND(T169=0,U169=0),"",IF(AND(T169&gt;0,U169&gt;0),"MISMATCH","")),"")</f>
        <v/>
      </c>
      <c r="O169" s="305" t="str">
        <f>IF(OR(Overview!$D$4="Preliminary Documentation Review",Overview!$D$4="Preliminary Precertification Review"),IF(AND(V169=0,W169=0),"",IF(AND(V169&gt;0,W169&gt;0),"","MISMATCH")),"")</f>
        <v/>
      </c>
      <c r="P169" s="286">
        <f t="shared" si="26"/>
        <v>0</v>
      </c>
      <c r="Q169" s="286">
        <f t="shared" si="31"/>
        <v>0</v>
      </c>
      <c r="R169" s="305">
        <f t="shared" si="27"/>
        <v>0</v>
      </c>
      <c r="S169" s="305">
        <f t="shared" si="32"/>
        <v>0</v>
      </c>
      <c r="T169" s="305">
        <f t="shared" si="29"/>
        <v>0</v>
      </c>
      <c r="U169" s="305">
        <f t="shared" si="30"/>
        <v>0</v>
      </c>
      <c r="V169" s="305">
        <f t="shared" si="25"/>
        <v>0</v>
      </c>
      <c r="W169" s="305">
        <f t="shared" si="28"/>
        <v>0</v>
      </c>
    </row>
    <row r="170" spans="2:23">
      <c r="B170" s="573"/>
      <c r="C170" s="574"/>
      <c r="D170" s="575"/>
      <c r="E170" s="576"/>
      <c r="F170" s="597"/>
      <c r="G170" s="577"/>
      <c r="H170" s="578"/>
      <c r="I170" s="579"/>
      <c r="L170" s="305" t="str">
        <f>IF(OR(Overview!$D$4="Preliminary Documentation Review",Overview!$D$4="Preliminary Precertification Review"),IF(AND(P170=0,Q170=0),"",IF(AND(P170&gt;0,Q170&gt;0),"","MISMATCH")),"")</f>
        <v/>
      </c>
      <c r="M170" s="305" t="str">
        <f>IF(OR(Overview!$D$4="Preliminary Documentation Review",Overview!$D$4="Preliminary Precertification Review"),IF(AND(R170=0,S170=0),"",IF(AND(R170&gt;0,S170&gt;0),"","MISMATCH")),"")</f>
        <v/>
      </c>
      <c r="N170" s="305" t="str">
        <f>IF(OR(Overview!$D$4="Preliminary Documentation Review",Overview!$D$4="Preliminary Precertification Review"),IF(AND(T170=0,U170=0),"",IF(AND(T170&gt;0,U170&gt;0),"MISMATCH","")),"")</f>
        <v/>
      </c>
      <c r="O170" s="305" t="str">
        <f>IF(OR(Overview!$D$4="Preliminary Documentation Review",Overview!$D$4="Preliminary Precertification Review"),IF(AND(V170=0,W170=0),"",IF(AND(V170&gt;0,W170&gt;0),"","MISMATCH")),"")</f>
        <v/>
      </c>
      <c r="P170" s="286">
        <f t="shared" si="26"/>
        <v>0</v>
      </c>
      <c r="Q170" s="286">
        <f t="shared" si="31"/>
        <v>0</v>
      </c>
      <c r="R170" s="305">
        <f t="shared" si="27"/>
        <v>0</v>
      </c>
      <c r="S170" s="305">
        <f t="shared" si="32"/>
        <v>0</v>
      </c>
      <c r="T170" s="305">
        <f t="shared" si="29"/>
        <v>0</v>
      </c>
      <c r="U170" s="305">
        <f t="shared" si="30"/>
        <v>0</v>
      </c>
      <c r="V170" s="305">
        <f t="shared" si="25"/>
        <v>0</v>
      </c>
      <c r="W170" s="305">
        <f t="shared" si="28"/>
        <v>0</v>
      </c>
    </row>
    <row r="171" spans="2:23">
      <c r="B171" s="878"/>
      <c r="C171" s="879"/>
      <c r="D171" s="879"/>
      <c r="E171" s="879"/>
      <c r="F171" s="879"/>
      <c r="G171" s="879"/>
      <c r="H171" s="879"/>
      <c r="I171" s="648"/>
      <c r="L171" s="305" t="str">
        <f>IF(OR(Overview!$D$4="Preliminary Documentation Review",Overview!$D$4="Preliminary Precertification Review"),IF(AND(P171=0,Q171=0),"",IF(AND(P171&gt;0,Q171&gt;0),"","MISMATCH")),"")</f>
        <v/>
      </c>
      <c r="M171" s="305" t="str">
        <f>IF(OR(Overview!$D$4="Preliminary Documentation Review",Overview!$D$4="Preliminary Precertification Review"),IF(AND(R171=0,S171=0),"",IF(AND(R171&gt;0,S171&gt;0),"","MISMATCH")),"")</f>
        <v/>
      </c>
      <c r="N171" s="305" t="str">
        <f>IF(OR(Overview!$D$4="Preliminary Documentation Review",Overview!$D$4="Preliminary Precertification Review"),IF(AND(T171=0,U171=0),"",IF(AND(T171&gt;0,U171&gt;0),"MISMATCH","")),"")</f>
        <v/>
      </c>
      <c r="O171" s="305" t="str">
        <f>IF(OR(Overview!$D$4="Preliminary Documentation Review",Overview!$D$4="Preliminary Precertification Review"),IF(AND(V171=0,W171=0),"",IF(AND(V171&gt;0,W171&gt;0),"","MISMATCH")),"")</f>
        <v/>
      </c>
      <c r="T171" s="305">
        <f t="shared" si="29"/>
        <v>0</v>
      </c>
      <c r="U171" s="305">
        <f t="shared" si="30"/>
        <v>0</v>
      </c>
      <c r="V171" s="305">
        <f t="shared" si="25"/>
        <v>0</v>
      </c>
      <c r="W171" s="305">
        <f t="shared" si="28"/>
        <v>0</v>
      </c>
    </row>
    <row r="172" spans="2:23" s="547" customFormat="1" ht="99.9" hidden="1" customHeight="1">
      <c r="B172" s="649"/>
      <c r="C172" s="832" t="s">
        <v>1314</v>
      </c>
      <c r="D172" s="833"/>
      <c r="E172" s="833"/>
      <c r="F172" s="833"/>
      <c r="G172" s="833"/>
      <c r="H172" s="833"/>
      <c r="I172" s="834"/>
      <c r="J172" s="546"/>
      <c r="K172" s="531"/>
      <c r="L172" s="305" t="str">
        <f>IF(OR(Overview!$D$4="Preliminary Documentation Review",Overview!$D$4="Preliminary Precertification Review"),IF(AND(P172=0,Q172=0),"",IF(AND(P172&gt;0,Q172&gt;0),"","MISMATCH")),"")</f>
        <v/>
      </c>
      <c r="M172" s="305" t="str">
        <f>IF(OR(Overview!$D$4="Preliminary Documentation Review",Overview!$D$4="Preliminary Precertification Review"),IF(AND(R172=0,S172=0),"",IF(AND(R172&gt;0,S172&gt;0),"","MISMATCH")),"")</f>
        <v/>
      </c>
      <c r="N172" s="305" t="str">
        <f>IF(OR(Overview!$D$4="Preliminary Documentation Review",Overview!$D$4="Preliminary Precertification Review"),IF(AND(T172=0,U172=0),"",IF(AND(T172&gt;0,U172&gt;0),"MISMATCH","")),"")</f>
        <v/>
      </c>
      <c r="O172" s="305" t="str">
        <f>IF(OR(Overview!$D$4="Preliminary Documentation Review",Overview!$D$4="Preliminary Precertification Review"),IF(AND(V172=0,W172=0),"",IF(AND(V172&gt;0,W172&gt;0),"","MISMATCH")),"")</f>
        <v/>
      </c>
      <c r="T172" s="305">
        <f t="shared" si="29"/>
        <v>0</v>
      </c>
      <c r="U172" s="305">
        <f t="shared" si="30"/>
        <v>0</v>
      </c>
      <c r="V172" s="305">
        <f t="shared" si="25"/>
        <v>0</v>
      </c>
      <c r="W172" s="305">
        <f t="shared" si="28"/>
        <v>0</v>
      </c>
    </row>
    <row r="173" spans="2:23" s="547" customFormat="1" ht="15.6" hidden="1" customHeight="1">
      <c r="B173" s="649"/>
      <c r="C173" s="879"/>
      <c r="D173" s="879"/>
      <c r="E173" s="879"/>
      <c r="F173" s="879"/>
      <c r="G173" s="879"/>
      <c r="H173" s="879"/>
      <c r="I173" s="880"/>
      <c r="J173" s="546"/>
      <c r="K173" s="531"/>
      <c r="L173" s="305" t="str">
        <f>IF(OR(Overview!$D$4="Preliminary Documentation Review",Overview!$D$4="Preliminary Precertification Review"),IF(AND(P173=0,Q173=0),"",IF(AND(P173&gt;0,Q173&gt;0),"","MISMATCH")),"")</f>
        <v/>
      </c>
      <c r="M173" s="305" t="str">
        <f>IF(OR(Overview!$D$4="Preliminary Documentation Review",Overview!$D$4="Preliminary Precertification Review"),IF(AND(R173=0,S173=0),"",IF(AND(R173&gt;0,S173&gt;0),"","MISMATCH")),"")</f>
        <v/>
      </c>
      <c r="N173" s="305" t="str">
        <f>IF(OR(Overview!$D$4="Preliminary Documentation Review",Overview!$D$4="Preliminary Precertification Review"),IF(AND(T173=0,U173=0),"",IF(AND(T173&gt;0,U173&gt;0),"MISMATCH","")),"")</f>
        <v/>
      </c>
      <c r="O173" s="305" t="str">
        <f>IF(OR(Overview!$D$4="Preliminary Documentation Review",Overview!$D$4="Preliminary Precertification Review"),IF(AND(V173=0,W173=0),"",IF(AND(V173&gt;0,W173&gt;0),"","MISMATCH")),"")</f>
        <v/>
      </c>
      <c r="T173" s="305">
        <f t="shared" si="29"/>
        <v>0</v>
      </c>
      <c r="U173" s="305">
        <f t="shared" si="30"/>
        <v>0</v>
      </c>
      <c r="V173" s="305">
        <f t="shared" si="25"/>
        <v>0</v>
      </c>
      <c r="W173" s="305">
        <f t="shared" si="28"/>
        <v>0</v>
      </c>
    </row>
    <row r="174" spans="2:23" ht="166.8">
      <c r="B174" s="881" t="s">
        <v>239</v>
      </c>
      <c r="C174" s="838" t="s">
        <v>752</v>
      </c>
      <c r="D174" s="850" t="s">
        <v>958</v>
      </c>
      <c r="E174" s="550" t="s">
        <v>1315</v>
      </c>
      <c r="F174" s="551"/>
      <c r="G174" s="552" t="s">
        <v>1162</v>
      </c>
      <c r="H174" s="553" t="s">
        <v>1458</v>
      </c>
      <c r="I174" s="554" t="s">
        <v>1316</v>
      </c>
      <c r="L174" s="305" t="str">
        <f>IF(OR(Overview!$D$4="Preliminary Documentation Review",Overview!$D$4="Preliminary Precertification Review"),IF(AND(P174=0,Q174=0),"",IF(AND(P174&gt;0,Q174&gt;0),"","MISMATCH")),"")</f>
        <v/>
      </c>
      <c r="M174" s="305" t="str">
        <f>IF(OR(Overview!$D$4="Preliminary Documentation Review",Overview!$D$4="Preliminary Precertification Review"),IF(AND(R174=0,S174=0),"",IF(AND(R174&gt;0,S174&gt;0),"","MISMATCH")),"")</f>
        <v/>
      </c>
      <c r="N174" s="305" t="str">
        <f>IF(OR(Overview!$D$4="Preliminary Documentation Review",Overview!$D$4="Preliminary Precertification Review"),IF(AND(T174=0,U174=0),"",IF(AND(T174&gt;0,U174&gt;0),"MISMATCH","")),"")</f>
        <v/>
      </c>
      <c r="O174" s="305" t="str">
        <f>IF(OR(Overview!$D$4="Preliminary Documentation Review",Overview!$D$4="Preliminary Precertification Review"),IF(AND(V174=0,W174=0),"",IF(AND(V174&gt;0,W174&gt;0),"","MISMATCH")),"")</f>
        <v/>
      </c>
      <c r="P174" s="286">
        <f t="shared" ref="P174:P189" si="33">IFERROR(SEARCH("COMMENTS TO BE ADDRESS",$I174),0)</f>
        <v>211</v>
      </c>
      <c r="Q174" s="286">
        <f t="shared" si="31"/>
        <v>0</v>
      </c>
      <c r="R174" s="305">
        <f t="shared" ref="R174:R189" si="34">IFERROR(SEARCH("equirements of this part will be v",$I174),0)</f>
        <v>0</v>
      </c>
      <c r="S174" s="305">
        <f t="shared" si="32"/>
        <v>0</v>
      </c>
      <c r="T174" s="305">
        <f t="shared" si="29"/>
        <v>0</v>
      </c>
      <c r="U174" s="305">
        <f t="shared" si="30"/>
        <v>0</v>
      </c>
      <c r="V174" s="305">
        <f t="shared" si="25"/>
        <v>0</v>
      </c>
      <c r="W174" s="305">
        <f t="shared" si="28"/>
        <v>0</v>
      </c>
    </row>
    <row r="175" spans="2:23" ht="166.8">
      <c r="B175" s="881"/>
      <c r="C175" s="838"/>
      <c r="D175" s="850"/>
      <c r="E175" s="550" t="s">
        <v>1317</v>
      </c>
      <c r="F175" s="556"/>
      <c r="G175" s="552" t="s">
        <v>1162</v>
      </c>
      <c r="H175" s="553" t="s">
        <v>1458</v>
      </c>
      <c r="I175" s="554" t="s">
        <v>1316</v>
      </c>
      <c r="L175" s="305" t="str">
        <f>IF(OR(Overview!$D$4="Preliminary Documentation Review",Overview!$D$4="Preliminary Precertification Review"),IF(AND(P175=0,Q175=0),"",IF(AND(P175&gt;0,Q175&gt;0),"","MISMATCH")),"")</f>
        <v/>
      </c>
      <c r="M175" s="305" t="str">
        <f>IF(OR(Overview!$D$4="Preliminary Documentation Review",Overview!$D$4="Preliminary Precertification Review"),IF(AND(R175=0,S175=0),"",IF(AND(R175&gt;0,S175&gt;0),"","MISMATCH")),"")</f>
        <v/>
      </c>
      <c r="N175" s="305" t="str">
        <f>IF(OR(Overview!$D$4="Preliminary Documentation Review",Overview!$D$4="Preliminary Precertification Review"),IF(AND(T175=0,U175=0),"",IF(AND(T175&gt;0,U175&gt;0),"MISMATCH","")),"")</f>
        <v/>
      </c>
      <c r="O175" s="305" t="str">
        <f>IF(OR(Overview!$D$4="Preliminary Documentation Review",Overview!$D$4="Preliminary Precertification Review"),IF(AND(V175=0,W175=0),"",IF(AND(V175&gt;0,W175&gt;0),"","MISMATCH")),"")</f>
        <v/>
      </c>
      <c r="P175" s="286">
        <f t="shared" si="33"/>
        <v>211</v>
      </c>
      <c r="Q175" s="286">
        <f t="shared" si="31"/>
        <v>0</v>
      </c>
      <c r="R175" s="305">
        <f t="shared" si="34"/>
        <v>0</v>
      </c>
      <c r="S175" s="305">
        <f t="shared" si="32"/>
        <v>0</v>
      </c>
      <c r="T175" s="305">
        <f t="shared" si="29"/>
        <v>0</v>
      </c>
      <c r="U175" s="305">
        <f t="shared" si="30"/>
        <v>0</v>
      </c>
      <c r="V175" s="305">
        <f t="shared" si="25"/>
        <v>0</v>
      </c>
      <c r="W175" s="305">
        <f t="shared" si="28"/>
        <v>0</v>
      </c>
    </row>
    <row r="176" spans="2:23" ht="166.8">
      <c r="B176" s="881"/>
      <c r="C176" s="838"/>
      <c r="D176" s="850"/>
      <c r="E176" s="550" t="s">
        <v>1318</v>
      </c>
      <c r="F176" s="558"/>
      <c r="G176" s="552" t="s">
        <v>1162</v>
      </c>
      <c r="H176" s="553" t="s">
        <v>1458</v>
      </c>
      <c r="I176" s="554" t="s">
        <v>1316</v>
      </c>
      <c r="L176" s="305" t="str">
        <f>IF(OR(Overview!$D$4="Preliminary Documentation Review",Overview!$D$4="Preliminary Precertification Review"),IF(AND(P176=0,Q176=0),"",IF(AND(P176&gt;0,Q176&gt;0),"","MISMATCH")),"")</f>
        <v/>
      </c>
      <c r="M176" s="305" t="str">
        <f>IF(OR(Overview!$D$4="Preliminary Documentation Review",Overview!$D$4="Preliminary Precertification Review"),IF(AND(R176=0,S176=0),"",IF(AND(R176&gt;0,S176&gt;0),"","MISMATCH")),"")</f>
        <v/>
      </c>
      <c r="N176" s="305" t="str">
        <f>IF(OR(Overview!$D$4="Preliminary Documentation Review",Overview!$D$4="Preliminary Precertification Review"),IF(AND(T176=0,U176=0),"",IF(AND(T176&gt;0,U176&gt;0),"MISMATCH","")),"")</f>
        <v/>
      </c>
      <c r="O176" s="305" t="str">
        <f>IF(OR(Overview!$D$4="Preliminary Documentation Review",Overview!$D$4="Preliminary Precertification Review"),IF(AND(V176=0,W176=0),"",IF(AND(V176&gt;0,W176&gt;0),"","MISMATCH")),"")</f>
        <v/>
      </c>
      <c r="P176" s="286">
        <f t="shared" si="33"/>
        <v>211</v>
      </c>
      <c r="Q176" s="286">
        <f t="shared" si="31"/>
        <v>0</v>
      </c>
      <c r="R176" s="305">
        <f t="shared" si="34"/>
        <v>0</v>
      </c>
      <c r="S176" s="305">
        <f t="shared" si="32"/>
        <v>0</v>
      </c>
      <c r="T176" s="305">
        <f t="shared" si="29"/>
        <v>0</v>
      </c>
      <c r="U176" s="305">
        <f t="shared" si="30"/>
        <v>0</v>
      </c>
      <c r="V176" s="305">
        <f t="shared" si="25"/>
        <v>0</v>
      </c>
      <c r="W176" s="305">
        <f t="shared" si="28"/>
        <v>0</v>
      </c>
    </row>
    <row r="177" spans="2:23" ht="151.19999999999999">
      <c r="B177" s="881"/>
      <c r="C177" s="548" t="s">
        <v>767</v>
      </c>
      <c r="D177" s="549" t="s">
        <v>962</v>
      </c>
      <c r="E177" s="550" t="s">
        <v>1319</v>
      </c>
      <c r="F177" s="564">
        <v>2</v>
      </c>
      <c r="G177" s="552" t="s">
        <v>309</v>
      </c>
      <c r="H177" s="553" t="s">
        <v>1458</v>
      </c>
      <c r="I177" s="554" t="s">
        <v>1472</v>
      </c>
      <c r="L177" s="305" t="str">
        <f>IF(OR(Overview!$D$4="Preliminary Documentation Review",Overview!$D$4="Preliminary Precertification Review"),IF(AND(P177=0,Q177=0),"",IF(AND(P177&gt;0,Q177&gt;0),"","MISMATCH")),"")</f>
        <v/>
      </c>
      <c r="M177" s="305" t="str">
        <f>IF(OR(Overview!$D$4="Preliminary Documentation Review",Overview!$D$4="Preliminary Precertification Review"),IF(AND(R177=0,S177=0),"",IF(AND(R177&gt;0,S177&gt;0),"","MISMATCH")),"")</f>
        <v/>
      </c>
      <c r="N177" s="305" t="str">
        <f>IF(OR(Overview!$D$4="Preliminary Documentation Review",Overview!$D$4="Preliminary Precertification Review"),IF(AND(T177=0,U177=0),"",IF(AND(T177&gt;0,U177&gt;0),"MISMATCH","")),"")</f>
        <v/>
      </c>
      <c r="O177" s="305" t="str">
        <f>IF(OR(Overview!$D$4="Preliminary Documentation Review",Overview!$D$4="Preliminary Precertification Review"),IF(AND(V177=0,W177=0),"",IF(AND(V177&gt;0,W177&gt;0),"","MISMATCH")),"")</f>
        <v/>
      </c>
      <c r="P177" s="286">
        <f t="shared" si="33"/>
        <v>0</v>
      </c>
      <c r="Q177" s="286">
        <f t="shared" si="31"/>
        <v>0</v>
      </c>
      <c r="R177" s="305">
        <f t="shared" si="34"/>
        <v>248</v>
      </c>
      <c r="S177" s="305">
        <f t="shared" si="32"/>
        <v>0</v>
      </c>
      <c r="T177" s="305">
        <f t="shared" si="29"/>
        <v>205</v>
      </c>
      <c r="U177" s="305">
        <f t="shared" si="30"/>
        <v>0</v>
      </c>
      <c r="V177" s="305">
        <f t="shared" si="25"/>
        <v>0</v>
      </c>
      <c r="W177" s="305">
        <f t="shared" si="28"/>
        <v>0</v>
      </c>
    </row>
    <row r="178" spans="2:23" ht="45.6">
      <c r="B178" s="881"/>
      <c r="C178" s="838" t="s">
        <v>767</v>
      </c>
      <c r="D178" s="850" t="s">
        <v>964</v>
      </c>
      <c r="E178" s="550" t="s">
        <v>1320</v>
      </c>
      <c r="F178" s="559"/>
      <c r="G178" s="552" t="s">
        <v>25</v>
      </c>
      <c r="H178" s="553" t="s">
        <v>1176</v>
      </c>
      <c r="I178" s="554" t="s">
        <v>1177</v>
      </c>
      <c r="L178" s="305" t="str">
        <f>IF(OR(Overview!$D$4="Preliminary Documentation Review",Overview!$D$4="Preliminary Precertification Review"),IF(AND(P178=0,Q178=0),"",IF(AND(P178&gt;0,Q178&gt;0),"","MISMATCH")),"")</f>
        <v/>
      </c>
      <c r="M178" s="305" t="str">
        <f>IF(OR(Overview!$D$4="Preliminary Documentation Review",Overview!$D$4="Preliminary Precertification Review"),IF(AND(R178=0,S178=0),"",IF(AND(R178&gt;0,S178&gt;0),"","MISMATCH")),"")</f>
        <v/>
      </c>
      <c r="N178" s="305" t="str">
        <f>IF(OR(Overview!$D$4="Preliminary Documentation Review",Overview!$D$4="Preliminary Precertification Review"),IF(AND(T178=0,U178=0),"",IF(AND(T178&gt;0,U178&gt;0),"MISMATCH","")),"")</f>
        <v/>
      </c>
      <c r="O178" s="305" t="str">
        <f>IF(OR(Overview!$D$4="Preliminary Documentation Review",Overview!$D$4="Preliminary Precertification Review"),IF(AND(V178=0,W178=0),"",IF(AND(V178&gt;0,W178&gt;0),"","MISMATCH")),"")</f>
        <v/>
      </c>
      <c r="P178" s="286">
        <f t="shared" si="33"/>
        <v>0</v>
      </c>
      <c r="Q178" s="286">
        <f t="shared" si="31"/>
        <v>0</v>
      </c>
      <c r="R178" s="305">
        <f t="shared" si="34"/>
        <v>0</v>
      </c>
      <c r="S178" s="305">
        <f t="shared" si="32"/>
        <v>0</v>
      </c>
      <c r="T178" s="305">
        <f t="shared" si="29"/>
        <v>35</v>
      </c>
      <c r="U178" s="305">
        <f t="shared" si="30"/>
        <v>0</v>
      </c>
      <c r="V178" s="305">
        <f t="shared" si="25"/>
        <v>35</v>
      </c>
      <c r="W178" s="305">
        <f t="shared" si="28"/>
        <v>1</v>
      </c>
    </row>
    <row r="179" spans="2:23" ht="45.6">
      <c r="B179" s="881"/>
      <c r="C179" s="838"/>
      <c r="D179" s="850"/>
      <c r="E179" s="550" t="s">
        <v>1321</v>
      </c>
      <c r="F179" s="562">
        <v>1</v>
      </c>
      <c r="G179" s="552" t="s">
        <v>309</v>
      </c>
      <c r="H179" s="553" t="s">
        <v>1458</v>
      </c>
      <c r="I179" s="554" t="s">
        <v>1208</v>
      </c>
      <c r="L179" s="305" t="str">
        <f>IF(OR(Overview!$D$4="Preliminary Documentation Review",Overview!$D$4="Preliminary Precertification Review"),IF(AND(P179=0,Q179=0),"",IF(AND(P179&gt;0,Q179&gt;0),"","MISMATCH")),"")</f>
        <v/>
      </c>
      <c r="M179" s="305" t="str">
        <f>IF(OR(Overview!$D$4="Preliminary Documentation Review",Overview!$D$4="Preliminary Precertification Review"),IF(AND(R179=0,S179=0),"",IF(AND(R179&gt;0,S179&gt;0),"","MISMATCH")),"")</f>
        <v/>
      </c>
      <c r="N179" s="305" t="str">
        <f>IF(OR(Overview!$D$4="Preliminary Documentation Review",Overview!$D$4="Preliminary Precertification Review"),IF(AND(T179=0,U179=0),"",IF(AND(T179&gt;0,U179&gt;0),"MISMATCH","")),"")</f>
        <v/>
      </c>
      <c r="O179" s="305" t="str">
        <f>IF(OR(Overview!$D$4="Preliminary Documentation Review",Overview!$D$4="Preliminary Precertification Review"),IF(AND(V179=0,W179=0),"",IF(AND(V179&gt;0,W179&gt;0),"","MISMATCH")),"")</f>
        <v/>
      </c>
      <c r="P179" s="286">
        <f t="shared" si="33"/>
        <v>0</v>
      </c>
      <c r="Q179" s="286">
        <f t="shared" si="31"/>
        <v>0</v>
      </c>
      <c r="R179" s="305">
        <f t="shared" si="34"/>
        <v>0</v>
      </c>
      <c r="S179" s="305">
        <f t="shared" si="32"/>
        <v>0</v>
      </c>
      <c r="T179" s="305">
        <f t="shared" si="29"/>
        <v>0</v>
      </c>
      <c r="U179" s="305">
        <f t="shared" si="30"/>
        <v>0</v>
      </c>
      <c r="V179" s="305">
        <f t="shared" si="25"/>
        <v>0</v>
      </c>
      <c r="W179" s="305">
        <f t="shared" si="28"/>
        <v>0</v>
      </c>
    </row>
    <row r="180" spans="2:23" ht="137.4">
      <c r="B180" s="881"/>
      <c r="C180" s="838" t="s">
        <v>767</v>
      </c>
      <c r="D180" s="850" t="s">
        <v>967</v>
      </c>
      <c r="E180" s="550" t="s">
        <v>1322</v>
      </c>
      <c r="F180" s="559"/>
      <c r="G180" s="552" t="s">
        <v>25</v>
      </c>
      <c r="H180" s="553" t="s">
        <v>1299</v>
      </c>
      <c r="I180" s="554" t="s">
        <v>1473</v>
      </c>
      <c r="L180" s="305" t="str">
        <f>IF(OR(Overview!$D$4="Preliminary Documentation Review",Overview!$D$4="Preliminary Precertification Review"),IF(AND(P180=0,Q180=0),"",IF(AND(P180&gt;0,Q180&gt;0),"","MISMATCH")),"")</f>
        <v/>
      </c>
      <c r="M180" s="305" t="str">
        <f>IF(OR(Overview!$D$4="Preliminary Documentation Review",Overview!$D$4="Preliminary Precertification Review"),IF(AND(R180=0,S180=0),"",IF(AND(R180&gt;0,S180&gt;0),"","MISMATCH")),"")</f>
        <v/>
      </c>
      <c r="N180" s="305" t="str">
        <f>IF(OR(Overview!$D$4="Preliminary Documentation Review",Overview!$D$4="Preliminary Precertification Review"),IF(AND(T180=0,U180=0),"",IF(AND(T180&gt;0,U180&gt;0),"MISMATCH","")),"")</f>
        <v/>
      </c>
      <c r="O180" s="305" t="str">
        <f>IF(OR(Overview!$D$4="Preliminary Documentation Review",Overview!$D$4="Preliminary Precertification Review"),IF(AND(V180=0,W180=0),"",IF(AND(V180&gt;0,W180&gt;0),"","MISMATCH")),"")</f>
        <v/>
      </c>
      <c r="P180" s="286">
        <f t="shared" si="33"/>
        <v>0</v>
      </c>
      <c r="Q180" s="286">
        <f t="shared" si="31"/>
        <v>0</v>
      </c>
      <c r="R180" s="305">
        <f t="shared" si="34"/>
        <v>141</v>
      </c>
      <c r="S180" s="305">
        <f t="shared" si="32"/>
        <v>0</v>
      </c>
      <c r="T180" s="305">
        <f t="shared" si="29"/>
        <v>98</v>
      </c>
      <c r="U180" s="305">
        <f t="shared" si="30"/>
        <v>0</v>
      </c>
      <c r="V180" s="305">
        <f t="shared" si="25"/>
        <v>0</v>
      </c>
      <c r="W180" s="305">
        <f t="shared" si="28"/>
        <v>0</v>
      </c>
    </row>
    <row r="181" spans="2:23" ht="166.8">
      <c r="B181" s="881"/>
      <c r="C181" s="838"/>
      <c r="D181" s="850"/>
      <c r="E181" s="550" t="s">
        <v>1323</v>
      </c>
      <c r="F181" s="560">
        <v>1</v>
      </c>
      <c r="G181" s="552" t="s">
        <v>309</v>
      </c>
      <c r="H181" s="553" t="s">
        <v>1458</v>
      </c>
      <c r="I181" s="554" t="s">
        <v>1324</v>
      </c>
      <c r="L181" s="305" t="str">
        <f>IF(OR(Overview!$D$4="Preliminary Documentation Review",Overview!$D$4="Preliminary Precertification Review"),IF(AND(P181=0,Q181=0),"",IF(AND(P181&gt;0,Q181&gt;0),"","MISMATCH")),"")</f>
        <v/>
      </c>
      <c r="M181" s="305" t="str">
        <f>IF(OR(Overview!$D$4="Preliminary Documentation Review",Overview!$D$4="Preliminary Precertification Review"),IF(AND(R181=0,S181=0),"",IF(AND(R181&gt;0,S181&gt;0),"","MISMATCH")),"")</f>
        <v/>
      </c>
      <c r="N181" s="305" t="str">
        <f>IF(OR(Overview!$D$4="Preliminary Documentation Review",Overview!$D$4="Preliminary Precertification Review"),IF(AND(T181=0,U181=0),"",IF(AND(T181&gt;0,U181&gt;0),"MISMATCH","")),"")</f>
        <v/>
      </c>
      <c r="O181" s="305" t="str">
        <f>IF(OR(Overview!$D$4="Preliminary Documentation Review",Overview!$D$4="Preliminary Precertification Review"),IF(AND(V181=0,W181=0),"",IF(AND(V181&gt;0,W181&gt;0),"","MISMATCH")),"")</f>
        <v/>
      </c>
      <c r="P181" s="286">
        <f t="shared" si="33"/>
        <v>206</v>
      </c>
      <c r="Q181" s="286">
        <f t="shared" si="31"/>
        <v>0</v>
      </c>
      <c r="R181" s="305">
        <f t="shared" si="34"/>
        <v>0</v>
      </c>
      <c r="S181" s="305">
        <f t="shared" si="32"/>
        <v>0</v>
      </c>
      <c r="T181" s="305">
        <f t="shared" si="29"/>
        <v>0</v>
      </c>
      <c r="U181" s="305">
        <f t="shared" si="30"/>
        <v>0</v>
      </c>
      <c r="V181" s="305">
        <f t="shared" si="25"/>
        <v>0</v>
      </c>
      <c r="W181" s="305">
        <f t="shared" si="28"/>
        <v>0</v>
      </c>
    </row>
    <row r="182" spans="2:23" ht="45.6">
      <c r="B182" s="881"/>
      <c r="C182" s="838"/>
      <c r="D182" s="850"/>
      <c r="E182" s="550" t="s">
        <v>1325</v>
      </c>
      <c r="F182" s="562"/>
      <c r="G182" s="552" t="s">
        <v>25</v>
      </c>
      <c r="H182" s="553" t="s">
        <v>1176</v>
      </c>
      <c r="I182" s="554" t="s">
        <v>1177</v>
      </c>
      <c r="L182" s="305" t="str">
        <f>IF(OR(Overview!$D$4="Preliminary Documentation Review",Overview!$D$4="Preliminary Precertification Review"),IF(AND(P182=0,Q182=0),"",IF(AND(P182&gt;0,Q182&gt;0),"","MISMATCH")),"")</f>
        <v/>
      </c>
      <c r="M182" s="305" t="str">
        <f>IF(OR(Overview!$D$4="Preliminary Documentation Review",Overview!$D$4="Preliminary Precertification Review"),IF(AND(R182=0,S182=0),"",IF(AND(R182&gt;0,S182&gt;0),"","MISMATCH")),"")</f>
        <v/>
      </c>
      <c r="N182" s="305" t="str">
        <f>IF(OR(Overview!$D$4="Preliminary Documentation Review",Overview!$D$4="Preliminary Precertification Review"),IF(AND(T182=0,U182=0),"",IF(AND(T182&gt;0,U182&gt;0),"MISMATCH","")),"")</f>
        <v/>
      </c>
      <c r="O182" s="305" t="str">
        <f>IF(OR(Overview!$D$4="Preliminary Documentation Review",Overview!$D$4="Preliminary Precertification Review"),IF(AND(V182=0,W182=0),"",IF(AND(V182&gt;0,W182&gt;0),"","MISMATCH")),"")</f>
        <v/>
      </c>
      <c r="P182" s="286">
        <f t="shared" si="33"/>
        <v>0</v>
      </c>
      <c r="Q182" s="286">
        <f t="shared" si="31"/>
        <v>0</v>
      </c>
      <c r="R182" s="305">
        <f t="shared" si="34"/>
        <v>0</v>
      </c>
      <c r="S182" s="305">
        <f t="shared" si="32"/>
        <v>0</v>
      </c>
      <c r="T182" s="305">
        <f t="shared" si="29"/>
        <v>35</v>
      </c>
      <c r="U182" s="305">
        <f t="shared" si="30"/>
        <v>0</v>
      </c>
      <c r="V182" s="305">
        <f t="shared" si="25"/>
        <v>35</v>
      </c>
      <c r="W182" s="305">
        <f t="shared" si="28"/>
        <v>1</v>
      </c>
    </row>
    <row r="183" spans="2:23" ht="45.6">
      <c r="B183" s="881"/>
      <c r="C183" s="548" t="s">
        <v>767</v>
      </c>
      <c r="D183" s="549" t="s">
        <v>971</v>
      </c>
      <c r="E183" s="550" t="s">
        <v>1326</v>
      </c>
      <c r="F183" s="564"/>
      <c r="G183" s="552" t="s">
        <v>25</v>
      </c>
      <c r="H183" s="553" t="s">
        <v>1176</v>
      </c>
      <c r="I183" s="554" t="s">
        <v>1177</v>
      </c>
      <c r="K183" s="555" t="s">
        <v>973</v>
      </c>
      <c r="L183" s="305" t="str">
        <f>IF(OR(Overview!$D$4="Preliminary Documentation Review",Overview!$D$4="Preliminary Precertification Review"),IF(AND(P183=0,Q183=0),"",IF(AND(P183&gt;0,Q183&gt;0),"","MISMATCH")),"")</f>
        <v/>
      </c>
      <c r="M183" s="305" t="str">
        <f>IF(OR(Overview!$D$4="Preliminary Documentation Review",Overview!$D$4="Preliminary Precertification Review"),IF(AND(R183=0,S183=0),"",IF(AND(R183&gt;0,S183&gt;0),"","MISMATCH")),"")</f>
        <v/>
      </c>
      <c r="N183" s="305" t="str">
        <f>IF(OR(Overview!$D$4="Preliminary Documentation Review",Overview!$D$4="Preliminary Precertification Review"),IF(AND(T183=0,U183=0),"",IF(AND(T183&gt;0,U183&gt;0),"MISMATCH","")),"")</f>
        <v/>
      </c>
      <c r="O183" s="305" t="str">
        <f>IF(OR(Overview!$D$4="Preliminary Documentation Review",Overview!$D$4="Preliminary Precertification Review"),IF(AND(V183=0,W183=0),"",IF(AND(V183&gt;0,W183&gt;0),"","MISMATCH")),"")</f>
        <v/>
      </c>
      <c r="P183" s="286">
        <f t="shared" si="33"/>
        <v>0</v>
      </c>
      <c r="Q183" s="286">
        <f t="shared" si="31"/>
        <v>0</v>
      </c>
      <c r="R183" s="305">
        <f t="shared" si="34"/>
        <v>0</v>
      </c>
      <c r="S183" s="305">
        <f t="shared" si="32"/>
        <v>0</v>
      </c>
      <c r="T183" s="305">
        <f t="shared" si="29"/>
        <v>35</v>
      </c>
      <c r="U183" s="305">
        <f t="shared" si="30"/>
        <v>0</v>
      </c>
      <c r="V183" s="305">
        <f t="shared" si="25"/>
        <v>35</v>
      </c>
      <c r="W183" s="305">
        <f t="shared" si="28"/>
        <v>1</v>
      </c>
    </row>
    <row r="184" spans="2:23" ht="45.6">
      <c r="B184" s="881"/>
      <c r="C184" s="851" t="s">
        <v>767</v>
      </c>
      <c r="D184" s="876" t="s">
        <v>974</v>
      </c>
      <c r="E184" s="550" t="s">
        <v>1327</v>
      </c>
      <c r="F184" s="604">
        <v>1</v>
      </c>
      <c r="G184" s="591" t="s">
        <v>309</v>
      </c>
      <c r="H184" s="592" t="s">
        <v>1458</v>
      </c>
      <c r="I184" s="554" t="s">
        <v>1208</v>
      </c>
      <c r="K184" s="555"/>
      <c r="L184" s="305" t="str">
        <f>IF(OR(Overview!$D$4="Preliminary Documentation Review",Overview!$D$4="Preliminary Precertification Review"),IF(AND(P184=0,Q184=0),"",IF(AND(P184&gt;0,Q184&gt;0),"","MISMATCH")),"")</f>
        <v/>
      </c>
      <c r="M184" s="305" t="str">
        <f>IF(OR(Overview!$D$4="Preliminary Documentation Review",Overview!$D$4="Preliminary Precertification Review"),IF(AND(R184=0,S184=0),"",IF(AND(R184&gt;0,S184&gt;0),"","MISMATCH")),"")</f>
        <v/>
      </c>
      <c r="N184" s="305" t="str">
        <f>IF(OR(Overview!$D$4="Preliminary Documentation Review",Overview!$D$4="Preliminary Precertification Review"),IF(AND(T184=0,U184=0),"",IF(AND(T184&gt;0,U184&gt;0),"MISMATCH","")),"")</f>
        <v/>
      </c>
      <c r="O184" s="305" t="str">
        <f>IF(OR(Overview!$D$4="Preliminary Documentation Review",Overview!$D$4="Preliminary Precertification Review"),IF(AND(V184=0,W184=0),"",IF(AND(V184&gt;0,W184&gt;0),"","MISMATCH")),"")</f>
        <v/>
      </c>
      <c r="P184" s="286">
        <f t="shared" si="33"/>
        <v>0</v>
      </c>
      <c r="Q184" s="286">
        <f t="shared" si="31"/>
        <v>0</v>
      </c>
      <c r="R184" s="305">
        <f t="shared" si="34"/>
        <v>0</v>
      </c>
      <c r="S184" s="305">
        <f t="shared" si="32"/>
        <v>0</v>
      </c>
      <c r="T184" s="305">
        <f t="shared" si="29"/>
        <v>0</v>
      </c>
      <c r="U184" s="305">
        <f t="shared" si="30"/>
        <v>0</v>
      </c>
      <c r="V184" s="305">
        <f t="shared" si="25"/>
        <v>0</v>
      </c>
      <c r="W184" s="305">
        <f t="shared" si="28"/>
        <v>0</v>
      </c>
    </row>
    <row r="185" spans="2:23" ht="45.6">
      <c r="B185" s="881"/>
      <c r="C185" s="852"/>
      <c r="D185" s="877"/>
      <c r="E185" s="550" t="s">
        <v>1328</v>
      </c>
      <c r="F185" s="604"/>
      <c r="G185" s="591" t="s">
        <v>25</v>
      </c>
      <c r="H185" s="592" t="s">
        <v>1176</v>
      </c>
      <c r="I185" s="554" t="s">
        <v>1177</v>
      </c>
      <c r="L185" s="305" t="str">
        <f>IF(OR(Overview!$D$4="Preliminary Documentation Review",Overview!$D$4="Preliminary Precertification Review"),IF(AND(P185=0,Q185=0),"",IF(AND(P185&gt;0,Q185&gt;0),"","MISMATCH")),"")</f>
        <v/>
      </c>
      <c r="M185" s="305" t="str">
        <f>IF(OR(Overview!$D$4="Preliminary Documentation Review",Overview!$D$4="Preliminary Precertification Review"),IF(AND(R185=0,S185=0),"",IF(AND(R185&gt;0,S185&gt;0),"","MISMATCH")),"")</f>
        <v/>
      </c>
      <c r="N185" s="305" t="str">
        <f>IF(OR(Overview!$D$4="Preliminary Documentation Review",Overview!$D$4="Preliminary Precertification Review"),IF(AND(T185=0,U185=0),"",IF(AND(T185&gt;0,U185&gt;0),"MISMATCH","")),"")</f>
        <v/>
      </c>
      <c r="O185" s="305" t="str">
        <f>IF(OR(Overview!$D$4="Preliminary Documentation Review",Overview!$D$4="Preliminary Precertification Review"),IF(AND(V185=0,W185=0),"",IF(AND(V185&gt;0,W185&gt;0),"","MISMATCH")),"")</f>
        <v/>
      </c>
      <c r="P185" s="286">
        <f t="shared" si="33"/>
        <v>0</v>
      </c>
      <c r="Q185" s="286">
        <f t="shared" si="31"/>
        <v>0</v>
      </c>
      <c r="R185" s="305">
        <f t="shared" si="34"/>
        <v>0</v>
      </c>
      <c r="S185" s="305">
        <f t="shared" si="32"/>
        <v>0</v>
      </c>
      <c r="T185" s="305">
        <f t="shared" si="29"/>
        <v>35</v>
      </c>
      <c r="U185" s="305">
        <f t="shared" si="30"/>
        <v>0</v>
      </c>
      <c r="V185" s="305">
        <f t="shared" si="25"/>
        <v>35</v>
      </c>
      <c r="W185" s="305">
        <f t="shared" si="28"/>
        <v>1</v>
      </c>
    </row>
    <row r="186" spans="2:23" ht="30" hidden="1">
      <c r="B186" s="881"/>
      <c r="C186" s="851" t="s">
        <v>767</v>
      </c>
      <c r="D186" s="876" t="s">
        <v>977</v>
      </c>
      <c r="E186" s="550" t="s">
        <v>1329</v>
      </c>
      <c r="F186" s="639"/>
      <c r="G186" s="591"/>
      <c r="H186" s="592"/>
      <c r="I186" s="554"/>
      <c r="L186" s="305" t="str">
        <f>IF(OR(Overview!$D$4="Preliminary Documentation Review",Overview!$D$4="Preliminary Precertification Review"),IF(AND(P186=0,Q186=0),"",IF(AND(P186&gt;0,Q186&gt;0),"","MISMATCH")),"")</f>
        <v/>
      </c>
      <c r="M186" s="305" t="str">
        <f>IF(OR(Overview!$D$4="Preliminary Documentation Review",Overview!$D$4="Preliminary Precertification Review"),IF(AND(R186=0,S186=0),"",IF(AND(R186&gt;0,S186&gt;0),"","MISMATCH")),"")</f>
        <v/>
      </c>
      <c r="N186" s="305" t="str">
        <f>IF(OR(Overview!$D$4="Preliminary Documentation Review",Overview!$D$4="Preliminary Precertification Review"),IF(AND(T186=0,U186=0),"",IF(AND(T186&gt;0,U186&gt;0),"MISMATCH","")),"")</f>
        <v/>
      </c>
      <c r="O186" s="305" t="str">
        <f>IF(OR(Overview!$D$4="Preliminary Documentation Review",Overview!$D$4="Preliminary Precertification Review"),IF(AND(V186=0,W186=0),"",IF(AND(V186&gt;0,W186&gt;0),"","MISMATCH")),"")</f>
        <v/>
      </c>
      <c r="P186" s="286">
        <f t="shared" si="33"/>
        <v>0</v>
      </c>
      <c r="Q186" s="286">
        <f t="shared" si="31"/>
        <v>0</v>
      </c>
      <c r="R186" s="305">
        <f t="shared" si="34"/>
        <v>0</v>
      </c>
      <c r="S186" s="305">
        <f t="shared" si="32"/>
        <v>0</v>
      </c>
      <c r="T186" s="305">
        <f t="shared" si="29"/>
        <v>0</v>
      </c>
      <c r="U186" s="305">
        <f t="shared" si="30"/>
        <v>0</v>
      </c>
      <c r="V186" s="305">
        <f t="shared" si="25"/>
        <v>0</v>
      </c>
      <c r="W186" s="305">
        <f t="shared" si="28"/>
        <v>0</v>
      </c>
    </row>
    <row r="187" spans="2:23" ht="30" hidden="1">
      <c r="B187" s="881"/>
      <c r="C187" s="852"/>
      <c r="D187" s="877"/>
      <c r="E187" s="550" t="s">
        <v>1330</v>
      </c>
      <c r="F187" s="641"/>
      <c r="G187" s="591"/>
      <c r="H187" s="592"/>
      <c r="I187" s="554"/>
      <c r="L187" s="305" t="str">
        <f>IF(OR(Overview!$D$4="Preliminary Documentation Review",Overview!$D$4="Preliminary Precertification Review"),IF(AND(P187=0,Q187=0),"",IF(AND(P187&gt;0,Q187&gt;0),"","MISMATCH")),"")</f>
        <v/>
      </c>
      <c r="M187" s="305" t="str">
        <f>IF(OR(Overview!$D$4="Preliminary Documentation Review",Overview!$D$4="Preliminary Precertification Review"),IF(AND(R187=0,S187=0),"",IF(AND(R187&gt;0,S187&gt;0),"","MISMATCH")),"")</f>
        <v/>
      </c>
      <c r="N187" s="305" t="str">
        <f>IF(OR(Overview!$D$4="Preliminary Documentation Review",Overview!$D$4="Preliminary Precertification Review"),IF(AND(T187=0,U187=0),"",IF(AND(T187&gt;0,U187&gt;0),"MISMATCH","")),"")</f>
        <v/>
      </c>
      <c r="O187" s="305" t="str">
        <f>IF(OR(Overview!$D$4="Preliminary Documentation Review",Overview!$D$4="Preliminary Precertification Review"),IF(AND(V187=0,W187=0),"",IF(AND(V187&gt;0,W187&gt;0),"","MISMATCH")),"")</f>
        <v/>
      </c>
      <c r="P187" s="286">
        <f t="shared" si="33"/>
        <v>0</v>
      </c>
      <c r="Q187" s="286">
        <f t="shared" si="31"/>
        <v>0</v>
      </c>
      <c r="R187" s="305">
        <f t="shared" si="34"/>
        <v>0</v>
      </c>
      <c r="S187" s="305">
        <f t="shared" si="32"/>
        <v>0</v>
      </c>
      <c r="T187" s="305">
        <f t="shared" si="29"/>
        <v>0</v>
      </c>
      <c r="U187" s="305">
        <f t="shared" si="30"/>
        <v>0</v>
      </c>
      <c r="V187" s="305">
        <f t="shared" si="25"/>
        <v>0</v>
      </c>
      <c r="W187" s="305">
        <f t="shared" si="28"/>
        <v>0</v>
      </c>
    </row>
    <row r="188" spans="2:23">
      <c r="B188" s="650"/>
      <c r="C188" s="651"/>
      <c r="D188" s="652"/>
      <c r="E188" s="653"/>
      <c r="F188" s="654"/>
      <c r="G188" s="654"/>
      <c r="H188" s="655"/>
      <c r="I188" s="656"/>
      <c r="L188" s="305" t="str">
        <f>IF(OR(Overview!$D$4="Preliminary Documentation Review",Overview!$D$4="Preliminary Precertification Review"),IF(AND(P188=0,Q188=0),"",IF(AND(P188&gt;0,Q188&gt;0),"","MISMATCH")),"")</f>
        <v/>
      </c>
      <c r="M188" s="305" t="str">
        <f>IF(OR(Overview!$D$4="Preliminary Documentation Review",Overview!$D$4="Preliminary Precertification Review"),IF(AND(R188=0,S188=0),"",IF(AND(R188&gt;0,S188&gt;0),"","MISMATCH")),"")</f>
        <v/>
      </c>
      <c r="N188" s="305" t="str">
        <f>IF(OR(Overview!$D$4="Preliminary Documentation Review",Overview!$D$4="Preliminary Precertification Review"),IF(AND(T188=0,U188=0),"",IF(AND(T188&gt;0,U188&gt;0),"MISMATCH","")),"")</f>
        <v/>
      </c>
      <c r="O188" s="305" t="str">
        <f>IF(OR(Overview!$D$4="Preliminary Documentation Review",Overview!$D$4="Preliminary Precertification Review"),IF(AND(V188=0,W188=0),"",IF(AND(V188&gt;0,W188&gt;0),"","MISMATCH")),"")</f>
        <v/>
      </c>
      <c r="P188" s="286">
        <f t="shared" si="33"/>
        <v>0</v>
      </c>
      <c r="Q188" s="286">
        <f t="shared" si="31"/>
        <v>0</v>
      </c>
      <c r="R188" s="305">
        <f t="shared" si="34"/>
        <v>0</v>
      </c>
      <c r="S188" s="305">
        <f t="shared" si="32"/>
        <v>0</v>
      </c>
      <c r="T188" s="305">
        <f t="shared" si="29"/>
        <v>0</v>
      </c>
      <c r="U188" s="305">
        <f t="shared" si="30"/>
        <v>0</v>
      </c>
      <c r="V188" s="305">
        <f t="shared" si="25"/>
        <v>0</v>
      </c>
      <c r="W188" s="305">
        <f t="shared" si="28"/>
        <v>0</v>
      </c>
    </row>
    <row r="189" spans="2:23">
      <c r="B189" s="573"/>
      <c r="C189" s="574"/>
      <c r="D189" s="575"/>
      <c r="E189" s="576"/>
      <c r="F189" s="654"/>
      <c r="G189" s="654"/>
      <c r="H189" s="578"/>
      <c r="I189" s="579"/>
      <c r="L189" s="305" t="str">
        <f>IF(OR(Overview!$D$4="Preliminary Documentation Review",Overview!$D$4="Preliminary Precertification Review"),IF(AND(P189=0,Q189=0),"",IF(AND(P189&gt;0,Q189&gt;0),"","MISMATCH")),"")</f>
        <v/>
      </c>
      <c r="M189" s="305" t="str">
        <f>IF(OR(Overview!$D$4="Preliminary Documentation Review",Overview!$D$4="Preliminary Precertification Review"),IF(AND(R189=0,S189=0),"",IF(AND(R189&gt;0,S189&gt;0),"","MISMATCH")),"")</f>
        <v/>
      </c>
      <c r="N189" s="305" t="str">
        <f>IF(OR(Overview!$D$4="Preliminary Documentation Review",Overview!$D$4="Preliminary Precertification Review"),IF(AND(T189=0,U189=0),"",IF(AND(T189&gt;0,U189&gt;0),"MISMATCH","")),"")</f>
        <v/>
      </c>
      <c r="O189" s="305" t="str">
        <f>IF(OR(Overview!$D$4="Preliminary Documentation Review",Overview!$D$4="Preliminary Precertification Review"),IF(AND(V189=0,W189=0),"",IF(AND(V189&gt;0,W189&gt;0),"","MISMATCH")),"")</f>
        <v/>
      </c>
      <c r="P189" s="286">
        <f t="shared" si="33"/>
        <v>0</v>
      </c>
      <c r="Q189" s="286">
        <f t="shared" si="31"/>
        <v>0</v>
      </c>
      <c r="R189" s="305">
        <f t="shared" si="34"/>
        <v>0</v>
      </c>
      <c r="S189" s="305">
        <f t="shared" si="32"/>
        <v>0</v>
      </c>
      <c r="T189" s="305">
        <f t="shared" si="29"/>
        <v>0</v>
      </c>
      <c r="U189" s="305">
        <f t="shared" si="30"/>
        <v>0</v>
      </c>
      <c r="V189" s="305">
        <f t="shared" si="25"/>
        <v>0</v>
      </c>
      <c r="W189" s="305">
        <f t="shared" si="28"/>
        <v>0</v>
      </c>
    </row>
    <row r="190" spans="2:23">
      <c r="B190" s="882"/>
      <c r="C190" s="883"/>
      <c r="D190" s="883"/>
      <c r="E190" s="883"/>
      <c r="F190" s="883"/>
      <c r="G190" s="883"/>
      <c r="H190" s="883"/>
      <c r="I190" s="884"/>
      <c r="L190" s="305" t="str">
        <f>IF(OR(Overview!$D$4="Preliminary Documentation Review",Overview!$D$4="Preliminary Precertification Review"),IF(AND(P190=0,Q190=0),"",IF(AND(P190&gt;0,Q190&gt;0),"","MISMATCH")),"")</f>
        <v/>
      </c>
      <c r="M190" s="305" t="str">
        <f>IF(OR(Overview!$D$4="Preliminary Documentation Review",Overview!$D$4="Preliminary Precertification Review"),IF(AND(R190=0,S190=0),"",IF(AND(R190&gt;0,S190&gt;0),"","MISMATCH")),"")</f>
        <v/>
      </c>
      <c r="N190" s="305" t="str">
        <f>IF(OR(Overview!$D$4="Preliminary Documentation Review",Overview!$D$4="Preliminary Precertification Review"),IF(AND(T190=0,U190=0),"",IF(AND(T190&gt;0,U190&gt;0),"MISMATCH","")),"")</f>
        <v/>
      </c>
      <c r="O190" s="305" t="str">
        <f>IF(OR(Overview!$D$4="Preliminary Documentation Review",Overview!$D$4="Preliminary Precertification Review"),IF(AND(V190=0,W190=0),"",IF(AND(V190&gt;0,W190&gt;0),"","MISMATCH")),"")</f>
        <v/>
      </c>
      <c r="T190" s="305">
        <f t="shared" si="29"/>
        <v>0</v>
      </c>
      <c r="U190" s="305">
        <f t="shared" si="30"/>
        <v>0</v>
      </c>
      <c r="V190" s="305">
        <f t="shared" si="25"/>
        <v>0</v>
      </c>
      <c r="W190" s="305">
        <f t="shared" si="28"/>
        <v>0</v>
      </c>
    </row>
    <row r="191" spans="2:23" s="547" customFormat="1" ht="99.9" hidden="1" customHeight="1">
      <c r="B191" s="657"/>
      <c r="C191" s="833" t="s">
        <v>1331</v>
      </c>
      <c r="D191" s="833"/>
      <c r="E191" s="833"/>
      <c r="F191" s="833"/>
      <c r="G191" s="833"/>
      <c r="H191" s="833"/>
      <c r="I191" s="834"/>
      <c r="J191" s="546"/>
      <c r="K191" s="531"/>
      <c r="L191" s="305" t="str">
        <f>IF(OR(Overview!$D$4="Preliminary Documentation Review",Overview!$D$4="Preliminary Precertification Review"),IF(AND(P191=0,Q191=0),"",IF(AND(P191&gt;0,Q191&gt;0),"","MISMATCH")),"")</f>
        <v/>
      </c>
      <c r="M191" s="305" t="str">
        <f>IF(OR(Overview!$D$4="Preliminary Documentation Review",Overview!$D$4="Preliminary Precertification Review"),IF(AND(R191=0,S191=0),"",IF(AND(R191&gt;0,S191&gt;0),"","MISMATCH")),"")</f>
        <v/>
      </c>
      <c r="N191" s="305" t="str">
        <f>IF(OR(Overview!$D$4="Preliminary Documentation Review",Overview!$D$4="Preliminary Precertification Review"),IF(AND(T191=0,U191=0),"",IF(AND(T191&gt;0,U191&gt;0),"MISMATCH","")),"")</f>
        <v/>
      </c>
      <c r="O191" s="305" t="str">
        <f>IF(OR(Overview!$D$4="Preliminary Documentation Review",Overview!$D$4="Preliminary Precertification Review"),IF(AND(V191=0,W191=0),"",IF(AND(V191&gt;0,W191&gt;0),"","MISMATCH")),"")</f>
        <v/>
      </c>
      <c r="T191" s="305">
        <f t="shared" si="29"/>
        <v>0</v>
      </c>
      <c r="U191" s="305">
        <f t="shared" si="30"/>
        <v>0</v>
      </c>
      <c r="V191" s="305">
        <f t="shared" si="25"/>
        <v>0</v>
      </c>
      <c r="W191" s="305">
        <f t="shared" si="28"/>
        <v>0</v>
      </c>
    </row>
    <row r="192" spans="2:23" s="547" customFormat="1" ht="15.6" hidden="1" customHeight="1">
      <c r="B192" s="658"/>
      <c r="C192" s="659"/>
      <c r="D192" s="659"/>
      <c r="E192" s="659"/>
      <c r="F192" s="659"/>
      <c r="G192" s="659"/>
      <c r="H192" s="659"/>
      <c r="I192" s="660"/>
      <c r="J192" s="546"/>
      <c r="K192" s="531"/>
      <c r="L192" s="305" t="str">
        <f>IF(OR(Overview!$D$4="Preliminary Documentation Review",Overview!$D$4="Preliminary Precertification Review"),IF(AND(P192=0,Q192=0),"",IF(AND(P192&gt;0,Q192&gt;0),"","MISMATCH")),"")</f>
        <v/>
      </c>
      <c r="M192" s="305" t="str">
        <f>IF(OR(Overview!$D$4="Preliminary Documentation Review",Overview!$D$4="Preliminary Precertification Review"),IF(AND(R192=0,S192=0),"",IF(AND(R192&gt;0,S192&gt;0),"","MISMATCH")),"")</f>
        <v/>
      </c>
      <c r="N192" s="305" t="str">
        <f>IF(OR(Overview!$D$4="Preliminary Documentation Review",Overview!$D$4="Preliminary Precertification Review"),IF(AND(T192=0,U192=0),"",IF(AND(T192&gt;0,U192&gt;0),"MISMATCH","")),"")</f>
        <v/>
      </c>
      <c r="O192" s="305" t="str">
        <f>IF(OR(Overview!$D$4="Preliminary Documentation Review",Overview!$D$4="Preliminary Precertification Review"),IF(AND(V192=0,W192=0),"",IF(AND(V192&gt;0,W192&gt;0),"","MISMATCH")),"")</f>
        <v/>
      </c>
      <c r="T192" s="305">
        <f t="shared" si="29"/>
        <v>0</v>
      </c>
      <c r="U192" s="305">
        <f t="shared" si="30"/>
        <v>0</v>
      </c>
      <c r="V192" s="305">
        <f t="shared" si="25"/>
        <v>0</v>
      </c>
      <c r="W192" s="305">
        <f t="shared" si="28"/>
        <v>0</v>
      </c>
    </row>
    <row r="193" spans="2:23" ht="45.6">
      <c r="B193" s="885" t="s">
        <v>980</v>
      </c>
      <c r="C193" s="852" t="s">
        <v>752</v>
      </c>
      <c r="D193" s="886" t="s">
        <v>981</v>
      </c>
      <c r="E193" s="625" t="s">
        <v>1332</v>
      </c>
      <c r="F193" s="556"/>
      <c r="G193" s="661" t="s">
        <v>1162</v>
      </c>
      <c r="H193" s="662" t="s">
        <v>1458</v>
      </c>
      <c r="I193" s="554" t="s">
        <v>1208</v>
      </c>
      <c r="L193" s="305" t="str">
        <f>IF(OR(Overview!$D$4="Preliminary Documentation Review",Overview!$D$4="Preliminary Precertification Review"),IF(AND(P193=0,Q193=0),"",IF(AND(P193&gt;0,Q193&gt;0),"","MISMATCH")),"")</f>
        <v/>
      </c>
      <c r="M193" s="305" t="str">
        <f>IF(OR(Overview!$D$4="Preliminary Documentation Review",Overview!$D$4="Preliminary Precertification Review"),IF(AND(R193=0,S193=0),"",IF(AND(R193&gt;0,S193&gt;0),"","MISMATCH")),"")</f>
        <v/>
      </c>
      <c r="N193" s="305" t="str">
        <f>IF(OR(Overview!$D$4="Preliminary Documentation Review",Overview!$D$4="Preliminary Precertification Review"),IF(AND(T193=0,U193=0),"",IF(AND(T193&gt;0,U193&gt;0),"MISMATCH","")),"")</f>
        <v/>
      </c>
      <c r="O193" s="305" t="str">
        <f>IF(OR(Overview!$D$4="Preliminary Documentation Review",Overview!$D$4="Preliminary Precertification Review"),IF(AND(V193=0,W193=0),"",IF(AND(V193&gt;0,W193&gt;0),"","MISMATCH")),"")</f>
        <v/>
      </c>
      <c r="P193" s="286">
        <f t="shared" ref="P193:P220" si="35">IFERROR(SEARCH("COMMENTS TO BE ADDRESS",$I193),0)</f>
        <v>0</v>
      </c>
      <c r="Q193" s="286">
        <f t="shared" si="31"/>
        <v>0</v>
      </c>
      <c r="R193" s="305">
        <f t="shared" ref="R193:R220" si="36">IFERROR(SEARCH("equirements of this part will be v",$I193),0)</f>
        <v>0</v>
      </c>
      <c r="S193" s="305">
        <f t="shared" si="32"/>
        <v>0</v>
      </c>
      <c r="T193" s="305">
        <f t="shared" si="29"/>
        <v>0</v>
      </c>
      <c r="U193" s="305">
        <f t="shared" si="30"/>
        <v>0</v>
      </c>
      <c r="V193" s="305">
        <f t="shared" si="25"/>
        <v>0</v>
      </c>
      <c r="W193" s="305">
        <f t="shared" si="28"/>
        <v>0</v>
      </c>
    </row>
    <row r="194" spans="2:23" ht="45.6">
      <c r="B194" s="885"/>
      <c r="C194" s="838"/>
      <c r="D194" s="850"/>
      <c r="E194" s="550" t="s">
        <v>1333</v>
      </c>
      <c r="F194" s="556"/>
      <c r="G194" s="552" t="s">
        <v>1162</v>
      </c>
      <c r="H194" s="553" t="s">
        <v>1458</v>
      </c>
      <c r="I194" s="554" t="s">
        <v>1208</v>
      </c>
      <c r="L194" s="305" t="str">
        <f>IF(OR(Overview!$D$4="Preliminary Documentation Review",Overview!$D$4="Preliminary Precertification Review"),IF(AND(P194=0,Q194=0),"",IF(AND(P194&gt;0,Q194&gt;0),"","MISMATCH")),"")</f>
        <v/>
      </c>
      <c r="M194" s="305" t="str">
        <f>IF(OR(Overview!$D$4="Preliminary Documentation Review",Overview!$D$4="Preliminary Precertification Review"),IF(AND(R194=0,S194=0),"",IF(AND(R194&gt;0,S194&gt;0),"","MISMATCH")),"")</f>
        <v/>
      </c>
      <c r="N194" s="305" t="str">
        <f>IF(OR(Overview!$D$4="Preliminary Documentation Review",Overview!$D$4="Preliminary Precertification Review"),IF(AND(T194=0,U194=0),"",IF(AND(T194&gt;0,U194&gt;0),"MISMATCH","")),"")</f>
        <v/>
      </c>
      <c r="O194" s="305" t="str">
        <f>IF(OR(Overview!$D$4="Preliminary Documentation Review",Overview!$D$4="Preliminary Precertification Review"),IF(AND(V194=0,W194=0),"",IF(AND(V194&gt;0,W194&gt;0),"","MISMATCH")),"")</f>
        <v/>
      </c>
      <c r="P194" s="286">
        <f t="shared" si="35"/>
        <v>0</v>
      </c>
      <c r="Q194" s="286">
        <f t="shared" si="31"/>
        <v>0</v>
      </c>
      <c r="R194" s="305">
        <f t="shared" si="36"/>
        <v>0</v>
      </c>
      <c r="S194" s="305">
        <f t="shared" si="32"/>
        <v>0</v>
      </c>
      <c r="T194" s="305">
        <f t="shared" si="29"/>
        <v>0</v>
      </c>
      <c r="U194" s="305">
        <f t="shared" si="30"/>
        <v>0</v>
      </c>
      <c r="V194" s="305">
        <f t="shared" si="25"/>
        <v>0</v>
      </c>
      <c r="W194" s="305">
        <f t="shared" si="28"/>
        <v>0</v>
      </c>
    </row>
    <row r="195" spans="2:23" ht="45.6">
      <c r="B195" s="885"/>
      <c r="C195" s="838"/>
      <c r="D195" s="850"/>
      <c r="E195" s="550" t="s">
        <v>1334</v>
      </c>
      <c r="F195" s="556"/>
      <c r="G195" s="552" t="s">
        <v>1162</v>
      </c>
      <c r="H195" s="553" t="s">
        <v>1458</v>
      </c>
      <c r="I195" s="554" t="s">
        <v>1208</v>
      </c>
      <c r="L195" s="305" t="str">
        <f>IF(OR(Overview!$D$4="Preliminary Documentation Review",Overview!$D$4="Preliminary Precertification Review"),IF(AND(P195=0,Q195=0),"",IF(AND(P195&gt;0,Q195&gt;0),"","MISMATCH")),"")</f>
        <v/>
      </c>
      <c r="M195" s="305" t="str">
        <f>IF(OR(Overview!$D$4="Preliminary Documentation Review",Overview!$D$4="Preliminary Precertification Review"),IF(AND(R195=0,S195=0),"",IF(AND(R195&gt;0,S195&gt;0),"","MISMATCH")),"")</f>
        <v/>
      </c>
      <c r="N195" s="305" t="str">
        <f>IF(OR(Overview!$D$4="Preliminary Documentation Review",Overview!$D$4="Preliminary Precertification Review"),IF(AND(T195=0,U195=0),"",IF(AND(T195&gt;0,U195&gt;0),"MISMATCH","")),"")</f>
        <v/>
      </c>
      <c r="O195" s="305" t="str">
        <f>IF(OR(Overview!$D$4="Preliminary Documentation Review",Overview!$D$4="Preliminary Precertification Review"),IF(AND(V195=0,W195=0),"",IF(AND(V195&gt;0,W195&gt;0),"","MISMATCH")),"")</f>
        <v/>
      </c>
      <c r="P195" s="286">
        <f t="shared" si="35"/>
        <v>0</v>
      </c>
      <c r="Q195" s="286">
        <f t="shared" si="31"/>
        <v>0</v>
      </c>
      <c r="R195" s="305">
        <f t="shared" si="36"/>
        <v>0</v>
      </c>
      <c r="S195" s="305">
        <f t="shared" si="32"/>
        <v>0</v>
      </c>
      <c r="T195" s="305">
        <f t="shared" si="29"/>
        <v>0</v>
      </c>
      <c r="U195" s="305">
        <f t="shared" si="30"/>
        <v>0</v>
      </c>
      <c r="V195" s="305">
        <f t="shared" si="25"/>
        <v>0</v>
      </c>
      <c r="W195" s="305">
        <f t="shared" si="28"/>
        <v>0</v>
      </c>
    </row>
    <row r="196" spans="2:23" ht="45.6">
      <c r="B196" s="885"/>
      <c r="C196" s="838" t="s">
        <v>752</v>
      </c>
      <c r="D196" s="850" t="s">
        <v>985</v>
      </c>
      <c r="E196" s="550" t="s">
        <v>1335</v>
      </c>
      <c r="F196" s="556"/>
      <c r="G196" s="552" t="s">
        <v>1162</v>
      </c>
      <c r="H196" s="553" t="s">
        <v>1458</v>
      </c>
      <c r="I196" s="554" t="s">
        <v>1208</v>
      </c>
      <c r="L196" s="305" t="str">
        <f>IF(OR(Overview!$D$4="Preliminary Documentation Review",Overview!$D$4="Preliminary Precertification Review"),IF(AND(P196=0,Q196=0),"",IF(AND(P196&gt;0,Q196&gt;0),"","MISMATCH")),"")</f>
        <v/>
      </c>
      <c r="M196" s="305" t="str">
        <f>IF(OR(Overview!$D$4="Preliminary Documentation Review",Overview!$D$4="Preliminary Precertification Review"),IF(AND(R196=0,S196=0),"",IF(AND(R196&gt;0,S196&gt;0),"","MISMATCH")),"")</f>
        <v/>
      </c>
      <c r="N196" s="305" t="str">
        <f>IF(OR(Overview!$D$4="Preliminary Documentation Review",Overview!$D$4="Preliminary Precertification Review"),IF(AND(T196=0,U196=0),"",IF(AND(T196&gt;0,U196&gt;0),"MISMATCH","")),"")</f>
        <v/>
      </c>
      <c r="O196" s="305" t="str">
        <f>IF(OR(Overview!$D$4="Preliminary Documentation Review",Overview!$D$4="Preliminary Precertification Review"),IF(AND(V196=0,W196=0),"",IF(AND(V196&gt;0,W196&gt;0),"","MISMATCH")),"")</f>
        <v/>
      </c>
      <c r="P196" s="286">
        <f t="shared" si="35"/>
        <v>0</v>
      </c>
      <c r="Q196" s="286">
        <f t="shared" si="31"/>
        <v>0</v>
      </c>
      <c r="R196" s="305">
        <f t="shared" si="36"/>
        <v>0</v>
      </c>
      <c r="S196" s="305">
        <f t="shared" si="32"/>
        <v>0</v>
      </c>
      <c r="T196" s="305">
        <f t="shared" si="29"/>
        <v>0</v>
      </c>
      <c r="U196" s="305">
        <f t="shared" si="30"/>
        <v>0</v>
      </c>
      <c r="V196" s="305">
        <f t="shared" si="25"/>
        <v>0</v>
      </c>
      <c r="W196" s="305">
        <f t="shared" si="28"/>
        <v>0</v>
      </c>
    </row>
    <row r="197" spans="2:23" ht="45.6">
      <c r="B197" s="885"/>
      <c r="C197" s="838"/>
      <c r="D197" s="850"/>
      <c r="E197" s="550" t="s">
        <v>1336</v>
      </c>
      <c r="F197" s="556"/>
      <c r="G197" s="552" t="s">
        <v>1162</v>
      </c>
      <c r="H197" s="553" t="s">
        <v>1458</v>
      </c>
      <c r="I197" s="554" t="s">
        <v>1208</v>
      </c>
      <c r="L197" s="305" t="str">
        <f>IF(OR(Overview!$D$4="Preliminary Documentation Review",Overview!$D$4="Preliminary Precertification Review"),IF(AND(P197=0,Q197=0),"",IF(AND(P197&gt;0,Q197&gt;0),"","MISMATCH")),"")</f>
        <v/>
      </c>
      <c r="M197" s="305" t="str">
        <f>IF(OR(Overview!$D$4="Preliminary Documentation Review",Overview!$D$4="Preliminary Precertification Review"),IF(AND(R197=0,S197=0),"",IF(AND(R197&gt;0,S197&gt;0),"","MISMATCH")),"")</f>
        <v/>
      </c>
      <c r="N197" s="305" t="str">
        <f>IF(OR(Overview!$D$4="Preliminary Documentation Review",Overview!$D$4="Preliminary Precertification Review"),IF(AND(T197=0,U197=0),"",IF(AND(T197&gt;0,U197&gt;0),"MISMATCH","")),"")</f>
        <v/>
      </c>
      <c r="O197" s="305" t="str">
        <f>IF(OR(Overview!$D$4="Preliminary Documentation Review",Overview!$D$4="Preliminary Precertification Review"),IF(AND(V197=0,W197=0),"",IF(AND(V197&gt;0,W197&gt;0),"","MISMATCH")),"")</f>
        <v/>
      </c>
      <c r="P197" s="286">
        <f t="shared" si="35"/>
        <v>0</v>
      </c>
      <c r="Q197" s="286">
        <f t="shared" si="31"/>
        <v>0</v>
      </c>
      <c r="R197" s="305">
        <f t="shared" si="36"/>
        <v>0</v>
      </c>
      <c r="S197" s="305">
        <f t="shared" si="32"/>
        <v>0</v>
      </c>
      <c r="T197" s="305">
        <f t="shared" si="29"/>
        <v>0</v>
      </c>
      <c r="U197" s="305">
        <f t="shared" si="30"/>
        <v>0</v>
      </c>
      <c r="V197" s="305">
        <f t="shared" si="25"/>
        <v>0</v>
      </c>
      <c r="W197" s="305">
        <f t="shared" si="28"/>
        <v>0</v>
      </c>
    </row>
    <row r="198" spans="2:23" ht="45.6">
      <c r="B198" s="885"/>
      <c r="C198" s="838"/>
      <c r="D198" s="850"/>
      <c r="E198" s="550" t="s">
        <v>1337</v>
      </c>
      <c r="F198" s="556"/>
      <c r="G198" s="552" t="s">
        <v>1162</v>
      </c>
      <c r="H198" s="553" t="s">
        <v>1458</v>
      </c>
      <c r="I198" s="554" t="s">
        <v>1208</v>
      </c>
      <c r="L198" s="305" t="str">
        <f>IF(OR(Overview!$D$4="Preliminary Documentation Review",Overview!$D$4="Preliminary Precertification Review"),IF(AND(P198=0,Q198=0),"",IF(AND(P198&gt;0,Q198&gt;0),"","MISMATCH")),"")</f>
        <v/>
      </c>
      <c r="M198" s="305" t="str">
        <f>IF(OR(Overview!$D$4="Preliminary Documentation Review",Overview!$D$4="Preliminary Precertification Review"),IF(AND(R198=0,S198=0),"",IF(AND(R198&gt;0,S198&gt;0),"","MISMATCH")),"")</f>
        <v/>
      </c>
      <c r="N198" s="305" t="str">
        <f>IF(OR(Overview!$D$4="Preliminary Documentation Review",Overview!$D$4="Preliminary Precertification Review"),IF(AND(T198=0,U198=0),"",IF(AND(T198&gt;0,U198&gt;0),"MISMATCH","")),"")</f>
        <v/>
      </c>
      <c r="O198" s="305" t="str">
        <f>IF(OR(Overview!$D$4="Preliminary Documentation Review",Overview!$D$4="Preliminary Precertification Review"),IF(AND(V198=0,W198=0),"",IF(AND(V198&gt;0,W198&gt;0),"","MISMATCH")),"")</f>
        <v/>
      </c>
      <c r="P198" s="286">
        <f t="shared" si="35"/>
        <v>0</v>
      </c>
      <c r="Q198" s="286">
        <f t="shared" si="31"/>
        <v>0</v>
      </c>
      <c r="R198" s="305">
        <f t="shared" si="36"/>
        <v>0</v>
      </c>
      <c r="S198" s="305">
        <f t="shared" si="32"/>
        <v>0</v>
      </c>
      <c r="T198" s="305">
        <f t="shared" si="29"/>
        <v>0</v>
      </c>
      <c r="U198" s="305">
        <f t="shared" si="30"/>
        <v>0</v>
      </c>
      <c r="V198" s="305">
        <f t="shared" si="25"/>
        <v>0</v>
      </c>
      <c r="W198" s="305">
        <f t="shared" si="28"/>
        <v>0</v>
      </c>
    </row>
    <row r="199" spans="2:23" ht="45.6">
      <c r="B199" s="885"/>
      <c r="C199" s="838" t="s">
        <v>752</v>
      </c>
      <c r="D199" s="850" t="s">
        <v>989</v>
      </c>
      <c r="E199" s="550" t="s">
        <v>1338</v>
      </c>
      <c r="F199" s="556"/>
      <c r="G199" s="552" t="s">
        <v>1162</v>
      </c>
      <c r="H199" s="553" t="s">
        <v>1458</v>
      </c>
      <c r="I199" s="554" t="s">
        <v>1208</v>
      </c>
      <c r="L199" s="305" t="str">
        <f>IF(OR(Overview!$D$4="Preliminary Documentation Review",Overview!$D$4="Preliminary Precertification Review"),IF(AND(P199=0,Q199=0),"",IF(AND(P199&gt;0,Q199&gt;0),"","MISMATCH")),"")</f>
        <v/>
      </c>
      <c r="M199" s="305" t="str">
        <f>IF(OR(Overview!$D$4="Preliminary Documentation Review",Overview!$D$4="Preliminary Precertification Review"),IF(AND(R199=0,S199=0),"",IF(AND(R199&gt;0,S199&gt;0),"","MISMATCH")),"")</f>
        <v/>
      </c>
      <c r="N199" s="305" t="str">
        <f>IF(OR(Overview!$D$4="Preliminary Documentation Review",Overview!$D$4="Preliminary Precertification Review"),IF(AND(T199=0,U199=0),"",IF(AND(T199&gt;0,U199&gt;0),"MISMATCH","")),"")</f>
        <v/>
      </c>
      <c r="O199" s="305" t="str">
        <f>IF(OR(Overview!$D$4="Preliminary Documentation Review",Overview!$D$4="Preliminary Precertification Review"),IF(AND(V199=0,W199=0),"",IF(AND(V199&gt;0,W199&gt;0),"","MISMATCH")),"")</f>
        <v/>
      </c>
      <c r="P199" s="286">
        <f t="shared" si="35"/>
        <v>0</v>
      </c>
      <c r="Q199" s="286">
        <f t="shared" si="31"/>
        <v>0</v>
      </c>
      <c r="R199" s="305">
        <f t="shared" si="36"/>
        <v>0</v>
      </c>
      <c r="S199" s="305">
        <f t="shared" si="32"/>
        <v>0</v>
      </c>
      <c r="T199" s="305">
        <f t="shared" si="29"/>
        <v>0</v>
      </c>
      <c r="U199" s="305">
        <f t="shared" si="30"/>
        <v>0</v>
      </c>
      <c r="V199" s="305">
        <f t="shared" si="25"/>
        <v>0</v>
      </c>
      <c r="W199" s="305">
        <f t="shared" si="28"/>
        <v>0</v>
      </c>
    </row>
    <row r="200" spans="2:23" ht="45.6">
      <c r="B200" s="885"/>
      <c r="C200" s="838"/>
      <c r="D200" s="850"/>
      <c r="E200" s="550" t="s">
        <v>1339</v>
      </c>
      <c r="F200" s="558"/>
      <c r="G200" s="552" t="s">
        <v>1162</v>
      </c>
      <c r="H200" s="553" t="s">
        <v>1458</v>
      </c>
      <c r="I200" s="554" t="s">
        <v>1208</v>
      </c>
      <c r="L200" s="305" t="str">
        <f>IF(OR(Overview!$D$4="Preliminary Documentation Review",Overview!$D$4="Preliminary Precertification Review"),IF(AND(P200=0,Q200=0),"",IF(AND(P200&gt;0,Q200&gt;0),"","MISMATCH")),"")</f>
        <v/>
      </c>
      <c r="M200" s="305" t="str">
        <f>IF(OR(Overview!$D$4="Preliminary Documentation Review",Overview!$D$4="Preliminary Precertification Review"),IF(AND(R200=0,S200=0),"",IF(AND(R200&gt;0,S200&gt;0),"","MISMATCH")),"")</f>
        <v/>
      </c>
      <c r="N200" s="305" t="str">
        <f>IF(OR(Overview!$D$4="Preliminary Documentation Review",Overview!$D$4="Preliminary Precertification Review"),IF(AND(T200=0,U200=0),"",IF(AND(T200&gt;0,U200&gt;0),"MISMATCH","")),"")</f>
        <v/>
      </c>
      <c r="O200" s="305" t="str">
        <f>IF(OR(Overview!$D$4="Preliminary Documentation Review",Overview!$D$4="Preliminary Precertification Review"),IF(AND(V200=0,W200=0),"",IF(AND(V200&gt;0,W200&gt;0),"","MISMATCH")),"")</f>
        <v/>
      </c>
      <c r="P200" s="286">
        <f t="shared" si="35"/>
        <v>0</v>
      </c>
      <c r="Q200" s="286">
        <f t="shared" si="31"/>
        <v>0</v>
      </c>
      <c r="R200" s="305">
        <f t="shared" si="36"/>
        <v>0</v>
      </c>
      <c r="S200" s="305">
        <f t="shared" si="32"/>
        <v>0</v>
      </c>
      <c r="T200" s="305">
        <f t="shared" si="29"/>
        <v>0</v>
      </c>
      <c r="U200" s="305">
        <f t="shared" si="30"/>
        <v>0</v>
      </c>
      <c r="V200" s="305">
        <f t="shared" si="25"/>
        <v>0</v>
      </c>
      <c r="W200" s="305">
        <f t="shared" si="28"/>
        <v>0</v>
      </c>
    </row>
    <row r="201" spans="2:23" ht="136.80000000000001">
      <c r="B201" s="885"/>
      <c r="C201" s="548" t="s">
        <v>767</v>
      </c>
      <c r="D201" s="549" t="s">
        <v>992</v>
      </c>
      <c r="E201" s="550" t="s">
        <v>1340</v>
      </c>
      <c r="F201" s="564">
        <v>1</v>
      </c>
      <c r="G201" s="552" t="s">
        <v>309</v>
      </c>
      <c r="H201" s="553" t="s">
        <v>1458</v>
      </c>
      <c r="I201" s="565" t="s">
        <v>1468</v>
      </c>
      <c r="L201" s="305" t="str">
        <f>IF(OR(Overview!$D$4="Preliminary Documentation Review",Overview!$D$4="Preliminary Precertification Review"),IF(AND(P201=0,Q201=0),"",IF(AND(P201&gt;0,Q201&gt;0),"","MISMATCH")),"")</f>
        <v/>
      </c>
      <c r="M201" s="305" t="str">
        <f>IF(OR(Overview!$D$4="Preliminary Documentation Review",Overview!$D$4="Preliminary Precertification Review"),IF(AND(R201=0,S201=0),"",IF(AND(R201&gt;0,S201&gt;0),"","MISMATCH")),"")</f>
        <v/>
      </c>
      <c r="N201" s="305" t="str">
        <f>IF(OR(Overview!$D$4="Preliminary Documentation Review",Overview!$D$4="Preliminary Precertification Review"),IF(AND(T201=0,U201=0),"",IF(AND(T201&gt;0,U201&gt;0),"MISMATCH","")),"")</f>
        <v/>
      </c>
      <c r="O201" s="305" t="str">
        <f>IF(OR(Overview!$D$4="Preliminary Documentation Review",Overview!$D$4="Preliminary Precertification Review"),IF(AND(V201=0,W201=0),"",IF(AND(V201&gt;0,W201&gt;0),"","MISMATCH")),"")</f>
        <v/>
      </c>
      <c r="P201" s="286">
        <f t="shared" si="35"/>
        <v>0</v>
      </c>
      <c r="Q201" s="286">
        <f t="shared" si="31"/>
        <v>0</v>
      </c>
      <c r="R201" s="305">
        <f t="shared" si="36"/>
        <v>178</v>
      </c>
      <c r="S201" s="305">
        <f t="shared" si="32"/>
        <v>0</v>
      </c>
      <c r="T201" s="305">
        <f t="shared" si="29"/>
        <v>0</v>
      </c>
      <c r="U201" s="305">
        <f t="shared" si="30"/>
        <v>0</v>
      </c>
      <c r="V201" s="305">
        <f t="shared" si="25"/>
        <v>0</v>
      </c>
      <c r="W201" s="305">
        <f t="shared" si="28"/>
        <v>0</v>
      </c>
    </row>
    <row r="202" spans="2:23" ht="45.6">
      <c r="B202" s="885"/>
      <c r="C202" s="548" t="s">
        <v>767</v>
      </c>
      <c r="D202" s="549" t="s">
        <v>994</v>
      </c>
      <c r="E202" s="550" t="s">
        <v>1341</v>
      </c>
      <c r="F202" s="564"/>
      <c r="G202" s="552" t="s">
        <v>25</v>
      </c>
      <c r="H202" s="553" t="s">
        <v>1176</v>
      </c>
      <c r="I202" s="554" t="s">
        <v>1177</v>
      </c>
      <c r="L202" s="305" t="str">
        <f>IF(OR(Overview!$D$4="Preliminary Documentation Review",Overview!$D$4="Preliminary Precertification Review"),IF(AND(P202=0,Q202=0),"",IF(AND(P202&gt;0,Q202&gt;0),"","MISMATCH")),"")</f>
        <v/>
      </c>
      <c r="M202" s="305" t="str">
        <f>IF(OR(Overview!$D$4="Preliminary Documentation Review",Overview!$D$4="Preliminary Precertification Review"),IF(AND(R202=0,S202=0),"",IF(AND(R202&gt;0,S202&gt;0),"","MISMATCH")),"")</f>
        <v/>
      </c>
      <c r="N202" s="305" t="str">
        <f>IF(OR(Overview!$D$4="Preliminary Documentation Review",Overview!$D$4="Preliminary Precertification Review"),IF(AND(T202=0,U202=0),"",IF(AND(T202&gt;0,U202&gt;0),"MISMATCH","")),"")</f>
        <v/>
      </c>
      <c r="O202" s="305" t="str">
        <f>IF(OR(Overview!$D$4="Preliminary Documentation Review",Overview!$D$4="Preliminary Precertification Review"),IF(AND(V202=0,W202=0),"",IF(AND(V202&gt;0,W202&gt;0),"","MISMATCH")),"")</f>
        <v/>
      </c>
      <c r="P202" s="286">
        <f t="shared" si="35"/>
        <v>0</v>
      </c>
      <c r="Q202" s="286">
        <f t="shared" si="31"/>
        <v>0</v>
      </c>
      <c r="R202" s="305">
        <f t="shared" si="36"/>
        <v>0</v>
      </c>
      <c r="S202" s="305">
        <f t="shared" si="32"/>
        <v>0</v>
      </c>
      <c r="T202" s="305">
        <f t="shared" si="29"/>
        <v>35</v>
      </c>
      <c r="U202" s="305">
        <f t="shared" si="30"/>
        <v>0</v>
      </c>
      <c r="V202" s="305">
        <f t="shared" si="25"/>
        <v>35</v>
      </c>
      <c r="W202" s="305">
        <f t="shared" si="28"/>
        <v>1</v>
      </c>
    </row>
    <row r="203" spans="2:23" ht="45.6">
      <c r="B203" s="885"/>
      <c r="C203" s="548" t="s">
        <v>767</v>
      </c>
      <c r="D203" s="549" t="s">
        <v>996</v>
      </c>
      <c r="E203" s="550" t="s">
        <v>1342</v>
      </c>
      <c r="F203" s="564"/>
      <c r="G203" s="552" t="s">
        <v>25</v>
      </c>
      <c r="H203" s="553" t="s">
        <v>1176</v>
      </c>
      <c r="I203" s="554" t="s">
        <v>1177</v>
      </c>
      <c r="L203" s="305" t="str">
        <f>IF(OR(Overview!$D$4="Preliminary Documentation Review",Overview!$D$4="Preliminary Precertification Review"),IF(AND(P203=0,Q203=0),"",IF(AND(P203&gt;0,Q203&gt;0),"","MISMATCH")),"")</f>
        <v/>
      </c>
      <c r="M203" s="305" t="str">
        <f>IF(OR(Overview!$D$4="Preliminary Documentation Review",Overview!$D$4="Preliminary Precertification Review"),IF(AND(R203=0,S203=0),"",IF(AND(R203&gt;0,S203&gt;0),"","MISMATCH")),"")</f>
        <v/>
      </c>
      <c r="N203" s="305" t="str">
        <f>IF(OR(Overview!$D$4="Preliminary Documentation Review",Overview!$D$4="Preliminary Precertification Review"),IF(AND(T203=0,U203=0),"",IF(AND(T203&gt;0,U203&gt;0),"MISMATCH","")),"")</f>
        <v/>
      </c>
      <c r="O203" s="305" t="str">
        <f>IF(OR(Overview!$D$4="Preliminary Documentation Review",Overview!$D$4="Preliminary Precertification Review"),IF(AND(V203=0,W203=0),"",IF(AND(V203&gt;0,W203&gt;0),"","MISMATCH")),"")</f>
        <v/>
      </c>
      <c r="P203" s="286">
        <f t="shared" si="35"/>
        <v>0</v>
      </c>
      <c r="Q203" s="286">
        <f t="shared" si="31"/>
        <v>0</v>
      </c>
      <c r="R203" s="305">
        <f t="shared" si="36"/>
        <v>0</v>
      </c>
      <c r="S203" s="305">
        <f t="shared" si="32"/>
        <v>0</v>
      </c>
      <c r="T203" s="305">
        <f t="shared" si="29"/>
        <v>35</v>
      </c>
      <c r="U203" s="305">
        <f t="shared" si="30"/>
        <v>0</v>
      </c>
      <c r="V203" s="305">
        <f t="shared" si="25"/>
        <v>35</v>
      </c>
      <c r="W203" s="305">
        <f t="shared" si="28"/>
        <v>1</v>
      </c>
    </row>
    <row r="204" spans="2:23" ht="181.8">
      <c r="B204" s="885"/>
      <c r="C204" s="548" t="s">
        <v>767</v>
      </c>
      <c r="D204" s="549" t="s">
        <v>998</v>
      </c>
      <c r="E204" s="550" t="s">
        <v>1343</v>
      </c>
      <c r="F204" s="564">
        <v>1</v>
      </c>
      <c r="G204" s="552" t="s">
        <v>309</v>
      </c>
      <c r="H204" s="553" t="s">
        <v>1458</v>
      </c>
      <c r="I204" s="554" t="s">
        <v>1344</v>
      </c>
      <c r="L204" s="305" t="str">
        <f>IF(OR(Overview!$D$4="Preliminary Documentation Review",Overview!$D$4="Preliminary Precertification Review"),IF(AND(P204=0,Q204=0),"",IF(AND(P204&gt;0,Q204&gt;0),"","MISMATCH")),"")</f>
        <v/>
      </c>
      <c r="M204" s="305" t="str">
        <f>IF(OR(Overview!$D$4="Preliminary Documentation Review",Overview!$D$4="Preliminary Precertification Review"),IF(AND(R204=0,S204=0),"",IF(AND(R204&gt;0,S204&gt;0),"","MISMATCH")),"")</f>
        <v/>
      </c>
      <c r="N204" s="305" t="str">
        <f>IF(OR(Overview!$D$4="Preliminary Documentation Review",Overview!$D$4="Preliminary Precertification Review"),IF(AND(T204=0,U204=0),"",IF(AND(T204&gt;0,U204&gt;0),"MISMATCH","")),"")</f>
        <v/>
      </c>
      <c r="O204" s="305" t="str">
        <f>IF(OR(Overview!$D$4="Preliminary Documentation Review",Overview!$D$4="Preliminary Precertification Review"),IF(AND(V204=0,W204=0),"",IF(AND(V204&gt;0,W204&gt;0),"","MISMATCH")),"")</f>
        <v/>
      </c>
      <c r="P204" s="286">
        <f t="shared" si="35"/>
        <v>211</v>
      </c>
      <c r="Q204" s="286">
        <f t="shared" si="31"/>
        <v>0</v>
      </c>
      <c r="R204" s="305">
        <f t="shared" si="36"/>
        <v>0</v>
      </c>
      <c r="S204" s="305">
        <f t="shared" si="32"/>
        <v>0</v>
      </c>
      <c r="T204" s="305">
        <f t="shared" si="29"/>
        <v>0</v>
      </c>
      <c r="U204" s="305">
        <f t="shared" si="30"/>
        <v>0</v>
      </c>
      <c r="V204" s="305">
        <f t="shared" si="25"/>
        <v>0</v>
      </c>
      <c r="W204" s="305">
        <f t="shared" si="28"/>
        <v>0</v>
      </c>
    </row>
    <row r="205" spans="2:23" ht="45.6">
      <c r="B205" s="885"/>
      <c r="C205" s="548" t="s">
        <v>767</v>
      </c>
      <c r="D205" s="549" t="s">
        <v>1000</v>
      </c>
      <c r="E205" s="550" t="s">
        <v>1345</v>
      </c>
      <c r="F205" s="564">
        <v>1</v>
      </c>
      <c r="G205" s="552" t="s">
        <v>309</v>
      </c>
      <c r="H205" s="553" t="s">
        <v>1458</v>
      </c>
      <c r="I205" s="554" t="s">
        <v>1208</v>
      </c>
      <c r="L205" s="305" t="str">
        <f>IF(OR(Overview!$D$4="Preliminary Documentation Review",Overview!$D$4="Preliminary Precertification Review"),IF(AND(P205=0,Q205=0),"",IF(AND(P205&gt;0,Q205&gt;0),"","MISMATCH")),"")</f>
        <v/>
      </c>
      <c r="M205" s="305" t="str">
        <f>IF(OR(Overview!$D$4="Preliminary Documentation Review",Overview!$D$4="Preliminary Precertification Review"),IF(AND(R205=0,S205=0),"",IF(AND(R205&gt;0,S205&gt;0),"","MISMATCH")),"")</f>
        <v/>
      </c>
      <c r="N205" s="305" t="str">
        <f>IF(OR(Overview!$D$4="Preliminary Documentation Review",Overview!$D$4="Preliminary Precertification Review"),IF(AND(T205=0,U205=0),"",IF(AND(T205&gt;0,U205&gt;0),"MISMATCH","")),"")</f>
        <v/>
      </c>
      <c r="O205" s="305" t="str">
        <f>IF(OR(Overview!$D$4="Preliminary Documentation Review",Overview!$D$4="Preliminary Precertification Review"),IF(AND(V205=0,W205=0),"",IF(AND(V205&gt;0,W205&gt;0),"","MISMATCH")),"")</f>
        <v/>
      </c>
      <c r="P205" s="286">
        <f t="shared" si="35"/>
        <v>0</v>
      </c>
      <c r="Q205" s="286">
        <f t="shared" si="31"/>
        <v>0</v>
      </c>
      <c r="R205" s="305">
        <f t="shared" si="36"/>
        <v>0</v>
      </c>
      <c r="S205" s="305">
        <f t="shared" si="32"/>
        <v>0</v>
      </c>
      <c r="T205" s="305">
        <f t="shared" si="29"/>
        <v>0</v>
      </c>
      <c r="U205" s="305">
        <f t="shared" si="30"/>
        <v>0</v>
      </c>
      <c r="V205" s="305">
        <f t="shared" ref="V205:V268" si="37">IFERROR(SEARCH("This Part has not been attempted.",$I205),IFERROR(SEARCH("Not Attempted",$I205),0))</f>
        <v>0</v>
      </c>
      <c r="W205" s="305">
        <f t="shared" si="28"/>
        <v>0</v>
      </c>
    </row>
    <row r="206" spans="2:23" ht="45.6">
      <c r="B206" s="885"/>
      <c r="C206" s="838" t="s">
        <v>767</v>
      </c>
      <c r="D206" s="850" t="s">
        <v>1002</v>
      </c>
      <c r="E206" s="550" t="s">
        <v>1346</v>
      </c>
      <c r="F206" s="559">
        <v>1</v>
      </c>
      <c r="G206" s="552" t="s">
        <v>309</v>
      </c>
      <c r="H206" s="553" t="s">
        <v>1458</v>
      </c>
      <c r="I206" s="554" t="s">
        <v>1208</v>
      </c>
      <c r="L206" s="305" t="str">
        <f>IF(OR(Overview!$D$4="Preliminary Documentation Review",Overview!$D$4="Preliminary Precertification Review"),IF(AND(P206=0,Q206=0),"",IF(AND(P206&gt;0,Q206&gt;0),"","MISMATCH")),"")</f>
        <v/>
      </c>
      <c r="M206" s="305" t="str">
        <f>IF(OR(Overview!$D$4="Preliminary Documentation Review",Overview!$D$4="Preliminary Precertification Review"),IF(AND(R206=0,S206=0),"",IF(AND(R206&gt;0,S206&gt;0),"","MISMATCH")),"")</f>
        <v/>
      </c>
      <c r="N206" s="305" t="str">
        <f>IF(OR(Overview!$D$4="Preliminary Documentation Review",Overview!$D$4="Preliminary Precertification Review"),IF(AND(T206=0,U206=0),"",IF(AND(T206&gt;0,U206&gt;0),"MISMATCH","")),"")</f>
        <v/>
      </c>
      <c r="O206" s="305" t="str">
        <f>IF(OR(Overview!$D$4="Preliminary Documentation Review",Overview!$D$4="Preliminary Precertification Review"),IF(AND(V206=0,W206=0),"",IF(AND(V206&gt;0,W206&gt;0),"","MISMATCH")),"")</f>
        <v/>
      </c>
      <c r="P206" s="286">
        <f t="shared" si="35"/>
        <v>0</v>
      </c>
      <c r="Q206" s="286">
        <f t="shared" si="31"/>
        <v>0</v>
      </c>
      <c r="R206" s="305">
        <f t="shared" si="36"/>
        <v>0</v>
      </c>
      <c r="S206" s="305">
        <f t="shared" si="32"/>
        <v>0</v>
      </c>
      <c r="T206" s="305">
        <f t="shared" si="29"/>
        <v>0</v>
      </c>
      <c r="U206" s="305">
        <f t="shared" si="30"/>
        <v>0</v>
      </c>
      <c r="V206" s="305">
        <f t="shared" si="37"/>
        <v>0</v>
      </c>
      <c r="W206" s="305">
        <f t="shared" si="28"/>
        <v>0</v>
      </c>
    </row>
    <row r="207" spans="2:23" ht="45.6">
      <c r="B207" s="885"/>
      <c r="C207" s="838"/>
      <c r="D207" s="850"/>
      <c r="E207" s="550" t="s">
        <v>1347</v>
      </c>
      <c r="F207" s="562">
        <v>1</v>
      </c>
      <c r="G207" s="552" t="s">
        <v>309</v>
      </c>
      <c r="H207" s="553" t="s">
        <v>1458</v>
      </c>
      <c r="I207" s="554" t="s">
        <v>1208</v>
      </c>
      <c r="L207" s="305" t="str">
        <f>IF(OR(Overview!$D$4="Preliminary Documentation Review",Overview!$D$4="Preliminary Precertification Review"),IF(AND(P207=0,Q207=0),"",IF(AND(P207&gt;0,Q207&gt;0),"","MISMATCH")),"")</f>
        <v/>
      </c>
      <c r="M207" s="305" t="str">
        <f>IF(OR(Overview!$D$4="Preliminary Documentation Review",Overview!$D$4="Preliminary Precertification Review"),IF(AND(R207=0,S207=0),"",IF(AND(R207&gt;0,S207&gt;0),"","MISMATCH")),"")</f>
        <v/>
      </c>
      <c r="N207" s="305" t="str">
        <f>IF(OR(Overview!$D$4="Preliminary Documentation Review",Overview!$D$4="Preliminary Precertification Review"),IF(AND(T207=0,U207=0),"",IF(AND(T207&gt;0,U207&gt;0),"MISMATCH","")),"")</f>
        <v/>
      </c>
      <c r="O207" s="305" t="str">
        <f>IF(OR(Overview!$D$4="Preliminary Documentation Review",Overview!$D$4="Preliminary Precertification Review"),IF(AND(V207=0,W207=0),"",IF(AND(V207&gt;0,W207&gt;0),"","MISMATCH")),"")</f>
        <v/>
      </c>
      <c r="P207" s="286">
        <f t="shared" si="35"/>
        <v>0</v>
      </c>
      <c r="Q207" s="286">
        <f t="shared" si="31"/>
        <v>0</v>
      </c>
      <c r="R207" s="305">
        <f t="shared" si="36"/>
        <v>0</v>
      </c>
      <c r="S207" s="305">
        <f t="shared" si="32"/>
        <v>0</v>
      </c>
      <c r="T207" s="305">
        <f t="shared" si="29"/>
        <v>0</v>
      </c>
      <c r="U207" s="305">
        <f t="shared" si="30"/>
        <v>0</v>
      </c>
      <c r="V207" s="305">
        <f t="shared" si="37"/>
        <v>0</v>
      </c>
      <c r="W207" s="305">
        <f t="shared" si="28"/>
        <v>0</v>
      </c>
    </row>
    <row r="208" spans="2:23" ht="45.6">
      <c r="B208" s="885"/>
      <c r="C208" s="838" t="s">
        <v>767</v>
      </c>
      <c r="D208" s="850" t="s">
        <v>1005</v>
      </c>
      <c r="E208" s="550" t="s">
        <v>1348</v>
      </c>
      <c r="F208" s="559"/>
      <c r="G208" s="552" t="s">
        <v>25</v>
      </c>
      <c r="H208" s="553" t="s">
        <v>1176</v>
      </c>
      <c r="I208" s="554" t="s">
        <v>1177</v>
      </c>
      <c r="L208" s="305" t="str">
        <f>IF(OR(Overview!$D$4="Preliminary Documentation Review",Overview!$D$4="Preliminary Precertification Review"),IF(AND(P208=0,Q208=0),"",IF(AND(P208&gt;0,Q208&gt;0),"","MISMATCH")),"")</f>
        <v/>
      </c>
      <c r="M208" s="305" t="str">
        <f>IF(OR(Overview!$D$4="Preliminary Documentation Review",Overview!$D$4="Preliminary Precertification Review"),IF(AND(R208=0,S208=0),"",IF(AND(R208&gt;0,S208&gt;0),"","MISMATCH")),"")</f>
        <v/>
      </c>
      <c r="N208" s="305" t="str">
        <f>IF(OR(Overview!$D$4="Preliminary Documentation Review",Overview!$D$4="Preliminary Precertification Review"),IF(AND(T208=0,U208=0),"",IF(AND(T208&gt;0,U208&gt;0),"MISMATCH","")),"")</f>
        <v/>
      </c>
      <c r="O208" s="305" t="str">
        <f>IF(OR(Overview!$D$4="Preliminary Documentation Review",Overview!$D$4="Preliminary Precertification Review"),IF(AND(V208=0,W208=0),"",IF(AND(V208&gt;0,W208&gt;0),"","MISMATCH")),"")</f>
        <v/>
      </c>
      <c r="P208" s="286">
        <f t="shared" si="35"/>
        <v>0</v>
      </c>
      <c r="Q208" s="286">
        <f t="shared" si="31"/>
        <v>0</v>
      </c>
      <c r="R208" s="305">
        <f t="shared" si="36"/>
        <v>0</v>
      </c>
      <c r="S208" s="305">
        <f t="shared" si="32"/>
        <v>0</v>
      </c>
      <c r="T208" s="305">
        <f t="shared" si="29"/>
        <v>35</v>
      </c>
      <c r="U208" s="305">
        <f t="shared" si="30"/>
        <v>0</v>
      </c>
      <c r="V208" s="305">
        <f t="shared" si="37"/>
        <v>35</v>
      </c>
      <c r="W208" s="305">
        <f t="shared" si="28"/>
        <v>1</v>
      </c>
    </row>
    <row r="209" spans="2:23" ht="45.6">
      <c r="B209" s="885"/>
      <c r="C209" s="838"/>
      <c r="D209" s="850"/>
      <c r="E209" s="550" t="s">
        <v>1349</v>
      </c>
      <c r="F209" s="560"/>
      <c r="G209" s="552" t="s">
        <v>25</v>
      </c>
      <c r="H209" s="553" t="s">
        <v>1176</v>
      </c>
      <c r="I209" s="554" t="s">
        <v>1177</v>
      </c>
      <c r="L209" s="305" t="str">
        <f>IF(OR(Overview!$D$4="Preliminary Documentation Review",Overview!$D$4="Preliminary Precertification Review"),IF(AND(P209=0,Q209=0),"",IF(AND(P209&gt;0,Q209&gt;0),"","MISMATCH")),"")</f>
        <v/>
      </c>
      <c r="M209" s="305" t="str">
        <f>IF(OR(Overview!$D$4="Preliminary Documentation Review",Overview!$D$4="Preliminary Precertification Review"),IF(AND(R209=0,S209=0),"",IF(AND(R209&gt;0,S209&gt;0),"","MISMATCH")),"")</f>
        <v/>
      </c>
      <c r="N209" s="305" t="str">
        <f>IF(OR(Overview!$D$4="Preliminary Documentation Review",Overview!$D$4="Preliminary Precertification Review"),IF(AND(T209=0,U209=0),"",IF(AND(T209&gt;0,U209&gt;0),"MISMATCH","")),"")</f>
        <v/>
      </c>
      <c r="O209" s="305" t="str">
        <f>IF(OR(Overview!$D$4="Preliminary Documentation Review",Overview!$D$4="Preliminary Precertification Review"),IF(AND(V209=0,W209=0),"",IF(AND(V209&gt;0,W209&gt;0),"","MISMATCH")),"")</f>
        <v/>
      </c>
      <c r="P209" s="286">
        <f t="shared" si="35"/>
        <v>0</v>
      </c>
      <c r="Q209" s="286">
        <f t="shared" si="31"/>
        <v>0</v>
      </c>
      <c r="R209" s="305">
        <f t="shared" si="36"/>
        <v>0</v>
      </c>
      <c r="S209" s="305">
        <f t="shared" si="32"/>
        <v>0</v>
      </c>
      <c r="T209" s="305">
        <f t="shared" si="29"/>
        <v>35</v>
      </c>
      <c r="U209" s="305">
        <f t="shared" si="30"/>
        <v>0</v>
      </c>
      <c r="V209" s="305">
        <f t="shared" si="37"/>
        <v>35</v>
      </c>
      <c r="W209" s="305">
        <f t="shared" si="28"/>
        <v>1</v>
      </c>
    </row>
    <row r="210" spans="2:23" ht="45.6">
      <c r="B210" s="885"/>
      <c r="C210" s="838"/>
      <c r="D210" s="850"/>
      <c r="E210" s="550" t="s">
        <v>1350</v>
      </c>
      <c r="F210" s="562"/>
      <c r="G210" s="552" t="s">
        <v>25</v>
      </c>
      <c r="H210" s="553" t="s">
        <v>1176</v>
      </c>
      <c r="I210" s="554" t="s">
        <v>1177</v>
      </c>
      <c r="L210" s="305" t="str">
        <f>IF(OR(Overview!$D$4="Preliminary Documentation Review",Overview!$D$4="Preliminary Precertification Review"),IF(AND(P210=0,Q210=0),"",IF(AND(P210&gt;0,Q210&gt;0),"","MISMATCH")),"")</f>
        <v/>
      </c>
      <c r="M210" s="305" t="str">
        <f>IF(OR(Overview!$D$4="Preliminary Documentation Review",Overview!$D$4="Preliminary Precertification Review"),IF(AND(R210=0,S210=0),"",IF(AND(R210&gt;0,S210&gt;0),"","MISMATCH")),"")</f>
        <v/>
      </c>
      <c r="N210" s="305" t="str">
        <f>IF(OR(Overview!$D$4="Preliminary Documentation Review",Overview!$D$4="Preliminary Precertification Review"),IF(AND(T210=0,U210=0),"",IF(AND(T210&gt;0,U210&gt;0),"MISMATCH","")),"")</f>
        <v/>
      </c>
      <c r="O210" s="305" t="str">
        <f>IF(OR(Overview!$D$4="Preliminary Documentation Review",Overview!$D$4="Preliminary Precertification Review"),IF(AND(V210=0,W210=0),"",IF(AND(V210&gt;0,W210&gt;0),"","MISMATCH")),"")</f>
        <v/>
      </c>
      <c r="P210" s="286">
        <f t="shared" si="35"/>
        <v>0</v>
      </c>
      <c r="Q210" s="286">
        <f t="shared" si="31"/>
        <v>0</v>
      </c>
      <c r="R210" s="305">
        <f t="shared" si="36"/>
        <v>0</v>
      </c>
      <c r="S210" s="305">
        <f t="shared" si="32"/>
        <v>0</v>
      </c>
      <c r="T210" s="305">
        <f t="shared" si="29"/>
        <v>35</v>
      </c>
      <c r="U210" s="305">
        <f t="shared" si="30"/>
        <v>0</v>
      </c>
      <c r="V210" s="305">
        <f t="shared" si="37"/>
        <v>35</v>
      </c>
      <c r="W210" s="305">
        <f t="shared" si="28"/>
        <v>1</v>
      </c>
    </row>
    <row r="211" spans="2:23" ht="45.6">
      <c r="B211" s="885"/>
      <c r="C211" s="838" t="s">
        <v>767</v>
      </c>
      <c r="D211" s="850" t="s">
        <v>1009</v>
      </c>
      <c r="E211" s="550" t="s">
        <v>1351</v>
      </c>
      <c r="F211" s="559"/>
      <c r="G211" s="552" t="s">
        <v>25</v>
      </c>
      <c r="H211" s="553" t="s">
        <v>1176</v>
      </c>
      <c r="I211" s="554" t="s">
        <v>1177</v>
      </c>
      <c r="L211" s="305" t="str">
        <f>IF(OR(Overview!$D$4="Preliminary Documentation Review",Overview!$D$4="Preliminary Precertification Review"),IF(AND(P211=0,Q211=0),"",IF(AND(P211&gt;0,Q211&gt;0),"","MISMATCH")),"")</f>
        <v/>
      </c>
      <c r="M211" s="305" t="str">
        <f>IF(OR(Overview!$D$4="Preliminary Documentation Review",Overview!$D$4="Preliminary Precertification Review"),IF(AND(R211=0,S211=0),"",IF(AND(R211&gt;0,S211&gt;0),"","MISMATCH")),"")</f>
        <v/>
      </c>
      <c r="N211" s="305" t="str">
        <f>IF(OR(Overview!$D$4="Preliminary Documentation Review",Overview!$D$4="Preliminary Precertification Review"),IF(AND(T211=0,U211=0),"",IF(AND(T211&gt;0,U211&gt;0),"MISMATCH","")),"")</f>
        <v/>
      </c>
      <c r="O211" s="305" t="str">
        <f>IF(OR(Overview!$D$4="Preliminary Documentation Review",Overview!$D$4="Preliminary Precertification Review"),IF(AND(V211=0,W211=0),"",IF(AND(V211&gt;0,W211&gt;0),"","MISMATCH")),"")</f>
        <v/>
      </c>
      <c r="P211" s="286">
        <f t="shared" si="35"/>
        <v>0</v>
      </c>
      <c r="Q211" s="286">
        <f t="shared" si="31"/>
        <v>0</v>
      </c>
      <c r="R211" s="305">
        <f t="shared" si="36"/>
        <v>0</v>
      </c>
      <c r="S211" s="305">
        <f t="shared" si="32"/>
        <v>0</v>
      </c>
      <c r="T211" s="305">
        <f t="shared" si="29"/>
        <v>35</v>
      </c>
      <c r="U211" s="305">
        <f t="shared" si="30"/>
        <v>0</v>
      </c>
      <c r="V211" s="305">
        <f t="shared" si="37"/>
        <v>35</v>
      </c>
      <c r="W211" s="305">
        <f t="shared" si="28"/>
        <v>1</v>
      </c>
    </row>
    <row r="212" spans="2:23" ht="45.6">
      <c r="B212" s="885"/>
      <c r="C212" s="838"/>
      <c r="D212" s="850"/>
      <c r="E212" s="550" t="s">
        <v>1352</v>
      </c>
      <c r="F212" s="562">
        <v>1</v>
      </c>
      <c r="G212" s="552" t="s">
        <v>309</v>
      </c>
      <c r="H212" s="553" t="s">
        <v>1458</v>
      </c>
      <c r="I212" s="554" t="s">
        <v>1208</v>
      </c>
      <c r="L212" s="305" t="str">
        <f>IF(OR(Overview!$D$4="Preliminary Documentation Review",Overview!$D$4="Preliminary Precertification Review"),IF(AND(P212=0,Q212=0),"",IF(AND(P212&gt;0,Q212&gt;0),"","MISMATCH")),"")</f>
        <v/>
      </c>
      <c r="M212" s="305" t="str">
        <f>IF(OR(Overview!$D$4="Preliminary Documentation Review",Overview!$D$4="Preliminary Precertification Review"),IF(AND(R212=0,S212=0),"",IF(AND(R212&gt;0,S212&gt;0),"","MISMATCH")),"")</f>
        <v/>
      </c>
      <c r="N212" s="305" t="str">
        <f>IF(OR(Overview!$D$4="Preliminary Documentation Review",Overview!$D$4="Preliminary Precertification Review"),IF(AND(T212=0,U212=0),"",IF(AND(T212&gt;0,U212&gt;0),"MISMATCH","")),"")</f>
        <v/>
      </c>
      <c r="O212" s="305" t="str">
        <f>IF(OR(Overview!$D$4="Preliminary Documentation Review",Overview!$D$4="Preliminary Precertification Review"),IF(AND(V212=0,W212=0),"",IF(AND(V212&gt;0,W212&gt;0),"","MISMATCH")),"")</f>
        <v/>
      </c>
      <c r="P212" s="286">
        <f t="shared" si="35"/>
        <v>0</v>
      </c>
      <c r="Q212" s="286">
        <f t="shared" si="31"/>
        <v>0</v>
      </c>
      <c r="R212" s="305">
        <f t="shared" si="36"/>
        <v>0</v>
      </c>
      <c r="S212" s="305">
        <f t="shared" si="32"/>
        <v>0</v>
      </c>
      <c r="T212" s="305">
        <f t="shared" si="29"/>
        <v>0</v>
      </c>
      <c r="U212" s="305">
        <f t="shared" si="30"/>
        <v>0</v>
      </c>
      <c r="V212" s="305">
        <f t="shared" si="37"/>
        <v>0</v>
      </c>
      <c r="W212" s="305">
        <f t="shared" si="28"/>
        <v>0</v>
      </c>
    </row>
    <row r="213" spans="2:23" ht="49.95" customHeight="1">
      <c r="B213" s="885"/>
      <c r="C213" s="838" t="s">
        <v>767</v>
      </c>
      <c r="D213" s="850" t="s">
        <v>1012</v>
      </c>
      <c r="E213" s="550" t="s">
        <v>1353</v>
      </c>
      <c r="F213" s="559">
        <v>2</v>
      </c>
      <c r="G213" s="552" t="s">
        <v>309</v>
      </c>
      <c r="H213" s="553" t="s">
        <v>1458</v>
      </c>
      <c r="I213" s="554" t="s">
        <v>1208</v>
      </c>
      <c r="L213" s="305" t="str">
        <f>IF(OR(Overview!$D$4="Preliminary Documentation Review",Overview!$D$4="Preliminary Precertification Review"),IF(AND(P213=0,Q213=0),"",IF(AND(P213&gt;0,Q213&gt;0),"","MISMATCH")),"")</f>
        <v/>
      </c>
      <c r="M213" s="305" t="str">
        <f>IF(OR(Overview!$D$4="Preliminary Documentation Review",Overview!$D$4="Preliminary Precertification Review"),IF(AND(R213=0,S213=0),"",IF(AND(R213&gt;0,S213&gt;0),"","MISMATCH")),"")</f>
        <v/>
      </c>
      <c r="N213" s="305" t="str">
        <f>IF(OR(Overview!$D$4="Preliminary Documentation Review",Overview!$D$4="Preliminary Precertification Review"),IF(AND(T213=0,U213=0),"",IF(AND(T213&gt;0,U213&gt;0),"MISMATCH","")),"")</f>
        <v/>
      </c>
      <c r="O213" s="305" t="str">
        <f>IF(OR(Overview!$D$4="Preliminary Documentation Review",Overview!$D$4="Preliminary Precertification Review"),IF(AND(V213=0,W213=0),"",IF(AND(V213&gt;0,W213&gt;0),"","MISMATCH")),"")</f>
        <v/>
      </c>
      <c r="P213" s="286">
        <f t="shared" si="35"/>
        <v>0</v>
      </c>
      <c r="Q213" s="286">
        <f t="shared" si="31"/>
        <v>0</v>
      </c>
      <c r="R213" s="305">
        <f t="shared" si="36"/>
        <v>0</v>
      </c>
      <c r="S213" s="305">
        <f t="shared" si="32"/>
        <v>0</v>
      </c>
      <c r="T213" s="305">
        <f t="shared" si="29"/>
        <v>0</v>
      </c>
      <c r="U213" s="305">
        <f t="shared" si="30"/>
        <v>0</v>
      </c>
      <c r="V213" s="305">
        <f t="shared" si="37"/>
        <v>0</v>
      </c>
      <c r="W213" s="305">
        <f t="shared" si="28"/>
        <v>0</v>
      </c>
    </row>
    <row r="214" spans="2:23" ht="49.95" customHeight="1">
      <c r="B214" s="885"/>
      <c r="C214" s="838"/>
      <c r="D214" s="850"/>
      <c r="E214" s="550" t="s">
        <v>1354</v>
      </c>
      <c r="F214" s="562">
        <v>1</v>
      </c>
      <c r="G214" s="552" t="s">
        <v>309</v>
      </c>
      <c r="H214" s="553" t="s">
        <v>1458</v>
      </c>
      <c r="I214" s="554" t="s">
        <v>1208</v>
      </c>
      <c r="L214" s="305" t="str">
        <f>IF(OR(Overview!$D$4="Preliminary Documentation Review",Overview!$D$4="Preliminary Precertification Review"),IF(AND(P214=0,Q214=0),"",IF(AND(P214&gt;0,Q214&gt;0),"","MISMATCH")),"")</f>
        <v/>
      </c>
      <c r="M214" s="305" t="str">
        <f>IF(OR(Overview!$D$4="Preliminary Documentation Review",Overview!$D$4="Preliminary Precertification Review"),IF(AND(R214=0,S214=0),"",IF(AND(R214&gt;0,S214&gt;0),"","MISMATCH")),"")</f>
        <v/>
      </c>
      <c r="N214" s="305" t="str">
        <f>IF(OR(Overview!$D$4="Preliminary Documentation Review",Overview!$D$4="Preliminary Precertification Review"),IF(AND(T214=0,U214=0),"",IF(AND(T214&gt;0,U214&gt;0),"MISMATCH","")),"")</f>
        <v/>
      </c>
      <c r="O214" s="305" t="str">
        <f>IF(OR(Overview!$D$4="Preliminary Documentation Review",Overview!$D$4="Preliminary Precertification Review"),IF(AND(V214=0,W214=0),"",IF(AND(V214&gt;0,W214&gt;0),"","MISMATCH")),"")</f>
        <v/>
      </c>
      <c r="P214" s="286">
        <f t="shared" si="35"/>
        <v>0</v>
      </c>
      <c r="Q214" s="286">
        <f t="shared" si="31"/>
        <v>0</v>
      </c>
      <c r="R214" s="305">
        <f t="shared" si="36"/>
        <v>0</v>
      </c>
      <c r="S214" s="305">
        <f t="shared" si="32"/>
        <v>0</v>
      </c>
      <c r="T214" s="305">
        <f t="shared" si="29"/>
        <v>0</v>
      </c>
      <c r="U214" s="305">
        <f t="shared" si="30"/>
        <v>0</v>
      </c>
      <c r="V214" s="305">
        <f t="shared" si="37"/>
        <v>0</v>
      </c>
      <c r="W214" s="305">
        <f t="shared" si="28"/>
        <v>0</v>
      </c>
    </row>
    <row r="215" spans="2:23" ht="45.6">
      <c r="B215" s="885"/>
      <c r="C215" s="548" t="s">
        <v>767</v>
      </c>
      <c r="D215" s="549" t="s">
        <v>1015</v>
      </c>
      <c r="E215" s="550" t="s">
        <v>1355</v>
      </c>
      <c r="F215" s="564"/>
      <c r="G215" s="552" t="s">
        <v>25</v>
      </c>
      <c r="H215" s="553" t="s">
        <v>1176</v>
      </c>
      <c r="I215" s="554" t="s">
        <v>1177</v>
      </c>
      <c r="L215" s="305" t="str">
        <f>IF(OR(Overview!$D$4="Preliminary Documentation Review",Overview!$D$4="Preliminary Precertification Review"),IF(AND(P215=0,Q215=0),"",IF(AND(P215&gt;0,Q215&gt;0),"","MISMATCH")),"")</f>
        <v/>
      </c>
      <c r="M215" s="305" t="str">
        <f>IF(OR(Overview!$D$4="Preliminary Documentation Review",Overview!$D$4="Preliminary Precertification Review"),IF(AND(R215=0,S215=0),"",IF(AND(R215&gt;0,S215&gt;0),"","MISMATCH")),"")</f>
        <v/>
      </c>
      <c r="N215" s="305" t="str">
        <f>IF(OR(Overview!$D$4="Preliminary Documentation Review",Overview!$D$4="Preliminary Precertification Review"),IF(AND(T215=0,U215=0),"",IF(AND(T215&gt;0,U215&gt;0),"MISMATCH","")),"")</f>
        <v/>
      </c>
      <c r="O215" s="305" t="str">
        <f>IF(OR(Overview!$D$4="Preliminary Documentation Review",Overview!$D$4="Preliminary Precertification Review"),IF(AND(V215=0,W215=0),"",IF(AND(V215&gt;0,W215&gt;0),"","MISMATCH")),"")</f>
        <v/>
      </c>
      <c r="P215" s="286">
        <f t="shared" si="35"/>
        <v>0</v>
      </c>
      <c r="Q215" s="286">
        <f t="shared" si="31"/>
        <v>0</v>
      </c>
      <c r="R215" s="305">
        <f t="shared" si="36"/>
        <v>0</v>
      </c>
      <c r="S215" s="305">
        <f t="shared" si="32"/>
        <v>0</v>
      </c>
      <c r="T215" s="305">
        <f t="shared" si="29"/>
        <v>35</v>
      </c>
      <c r="U215" s="305">
        <f t="shared" si="30"/>
        <v>0</v>
      </c>
      <c r="V215" s="305">
        <f t="shared" si="37"/>
        <v>35</v>
      </c>
      <c r="W215" s="305">
        <f t="shared" si="28"/>
        <v>1</v>
      </c>
    </row>
    <row r="216" spans="2:23" ht="45.6">
      <c r="B216" s="885"/>
      <c r="C216" s="548" t="s">
        <v>767</v>
      </c>
      <c r="D216" s="549" t="s">
        <v>1017</v>
      </c>
      <c r="E216" s="550" t="s">
        <v>1356</v>
      </c>
      <c r="F216" s="564"/>
      <c r="G216" s="552" t="s">
        <v>25</v>
      </c>
      <c r="H216" s="553" t="s">
        <v>1176</v>
      </c>
      <c r="I216" s="554" t="s">
        <v>1177</v>
      </c>
      <c r="K216" s="555" t="s">
        <v>1019</v>
      </c>
      <c r="L216" s="305" t="str">
        <f>IF(OR(Overview!$D$4="Preliminary Documentation Review",Overview!$D$4="Preliminary Precertification Review"),IF(AND(P216=0,Q216=0),"",IF(AND(P216&gt;0,Q216&gt;0),"","MISMATCH")),"")</f>
        <v/>
      </c>
      <c r="M216" s="305" t="str">
        <f>IF(OR(Overview!$D$4="Preliminary Documentation Review",Overview!$D$4="Preliminary Precertification Review"),IF(AND(R216=0,S216=0),"",IF(AND(R216&gt;0,S216&gt;0),"","MISMATCH")),"")</f>
        <v/>
      </c>
      <c r="N216" s="305" t="str">
        <f>IF(OR(Overview!$D$4="Preliminary Documentation Review",Overview!$D$4="Preliminary Precertification Review"),IF(AND(T216=0,U216=0),"",IF(AND(T216&gt;0,U216&gt;0),"MISMATCH","")),"")</f>
        <v/>
      </c>
      <c r="O216" s="305" t="str">
        <f>IF(OR(Overview!$D$4="Preliminary Documentation Review",Overview!$D$4="Preliminary Precertification Review"),IF(AND(V216=0,W216=0),"",IF(AND(V216&gt;0,W216&gt;0),"","MISMATCH")),"")</f>
        <v/>
      </c>
      <c r="P216" s="286">
        <f t="shared" si="35"/>
        <v>0</v>
      </c>
      <c r="Q216" s="286">
        <f t="shared" si="31"/>
        <v>0</v>
      </c>
      <c r="R216" s="305">
        <f t="shared" si="36"/>
        <v>0</v>
      </c>
      <c r="S216" s="305">
        <f t="shared" si="32"/>
        <v>0</v>
      </c>
      <c r="T216" s="305">
        <f t="shared" si="29"/>
        <v>35</v>
      </c>
      <c r="U216" s="305">
        <f t="shared" si="30"/>
        <v>0</v>
      </c>
      <c r="V216" s="305">
        <f t="shared" si="37"/>
        <v>35</v>
      </c>
      <c r="W216" s="305">
        <f t="shared" si="28"/>
        <v>1</v>
      </c>
    </row>
    <row r="217" spans="2:23" ht="45.6" hidden="1">
      <c r="B217" s="885"/>
      <c r="C217" s="851" t="s">
        <v>767</v>
      </c>
      <c r="D217" s="844" t="s">
        <v>1020</v>
      </c>
      <c r="E217" s="550" t="s">
        <v>1357</v>
      </c>
      <c r="F217" s="639"/>
      <c r="G217" s="591"/>
      <c r="H217" s="592"/>
      <c r="I217" s="554" t="s">
        <v>1208</v>
      </c>
      <c r="L217" s="305" t="str">
        <f>IF(OR(Overview!$D$4="Preliminary Documentation Review",Overview!$D$4="Preliminary Precertification Review"),IF(AND(P217=0,Q217=0),"",IF(AND(P217&gt;0,Q217&gt;0),"","MISMATCH")),"")</f>
        <v/>
      </c>
      <c r="M217" s="305" t="str">
        <f>IF(OR(Overview!$D$4="Preliminary Documentation Review",Overview!$D$4="Preliminary Precertification Review"),IF(AND(R217=0,S217=0),"",IF(AND(R217&gt;0,S217&gt;0),"","MISMATCH")),"")</f>
        <v/>
      </c>
      <c r="N217" s="305" t="str">
        <f>IF(OR(Overview!$D$4="Preliminary Documentation Review",Overview!$D$4="Preliminary Precertification Review"),IF(AND(T217=0,U217=0),"",IF(AND(T217&gt;0,U217&gt;0),"MISMATCH","")),"")</f>
        <v/>
      </c>
      <c r="O217" s="305" t="str">
        <f>IF(OR(Overview!$D$4="Preliminary Documentation Review",Overview!$D$4="Preliminary Precertification Review"),IF(AND(V217=0,W217=0),"",IF(AND(V217&gt;0,W217&gt;0),"","MISMATCH")),"")</f>
        <v/>
      </c>
      <c r="P217" s="286">
        <f t="shared" si="35"/>
        <v>0</v>
      </c>
      <c r="Q217" s="286">
        <f t="shared" si="31"/>
        <v>0</v>
      </c>
      <c r="R217" s="305">
        <f t="shared" si="36"/>
        <v>0</v>
      </c>
      <c r="S217" s="305">
        <f t="shared" si="32"/>
        <v>0</v>
      </c>
      <c r="T217" s="305">
        <f t="shared" si="29"/>
        <v>0</v>
      </c>
      <c r="U217" s="305">
        <f t="shared" si="30"/>
        <v>0</v>
      </c>
      <c r="V217" s="305">
        <f t="shared" si="37"/>
        <v>0</v>
      </c>
      <c r="W217" s="305">
        <f t="shared" si="28"/>
        <v>0</v>
      </c>
    </row>
    <row r="218" spans="2:23" ht="45.6" hidden="1">
      <c r="B218" s="885"/>
      <c r="C218" s="852"/>
      <c r="D218" s="845"/>
      <c r="E218" s="550" t="s">
        <v>1358</v>
      </c>
      <c r="F218" s="641"/>
      <c r="G218" s="591"/>
      <c r="H218" s="592"/>
      <c r="I218" s="554" t="s">
        <v>1208</v>
      </c>
      <c r="L218" s="305" t="str">
        <f>IF(OR(Overview!$D$4="Preliminary Documentation Review",Overview!$D$4="Preliminary Precertification Review"),IF(AND(P218=0,Q218=0),"",IF(AND(P218&gt;0,Q218&gt;0),"","MISMATCH")),"")</f>
        <v/>
      </c>
      <c r="M218" s="305" t="str">
        <f>IF(OR(Overview!$D$4="Preliminary Documentation Review",Overview!$D$4="Preliminary Precertification Review"),IF(AND(R218=0,S218=0),"",IF(AND(R218&gt;0,S218&gt;0),"","MISMATCH")),"")</f>
        <v/>
      </c>
      <c r="N218" s="305" t="str">
        <f>IF(OR(Overview!$D$4="Preliminary Documentation Review",Overview!$D$4="Preliminary Precertification Review"),IF(AND(T218=0,U218=0),"",IF(AND(T218&gt;0,U218&gt;0),"MISMATCH","")),"")</f>
        <v/>
      </c>
      <c r="O218" s="305" t="str">
        <f>IF(OR(Overview!$D$4="Preliminary Documentation Review",Overview!$D$4="Preliminary Precertification Review"),IF(AND(V218=0,W218=0),"",IF(AND(V218&gt;0,W218&gt;0),"","MISMATCH")),"")</f>
        <v/>
      </c>
      <c r="P218" s="286">
        <f t="shared" si="35"/>
        <v>0</v>
      </c>
      <c r="Q218" s="286">
        <f t="shared" si="31"/>
        <v>0</v>
      </c>
      <c r="R218" s="305">
        <f t="shared" si="36"/>
        <v>0</v>
      </c>
      <c r="S218" s="305">
        <f t="shared" si="32"/>
        <v>0</v>
      </c>
      <c r="T218" s="305">
        <f t="shared" si="29"/>
        <v>0</v>
      </c>
      <c r="U218" s="305">
        <f t="shared" si="30"/>
        <v>0</v>
      </c>
      <c r="V218" s="305">
        <f t="shared" si="37"/>
        <v>0</v>
      </c>
      <c r="W218" s="305">
        <f t="shared" si="28"/>
        <v>0</v>
      </c>
    </row>
    <row r="219" spans="2:23">
      <c r="B219" s="663"/>
      <c r="C219" s="664"/>
      <c r="D219" s="665"/>
      <c r="E219" s="666"/>
      <c r="F219" s="654"/>
      <c r="G219" s="654"/>
      <c r="H219" s="667"/>
      <c r="I219" s="668"/>
      <c r="L219" s="305" t="str">
        <f>IF(OR(Overview!$D$4="Preliminary Documentation Review",Overview!$D$4="Preliminary Precertification Review"),IF(AND(P219=0,Q219=0),"",IF(AND(P219&gt;0,Q219&gt;0),"","MISMATCH")),"")</f>
        <v/>
      </c>
      <c r="M219" s="305" t="str">
        <f>IF(OR(Overview!$D$4="Preliminary Documentation Review",Overview!$D$4="Preliminary Precertification Review"),IF(AND(R219=0,S219=0),"",IF(AND(R219&gt;0,S219&gt;0),"","MISMATCH")),"")</f>
        <v/>
      </c>
      <c r="N219" s="305" t="str">
        <f>IF(OR(Overview!$D$4="Preliminary Documentation Review",Overview!$D$4="Preliminary Precertification Review"),IF(AND(T219=0,U219=0),"",IF(AND(T219&gt;0,U219&gt;0),"MISMATCH","")),"")</f>
        <v/>
      </c>
      <c r="O219" s="305" t="str">
        <f>IF(OR(Overview!$D$4="Preliminary Documentation Review",Overview!$D$4="Preliminary Precertification Review"),IF(AND(V219=0,W219=0),"",IF(AND(V219&gt;0,W219&gt;0),"","MISMATCH")),"")</f>
        <v/>
      </c>
      <c r="P219" s="286">
        <f t="shared" si="35"/>
        <v>0</v>
      </c>
      <c r="Q219" s="286">
        <f t="shared" si="31"/>
        <v>0</v>
      </c>
      <c r="R219" s="305">
        <f t="shared" si="36"/>
        <v>0</v>
      </c>
      <c r="S219" s="305">
        <f t="shared" si="32"/>
        <v>0</v>
      </c>
      <c r="T219" s="305">
        <f t="shared" si="29"/>
        <v>0</v>
      </c>
      <c r="U219" s="305">
        <f t="shared" si="30"/>
        <v>0</v>
      </c>
      <c r="V219" s="305">
        <f t="shared" si="37"/>
        <v>0</v>
      </c>
      <c r="W219" s="305">
        <f t="shared" ref="W219:W282" si="38">IFERROR(SEARCH("Not Attempted",$H219),0)</f>
        <v>0</v>
      </c>
    </row>
    <row r="220" spans="2:23">
      <c r="B220" s="573"/>
      <c r="C220" s="574"/>
      <c r="D220" s="575"/>
      <c r="E220" s="576"/>
      <c r="F220" s="654"/>
      <c r="G220" s="654"/>
      <c r="H220" s="578"/>
      <c r="I220" s="579"/>
      <c r="L220" s="305" t="str">
        <f>IF(OR(Overview!$D$4="Preliminary Documentation Review",Overview!$D$4="Preliminary Precertification Review"),IF(AND(P220=0,Q220=0),"",IF(AND(P220&gt;0,Q220&gt;0),"","MISMATCH")),"")</f>
        <v/>
      </c>
      <c r="M220" s="305" t="str">
        <f>IF(OR(Overview!$D$4="Preliminary Documentation Review",Overview!$D$4="Preliminary Precertification Review"),IF(AND(R220=0,S220=0),"",IF(AND(R220&gt;0,S220&gt;0),"","MISMATCH")),"")</f>
        <v/>
      </c>
      <c r="N220" s="305" t="str">
        <f>IF(OR(Overview!$D$4="Preliminary Documentation Review",Overview!$D$4="Preliminary Precertification Review"),IF(AND(T220=0,U220=0),"",IF(AND(T220&gt;0,U220&gt;0),"MISMATCH","")),"")</f>
        <v/>
      </c>
      <c r="O220" s="305" t="str">
        <f>IF(OR(Overview!$D$4="Preliminary Documentation Review",Overview!$D$4="Preliminary Precertification Review"),IF(AND(V220=0,W220=0),"",IF(AND(V220&gt;0,W220&gt;0),"","MISMATCH")),"")</f>
        <v/>
      </c>
      <c r="P220" s="286">
        <f t="shared" si="35"/>
        <v>0</v>
      </c>
      <c r="Q220" s="286">
        <f t="shared" si="31"/>
        <v>0</v>
      </c>
      <c r="R220" s="305">
        <f t="shared" si="36"/>
        <v>0</v>
      </c>
      <c r="S220" s="305">
        <f t="shared" si="32"/>
        <v>0</v>
      </c>
      <c r="T220" s="305">
        <f t="shared" ref="T220:T283" si="39">IFERROR(SEARCH("This Part has no",$I220),0)</f>
        <v>0</v>
      </c>
      <c r="U220" s="305">
        <f t="shared" ref="U220:U283" si="40">IFERROR(SEARCH("Anticipated",$H220),0)</f>
        <v>0</v>
      </c>
      <c r="V220" s="305">
        <f t="shared" si="37"/>
        <v>0</v>
      </c>
      <c r="W220" s="305">
        <f t="shared" si="38"/>
        <v>0</v>
      </c>
    </row>
    <row r="221" spans="2:23">
      <c r="B221" s="887"/>
      <c r="C221" s="888"/>
      <c r="D221" s="888"/>
      <c r="E221" s="888"/>
      <c r="F221" s="888"/>
      <c r="G221" s="888"/>
      <c r="H221" s="888"/>
      <c r="I221" s="889"/>
      <c r="L221" s="305" t="str">
        <f>IF(OR(Overview!$D$4="Preliminary Documentation Review",Overview!$D$4="Preliminary Precertification Review"),IF(AND(P221=0,Q221=0),"",IF(AND(P221&gt;0,Q221&gt;0),"","MISMATCH")),"")</f>
        <v/>
      </c>
      <c r="M221" s="305" t="str">
        <f>IF(OR(Overview!$D$4="Preliminary Documentation Review",Overview!$D$4="Preliminary Precertification Review"),IF(AND(R221=0,S221=0),"",IF(AND(R221&gt;0,S221&gt;0),"","MISMATCH")),"")</f>
        <v/>
      </c>
      <c r="N221" s="305" t="str">
        <f>IF(OR(Overview!$D$4="Preliminary Documentation Review",Overview!$D$4="Preliminary Precertification Review"),IF(AND(T221=0,U221=0),"",IF(AND(T221&gt;0,U221&gt;0),"MISMATCH","")),"")</f>
        <v/>
      </c>
      <c r="O221" s="305" t="str">
        <f>IF(OR(Overview!$D$4="Preliminary Documentation Review",Overview!$D$4="Preliminary Precertification Review"),IF(AND(V221=0,W221=0),"",IF(AND(V221&gt;0,W221&gt;0),"","MISMATCH")),"")</f>
        <v/>
      </c>
      <c r="T221" s="305">
        <f t="shared" si="39"/>
        <v>0</v>
      </c>
      <c r="U221" s="305">
        <f t="shared" si="40"/>
        <v>0</v>
      </c>
      <c r="V221" s="305">
        <f t="shared" si="37"/>
        <v>0</v>
      </c>
      <c r="W221" s="305">
        <f t="shared" si="38"/>
        <v>0</v>
      </c>
    </row>
    <row r="222" spans="2:23" s="547" customFormat="1" ht="99.9" hidden="1" customHeight="1">
      <c r="B222" s="669"/>
      <c r="C222" s="832" t="s">
        <v>1359</v>
      </c>
      <c r="D222" s="833"/>
      <c r="E222" s="833"/>
      <c r="F222" s="833"/>
      <c r="G222" s="833"/>
      <c r="H222" s="833"/>
      <c r="I222" s="834"/>
      <c r="J222" s="546"/>
      <c r="K222" s="531"/>
      <c r="L222" s="305" t="str">
        <f>IF(OR(Overview!$D$4="Preliminary Documentation Review",Overview!$D$4="Preliminary Precertification Review"),IF(AND(P222=0,Q222=0),"",IF(AND(P222&gt;0,Q222&gt;0),"","MISMATCH")),"")</f>
        <v/>
      </c>
      <c r="M222" s="305" t="str">
        <f>IF(OR(Overview!$D$4="Preliminary Documentation Review",Overview!$D$4="Preliminary Precertification Review"),IF(AND(R222=0,S222=0),"",IF(AND(R222&gt;0,S222&gt;0),"","MISMATCH")),"")</f>
        <v/>
      </c>
      <c r="N222" s="305" t="str">
        <f>IF(OR(Overview!$D$4="Preliminary Documentation Review",Overview!$D$4="Preliminary Precertification Review"),IF(AND(T222=0,U222=0),"",IF(AND(T222&gt;0,U222&gt;0),"MISMATCH","")),"")</f>
        <v/>
      </c>
      <c r="O222" s="305" t="str">
        <f>IF(OR(Overview!$D$4="Preliminary Documentation Review",Overview!$D$4="Preliminary Precertification Review"),IF(AND(V222=0,W222=0),"",IF(AND(V222&gt;0,W222&gt;0),"","MISMATCH")),"")</f>
        <v/>
      </c>
      <c r="T222" s="305">
        <f t="shared" si="39"/>
        <v>0</v>
      </c>
      <c r="U222" s="305">
        <f t="shared" si="40"/>
        <v>0</v>
      </c>
      <c r="V222" s="305">
        <f t="shared" si="37"/>
        <v>0</v>
      </c>
      <c r="W222" s="305">
        <f t="shared" si="38"/>
        <v>0</v>
      </c>
    </row>
    <row r="223" spans="2:23" s="547" customFormat="1" ht="15.6" hidden="1" customHeight="1">
      <c r="B223" s="890"/>
      <c r="C223" s="888"/>
      <c r="D223" s="888"/>
      <c r="E223" s="888"/>
      <c r="F223" s="888"/>
      <c r="G223" s="888"/>
      <c r="H223" s="888"/>
      <c r="I223" s="889"/>
      <c r="J223" s="546"/>
      <c r="K223" s="531"/>
      <c r="L223" s="305" t="str">
        <f>IF(OR(Overview!$D$4="Preliminary Documentation Review",Overview!$D$4="Preliminary Precertification Review"),IF(AND(P223=0,Q223=0),"",IF(AND(P223&gt;0,Q223&gt;0),"","MISMATCH")),"")</f>
        <v/>
      </c>
      <c r="M223" s="305" t="str">
        <f>IF(OR(Overview!$D$4="Preliminary Documentation Review",Overview!$D$4="Preliminary Precertification Review"),IF(AND(R223=0,S223=0),"",IF(AND(R223&gt;0,S223&gt;0),"","MISMATCH")),"")</f>
        <v/>
      </c>
      <c r="N223" s="305" t="str">
        <f>IF(OR(Overview!$D$4="Preliminary Documentation Review",Overview!$D$4="Preliminary Precertification Review"),IF(AND(T223=0,U223=0),"",IF(AND(T223&gt;0,U223&gt;0),"MISMATCH","")),"")</f>
        <v/>
      </c>
      <c r="O223" s="305" t="str">
        <f>IF(OR(Overview!$D$4="Preliminary Documentation Review",Overview!$D$4="Preliminary Precertification Review"),IF(AND(V223=0,W223=0),"",IF(AND(V223&gt;0,W223&gt;0),"","MISMATCH")),"")</f>
        <v/>
      </c>
      <c r="T223" s="305">
        <f t="shared" si="39"/>
        <v>0</v>
      </c>
      <c r="U223" s="305">
        <f t="shared" si="40"/>
        <v>0</v>
      </c>
      <c r="V223" s="305">
        <f t="shared" si="37"/>
        <v>0</v>
      </c>
      <c r="W223" s="305">
        <f t="shared" si="38"/>
        <v>0</v>
      </c>
    </row>
    <row r="224" spans="2:23" ht="45.6">
      <c r="B224" s="891" t="s">
        <v>1023</v>
      </c>
      <c r="C224" s="852" t="s">
        <v>752</v>
      </c>
      <c r="D224" s="886" t="s">
        <v>1024</v>
      </c>
      <c r="E224" s="625" t="s">
        <v>1360</v>
      </c>
      <c r="F224" s="556"/>
      <c r="G224" s="661" t="s">
        <v>1162</v>
      </c>
      <c r="H224" s="662" t="s">
        <v>1458</v>
      </c>
      <c r="I224" s="554" t="s">
        <v>1208</v>
      </c>
      <c r="L224" s="305" t="str">
        <f>IF(OR(Overview!$D$4="Preliminary Documentation Review",Overview!$D$4="Preliminary Precertification Review"),IF(AND(P224=0,Q224=0),"",IF(AND(P224&gt;0,Q224&gt;0),"","MISMATCH")),"")</f>
        <v/>
      </c>
      <c r="M224" s="305" t="str">
        <f>IF(OR(Overview!$D$4="Preliminary Documentation Review",Overview!$D$4="Preliminary Precertification Review"),IF(AND(R224=0,S224=0),"",IF(AND(R224&gt;0,S224&gt;0),"","MISMATCH")),"")</f>
        <v/>
      </c>
      <c r="N224" s="305" t="str">
        <f>IF(OR(Overview!$D$4="Preliminary Documentation Review",Overview!$D$4="Preliminary Precertification Review"),IF(AND(T224=0,U224=0),"",IF(AND(T224&gt;0,U224&gt;0),"MISMATCH","")),"")</f>
        <v/>
      </c>
      <c r="O224" s="305" t="str">
        <f>IF(OR(Overview!$D$4="Preliminary Documentation Review",Overview!$D$4="Preliminary Precertification Review"),IF(AND(V224=0,W224=0),"",IF(AND(V224&gt;0,W224&gt;0),"","MISMATCH")),"")</f>
        <v/>
      </c>
      <c r="P224" s="286">
        <f t="shared" ref="P224:P251" si="41">IFERROR(SEARCH("COMMENTS TO BE ADDRESS",$I224),0)</f>
        <v>0</v>
      </c>
      <c r="Q224" s="286">
        <f t="shared" si="31"/>
        <v>0</v>
      </c>
      <c r="R224" s="305">
        <f t="shared" ref="R224:R251" si="42">IFERROR(SEARCH("equirements of this part will be v",$I224),0)</f>
        <v>0</v>
      </c>
      <c r="S224" s="305">
        <f t="shared" si="32"/>
        <v>0</v>
      </c>
      <c r="T224" s="305">
        <f t="shared" si="39"/>
        <v>0</v>
      </c>
      <c r="U224" s="305">
        <f t="shared" si="40"/>
        <v>0</v>
      </c>
      <c r="V224" s="305">
        <f t="shared" si="37"/>
        <v>0</v>
      </c>
      <c r="W224" s="305">
        <f t="shared" si="38"/>
        <v>0</v>
      </c>
    </row>
    <row r="225" spans="2:23" ht="45.6">
      <c r="B225" s="891"/>
      <c r="C225" s="838"/>
      <c r="D225" s="850"/>
      <c r="E225" s="550" t="s">
        <v>1361</v>
      </c>
      <c r="F225" s="556"/>
      <c r="G225" s="552" t="s">
        <v>1162</v>
      </c>
      <c r="H225" s="553" t="s">
        <v>1458</v>
      </c>
      <c r="I225" s="554" t="s">
        <v>1208</v>
      </c>
      <c r="L225" s="305" t="str">
        <f>IF(OR(Overview!$D$4="Preliminary Documentation Review",Overview!$D$4="Preliminary Precertification Review"),IF(AND(P225=0,Q225=0),"",IF(AND(P225&gt;0,Q225&gt;0),"","MISMATCH")),"")</f>
        <v/>
      </c>
      <c r="M225" s="305" t="str">
        <f>IF(OR(Overview!$D$4="Preliminary Documentation Review",Overview!$D$4="Preliminary Precertification Review"),IF(AND(R225=0,S225=0),"",IF(AND(R225&gt;0,S225&gt;0),"","MISMATCH")),"")</f>
        <v/>
      </c>
      <c r="N225" s="305" t="str">
        <f>IF(OR(Overview!$D$4="Preliminary Documentation Review",Overview!$D$4="Preliminary Precertification Review"),IF(AND(T225=0,U225=0),"",IF(AND(T225&gt;0,U225&gt;0),"MISMATCH","")),"")</f>
        <v/>
      </c>
      <c r="O225" s="305" t="str">
        <f>IF(OR(Overview!$D$4="Preliminary Documentation Review",Overview!$D$4="Preliminary Precertification Review"),IF(AND(V225=0,W225=0),"",IF(AND(V225&gt;0,W225&gt;0),"","MISMATCH")),"")</f>
        <v/>
      </c>
      <c r="P225" s="286">
        <f t="shared" si="41"/>
        <v>0</v>
      </c>
      <c r="Q225" s="286">
        <f t="shared" si="31"/>
        <v>0</v>
      </c>
      <c r="R225" s="305">
        <f t="shared" si="42"/>
        <v>0</v>
      </c>
      <c r="S225" s="305">
        <f t="shared" si="32"/>
        <v>0</v>
      </c>
      <c r="T225" s="305">
        <f t="shared" si="39"/>
        <v>0</v>
      </c>
      <c r="U225" s="305">
        <f t="shared" si="40"/>
        <v>0</v>
      </c>
      <c r="V225" s="305">
        <f t="shared" si="37"/>
        <v>0</v>
      </c>
      <c r="W225" s="305">
        <f t="shared" si="38"/>
        <v>0</v>
      </c>
    </row>
    <row r="226" spans="2:23" ht="45.6">
      <c r="B226" s="891"/>
      <c r="C226" s="548" t="s">
        <v>752</v>
      </c>
      <c r="D226" s="549" t="s">
        <v>1027</v>
      </c>
      <c r="E226" s="550" t="s">
        <v>1362</v>
      </c>
      <c r="F226" s="558"/>
      <c r="G226" s="552" t="s">
        <v>1162</v>
      </c>
      <c r="H226" s="553" t="s">
        <v>1458</v>
      </c>
      <c r="I226" s="554" t="s">
        <v>1208</v>
      </c>
      <c r="L226" s="305" t="str">
        <f>IF(OR(Overview!$D$4="Preliminary Documentation Review",Overview!$D$4="Preliminary Precertification Review"),IF(AND(P226=0,Q226=0),"",IF(AND(P226&gt;0,Q226&gt;0),"","MISMATCH")),"")</f>
        <v/>
      </c>
      <c r="M226" s="305" t="str">
        <f>IF(OR(Overview!$D$4="Preliminary Documentation Review",Overview!$D$4="Preliminary Precertification Review"),IF(AND(R226=0,S226=0),"",IF(AND(R226&gt;0,S226&gt;0),"","MISMATCH")),"")</f>
        <v/>
      </c>
      <c r="N226" s="305" t="str">
        <f>IF(OR(Overview!$D$4="Preliminary Documentation Review",Overview!$D$4="Preliminary Precertification Review"),IF(AND(T226=0,U226=0),"",IF(AND(T226&gt;0,U226&gt;0),"MISMATCH","")),"")</f>
        <v/>
      </c>
      <c r="O226" s="305" t="str">
        <f>IF(OR(Overview!$D$4="Preliminary Documentation Review",Overview!$D$4="Preliminary Precertification Review"),IF(AND(V226=0,W226=0),"",IF(AND(V226&gt;0,W226&gt;0),"","MISMATCH")),"")</f>
        <v/>
      </c>
      <c r="P226" s="286">
        <f t="shared" si="41"/>
        <v>0</v>
      </c>
      <c r="Q226" s="286">
        <f t="shared" si="31"/>
        <v>0</v>
      </c>
      <c r="R226" s="305">
        <f t="shared" si="42"/>
        <v>0</v>
      </c>
      <c r="S226" s="305">
        <f t="shared" si="32"/>
        <v>0</v>
      </c>
      <c r="T226" s="305">
        <f t="shared" si="39"/>
        <v>0</v>
      </c>
      <c r="U226" s="305">
        <f t="shared" si="40"/>
        <v>0</v>
      </c>
      <c r="V226" s="305">
        <f t="shared" si="37"/>
        <v>0</v>
      </c>
      <c r="W226" s="305">
        <f t="shared" si="38"/>
        <v>0</v>
      </c>
    </row>
    <row r="227" spans="2:23" ht="45.6">
      <c r="B227" s="891"/>
      <c r="C227" s="838" t="s">
        <v>767</v>
      </c>
      <c r="D227" s="850" t="s">
        <v>1029</v>
      </c>
      <c r="E227" s="550" t="s">
        <v>1363</v>
      </c>
      <c r="F227" s="559"/>
      <c r="G227" s="552" t="s">
        <v>25</v>
      </c>
      <c r="H227" s="553" t="s">
        <v>1176</v>
      </c>
      <c r="I227" s="554" t="s">
        <v>1177</v>
      </c>
      <c r="L227" s="305" t="str">
        <f>IF(OR(Overview!$D$4="Preliminary Documentation Review",Overview!$D$4="Preliminary Precertification Review"),IF(AND(P227=0,Q227=0),"",IF(AND(P227&gt;0,Q227&gt;0),"","MISMATCH")),"")</f>
        <v/>
      </c>
      <c r="M227" s="305" t="str">
        <f>IF(OR(Overview!$D$4="Preliminary Documentation Review",Overview!$D$4="Preliminary Precertification Review"),IF(AND(R227=0,S227=0),"",IF(AND(R227&gt;0,S227&gt;0),"","MISMATCH")),"")</f>
        <v/>
      </c>
      <c r="N227" s="305" t="str">
        <f>IF(OR(Overview!$D$4="Preliminary Documentation Review",Overview!$D$4="Preliminary Precertification Review"),IF(AND(T227=0,U227=0),"",IF(AND(T227&gt;0,U227&gt;0),"MISMATCH","")),"")</f>
        <v/>
      </c>
      <c r="O227" s="305" t="str">
        <f>IF(OR(Overview!$D$4="Preliminary Documentation Review",Overview!$D$4="Preliminary Precertification Review"),IF(AND(V227=0,W227=0),"",IF(AND(V227&gt;0,W227&gt;0),"","MISMATCH")),"")</f>
        <v/>
      </c>
      <c r="P227" s="286">
        <f t="shared" si="41"/>
        <v>0</v>
      </c>
      <c r="Q227" s="286">
        <f t="shared" si="31"/>
        <v>0</v>
      </c>
      <c r="R227" s="305">
        <f t="shared" si="42"/>
        <v>0</v>
      </c>
      <c r="S227" s="305">
        <f t="shared" si="32"/>
        <v>0</v>
      </c>
      <c r="T227" s="305">
        <f t="shared" si="39"/>
        <v>35</v>
      </c>
      <c r="U227" s="305">
        <f t="shared" si="40"/>
        <v>0</v>
      </c>
      <c r="V227" s="305">
        <f t="shared" si="37"/>
        <v>35</v>
      </c>
      <c r="W227" s="305">
        <f t="shared" si="38"/>
        <v>1</v>
      </c>
    </row>
    <row r="228" spans="2:23" ht="45.6">
      <c r="B228" s="891"/>
      <c r="C228" s="838"/>
      <c r="D228" s="850"/>
      <c r="E228" s="550" t="s">
        <v>1364</v>
      </c>
      <c r="F228" s="560">
        <v>1</v>
      </c>
      <c r="G228" s="552" t="s">
        <v>309</v>
      </c>
      <c r="H228" s="553" t="s">
        <v>1458</v>
      </c>
      <c r="I228" s="554" t="s">
        <v>1208</v>
      </c>
      <c r="L228" s="305" t="str">
        <f>IF(OR(Overview!$D$4="Preliminary Documentation Review",Overview!$D$4="Preliminary Precertification Review"),IF(AND(P228=0,Q228=0),"",IF(AND(P228&gt;0,Q228&gt;0),"","MISMATCH")),"")</f>
        <v/>
      </c>
      <c r="M228" s="305" t="str">
        <f>IF(OR(Overview!$D$4="Preliminary Documentation Review",Overview!$D$4="Preliminary Precertification Review"),IF(AND(R228=0,S228=0),"",IF(AND(R228&gt;0,S228&gt;0),"","MISMATCH")),"")</f>
        <v/>
      </c>
      <c r="N228" s="305" t="str">
        <f>IF(OR(Overview!$D$4="Preliminary Documentation Review",Overview!$D$4="Preliminary Precertification Review"),IF(AND(T228=0,U228=0),"",IF(AND(T228&gt;0,U228&gt;0),"MISMATCH","")),"")</f>
        <v/>
      </c>
      <c r="O228" s="305" t="str">
        <f>IF(OR(Overview!$D$4="Preliminary Documentation Review",Overview!$D$4="Preliminary Precertification Review"),IF(AND(V228=0,W228=0),"",IF(AND(V228&gt;0,W228&gt;0),"","MISMATCH")),"")</f>
        <v/>
      </c>
      <c r="P228" s="286">
        <f>IFERROR(SEARCH("COMMENTS TO BE ADDRESS",$I228),0)</f>
        <v>0</v>
      </c>
      <c r="Q228" s="286">
        <f t="shared" si="31"/>
        <v>0</v>
      </c>
      <c r="R228" s="305">
        <f>IFERROR(SEARCH("equirements of this part will be v",$I228),0)</f>
        <v>0</v>
      </c>
      <c r="S228" s="305">
        <f t="shared" si="32"/>
        <v>0</v>
      </c>
      <c r="T228" s="305">
        <f>IFERROR(SEARCH("This Part has no",$I228),0)</f>
        <v>0</v>
      </c>
      <c r="U228" s="305">
        <f t="shared" si="40"/>
        <v>0</v>
      </c>
      <c r="V228" s="305">
        <f>IFERROR(SEARCH("This Part has not been attempted.",$I228),IFERROR(SEARCH("Not Attempted",$I228),0))</f>
        <v>0</v>
      </c>
      <c r="W228" s="305">
        <f t="shared" si="38"/>
        <v>0</v>
      </c>
    </row>
    <row r="229" spans="2:23" ht="45.6">
      <c r="B229" s="891"/>
      <c r="C229" s="838"/>
      <c r="D229" s="850"/>
      <c r="E229" s="550" t="s">
        <v>1365</v>
      </c>
      <c r="F229" s="560">
        <v>1</v>
      </c>
      <c r="G229" s="552" t="s">
        <v>309</v>
      </c>
      <c r="H229" s="553" t="s">
        <v>1458</v>
      </c>
      <c r="I229" s="554" t="s">
        <v>1208</v>
      </c>
      <c r="K229" s="555" t="s">
        <v>1033</v>
      </c>
      <c r="L229" s="305" t="str">
        <f>IF(OR(Overview!$D$4="Preliminary Documentation Review",Overview!$D$4="Preliminary Precertification Review"),IF(AND(P229=0,Q229=0),"",IF(AND(P229&gt;0,Q229&gt;0),"","MISMATCH")),"")</f>
        <v/>
      </c>
      <c r="M229" s="305" t="str">
        <f>IF(OR(Overview!$D$4="Preliminary Documentation Review",Overview!$D$4="Preliminary Precertification Review"),IF(AND(R229=0,S229=0),"",IF(AND(R229&gt;0,S229&gt;0),"","MISMATCH")),"")</f>
        <v/>
      </c>
      <c r="N229" s="305" t="str">
        <f>IF(OR(Overview!$D$4="Preliminary Documentation Review",Overview!$D$4="Preliminary Precertification Review"),IF(AND(T229=0,U229=0),"",IF(AND(T229&gt;0,U229&gt;0),"MISMATCH","")),"")</f>
        <v/>
      </c>
      <c r="O229" s="305" t="str">
        <f>IF(OR(Overview!$D$4="Preliminary Documentation Review",Overview!$D$4="Preliminary Precertification Review"),IF(AND(V229=0,W229=0),"",IF(AND(V229&gt;0,W229&gt;0),"","MISMATCH")),"")</f>
        <v/>
      </c>
      <c r="P229" s="286">
        <f>IFERROR(SEARCH("COMMENTS TO BE ADDRESS",$I229),0)</f>
        <v>0</v>
      </c>
      <c r="Q229" s="286">
        <f t="shared" si="31"/>
        <v>0</v>
      </c>
      <c r="R229" s="305">
        <f>IFERROR(SEARCH("equirements of this part will be v",$I229),0)</f>
        <v>0</v>
      </c>
      <c r="S229" s="305">
        <f t="shared" si="32"/>
        <v>0</v>
      </c>
      <c r="T229" s="305">
        <f>IFERROR(SEARCH("This Part has no",$I229),0)</f>
        <v>0</v>
      </c>
      <c r="U229" s="305">
        <f t="shared" si="40"/>
        <v>0</v>
      </c>
      <c r="V229" s="305">
        <f>IFERROR(SEARCH("This Part has not been attempted.",$I229),IFERROR(SEARCH("Not Attempted",$I229),0))</f>
        <v>0</v>
      </c>
      <c r="W229" s="305">
        <f t="shared" si="38"/>
        <v>0</v>
      </c>
    </row>
    <row r="230" spans="2:23" ht="45.6">
      <c r="B230" s="891"/>
      <c r="C230" s="838"/>
      <c r="D230" s="850"/>
      <c r="E230" s="550" t="s">
        <v>1366</v>
      </c>
      <c r="F230" s="562"/>
      <c r="G230" s="552" t="s">
        <v>25</v>
      </c>
      <c r="H230" s="553" t="s">
        <v>1176</v>
      </c>
      <c r="I230" s="554" t="s">
        <v>1177</v>
      </c>
      <c r="L230" s="305" t="str">
        <f>IF(OR(Overview!$D$4="Preliminary Documentation Review",Overview!$D$4="Preliminary Precertification Review"),IF(AND(P230=0,Q230=0),"",IF(AND(P230&gt;0,Q230&gt;0),"","MISMATCH")),"")</f>
        <v/>
      </c>
      <c r="M230" s="305" t="str">
        <f>IF(OR(Overview!$D$4="Preliminary Documentation Review",Overview!$D$4="Preliminary Precertification Review"),IF(AND(R230=0,S230=0),"",IF(AND(R230&gt;0,S230&gt;0),"","MISMATCH")),"")</f>
        <v/>
      </c>
      <c r="N230" s="305" t="str">
        <f>IF(OR(Overview!$D$4="Preliminary Documentation Review",Overview!$D$4="Preliminary Precertification Review"),IF(AND(T230=0,U230=0),"",IF(AND(T230&gt;0,U230&gt;0),"MISMATCH","")),"")</f>
        <v/>
      </c>
      <c r="O230" s="305" t="str">
        <f>IF(OR(Overview!$D$4="Preliminary Documentation Review",Overview!$D$4="Preliminary Precertification Review"),IF(AND(V230=0,W230=0),"",IF(AND(V230&gt;0,W230&gt;0),"","MISMATCH")),"")</f>
        <v/>
      </c>
      <c r="P230" s="286">
        <f t="shared" si="41"/>
        <v>0</v>
      </c>
      <c r="Q230" s="286">
        <f t="shared" si="31"/>
        <v>0</v>
      </c>
      <c r="R230" s="305">
        <f t="shared" si="42"/>
        <v>0</v>
      </c>
      <c r="S230" s="305">
        <f t="shared" si="32"/>
        <v>0</v>
      </c>
      <c r="T230" s="305">
        <f t="shared" si="39"/>
        <v>35</v>
      </c>
      <c r="U230" s="305">
        <f t="shared" si="40"/>
        <v>0</v>
      </c>
      <c r="V230" s="305">
        <f t="shared" si="37"/>
        <v>35</v>
      </c>
      <c r="W230" s="305">
        <f t="shared" si="38"/>
        <v>1</v>
      </c>
    </row>
    <row r="231" spans="2:23" ht="45.6">
      <c r="B231" s="891"/>
      <c r="C231" s="838" t="s">
        <v>767</v>
      </c>
      <c r="D231" s="850" t="s">
        <v>1035</v>
      </c>
      <c r="E231" s="550" t="s">
        <v>1367</v>
      </c>
      <c r="F231" s="559">
        <v>1</v>
      </c>
      <c r="G231" s="552" t="s">
        <v>309</v>
      </c>
      <c r="H231" s="553" t="s">
        <v>1458</v>
      </c>
      <c r="I231" s="554" t="s">
        <v>1208</v>
      </c>
      <c r="L231" s="305" t="str">
        <f>IF(OR(Overview!$D$4="Preliminary Documentation Review",Overview!$D$4="Preliminary Precertification Review"),IF(AND(P231=0,Q231=0),"",IF(AND(P231&gt;0,Q231&gt;0),"","MISMATCH")),"")</f>
        <v/>
      </c>
      <c r="M231" s="305" t="str">
        <f>IF(OR(Overview!$D$4="Preliminary Documentation Review",Overview!$D$4="Preliminary Precertification Review"),IF(AND(R231=0,S231=0),"",IF(AND(R231&gt;0,S231&gt;0),"","MISMATCH")),"")</f>
        <v/>
      </c>
      <c r="N231" s="305" t="str">
        <f>IF(OR(Overview!$D$4="Preliminary Documentation Review",Overview!$D$4="Preliminary Precertification Review"),IF(AND(T231=0,U231=0),"",IF(AND(T231&gt;0,U231&gt;0),"MISMATCH","")),"")</f>
        <v/>
      </c>
      <c r="O231" s="305" t="str">
        <f>IF(OR(Overview!$D$4="Preliminary Documentation Review",Overview!$D$4="Preliminary Precertification Review"),IF(AND(V231=0,W231=0),"",IF(AND(V231&gt;0,W231&gt;0),"","MISMATCH")),"")</f>
        <v/>
      </c>
      <c r="P231" s="286">
        <f t="shared" si="41"/>
        <v>0</v>
      </c>
      <c r="Q231" s="286">
        <f t="shared" si="31"/>
        <v>0</v>
      </c>
      <c r="R231" s="305">
        <f t="shared" si="42"/>
        <v>0</v>
      </c>
      <c r="S231" s="305">
        <f t="shared" si="32"/>
        <v>0</v>
      </c>
      <c r="T231" s="305">
        <f t="shared" si="39"/>
        <v>0</v>
      </c>
      <c r="U231" s="305">
        <f t="shared" si="40"/>
        <v>0</v>
      </c>
      <c r="V231" s="305">
        <f t="shared" si="37"/>
        <v>0</v>
      </c>
      <c r="W231" s="305">
        <f t="shared" si="38"/>
        <v>0</v>
      </c>
    </row>
    <row r="232" spans="2:23" ht="45.6">
      <c r="B232" s="891"/>
      <c r="C232" s="838"/>
      <c r="D232" s="850"/>
      <c r="E232" s="550" t="s">
        <v>1368</v>
      </c>
      <c r="F232" s="562">
        <v>1</v>
      </c>
      <c r="G232" s="552" t="s">
        <v>309</v>
      </c>
      <c r="H232" s="553" t="s">
        <v>1458</v>
      </c>
      <c r="I232" s="554" t="s">
        <v>1208</v>
      </c>
      <c r="L232" s="305" t="str">
        <f>IF(OR(Overview!$D$4="Preliminary Documentation Review",Overview!$D$4="Preliminary Precertification Review"),IF(AND(P232=0,Q232=0),"",IF(AND(P232&gt;0,Q232&gt;0),"","MISMATCH")),"")</f>
        <v/>
      </c>
      <c r="M232" s="305" t="str">
        <f>IF(OR(Overview!$D$4="Preliminary Documentation Review",Overview!$D$4="Preliminary Precertification Review"),IF(AND(R232=0,S232=0),"",IF(AND(R232&gt;0,S232&gt;0),"","MISMATCH")),"")</f>
        <v/>
      </c>
      <c r="N232" s="305" t="str">
        <f>IF(OR(Overview!$D$4="Preliminary Documentation Review",Overview!$D$4="Preliminary Precertification Review"),IF(AND(T232=0,U232=0),"",IF(AND(T232&gt;0,U232&gt;0),"MISMATCH","")),"")</f>
        <v/>
      </c>
      <c r="O232" s="305" t="str">
        <f>IF(OR(Overview!$D$4="Preliminary Documentation Review",Overview!$D$4="Preliminary Precertification Review"),IF(AND(V232=0,W232=0),"",IF(AND(V232&gt;0,W232&gt;0),"","MISMATCH")),"")</f>
        <v/>
      </c>
      <c r="P232" s="286">
        <f t="shared" si="41"/>
        <v>0</v>
      </c>
      <c r="Q232" s="286">
        <f t="shared" si="31"/>
        <v>0</v>
      </c>
      <c r="R232" s="305">
        <f t="shared" si="42"/>
        <v>0</v>
      </c>
      <c r="S232" s="305">
        <f t="shared" si="32"/>
        <v>0</v>
      </c>
      <c r="T232" s="305">
        <f t="shared" si="39"/>
        <v>0</v>
      </c>
      <c r="U232" s="305">
        <f t="shared" si="40"/>
        <v>0</v>
      </c>
      <c r="V232" s="305">
        <f t="shared" si="37"/>
        <v>0</v>
      </c>
      <c r="W232" s="305">
        <f t="shared" si="38"/>
        <v>0</v>
      </c>
    </row>
    <row r="233" spans="2:23" ht="45.6">
      <c r="B233" s="891"/>
      <c r="C233" s="838" t="s">
        <v>767</v>
      </c>
      <c r="D233" s="850" t="s">
        <v>1038</v>
      </c>
      <c r="E233" s="550" t="s">
        <v>1369</v>
      </c>
      <c r="F233" s="559">
        <v>1</v>
      </c>
      <c r="G233" s="552" t="s">
        <v>309</v>
      </c>
      <c r="H233" s="553" t="s">
        <v>1458</v>
      </c>
      <c r="I233" s="554" t="s">
        <v>1208</v>
      </c>
      <c r="L233" s="305" t="str">
        <f>IF(OR(Overview!$D$4="Preliminary Documentation Review",Overview!$D$4="Preliminary Precertification Review"),IF(AND(P233=0,Q233=0),"",IF(AND(P233&gt;0,Q233&gt;0),"","MISMATCH")),"")</f>
        <v/>
      </c>
      <c r="M233" s="305" t="str">
        <f>IF(OR(Overview!$D$4="Preliminary Documentation Review",Overview!$D$4="Preliminary Precertification Review"),IF(AND(R233=0,S233=0),"",IF(AND(R233&gt;0,S233&gt;0),"","MISMATCH")),"")</f>
        <v/>
      </c>
      <c r="N233" s="305" t="str">
        <f>IF(OR(Overview!$D$4="Preliminary Documentation Review",Overview!$D$4="Preliminary Precertification Review"),IF(AND(T233=0,U233=0),"",IF(AND(T233&gt;0,U233&gt;0),"MISMATCH","")),"")</f>
        <v/>
      </c>
      <c r="O233" s="305" t="str">
        <f>IF(OR(Overview!$D$4="Preliminary Documentation Review",Overview!$D$4="Preliminary Precertification Review"),IF(AND(V233=0,W233=0),"",IF(AND(V233&gt;0,W233&gt;0),"","MISMATCH")),"")</f>
        <v/>
      </c>
      <c r="P233" s="286">
        <f t="shared" si="41"/>
        <v>0</v>
      </c>
      <c r="Q233" s="286">
        <f t="shared" si="31"/>
        <v>0</v>
      </c>
      <c r="R233" s="305">
        <f t="shared" si="42"/>
        <v>0</v>
      </c>
      <c r="S233" s="305">
        <f t="shared" si="32"/>
        <v>0</v>
      </c>
      <c r="T233" s="305">
        <f t="shared" si="39"/>
        <v>0</v>
      </c>
      <c r="U233" s="305">
        <f t="shared" si="40"/>
        <v>0</v>
      </c>
      <c r="V233" s="305">
        <f t="shared" si="37"/>
        <v>0</v>
      </c>
      <c r="W233" s="305">
        <f t="shared" si="38"/>
        <v>0</v>
      </c>
    </row>
    <row r="234" spans="2:23" ht="45.6">
      <c r="B234" s="891"/>
      <c r="C234" s="838"/>
      <c r="D234" s="850"/>
      <c r="E234" s="550" t="s">
        <v>1370</v>
      </c>
      <c r="F234" s="562"/>
      <c r="G234" s="552" t="s">
        <v>25</v>
      </c>
      <c r="H234" s="553" t="s">
        <v>1176</v>
      </c>
      <c r="I234" s="554" t="s">
        <v>1177</v>
      </c>
      <c r="L234" s="305" t="str">
        <f>IF(OR(Overview!$D$4="Preliminary Documentation Review",Overview!$D$4="Preliminary Precertification Review"),IF(AND(P234=0,Q234=0),"",IF(AND(P234&gt;0,Q234&gt;0),"","MISMATCH")),"")</f>
        <v/>
      </c>
      <c r="M234" s="305" t="str">
        <f>IF(OR(Overview!$D$4="Preliminary Documentation Review",Overview!$D$4="Preliminary Precertification Review"),IF(AND(R234=0,S234=0),"",IF(AND(R234&gt;0,S234&gt;0),"","MISMATCH")),"")</f>
        <v/>
      </c>
      <c r="N234" s="305" t="str">
        <f>IF(OR(Overview!$D$4="Preliminary Documentation Review",Overview!$D$4="Preliminary Precertification Review"),IF(AND(T234=0,U234=0),"",IF(AND(T234&gt;0,U234&gt;0),"MISMATCH","")),"")</f>
        <v/>
      </c>
      <c r="O234" s="305" t="str">
        <f>IF(OR(Overview!$D$4="Preliminary Documentation Review",Overview!$D$4="Preliminary Precertification Review"),IF(AND(V234=0,W234=0),"",IF(AND(V234&gt;0,W234&gt;0),"","MISMATCH")),"")</f>
        <v/>
      </c>
      <c r="P234" s="286">
        <f t="shared" si="41"/>
        <v>0</v>
      </c>
      <c r="Q234" s="286">
        <f t="shared" si="31"/>
        <v>0</v>
      </c>
      <c r="R234" s="305">
        <f t="shared" si="42"/>
        <v>0</v>
      </c>
      <c r="S234" s="305">
        <f t="shared" si="32"/>
        <v>0</v>
      </c>
      <c r="T234" s="305">
        <f t="shared" si="39"/>
        <v>35</v>
      </c>
      <c r="U234" s="305">
        <f t="shared" si="40"/>
        <v>0</v>
      </c>
      <c r="V234" s="305">
        <f t="shared" si="37"/>
        <v>35</v>
      </c>
      <c r="W234" s="305">
        <f t="shared" si="38"/>
        <v>1</v>
      </c>
    </row>
    <row r="235" spans="2:23" ht="45.6">
      <c r="B235" s="891"/>
      <c r="C235" s="548" t="s">
        <v>767</v>
      </c>
      <c r="D235" s="549" t="s">
        <v>1041</v>
      </c>
      <c r="E235" s="550" t="s">
        <v>1371</v>
      </c>
      <c r="F235" s="564"/>
      <c r="G235" s="552" t="s">
        <v>25</v>
      </c>
      <c r="H235" s="553" t="s">
        <v>1176</v>
      </c>
      <c r="I235" s="554" t="s">
        <v>1177</v>
      </c>
      <c r="L235" s="305" t="str">
        <f>IF(OR(Overview!$D$4="Preliminary Documentation Review",Overview!$D$4="Preliminary Precertification Review"),IF(AND(P235=0,Q235=0),"",IF(AND(P235&gt;0,Q235&gt;0),"","MISMATCH")),"")</f>
        <v/>
      </c>
      <c r="M235" s="305" t="str">
        <f>IF(OR(Overview!$D$4="Preliminary Documentation Review",Overview!$D$4="Preliminary Precertification Review"),IF(AND(R235=0,S235=0),"",IF(AND(R235&gt;0,S235&gt;0),"","MISMATCH")),"")</f>
        <v/>
      </c>
      <c r="N235" s="305" t="str">
        <f>IF(OR(Overview!$D$4="Preliminary Documentation Review",Overview!$D$4="Preliminary Precertification Review"),IF(AND(T235=0,U235=0),"",IF(AND(T235&gt;0,U235&gt;0),"MISMATCH","")),"")</f>
        <v/>
      </c>
      <c r="O235" s="305" t="str">
        <f>IF(OR(Overview!$D$4="Preliminary Documentation Review",Overview!$D$4="Preliminary Precertification Review"),IF(AND(V235=0,W235=0),"",IF(AND(V235&gt;0,W235&gt;0),"","MISMATCH")),"")</f>
        <v/>
      </c>
      <c r="P235" s="286">
        <f t="shared" si="41"/>
        <v>0</v>
      </c>
      <c r="Q235" s="286">
        <f t="shared" si="31"/>
        <v>0</v>
      </c>
      <c r="R235" s="305">
        <f t="shared" si="42"/>
        <v>0</v>
      </c>
      <c r="S235" s="305">
        <f t="shared" si="32"/>
        <v>0</v>
      </c>
      <c r="T235" s="305">
        <f t="shared" si="39"/>
        <v>35</v>
      </c>
      <c r="U235" s="305">
        <f t="shared" si="40"/>
        <v>0</v>
      </c>
      <c r="V235" s="305">
        <f t="shared" si="37"/>
        <v>35</v>
      </c>
      <c r="W235" s="305">
        <f t="shared" si="38"/>
        <v>1</v>
      </c>
    </row>
    <row r="236" spans="2:23" ht="45.6">
      <c r="B236" s="891"/>
      <c r="C236" s="838" t="s">
        <v>767</v>
      </c>
      <c r="D236" s="850" t="s">
        <v>1043</v>
      </c>
      <c r="E236" s="550" t="s">
        <v>1372</v>
      </c>
      <c r="F236" s="559"/>
      <c r="G236" s="552" t="s">
        <v>25</v>
      </c>
      <c r="H236" s="553" t="s">
        <v>1176</v>
      </c>
      <c r="I236" s="554" t="s">
        <v>1177</v>
      </c>
      <c r="L236" s="305" t="str">
        <f>IF(OR(Overview!$D$4="Preliminary Documentation Review",Overview!$D$4="Preliminary Precertification Review"),IF(AND(P236=0,Q236=0),"",IF(AND(P236&gt;0,Q236&gt;0),"","MISMATCH")),"")</f>
        <v/>
      </c>
      <c r="M236" s="305" t="str">
        <f>IF(OR(Overview!$D$4="Preliminary Documentation Review",Overview!$D$4="Preliminary Precertification Review"),IF(AND(R236=0,S236=0),"",IF(AND(R236&gt;0,S236&gt;0),"","MISMATCH")),"")</f>
        <v/>
      </c>
      <c r="N236" s="305" t="str">
        <f>IF(OR(Overview!$D$4="Preliminary Documentation Review",Overview!$D$4="Preliminary Precertification Review"),IF(AND(T236=0,U236=0),"",IF(AND(T236&gt;0,U236&gt;0),"MISMATCH","")),"")</f>
        <v/>
      </c>
      <c r="O236" s="305" t="str">
        <f>IF(OR(Overview!$D$4="Preliminary Documentation Review",Overview!$D$4="Preliminary Precertification Review"),IF(AND(V236=0,W236=0),"",IF(AND(V236&gt;0,W236&gt;0),"","MISMATCH")),"")</f>
        <v/>
      </c>
      <c r="P236" s="286">
        <f t="shared" si="41"/>
        <v>0</v>
      </c>
      <c r="Q236" s="286">
        <f t="shared" si="31"/>
        <v>0</v>
      </c>
      <c r="R236" s="305">
        <f t="shared" si="42"/>
        <v>0</v>
      </c>
      <c r="S236" s="305">
        <f t="shared" si="32"/>
        <v>0</v>
      </c>
      <c r="T236" s="305">
        <f t="shared" si="39"/>
        <v>35</v>
      </c>
      <c r="U236" s="305">
        <f t="shared" si="40"/>
        <v>0</v>
      </c>
      <c r="V236" s="305">
        <f t="shared" si="37"/>
        <v>35</v>
      </c>
      <c r="W236" s="305">
        <f t="shared" si="38"/>
        <v>1</v>
      </c>
    </row>
    <row r="237" spans="2:23" ht="45.6">
      <c r="B237" s="891"/>
      <c r="C237" s="838"/>
      <c r="D237" s="850"/>
      <c r="E237" s="550" t="s">
        <v>1373</v>
      </c>
      <c r="F237" s="562">
        <v>1</v>
      </c>
      <c r="G237" s="552" t="s">
        <v>309</v>
      </c>
      <c r="H237" s="553" t="s">
        <v>1458</v>
      </c>
      <c r="I237" s="554" t="s">
        <v>1208</v>
      </c>
      <c r="L237" s="305" t="str">
        <f>IF(OR(Overview!$D$4="Preliminary Documentation Review",Overview!$D$4="Preliminary Precertification Review"),IF(AND(P237=0,Q237=0),"",IF(AND(P237&gt;0,Q237&gt;0),"","MISMATCH")),"")</f>
        <v/>
      </c>
      <c r="M237" s="305" t="str">
        <f>IF(OR(Overview!$D$4="Preliminary Documentation Review",Overview!$D$4="Preliminary Precertification Review"),IF(AND(R237=0,S237=0),"",IF(AND(R237&gt;0,S237&gt;0),"","MISMATCH")),"")</f>
        <v/>
      </c>
      <c r="N237" s="305" t="str">
        <f>IF(OR(Overview!$D$4="Preliminary Documentation Review",Overview!$D$4="Preliminary Precertification Review"),IF(AND(T237=0,U237=0),"",IF(AND(T237&gt;0,U237&gt;0),"MISMATCH","")),"")</f>
        <v/>
      </c>
      <c r="O237" s="305" t="str">
        <f>IF(OR(Overview!$D$4="Preliminary Documentation Review",Overview!$D$4="Preliminary Precertification Review"),IF(AND(V237=0,W237=0),"",IF(AND(V237&gt;0,W237&gt;0),"","MISMATCH")),"")</f>
        <v/>
      </c>
      <c r="P237" s="286">
        <f t="shared" si="41"/>
        <v>0</v>
      </c>
      <c r="Q237" s="286">
        <f t="shared" si="31"/>
        <v>0</v>
      </c>
      <c r="R237" s="305">
        <f t="shared" si="42"/>
        <v>0</v>
      </c>
      <c r="S237" s="305">
        <f t="shared" si="32"/>
        <v>0</v>
      </c>
      <c r="T237" s="305">
        <f t="shared" si="39"/>
        <v>0</v>
      </c>
      <c r="U237" s="305">
        <f t="shared" si="40"/>
        <v>0</v>
      </c>
      <c r="V237" s="305">
        <f t="shared" si="37"/>
        <v>0</v>
      </c>
      <c r="W237" s="305">
        <f t="shared" si="38"/>
        <v>0</v>
      </c>
    </row>
    <row r="238" spans="2:23" ht="45.6">
      <c r="B238" s="891"/>
      <c r="C238" s="548" t="s">
        <v>767</v>
      </c>
      <c r="D238" s="549" t="s">
        <v>1046</v>
      </c>
      <c r="E238" s="550" t="s">
        <v>1374</v>
      </c>
      <c r="F238" s="564"/>
      <c r="G238" s="552" t="s">
        <v>25</v>
      </c>
      <c r="H238" s="553" t="s">
        <v>1176</v>
      </c>
      <c r="I238" s="554" t="s">
        <v>1177</v>
      </c>
      <c r="L238" s="305" t="str">
        <f>IF(OR(Overview!$D$4="Preliminary Documentation Review",Overview!$D$4="Preliminary Precertification Review"),IF(AND(P238=0,Q238=0),"",IF(AND(P238&gt;0,Q238&gt;0),"","MISMATCH")),"")</f>
        <v/>
      </c>
      <c r="M238" s="305" t="str">
        <f>IF(OR(Overview!$D$4="Preliminary Documentation Review",Overview!$D$4="Preliminary Precertification Review"),IF(AND(R238=0,S238=0),"",IF(AND(R238&gt;0,S238&gt;0),"","MISMATCH")),"")</f>
        <v/>
      </c>
      <c r="N238" s="305" t="str">
        <f>IF(OR(Overview!$D$4="Preliminary Documentation Review",Overview!$D$4="Preliminary Precertification Review"),IF(AND(T238=0,U238=0),"",IF(AND(T238&gt;0,U238&gt;0),"MISMATCH","")),"")</f>
        <v/>
      </c>
      <c r="O238" s="305" t="str">
        <f>IF(OR(Overview!$D$4="Preliminary Documentation Review",Overview!$D$4="Preliminary Precertification Review"),IF(AND(V238=0,W238=0),"",IF(AND(V238&gt;0,W238&gt;0),"","MISMATCH")),"")</f>
        <v/>
      </c>
      <c r="P238" s="286">
        <f t="shared" si="41"/>
        <v>0</v>
      </c>
      <c r="Q238" s="286">
        <f t="shared" si="31"/>
        <v>0</v>
      </c>
      <c r="R238" s="305">
        <f t="shared" si="42"/>
        <v>0</v>
      </c>
      <c r="S238" s="305">
        <f t="shared" si="32"/>
        <v>0</v>
      </c>
      <c r="T238" s="305">
        <f t="shared" si="39"/>
        <v>35</v>
      </c>
      <c r="U238" s="305">
        <f t="shared" si="40"/>
        <v>0</v>
      </c>
      <c r="V238" s="305">
        <f t="shared" si="37"/>
        <v>35</v>
      </c>
      <c r="W238" s="305">
        <f t="shared" si="38"/>
        <v>1</v>
      </c>
    </row>
    <row r="239" spans="2:23" ht="45.6">
      <c r="B239" s="891"/>
      <c r="C239" s="548" t="s">
        <v>767</v>
      </c>
      <c r="D239" s="549" t="s">
        <v>1048</v>
      </c>
      <c r="E239" s="550" t="s">
        <v>1375</v>
      </c>
      <c r="F239" s="564">
        <v>1</v>
      </c>
      <c r="G239" s="552" t="s">
        <v>309</v>
      </c>
      <c r="H239" s="553" t="s">
        <v>1458</v>
      </c>
      <c r="I239" s="554" t="s">
        <v>1208</v>
      </c>
      <c r="L239" s="305" t="str">
        <f>IF(OR(Overview!$D$4="Preliminary Documentation Review",Overview!$D$4="Preliminary Precertification Review"),IF(AND(P239=0,Q239=0),"",IF(AND(P239&gt;0,Q239&gt;0),"","MISMATCH")),"")</f>
        <v/>
      </c>
      <c r="M239" s="305" t="str">
        <f>IF(OR(Overview!$D$4="Preliminary Documentation Review",Overview!$D$4="Preliminary Precertification Review"),IF(AND(R239=0,S239=0),"",IF(AND(R239&gt;0,S239&gt;0),"","MISMATCH")),"")</f>
        <v/>
      </c>
      <c r="N239" s="305" t="str">
        <f>IF(OR(Overview!$D$4="Preliminary Documentation Review",Overview!$D$4="Preliminary Precertification Review"),IF(AND(T239=0,U239=0),"",IF(AND(T239&gt;0,U239&gt;0),"MISMATCH","")),"")</f>
        <v/>
      </c>
      <c r="O239" s="305" t="str">
        <f>IF(OR(Overview!$D$4="Preliminary Documentation Review",Overview!$D$4="Preliminary Precertification Review"),IF(AND(V239=0,W239=0),"",IF(AND(V239&gt;0,W239&gt;0),"","MISMATCH")),"")</f>
        <v/>
      </c>
      <c r="P239" s="286">
        <f t="shared" si="41"/>
        <v>0</v>
      </c>
      <c r="Q239" s="286">
        <f t="shared" si="31"/>
        <v>0</v>
      </c>
      <c r="R239" s="305">
        <f t="shared" si="42"/>
        <v>0</v>
      </c>
      <c r="S239" s="305">
        <f t="shared" si="32"/>
        <v>0</v>
      </c>
      <c r="T239" s="305">
        <f t="shared" si="39"/>
        <v>0</v>
      </c>
      <c r="U239" s="305">
        <f t="shared" si="40"/>
        <v>0</v>
      </c>
      <c r="V239" s="305">
        <f t="shared" si="37"/>
        <v>0</v>
      </c>
      <c r="W239" s="305">
        <f t="shared" si="38"/>
        <v>0</v>
      </c>
    </row>
    <row r="240" spans="2:23" ht="45.6">
      <c r="B240" s="891"/>
      <c r="C240" s="838" t="s">
        <v>767</v>
      </c>
      <c r="D240" s="850" t="s">
        <v>1050</v>
      </c>
      <c r="E240" s="550" t="s">
        <v>1376</v>
      </c>
      <c r="F240" s="559"/>
      <c r="G240" s="552" t="s">
        <v>25</v>
      </c>
      <c r="H240" s="553" t="s">
        <v>1176</v>
      </c>
      <c r="I240" s="554" t="s">
        <v>1177</v>
      </c>
      <c r="L240" s="305" t="str">
        <f>IF(OR(Overview!$D$4="Preliminary Documentation Review",Overview!$D$4="Preliminary Precertification Review"),IF(AND(P240=0,Q240=0),"",IF(AND(P240&gt;0,Q240&gt;0),"","MISMATCH")),"")</f>
        <v/>
      </c>
      <c r="M240" s="305" t="str">
        <f>IF(OR(Overview!$D$4="Preliminary Documentation Review",Overview!$D$4="Preliminary Precertification Review"),IF(AND(R240=0,S240=0),"",IF(AND(R240&gt;0,S240&gt;0),"","MISMATCH")),"")</f>
        <v/>
      </c>
      <c r="N240" s="305" t="str">
        <f>IF(OR(Overview!$D$4="Preliminary Documentation Review",Overview!$D$4="Preliminary Precertification Review"),IF(AND(T240=0,U240=0),"",IF(AND(T240&gt;0,U240&gt;0),"MISMATCH","")),"")</f>
        <v/>
      </c>
      <c r="O240" s="305" t="str">
        <f>IF(OR(Overview!$D$4="Preliminary Documentation Review",Overview!$D$4="Preliminary Precertification Review"),IF(AND(V240=0,W240=0),"",IF(AND(V240&gt;0,W240&gt;0),"","MISMATCH")),"")</f>
        <v/>
      </c>
      <c r="P240" s="286">
        <f t="shared" si="41"/>
        <v>0</v>
      </c>
      <c r="Q240" s="286">
        <f t="shared" si="31"/>
        <v>0</v>
      </c>
      <c r="R240" s="305">
        <f t="shared" si="42"/>
        <v>0</v>
      </c>
      <c r="S240" s="305">
        <f t="shared" si="32"/>
        <v>0</v>
      </c>
      <c r="T240" s="305">
        <f t="shared" si="39"/>
        <v>35</v>
      </c>
      <c r="U240" s="305">
        <f t="shared" si="40"/>
        <v>0</v>
      </c>
      <c r="V240" s="305">
        <f t="shared" si="37"/>
        <v>35</v>
      </c>
      <c r="W240" s="305">
        <f t="shared" si="38"/>
        <v>1</v>
      </c>
    </row>
    <row r="241" spans="2:23" ht="45.6">
      <c r="B241" s="891"/>
      <c r="C241" s="838"/>
      <c r="D241" s="850"/>
      <c r="E241" s="550" t="s">
        <v>1377</v>
      </c>
      <c r="F241" s="562"/>
      <c r="G241" s="552" t="s">
        <v>25</v>
      </c>
      <c r="H241" s="553" t="s">
        <v>1176</v>
      </c>
      <c r="I241" s="554" t="s">
        <v>1177</v>
      </c>
      <c r="L241" s="305" t="str">
        <f>IF(OR(Overview!$D$4="Preliminary Documentation Review",Overview!$D$4="Preliminary Precertification Review"),IF(AND(P241=0,Q241=0),"",IF(AND(P241&gt;0,Q241&gt;0),"","MISMATCH")),"")</f>
        <v/>
      </c>
      <c r="M241" s="305" t="str">
        <f>IF(OR(Overview!$D$4="Preliminary Documentation Review",Overview!$D$4="Preliminary Precertification Review"),IF(AND(R241=0,S241=0),"",IF(AND(R241&gt;0,S241&gt;0),"","MISMATCH")),"")</f>
        <v/>
      </c>
      <c r="N241" s="305" t="str">
        <f>IF(OR(Overview!$D$4="Preliminary Documentation Review",Overview!$D$4="Preliminary Precertification Review"),IF(AND(T241=0,U241=0),"",IF(AND(T241&gt;0,U241&gt;0),"MISMATCH","")),"")</f>
        <v/>
      </c>
      <c r="O241" s="305" t="str">
        <f>IF(OR(Overview!$D$4="Preliminary Documentation Review",Overview!$D$4="Preliminary Precertification Review"),IF(AND(V241=0,W241=0),"",IF(AND(V241&gt;0,W241&gt;0),"","MISMATCH")),"")</f>
        <v/>
      </c>
      <c r="P241" s="286">
        <f t="shared" si="41"/>
        <v>0</v>
      </c>
      <c r="Q241" s="286">
        <f t="shared" ref="Q241:Q316" si="43">IFERROR(SEARCH("Pending Documentation",$H241),0)</f>
        <v>0</v>
      </c>
      <c r="R241" s="305">
        <f t="shared" si="42"/>
        <v>0</v>
      </c>
      <c r="S241" s="305">
        <f t="shared" ref="S241:S316" si="44">IFERROR(SEARCH("Pending On",$H241),0)</f>
        <v>0</v>
      </c>
      <c r="T241" s="305">
        <f t="shared" si="39"/>
        <v>35</v>
      </c>
      <c r="U241" s="305">
        <f t="shared" si="40"/>
        <v>0</v>
      </c>
      <c r="V241" s="305">
        <f t="shared" si="37"/>
        <v>35</v>
      </c>
      <c r="W241" s="305">
        <f t="shared" si="38"/>
        <v>1</v>
      </c>
    </row>
    <row r="242" spans="2:23" ht="45.6">
      <c r="B242" s="891"/>
      <c r="C242" s="838" t="s">
        <v>767</v>
      </c>
      <c r="D242" s="850" t="s">
        <v>1053</v>
      </c>
      <c r="E242" s="550" t="s">
        <v>1378</v>
      </c>
      <c r="F242" s="559"/>
      <c r="G242" s="552" t="s">
        <v>25</v>
      </c>
      <c r="H242" s="553" t="s">
        <v>1176</v>
      </c>
      <c r="I242" s="554" t="s">
        <v>1177</v>
      </c>
      <c r="L242" s="305" t="str">
        <f>IF(OR(Overview!$D$4="Preliminary Documentation Review",Overview!$D$4="Preliminary Precertification Review"),IF(AND(P242=0,Q242=0),"",IF(AND(P242&gt;0,Q242&gt;0),"","MISMATCH")),"")</f>
        <v/>
      </c>
      <c r="M242" s="305" t="str">
        <f>IF(OR(Overview!$D$4="Preliminary Documentation Review",Overview!$D$4="Preliminary Precertification Review"),IF(AND(R242=0,S242=0),"",IF(AND(R242&gt;0,S242&gt;0),"","MISMATCH")),"")</f>
        <v/>
      </c>
      <c r="N242" s="305" t="str">
        <f>IF(OR(Overview!$D$4="Preliminary Documentation Review",Overview!$D$4="Preliminary Precertification Review"),IF(AND(T242=0,U242=0),"",IF(AND(T242&gt;0,U242&gt;0),"MISMATCH","")),"")</f>
        <v/>
      </c>
      <c r="O242" s="305" t="str">
        <f>IF(OR(Overview!$D$4="Preliminary Documentation Review",Overview!$D$4="Preliminary Precertification Review"),IF(AND(V242=0,W242=0),"",IF(AND(V242&gt;0,W242&gt;0),"","MISMATCH")),"")</f>
        <v/>
      </c>
      <c r="P242" s="286">
        <f t="shared" si="41"/>
        <v>0</v>
      </c>
      <c r="Q242" s="286">
        <f t="shared" si="43"/>
        <v>0</v>
      </c>
      <c r="R242" s="305">
        <f t="shared" si="42"/>
        <v>0</v>
      </c>
      <c r="S242" s="305">
        <f t="shared" si="44"/>
        <v>0</v>
      </c>
      <c r="T242" s="305">
        <f t="shared" si="39"/>
        <v>35</v>
      </c>
      <c r="U242" s="305">
        <f t="shared" si="40"/>
        <v>0</v>
      </c>
      <c r="V242" s="305">
        <f t="shared" si="37"/>
        <v>35</v>
      </c>
      <c r="W242" s="305">
        <f t="shared" si="38"/>
        <v>1</v>
      </c>
    </row>
    <row r="243" spans="2:23" ht="45.6">
      <c r="B243" s="891"/>
      <c r="C243" s="838"/>
      <c r="D243" s="850"/>
      <c r="E243" s="550" t="s">
        <v>1379</v>
      </c>
      <c r="F243" s="562"/>
      <c r="G243" s="552" t="s">
        <v>25</v>
      </c>
      <c r="H243" s="553" t="s">
        <v>1176</v>
      </c>
      <c r="I243" s="554" t="s">
        <v>1177</v>
      </c>
      <c r="L243" s="305" t="str">
        <f>IF(OR(Overview!$D$4="Preliminary Documentation Review",Overview!$D$4="Preliminary Precertification Review"),IF(AND(P243=0,Q243=0),"",IF(AND(P243&gt;0,Q243&gt;0),"","MISMATCH")),"")</f>
        <v/>
      </c>
      <c r="M243" s="305" t="str">
        <f>IF(OR(Overview!$D$4="Preliminary Documentation Review",Overview!$D$4="Preliminary Precertification Review"),IF(AND(R243=0,S243=0),"",IF(AND(R243&gt;0,S243&gt;0),"","MISMATCH")),"")</f>
        <v/>
      </c>
      <c r="N243" s="305" t="str">
        <f>IF(OR(Overview!$D$4="Preliminary Documentation Review",Overview!$D$4="Preliminary Precertification Review"),IF(AND(T243=0,U243=0),"",IF(AND(T243&gt;0,U243&gt;0),"MISMATCH","")),"")</f>
        <v/>
      </c>
      <c r="O243" s="305" t="str">
        <f>IF(OR(Overview!$D$4="Preliminary Documentation Review",Overview!$D$4="Preliminary Precertification Review"),IF(AND(V243=0,W243=0),"",IF(AND(V243&gt;0,W243&gt;0),"","MISMATCH")),"")</f>
        <v/>
      </c>
      <c r="P243" s="286">
        <f t="shared" si="41"/>
        <v>0</v>
      </c>
      <c r="Q243" s="286">
        <f t="shared" si="43"/>
        <v>0</v>
      </c>
      <c r="R243" s="305">
        <f t="shared" si="42"/>
        <v>0</v>
      </c>
      <c r="S243" s="305">
        <f t="shared" si="44"/>
        <v>0</v>
      </c>
      <c r="T243" s="305">
        <f t="shared" si="39"/>
        <v>35</v>
      </c>
      <c r="U243" s="305">
        <f t="shared" si="40"/>
        <v>0</v>
      </c>
      <c r="V243" s="305">
        <f t="shared" si="37"/>
        <v>35</v>
      </c>
      <c r="W243" s="305">
        <f t="shared" si="38"/>
        <v>1</v>
      </c>
    </row>
    <row r="244" spans="2:23" ht="45.6">
      <c r="B244" s="891"/>
      <c r="C244" s="548" t="s">
        <v>767</v>
      </c>
      <c r="D244" s="549" t="s">
        <v>1056</v>
      </c>
      <c r="E244" s="550" t="s">
        <v>1380</v>
      </c>
      <c r="F244" s="564"/>
      <c r="G244" s="552" t="s">
        <v>25</v>
      </c>
      <c r="H244" s="553" t="s">
        <v>1176</v>
      </c>
      <c r="I244" s="554" t="s">
        <v>1177</v>
      </c>
      <c r="L244" s="305" t="str">
        <f>IF(OR(Overview!$D$4="Preliminary Documentation Review",Overview!$D$4="Preliminary Precertification Review"),IF(AND(P244=0,Q244=0),"",IF(AND(P244&gt;0,Q244&gt;0),"","MISMATCH")),"")</f>
        <v/>
      </c>
      <c r="M244" s="305" t="str">
        <f>IF(OR(Overview!$D$4="Preliminary Documentation Review",Overview!$D$4="Preliminary Precertification Review"),IF(AND(R244=0,S244=0),"",IF(AND(R244&gt;0,S244&gt;0),"","MISMATCH")),"")</f>
        <v/>
      </c>
      <c r="N244" s="305" t="str">
        <f>IF(OR(Overview!$D$4="Preliminary Documentation Review",Overview!$D$4="Preliminary Precertification Review"),IF(AND(T244=0,U244=0),"",IF(AND(T244&gt;0,U244&gt;0),"MISMATCH","")),"")</f>
        <v/>
      </c>
      <c r="O244" s="305" t="str">
        <f>IF(OR(Overview!$D$4="Preliminary Documentation Review",Overview!$D$4="Preliminary Precertification Review"),IF(AND(V244=0,W244=0),"",IF(AND(V244&gt;0,W244&gt;0),"","MISMATCH")),"")</f>
        <v/>
      </c>
      <c r="P244" s="286">
        <f t="shared" si="41"/>
        <v>0</v>
      </c>
      <c r="Q244" s="286">
        <f t="shared" si="43"/>
        <v>0</v>
      </c>
      <c r="R244" s="305">
        <f t="shared" si="42"/>
        <v>0</v>
      </c>
      <c r="S244" s="305">
        <f t="shared" si="44"/>
        <v>0</v>
      </c>
      <c r="T244" s="305">
        <f t="shared" si="39"/>
        <v>35</v>
      </c>
      <c r="U244" s="305">
        <f t="shared" si="40"/>
        <v>0</v>
      </c>
      <c r="V244" s="305">
        <f t="shared" si="37"/>
        <v>35</v>
      </c>
      <c r="W244" s="305">
        <f t="shared" si="38"/>
        <v>1</v>
      </c>
    </row>
    <row r="245" spans="2:23" ht="45.6">
      <c r="B245" s="891"/>
      <c r="C245" s="838" t="s">
        <v>767</v>
      </c>
      <c r="D245" s="850" t="s">
        <v>1058</v>
      </c>
      <c r="E245" s="550" t="s">
        <v>1381</v>
      </c>
      <c r="F245" s="559">
        <v>1</v>
      </c>
      <c r="G245" s="552" t="s">
        <v>309</v>
      </c>
      <c r="H245" s="553" t="s">
        <v>1458</v>
      </c>
      <c r="I245" s="554" t="s">
        <v>1208</v>
      </c>
      <c r="L245" s="305" t="str">
        <f>IF(OR(Overview!$D$4="Preliminary Documentation Review",Overview!$D$4="Preliminary Precertification Review"),IF(AND(P245=0,Q245=0),"",IF(AND(P245&gt;0,Q245&gt;0),"","MISMATCH")),"")</f>
        <v/>
      </c>
      <c r="M245" s="305" t="str">
        <f>IF(OR(Overview!$D$4="Preliminary Documentation Review",Overview!$D$4="Preliminary Precertification Review"),IF(AND(R245=0,S245=0),"",IF(AND(R245&gt;0,S245&gt;0),"","MISMATCH")),"")</f>
        <v/>
      </c>
      <c r="N245" s="305" t="str">
        <f>IF(OR(Overview!$D$4="Preliminary Documentation Review",Overview!$D$4="Preliminary Precertification Review"),IF(AND(T245=0,U245=0),"",IF(AND(T245&gt;0,U245&gt;0),"MISMATCH","")),"")</f>
        <v/>
      </c>
      <c r="O245" s="305" t="str">
        <f>IF(OR(Overview!$D$4="Preliminary Documentation Review",Overview!$D$4="Preliminary Precertification Review"),IF(AND(V245=0,W245=0),"",IF(AND(V245&gt;0,W245&gt;0),"","MISMATCH")),"")</f>
        <v/>
      </c>
      <c r="P245" s="286">
        <f t="shared" si="41"/>
        <v>0</v>
      </c>
      <c r="Q245" s="286">
        <f t="shared" si="43"/>
        <v>0</v>
      </c>
      <c r="R245" s="305">
        <f t="shared" si="42"/>
        <v>0</v>
      </c>
      <c r="S245" s="305">
        <f t="shared" si="44"/>
        <v>0</v>
      </c>
      <c r="T245" s="305">
        <f t="shared" si="39"/>
        <v>0</v>
      </c>
      <c r="U245" s="305">
        <f t="shared" si="40"/>
        <v>0</v>
      </c>
      <c r="V245" s="305">
        <f t="shared" si="37"/>
        <v>0</v>
      </c>
      <c r="W245" s="305">
        <f t="shared" si="38"/>
        <v>0</v>
      </c>
    </row>
    <row r="246" spans="2:23" ht="45.6">
      <c r="B246" s="891"/>
      <c r="C246" s="838"/>
      <c r="D246" s="850"/>
      <c r="E246" s="550" t="s">
        <v>1382</v>
      </c>
      <c r="F246" s="562"/>
      <c r="G246" s="552" t="s">
        <v>25</v>
      </c>
      <c r="H246" s="553" t="s">
        <v>1176</v>
      </c>
      <c r="I246" s="554" t="s">
        <v>1177</v>
      </c>
      <c r="L246" s="305" t="str">
        <f>IF(OR(Overview!$D$4="Preliminary Documentation Review",Overview!$D$4="Preliminary Precertification Review"),IF(AND(P246=0,Q246=0),"",IF(AND(P246&gt;0,Q246&gt;0),"","MISMATCH")),"")</f>
        <v/>
      </c>
      <c r="M246" s="305" t="str">
        <f>IF(OR(Overview!$D$4="Preliminary Documentation Review",Overview!$D$4="Preliminary Precertification Review"),IF(AND(R246=0,S246=0),"",IF(AND(R246&gt;0,S246&gt;0),"","MISMATCH")),"")</f>
        <v/>
      </c>
      <c r="N246" s="305" t="str">
        <f>IF(OR(Overview!$D$4="Preliminary Documentation Review",Overview!$D$4="Preliminary Precertification Review"),IF(AND(T246=0,U246=0),"",IF(AND(T246&gt;0,U246&gt;0),"MISMATCH","")),"")</f>
        <v/>
      </c>
      <c r="O246" s="305" t="str">
        <f>IF(OR(Overview!$D$4="Preliminary Documentation Review",Overview!$D$4="Preliminary Precertification Review"),IF(AND(V246=0,W246=0),"",IF(AND(V246&gt;0,W246&gt;0),"","MISMATCH")),"")</f>
        <v/>
      </c>
      <c r="P246" s="286">
        <f t="shared" si="41"/>
        <v>0</v>
      </c>
      <c r="Q246" s="286">
        <f t="shared" si="43"/>
        <v>0</v>
      </c>
      <c r="R246" s="305">
        <f t="shared" si="42"/>
        <v>0</v>
      </c>
      <c r="S246" s="305">
        <f t="shared" si="44"/>
        <v>0</v>
      </c>
      <c r="T246" s="305">
        <f t="shared" si="39"/>
        <v>35</v>
      </c>
      <c r="U246" s="305">
        <f t="shared" si="40"/>
        <v>0</v>
      </c>
      <c r="V246" s="305">
        <f t="shared" si="37"/>
        <v>35</v>
      </c>
      <c r="W246" s="305">
        <f t="shared" si="38"/>
        <v>1</v>
      </c>
    </row>
    <row r="247" spans="2:23" ht="45.6">
      <c r="B247" s="891"/>
      <c r="C247" s="838" t="s">
        <v>767</v>
      </c>
      <c r="D247" s="850" t="s">
        <v>1061</v>
      </c>
      <c r="E247" s="550" t="s">
        <v>1383</v>
      </c>
      <c r="F247" s="559"/>
      <c r="G247" s="552" t="s">
        <v>25</v>
      </c>
      <c r="H247" s="553" t="s">
        <v>1176</v>
      </c>
      <c r="I247" s="554" t="s">
        <v>1177</v>
      </c>
      <c r="L247" s="305" t="str">
        <f>IF(OR(Overview!$D$4="Preliminary Documentation Review",Overview!$D$4="Preliminary Precertification Review"),IF(AND(P247=0,Q247=0),"",IF(AND(P247&gt;0,Q247&gt;0),"","MISMATCH")),"")</f>
        <v/>
      </c>
      <c r="M247" s="305" t="str">
        <f>IF(OR(Overview!$D$4="Preliminary Documentation Review",Overview!$D$4="Preliminary Precertification Review"),IF(AND(R247=0,S247=0),"",IF(AND(R247&gt;0,S247&gt;0),"","MISMATCH")),"")</f>
        <v/>
      </c>
      <c r="N247" s="305" t="str">
        <f>IF(OR(Overview!$D$4="Preliminary Documentation Review",Overview!$D$4="Preliminary Precertification Review"),IF(AND(T247=0,U247=0),"",IF(AND(T247&gt;0,U247&gt;0),"MISMATCH","")),"")</f>
        <v/>
      </c>
      <c r="O247" s="305" t="str">
        <f>IF(OR(Overview!$D$4="Preliminary Documentation Review",Overview!$D$4="Preliminary Precertification Review"),IF(AND(V247=0,W247=0),"",IF(AND(V247&gt;0,W247&gt;0),"","MISMATCH")),"")</f>
        <v/>
      </c>
      <c r="P247" s="286">
        <f t="shared" si="41"/>
        <v>0</v>
      </c>
      <c r="Q247" s="286">
        <f t="shared" si="43"/>
        <v>0</v>
      </c>
      <c r="R247" s="305">
        <f t="shared" si="42"/>
        <v>0</v>
      </c>
      <c r="S247" s="305">
        <f t="shared" si="44"/>
        <v>0</v>
      </c>
      <c r="T247" s="305">
        <f t="shared" si="39"/>
        <v>35</v>
      </c>
      <c r="U247" s="305">
        <f t="shared" si="40"/>
        <v>0</v>
      </c>
      <c r="V247" s="305">
        <f t="shared" si="37"/>
        <v>35</v>
      </c>
      <c r="W247" s="305">
        <f t="shared" si="38"/>
        <v>1</v>
      </c>
    </row>
    <row r="248" spans="2:23" ht="45.6">
      <c r="B248" s="891"/>
      <c r="C248" s="838"/>
      <c r="D248" s="850"/>
      <c r="E248" s="550" t="s">
        <v>1384</v>
      </c>
      <c r="F248" s="562"/>
      <c r="G248" s="552" t="s">
        <v>25</v>
      </c>
      <c r="H248" s="553" t="s">
        <v>1176</v>
      </c>
      <c r="I248" s="554" t="s">
        <v>1177</v>
      </c>
      <c r="L248" s="305" t="str">
        <f>IF(OR(Overview!$D$4="Preliminary Documentation Review",Overview!$D$4="Preliminary Precertification Review"),IF(AND(P248=0,Q248=0),"",IF(AND(P248&gt;0,Q248&gt;0),"","MISMATCH")),"")</f>
        <v/>
      </c>
      <c r="M248" s="305" t="str">
        <f>IF(OR(Overview!$D$4="Preliminary Documentation Review",Overview!$D$4="Preliminary Precertification Review"),IF(AND(R248=0,S248=0),"",IF(AND(R248&gt;0,S248&gt;0),"","MISMATCH")),"")</f>
        <v/>
      </c>
      <c r="N248" s="305" t="str">
        <f>IF(OR(Overview!$D$4="Preliminary Documentation Review",Overview!$D$4="Preliminary Precertification Review"),IF(AND(T248=0,U248=0),"",IF(AND(T248&gt;0,U248&gt;0),"MISMATCH","")),"")</f>
        <v/>
      </c>
      <c r="O248" s="305" t="str">
        <f>IF(OR(Overview!$D$4="Preliminary Documentation Review",Overview!$D$4="Preliminary Precertification Review"),IF(AND(V248=0,W248=0),"",IF(AND(V248&gt;0,W248&gt;0),"","MISMATCH")),"")</f>
        <v/>
      </c>
      <c r="P248" s="286">
        <f t="shared" si="41"/>
        <v>0</v>
      </c>
      <c r="Q248" s="286">
        <f t="shared" si="43"/>
        <v>0</v>
      </c>
      <c r="R248" s="305">
        <f t="shared" si="42"/>
        <v>0</v>
      </c>
      <c r="S248" s="305">
        <f t="shared" si="44"/>
        <v>0</v>
      </c>
      <c r="T248" s="305">
        <f t="shared" si="39"/>
        <v>35</v>
      </c>
      <c r="U248" s="305">
        <f t="shared" si="40"/>
        <v>0</v>
      </c>
      <c r="V248" s="305">
        <f t="shared" si="37"/>
        <v>35</v>
      </c>
      <c r="W248" s="305">
        <f t="shared" si="38"/>
        <v>1</v>
      </c>
    </row>
    <row r="249" spans="2:23" ht="45.6">
      <c r="B249" s="891"/>
      <c r="C249" s="548" t="s">
        <v>767</v>
      </c>
      <c r="D249" s="549" t="s">
        <v>1064</v>
      </c>
      <c r="E249" s="550" t="s">
        <v>1385</v>
      </c>
      <c r="F249" s="564"/>
      <c r="G249" s="552" t="s">
        <v>25</v>
      </c>
      <c r="H249" s="553" t="s">
        <v>1176</v>
      </c>
      <c r="I249" s="554" t="s">
        <v>1177</v>
      </c>
      <c r="L249" s="305" t="str">
        <f>IF(OR(Overview!$D$4="Preliminary Documentation Review",Overview!$D$4="Preliminary Precertification Review"),IF(AND(P249=0,Q249=0),"",IF(AND(P249&gt;0,Q249&gt;0),"","MISMATCH")),"")</f>
        <v/>
      </c>
      <c r="M249" s="305" t="str">
        <f>IF(OR(Overview!$D$4="Preliminary Documentation Review",Overview!$D$4="Preliminary Precertification Review"),IF(AND(R249=0,S249=0),"",IF(AND(R249&gt;0,S249&gt;0),"","MISMATCH")),"")</f>
        <v/>
      </c>
      <c r="N249" s="305" t="str">
        <f>IF(OR(Overview!$D$4="Preliminary Documentation Review",Overview!$D$4="Preliminary Precertification Review"),IF(AND(T249=0,U249=0),"",IF(AND(T249&gt;0,U249&gt;0),"MISMATCH","")),"")</f>
        <v/>
      </c>
      <c r="O249" s="305" t="str">
        <f>IF(OR(Overview!$D$4="Preliminary Documentation Review",Overview!$D$4="Preliminary Precertification Review"),IF(AND(V249=0,W249=0),"",IF(AND(V249&gt;0,W249&gt;0),"","MISMATCH")),"")</f>
        <v/>
      </c>
      <c r="P249" s="286">
        <f t="shared" si="41"/>
        <v>0</v>
      </c>
      <c r="Q249" s="286">
        <f t="shared" si="43"/>
        <v>0</v>
      </c>
      <c r="R249" s="305">
        <f t="shared" si="42"/>
        <v>0</v>
      </c>
      <c r="S249" s="305">
        <f t="shared" si="44"/>
        <v>0</v>
      </c>
      <c r="T249" s="305">
        <f t="shared" si="39"/>
        <v>35</v>
      </c>
      <c r="U249" s="305">
        <f t="shared" si="40"/>
        <v>0</v>
      </c>
      <c r="V249" s="305">
        <f t="shared" si="37"/>
        <v>35</v>
      </c>
      <c r="W249" s="305">
        <f t="shared" si="38"/>
        <v>1</v>
      </c>
    </row>
    <row r="250" spans="2:23">
      <c r="B250" s="670"/>
      <c r="C250" s="671"/>
      <c r="D250" s="672"/>
      <c r="E250" s="673"/>
      <c r="F250" s="654"/>
      <c r="G250" s="654"/>
      <c r="H250" s="674"/>
      <c r="I250" s="675"/>
      <c r="L250" s="305" t="str">
        <f>IF(OR(Overview!$D$4="Preliminary Documentation Review",Overview!$D$4="Preliminary Precertification Review"),IF(AND(P250=0,Q250=0),"",IF(AND(P250&gt;0,Q250&gt;0),"","MISMATCH")),"")</f>
        <v/>
      </c>
      <c r="M250" s="305" t="str">
        <f>IF(OR(Overview!$D$4="Preliminary Documentation Review",Overview!$D$4="Preliminary Precertification Review"),IF(AND(R250=0,S250=0),"",IF(AND(R250&gt;0,S250&gt;0),"","MISMATCH")),"")</f>
        <v/>
      </c>
      <c r="N250" s="305" t="str">
        <f>IF(OR(Overview!$D$4="Preliminary Documentation Review",Overview!$D$4="Preliminary Precertification Review"),IF(AND(T250=0,U250=0),"",IF(AND(T250&gt;0,U250&gt;0),"MISMATCH","")),"")</f>
        <v/>
      </c>
      <c r="O250" s="305" t="str">
        <f>IF(OR(Overview!$D$4="Preliminary Documentation Review",Overview!$D$4="Preliminary Precertification Review"),IF(AND(V250=0,W250=0),"",IF(AND(V250&gt;0,W250&gt;0),"","MISMATCH")),"")</f>
        <v/>
      </c>
      <c r="P250" s="286">
        <f t="shared" si="41"/>
        <v>0</v>
      </c>
      <c r="Q250" s="286">
        <f t="shared" si="43"/>
        <v>0</v>
      </c>
      <c r="R250" s="305">
        <f t="shared" si="42"/>
        <v>0</v>
      </c>
      <c r="S250" s="305">
        <f t="shared" si="44"/>
        <v>0</v>
      </c>
      <c r="T250" s="305">
        <f t="shared" si="39"/>
        <v>0</v>
      </c>
      <c r="U250" s="305">
        <f t="shared" si="40"/>
        <v>0</v>
      </c>
      <c r="V250" s="305">
        <f t="shared" si="37"/>
        <v>0</v>
      </c>
      <c r="W250" s="305">
        <f t="shared" si="38"/>
        <v>0</v>
      </c>
    </row>
    <row r="251" spans="2:23">
      <c r="B251" s="573"/>
      <c r="C251" s="574"/>
      <c r="D251" s="575"/>
      <c r="E251" s="576"/>
      <c r="F251" s="654"/>
      <c r="G251" s="654"/>
      <c r="H251" s="578"/>
      <c r="I251" s="579"/>
      <c r="L251" s="305" t="str">
        <f>IF(OR(Overview!$D$4="Preliminary Documentation Review",Overview!$D$4="Preliminary Precertification Review"),IF(AND(P251=0,Q251=0),"",IF(AND(P251&gt;0,Q251&gt;0),"","MISMATCH")),"")</f>
        <v/>
      </c>
      <c r="M251" s="305" t="str">
        <f>IF(OR(Overview!$D$4="Preliminary Documentation Review",Overview!$D$4="Preliminary Precertification Review"),IF(AND(R251=0,S251=0),"",IF(AND(R251&gt;0,S251&gt;0),"","MISMATCH")),"")</f>
        <v/>
      </c>
      <c r="N251" s="305" t="str">
        <f>IF(OR(Overview!$D$4="Preliminary Documentation Review",Overview!$D$4="Preliminary Precertification Review"),IF(AND(T251=0,U251=0),"",IF(AND(T251&gt;0,U251&gt;0),"MISMATCH","")),"")</f>
        <v/>
      </c>
      <c r="O251" s="305" t="str">
        <f>IF(OR(Overview!$D$4="Preliminary Documentation Review",Overview!$D$4="Preliminary Precertification Review"),IF(AND(V251=0,W251=0),"",IF(AND(V251&gt;0,W251&gt;0),"","MISMATCH")),"")</f>
        <v/>
      </c>
      <c r="P251" s="286">
        <f t="shared" si="41"/>
        <v>0</v>
      </c>
      <c r="Q251" s="286">
        <f t="shared" si="43"/>
        <v>0</v>
      </c>
      <c r="R251" s="305">
        <f t="shared" si="42"/>
        <v>0</v>
      </c>
      <c r="S251" s="305">
        <f t="shared" si="44"/>
        <v>0</v>
      </c>
      <c r="T251" s="305">
        <f t="shared" si="39"/>
        <v>0</v>
      </c>
      <c r="U251" s="305">
        <f t="shared" si="40"/>
        <v>0</v>
      </c>
      <c r="V251" s="305">
        <f t="shared" si="37"/>
        <v>0</v>
      </c>
      <c r="W251" s="305">
        <f t="shared" si="38"/>
        <v>0</v>
      </c>
    </row>
    <row r="252" spans="2:23">
      <c r="B252" s="892"/>
      <c r="C252" s="893"/>
      <c r="D252" s="893"/>
      <c r="E252" s="893"/>
      <c r="F252" s="893"/>
      <c r="G252" s="893"/>
      <c r="H252" s="893"/>
      <c r="I252" s="894"/>
      <c r="L252" s="305" t="str">
        <f>IF(OR(Overview!$D$4="Preliminary Documentation Review",Overview!$D$4="Preliminary Precertification Review"),IF(AND(P252=0,Q252=0),"",IF(AND(P252&gt;0,Q252&gt;0),"","MISMATCH")),"")</f>
        <v/>
      </c>
      <c r="M252" s="305" t="str">
        <f>IF(OR(Overview!$D$4="Preliminary Documentation Review",Overview!$D$4="Preliminary Precertification Review"),IF(AND(R252=0,S252=0),"",IF(AND(R252&gt;0,S252&gt;0),"","MISMATCH")),"")</f>
        <v/>
      </c>
      <c r="N252" s="305" t="str">
        <f>IF(OR(Overview!$D$4="Preliminary Documentation Review",Overview!$D$4="Preliminary Precertification Review"),IF(AND(T252=0,U252=0),"",IF(AND(T252&gt;0,U252&gt;0),"MISMATCH","")),"")</f>
        <v/>
      </c>
      <c r="O252" s="305" t="str">
        <f>IF(OR(Overview!$D$4="Preliminary Documentation Review",Overview!$D$4="Preliminary Precertification Review"),IF(AND(V252=0,W252=0),"",IF(AND(V252&gt;0,W252&gt;0),"","MISMATCH")),"")</f>
        <v/>
      </c>
      <c r="T252" s="305">
        <f t="shared" si="39"/>
        <v>0</v>
      </c>
      <c r="U252" s="305">
        <f t="shared" si="40"/>
        <v>0</v>
      </c>
      <c r="V252" s="305">
        <f t="shared" si="37"/>
        <v>0</v>
      </c>
      <c r="W252" s="305">
        <f t="shared" si="38"/>
        <v>0</v>
      </c>
    </row>
    <row r="253" spans="2:23" s="547" customFormat="1" ht="99.9" hidden="1" customHeight="1">
      <c r="B253" s="676"/>
      <c r="C253" s="832" t="s">
        <v>1386</v>
      </c>
      <c r="D253" s="833"/>
      <c r="E253" s="833"/>
      <c r="F253" s="833"/>
      <c r="G253" s="833"/>
      <c r="H253" s="833"/>
      <c r="I253" s="834"/>
      <c r="J253" s="546"/>
      <c r="K253" s="531"/>
      <c r="L253" s="305" t="str">
        <f>IF(OR(Overview!$D$4="Preliminary Documentation Review",Overview!$D$4="Preliminary Precertification Review"),IF(AND(P253=0,Q253=0),"",IF(AND(P253&gt;0,Q253&gt;0),"","MISMATCH")),"")</f>
        <v/>
      </c>
      <c r="M253" s="305" t="str">
        <f>IF(OR(Overview!$D$4="Preliminary Documentation Review",Overview!$D$4="Preliminary Precertification Review"),IF(AND(R253=0,S253=0),"",IF(AND(R253&gt;0,S253&gt;0),"","MISMATCH")),"")</f>
        <v/>
      </c>
      <c r="N253" s="305" t="str">
        <f>IF(OR(Overview!$D$4="Preliminary Documentation Review",Overview!$D$4="Preliminary Precertification Review"),IF(AND(T253=0,U253=0),"",IF(AND(T253&gt;0,U253&gt;0),"MISMATCH","")),"")</f>
        <v/>
      </c>
      <c r="O253" s="305" t="str">
        <f>IF(OR(Overview!$D$4="Preliminary Documentation Review",Overview!$D$4="Preliminary Precertification Review"),IF(AND(V253=0,W253=0),"",IF(AND(V253&gt;0,W253&gt;0),"","MISMATCH")),"")</f>
        <v/>
      </c>
      <c r="T253" s="305">
        <f t="shared" si="39"/>
        <v>0</v>
      </c>
      <c r="U253" s="305">
        <f t="shared" si="40"/>
        <v>0</v>
      </c>
      <c r="V253" s="305">
        <f t="shared" si="37"/>
        <v>0</v>
      </c>
      <c r="W253" s="305">
        <f t="shared" si="38"/>
        <v>0</v>
      </c>
    </row>
    <row r="254" spans="2:23" s="547" customFormat="1" ht="15.6" hidden="1" customHeight="1">
      <c r="B254" s="895"/>
      <c r="C254" s="893"/>
      <c r="D254" s="893"/>
      <c r="E254" s="893"/>
      <c r="F254" s="893"/>
      <c r="G254" s="893"/>
      <c r="H254" s="893"/>
      <c r="I254" s="894"/>
      <c r="J254" s="546"/>
      <c r="K254" s="531"/>
      <c r="L254" s="305" t="str">
        <f>IF(OR(Overview!$D$4="Preliminary Documentation Review",Overview!$D$4="Preliminary Precertification Review"),IF(AND(P254=0,Q254=0),"",IF(AND(P254&gt;0,Q254&gt;0),"","MISMATCH")),"")</f>
        <v/>
      </c>
      <c r="M254" s="305" t="str">
        <f>IF(OR(Overview!$D$4="Preliminary Documentation Review",Overview!$D$4="Preliminary Precertification Review"),IF(AND(R254=0,S254=0),"",IF(AND(R254&gt;0,S254&gt;0),"","MISMATCH")),"")</f>
        <v/>
      </c>
      <c r="N254" s="305" t="str">
        <f>IF(OR(Overview!$D$4="Preliminary Documentation Review",Overview!$D$4="Preliminary Precertification Review"),IF(AND(T254=0,U254=0),"",IF(AND(T254&gt;0,U254&gt;0),"MISMATCH","")),"")</f>
        <v/>
      </c>
      <c r="O254" s="305" t="str">
        <f>IF(OR(Overview!$D$4="Preliminary Documentation Review",Overview!$D$4="Preliminary Precertification Review"),IF(AND(V254=0,W254=0),"",IF(AND(V254&gt;0,W254&gt;0),"","MISMATCH")),"")</f>
        <v/>
      </c>
      <c r="T254" s="305">
        <f t="shared" si="39"/>
        <v>0</v>
      </c>
      <c r="U254" s="305">
        <f t="shared" si="40"/>
        <v>0</v>
      </c>
      <c r="V254" s="305">
        <f t="shared" si="37"/>
        <v>0</v>
      </c>
      <c r="W254" s="305">
        <f t="shared" si="38"/>
        <v>0</v>
      </c>
    </row>
    <row r="255" spans="2:23" ht="136.19999999999999">
      <c r="B255" s="896" t="s">
        <v>1066</v>
      </c>
      <c r="C255" s="852" t="s">
        <v>752</v>
      </c>
      <c r="D255" s="845" t="s">
        <v>1067</v>
      </c>
      <c r="E255" s="625" t="s">
        <v>1387</v>
      </c>
      <c r="F255" s="556"/>
      <c r="G255" s="661" t="s">
        <v>1162</v>
      </c>
      <c r="H255" s="662" t="s">
        <v>1458</v>
      </c>
      <c r="I255" s="565" t="s">
        <v>1461</v>
      </c>
      <c r="L255" s="305" t="str">
        <f>IF(OR(Overview!$D$4="Preliminary Documentation Review",Overview!$D$4="Preliminary Precertification Review"),IF(AND(P255=0,Q255=0),"",IF(AND(P255&gt;0,Q255&gt;0),"","MISMATCH")),"")</f>
        <v/>
      </c>
      <c r="M255" s="305" t="str">
        <f>IF(OR(Overview!$D$4="Preliminary Documentation Review",Overview!$D$4="Preliminary Precertification Review"),IF(AND(R255=0,S255=0),"",IF(AND(R255&gt;0,S255&gt;0),"","MISMATCH")),"")</f>
        <v/>
      </c>
      <c r="N255" s="305" t="str">
        <f>IF(OR(Overview!$D$4="Preliminary Documentation Review",Overview!$D$4="Preliminary Precertification Review"),IF(AND(T255=0,U255=0),"",IF(AND(T255&gt;0,U255&gt;0),"MISMATCH","")),"")</f>
        <v/>
      </c>
      <c r="O255" s="305" t="str">
        <f>IF(OR(Overview!$D$4="Preliminary Documentation Review",Overview!$D$4="Preliminary Precertification Review"),IF(AND(V255=0,W255=0),"",IF(AND(V255&gt;0,W255&gt;0),"","MISMATCH")),"")</f>
        <v/>
      </c>
      <c r="P255" s="286">
        <f t="shared" ref="P255:P300" si="45">IFERROR(SEARCH("COMMENTS TO BE ADDRESS",$I255),0)</f>
        <v>0</v>
      </c>
      <c r="Q255" s="286">
        <f t="shared" si="43"/>
        <v>0</v>
      </c>
      <c r="R255" s="305">
        <f t="shared" ref="R255:R300" si="46">IFERROR(SEARCH("equirements of this part will be v",$I255),0)</f>
        <v>178</v>
      </c>
      <c r="S255" s="305">
        <f t="shared" si="44"/>
        <v>0</v>
      </c>
      <c r="T255" s="305">
        <f t="shared" si="39"/>
        <v>0</v>
      </c>
      <c r="U255" s="305">
        <f t="shared" si="40"/>
        <v>0</v>
      </c>
      <c r="V255" s="305">
        <f t="shared" si="37"/>
        <v>0</v>
      </c>
      <c r="W255" s="305">
        <f t="shared" si="38"/>
        <v>0</v>
      </c>
    </row>
    <row r="256" spans="2:23" ht="45.6">
      <c r="B256" s="896"/>
      <c r="C256" s="838"/>
      <c r="D256" s="837"/>
      <c r="E256" s="550" t="s">
        <v>1388</v>
      </c>
      <c r="F256" s="556"/>
      <c r="G256" s="552" t="s">
        <v>1162</v>
      </c>
      <c r="H256" s="553" t="s">
        <v>1458</v>
      </c>
      <c r="I256" s="554" t="s">
        <v>1208</v>
      </c>
      <c r="L256" s="305" t="str">
        <f>IF(OR(Overview!$D$4="Preliminary Documentation Review",Overview!$D$4="Preliminary Precertification Review"),IF(AND(P256=0,Q256=0),"",IF(AND(P256&gt;0,Q256&gt;0),"","MISMATCH")),"")</f>
        <v/>
      </c>
      <c r="M256" s="305" t="str">
        <f>IF(OR(Overview!$D$4="Preliminary Documentation Review",Overview!$D$4="Preliminary Precertification Review"),IF(AND(R256=0,S256=0),"",IF(AND(R256&gt;0,S256&gt;0),"","MISMATCH")),"")</f>
        <v/>
      </c>
      <c r="N256" s="305" t="str">
        <f>IF(OR(Overview!$D$4="Preliminary Documentation Review",Overview!$D$4="Preliminary Precertification Review"),IF(AND(T256=0,U256=0),"",IF(AND(T256&gt;0,U256&gt;0),"MISMATCH","")),"")</f>
        <v/>
      </c>
      <c r="O256" s="305" t="str">
        <f>IF(OR(Overview!$D$4="Preliminary Documentation Review",Overview!$D$4="Preliminary Precertification Review"),IF(AND(V256=0,W256=0),"",IF(AND(V256&gt;0,W256&gt;0),"","MISMATCH")),"")</f>
        <v/>
      </c>
      <c r="P256" s="286">
        <f t="shared" si="45"/>
        <v>0</v>
      </c>
      <c r="Q256" s="286">
        <f t="shared" si="43"/>
        <v>0</v>
      </c>
      <c r="R256" s="305">
        <f t="shared" si="46"/>
        <v>0</v>
      </c>
      <c r="S256" s="305">
        <f t="shared" si="44"/>
        <v>0</v>
      </c>
      <c r="T256" s="305">
        <f t="shared" si="39"/>
        <v>0</v>
      </c>
      <c r="U256" s="305">
        <f t="shared" si="40"/>
        <v>0</v>
      </c>
      <c r="V256" s="305">
        <f t="shared" si="37"/>
        <v>0</v>
      </c>
      <c r="W256" s="305">
        <f t="shared" si="38"/>
        <v>0</v>
      </c>
    </row>
    <row r="257" spans="2:23" ht="45.6">
      <c r="B257" s="896"/>
      <c r="C257" s="838" t="s">
        <v>752</v>
      </c>
      <c r="D257" s="837" t="s">
        <v>1070</v>
      </c>
      <c r="E257" s="550" t="s">
        <v>1389</v>
      </c>
      <c r="F257" s="556"/>
      <c r="G257" s="552" t="s">
        <v>1162</v>
      </c>
      <c r="H257" s="553" t="s">
        <v>1458</v>
      </c>
      <c r="I257" s="554" t="s">
        <v>1208</v>
      </c>
      <c r="L257" s="305" t="str">
        <f>IF(OR(Overview!$D$4="Preliminary Documentation Review",Overview!$D$4="Preliminary Precertification Review"),IF(AND(P257=0,Q257=0),"",IF(AND(P257&gt;0,Q257&gt;0),"","MISMATCH")),"")</f>
        <v/>
      </c>
      <c r="M257" s="305" t="str">
        <f>IF(OR(Overview!$D$4="Preliminary Documentation Review",Overview!$D$4="Preliminary Precertification Review"),IF(AND(R257=0,S257=0),"",IF(AND(R257&gt;0,S257&gt;0),"","MISMATCH")),"")</f>
        <v/>
      </c>
      <c r="N257" s="305" t="str">
        <f>IF(OR(Overview!$D$4="Preliminary Documentation Review",Overview!$D$4="Preliminary Precertification Review"),IF(AND(T257=0,U257=0),"",IF(AND(T257&gt;0,U257&gt;0),"MISMATCH","")),"")</f>
        <v/>
      </c>
      <c r="O257" s="305" t="str">
        <f>IF(OR(Overview!$D$4="Preliminary Documentation Review",Overview!$D$4="Preliminary Precertification Review"),IF(AND(V257=0,W257=0),"",IF(AND(V257&gt;0,W257&gt;0),"","MISMATCH")),"")</f>
        <v/>
      </c>
      <c r="P257" s="286">
        <f t="shared" si="45"/>
        <v>0</v>
      </c>
      <c r="Q257" s="286">
        <f t="shared" si="43"/>
        <v>0</v>
      </c>
      <c r="R257" s="305">
        <f t="shared" si="46"/>
        <v>0</v>
      </c>
      <c r="S257" s="305">
        <f t="shared" si="44"/>
        <v>0</v>
      </c>
      <c r="T257" s="305">
        <f t="shared" si="39"/>
        <v>0</v>
      </c>
      <c r="U257" s="305">
        <f t="shared" si="40"/>
        <v>0</v>
      </c>
      <c r="V257" s="305">
        <f t="shared" si="37"/>
        <v>0</v>
      </c>
      <c r="W257" s="305">
        <f t="shared" si="38"/>
        <v>0</v>
      </c>
    </row>
    <row r="258" spans="2:23" ht="45.6">
      <c r="B258" s="896"/>
      <c r="C258" s="838"/>
      <c r="D258" s="837"/>
      <c r="E258" s="550" t="s">
        <v>1390</v>
      </c>
      <c r="F258" s="556"/>
      <c r="G258" s="552" t="s">
        <v>1162</v>
      </c>
      <c r="H258" s="553" t="s">
        <v>1458</v>
      </c>
      <c r="I258" s="554" t="s">
        <v>1208</v>
      </c>
      <c r="L258" s="305" t="str">
        <f>IF(OR(Overview!$D$4="Preliminary Documentation Review",Overview!$D$4="Preliminary Precertification Review"),IF(AND(P258=0,Q258=0),"",IF(AND(P258&gt;0,Q258&gt;0),"","MISMATCH")),"")</f>
        <v/>
      </c>
      <c r="M258" s="305" t="str">
        <f>IF(OR(Overview!$D$4="Preliminary Documentation Review",Overview!$D$4="Preliminary Precertification Review"),IF(AND(R258=0,S258=0),"",IF(AND(R258&gt;0,S258&gt;0),"","MISMATCH")),"")</f>
        <v/>
      </c>
      <c r="N258" s="305" t="str">
        <f>IF(OR(Overview!$D$4="Preliminary Documentation Review",Overview!$D$4="Preliminary Precertification Review"),IF(AND(T258=0,U258=0),"",IF(AND(T258&gt;0,U258&gt;0),"MISMATCH","")),"")</f>
        <v/>
      </c>
      <c r="O258" s="305" t="str">
        <f>IF(OR(Overview!$D$4="Preliminary Documentation Review",Overview!$D$4="Preliminary Precertification Review"),IF(AND(V258=0,W258=0),"",IF(AND(V258&gt;0,W258&gt;0),"","MISMATCH")),"")</f>
        <v/>
      </c>
      <c r="P258" s="286">
        <f t="shared" si="45"/>
        <v>0</v>
      </c>
      <c r="Q258" s="286">
        <f t="shared" si="43"/>
        <v>0</v>
      </c>
      <c r="R258" s="305">
        <f t="shared" si="46"/>
        <v>0</v>
      </c>
      <c r="S258" s="305">
        <f t="shared" si="44"/>
        <v>0</v>
      </c>
      <c r="T258" s="305">
        <f t="shared" si="39"/>
        <v>0</v>
      </c>
      <c r="U258" s="305">
        <f t="shared" si="40"/>
        <v>0</v>
      </c>
      <c r="V258" s="305">
        <f t="shared" si="37"/>
        <v>0</v>
      </c>
      <c r="W258" s="305">
        <f t="shared" si="38"/>
        <v>0</v>
      </c>
    </row>
    <row r="259" spans="2:23" ht="45.6">
      <c r="B259" s="896"/>
      <c r="C259" s="838"/>
      <c r="D259" s="837"/>
      <c r="E259" s="550" t="s">
        <v>1391</v>
      </c>
      <c r="F259" s="556"/>
      <c r="G259" s="552" t="s">
        <v>1162</v>
      </c>
      <c r="H259" s="553" t="s">
        <v>1458</v>
      </c>
      <c r="I259" s="554" t="s">
        <v>1208</v>
      </c>
      <c r="L259" s="305" t="str">
        <f>IF(OR(Overview!$D$4="Preliminary Documentation Review",Overview!$D$4="Preliminary Precertification Review"),IF(AND(P259=0,Q259=0),"",IF(AND(P259&gt;0,Q259&gt;0),"","MISMATCH")),"")</f>
        <v/>
      </c>
      <c r="M259" s="305" t="str">
        <f>IF(OR(Overview!$D$4="Preliminary Documentation Review",Overview!$D$4="Preliminary Precertification Review"),IF(AND(R259=0,S259=0),"",IF(AND(R259&gt;0,S259&gt;0),"","MISMATCH")),"")</f>
        <v/>
      </c>
      <c r="N259" s="305" t="str">
        <f>IF(OR(Overview!$D$4="Preliminary Documentation Review",Overview!$D$4="Preliminary Precertification Review"),IF(AND(T259=0,U259=0),"",IF(AND(T259&gt;0,U259&gt;0),"MISMATCH","")),"")</f>
        <v/>
      </c>
      <c r="O259" s="305" t="str">
        <f>IF(OR(Overview!$D$4="Preliminary Documentation Review",Overview!$D$4="Preliminary Precertification Review"),IF(AND(V259=0,W259=0),"",IF(AND(V259&gt;0,W259&gt;0),"","MISMATCH")),"")</f>
        <v/>
      </c>
      <c r="P259" s="286">
        <f t="shared" si="45"/>
        <v>0</v>
      </c>
      <c r="Q259" s="286">
        <f t="shared" si="43"/>
        <v>0</v>
      </c>
      <c r="R259" s="305">
        <f t="shared" si="46"/>
        <v>0</v>
      </c>
      <c r="S259" s="305">
        <f t="shared" si="44"/>
        <v>0</v>
      </c>
      <c r="T259" s="305">
        <f t="shared" si="39"/>
        <v>0</v>
      </c>
      <c r="U259" s="305">
        <f t="shared" si="40"/>
        <v>0</v>
      </c>
      <c r="V259" s="305">
        <f t="shared" si="37"/>
        <v>0</v>
      </c>
      <c r="W259" s="305">
        <f t="shared" si="38"/>
        <v>0</v>
      </c>
    </row>
    <row r="260" spans="2:23" ht="45.6">
      <c r="B260" s="896"/>
      <c r="C260" s="838"/>
      <c r="D260" s="837"/>
      <c r="E260" s="550" t="s">
        <v>1392</v>
      </c>
      <c r="F260" s="556"/>
      <c r="G260" s="552" t="s">
        <v>1162</v>
      </c>
      <c r="H260" s="553" t="s">
        <v>1458</v>
      </c>
      <c r="I260" s="554" t="s">
        <v>1208</v>
      </c>
      <c r="L260" s="305" t="str">
        <f>IF(OR(Overview!$D$4="Preliminary Documentation Review",Overview!$D$4="Preliminary Precertification Review"),IF(AND(P260=0,Q260=0),"",IF(AND(P260&gt;0,Q260&gt;0),"","MISMATCH")),"")</f>
        <v/>
      </c>
      <c r="M260" s="305" t="str">
        <f>IF(OR(Overview!$D$4="Preliminary Documentation Review",Overview!$D$4="Preliminary Precertification Review"),IF(AND(R260=0,S260=0),"",IF(AND(R260&gt;0,S260&gt;0),"","MISMATCH")),"")</f>
        <v/>
      </c>
      <c r="N260" s="305" t="str">
        <f>IF(OR(Overview!$D$4="Preliminary Documentation Review",Overview!$D$4="Preliminary Precertification Review"),IF(AND(T260=0,U260=0),"",IF(AND(T260&gt;0,U260&gt;0),"MISMATCH","")),"")</f>
        <v/>
      </c>
      <c r="O260" s="305" t="str">
        <f>IF(OR(Overview!$D$4="Preliminary Documentation Review",Overview!$D$4="Preliminary Precertification Review"),IF(AND(V260=0,W260=0),"",IF(AND(V260&gt;0,W260&gt;0),"","MISMATCH")),"")</f>
        <v/>
      </c>
      <c r="P260" s="286">
        <f t="shared" si="45"/>
        <v>0</v>
      </c>
      <c r="Q260" s="286">
        <f t="shared" si="43"/>
        <v>0</v>
      </c>
      <c r="R260" s="305">
        <f t="shared" si="46"/>
        <v>0</v>
      </c>
      <c r="S260" s="305">
        <f t="shared" si="44"/>
        <v>0</v>
      </c>
      <c r="T260" s="305">
        <f t="shared" si="39"/>
        <v>0</v>
      </c>
      <c r="U260" s="305">
        <f t="shared" si="40"/>
        <v>0</v>
      </c>
      <c r="V260" s="305">
        <f t="shared" si="37"/>
        <v>0</v>
      </c>
      <c r="W260" s="305">
        <f t="shared" si="38"/>
        <v>0</v>
      </c>
    </row>
    <row r="261" spans="2:23" ht="196.8">
      <c r="B261" s="896"/>
      <c r="C261" s="838" t="s">
        <v>752</v>
      </c>
      <c r="D261" s="837" t="s">
        <v>1075</v>
      </c>
      <c r="E261" s="550" t="s">
        <v>1393</v>
      </c>
      <c r="F261" s="556"/>
      <c r="G261" s="552" t="s">
        <v>1162</v>
      </c>
      <c r="H261" s="553" t="s">
        <v>1458</v>
      </c>
      <c r="I261" s="554" t="s">
        <v>1394</v>
      </c>
      <c r="K261" s="677"/>
      <c r="L261" s="305" t="str">
        <f>IF(OR(Overview!$D$4="Preliminary Documentation Review",Overview!$D$4="Preliminary Precertification Review"),IF(AND(P261=0,Q261=0),"",IF(AND(P261&gt;0,Q261&gt;0),"","MISMATCH")),"")</f>
        <v/>
      </c>
      <c r="M261" s="305" t="str">
        <f>IF(OR(Overview!$D$4="Preliminary Documentation Review",Overview!$D$4="Preliminary Precertification Review"),IF(AND(R261=0,S261=0),"",IF(AND(R261&gt;0,S261&gt;0),"","MISMATCH")),"")</f>
        <v/>
      </c>
      <c r="N261" s="305" t="str">
        <f>IF(OR(Overview!$D$4="Preliminary Documentation Review",Overview!$D$4="Preliminary Precertification Review"),IF(AND(T261=0,U261=0),"",IF(AND(T261&gt;0,U261&gt;0),"MISMATCH","")),"")</f>
        <v/>
      </c>
      <c r="O261" s="305" t="str">
        <f>IF(OR(Overview!$D$4="Preliminary Documentation Review",Overview!$D$4="Preliminary Precertification Review"),IF(AND(V261=0,W261=0),"",IF(AND(V261&gt;0,W261&gt;0),"","MISMATCH")),"")</f>
        <v/>
      </c>
      <c r="P261" s="286">
        <f t="shared" si="45"/>
        <v>211</v>
      </c>
      <c r="Q261" s="286">
        <f t="shared" si="43"/>
        <v>0</v>
      </c>
      <c r="R261" s="305">
        <f t="shared" si="46"/>
        <v>0</v>
      </c>
      <c r="S261" s="305">
        <f t="shared" si="44"/>
        <v>0</v>
      </c>
      <c r="T261" s="305">
        <f t="shared" si="39"/>
        <v>0</v>
      </c>
      <c r="U261" s="305">
        <f t="shared" si="40"/>
        <v>0</v>
      </c>
      <c r="V261" s="305">
        <f t="shared" si="37"/>
        <v>0</v>
      </c>
      <c r="W261" s="305">
        <f t="shared" si="38"/>
        <v>0</v>
      </c>
    </row>
    <row r="262" spans="2:23" ht="90.6">
      <c r="B262" s="896"/>
      <c r="C262" s="838"/>
      <c r="D262" s="837"/>
      <c r="E262" s="550" t="s">
        <v>1395</v>
      </c>
      <c r="F262" s="558"/>
      <c r="G262" s="552" t="s">
        <v>1162</v>
      </c>
      <c r="H262" s="553" t="s">
        <v>1458</v>
      </c>
      <c r="I262" s="554" t="s">
        <v>1396</v>
      </c>
      <c r="K262" s="677"/>
      <c r="L262" s="305" t="str">
        <f>IF(OR(Overview!$D$4="Preliminary Documentation Review",Overview!$D$4="Preliminary Precertification Review"),IF(AND(P262=0,Q262=0),"",IF(AND(P262&gt;0,Q262&gt;0),"","MISMATCH")),"")</f>
        <v/>
      </c>
      <c r="M262" s="305" t="str">
        <f>IF(OR(Overview!$D$4="Preliminary Documentation Review",Overview!$D$4="Preliminary Precertification Review"),IF(AND(R262=0,S262=0),"",IF(AND(R262&gt;0,S262&gt;0),"","MISMATCH")),"")</f>
        <v/>
      </c>
      <c r="N262" s="305" t="str">
        <f>IF(OR(Overview!$D$4="Preliminary Documentation Review",Overview!$D$4="Preliminary Precertification Review"),IF(AND(T262=0,U262=0),"",IF(AND(T262&gt;0,U262&gt;0),"MISMATCH","")),"")</f>
        <v/>
      </c>
      <c r="O262" s="305" t="str">
        <f>IF(OR(Overview!$D$4="Preliminary Documentation Review",Overview!$D$4="Preliminary Precertification Review"),IF(AND(V262=0,W262=0),"",IF(AND(V262&gt;0,W262&gt;0),"","MISMATCH")),"")</f>
        <v/>
      </c>
      <c r="P262" s="286">
        <f t="shared" si="45"/>
        <v>0</v>
      </c>
      <c r="Q262" s="286">
        <f t="shared" si="43"/>
        <v>0</v>
      </c>
      <c r="R262" s="305">
        <f t="shared" si="46"/>
        <v>0</v>
      </c>
      <c r="S262" s="305">
        <f t="shared" si="44"/>
        <v>0</v>
      </c>
      <c r="T262" s="305">
        <f t="shared" si="39"/>
        <v>0</v>
      </c>
      <c r="U262" s="305">
        <f t="shared" si="40"/>
        <v>0</v>
      </c>
      <c r="V262" s="305">
        <f t="shared" si="37"/>
        <v>0</v>
      </c>
      <c r="W262" s="305">
        <f t="shared" si="38"/>
        <v>0</v>
      </c>
    </row>
    <row r="263" spans="2:23" ht="45.6">
      <c r="B263" s="896"/>
      <c r="C263" s="838" t="s">
        <v>767</v>
      </c>
      <c r="D263" s="837" t="s">
        <v>1078</v>
      </c>
      <c r="E263" s="550" t="s">
        <v>1397</v>
      </c>
      <c r="F263" s="559"/>
      <c r="G263" s="552" t="s">
        <v>25</v>
      </c>
      <c r="H263" s="553" t="s">
        <v>1176</v>
      </c>
      <c r="I263" s="554" t="s">
        <v>1177</v>
      </c>
      <c r="L263" s="305" t="str">
        <f>IF(OR(Overview!$D$4="Preliminary Documentation Review",Overview!$D$4="Preliminary Precertification Review"),IF(AND(P263=0,Q263=0),"",IF(AND(P263&gt;0,Q263&gt;0),"","MISMATCH")),"")</f>
        <v/>
      </c>
      <c r="M263" s="305" t="str">
        <f>IF(OR(Overview!$D$4="Preliminary Documentation Review",Overview!$D$4="Preliminary Precertification Review"),IF(AND(R263=0,S263=0),"",IF(AND(R263&gt;0,S263&gt;0),"","MISMATCH")),"")</f>
        <v/>
      </c>
      <c r="N263" s="305" t="str">
        <f>IF(OR(Overview!$D$4="Preliminary Documentation Review",Overview!$D$4="Preliminary Precertification Review"),IF(AND(T263=0,U263=0),"",IF(AND(T263&gt;0,U263&gt;0),"MISMATCH","")),"")</f>
        <v/>
      </c>
      <c r="O263" s="305" t="str">
        <f>IF(OR(Overview!$D$4="Preliminary Documentation Review",Overview!$D$4="Preliminary Precertification Review"),IF(AND(V263=0,W263=0),"",IF(AND(V263&gt;0,W263&gt;0),"","MISMATCH")),"")</f>
        <v/>
      </c>
      <c r="P263" s="286">
        <f t="shared" si="45"/>
        <v>0</v>
      </c>
      <c r="Q263" s="286">
        <f t="shared" si="43"/>
        <v>0</v>
      </c>
      <c r="R263" s="305">
        <f t="shared" si="46"/>
        <v>0</v>
      </c>
      <c r="S263" s="305">
        <f t="shared" si="44"/>
        <v>0</v>
      </c>
      <c r="T263" s="305">
        <f t="shared" si="39"/>
        <v>35</v>
      </c>
      <c r="U263" s="305">
        <f t="shared" si="40"/>
        <v>0</v>
      </c>
      <c r="V263" s="305">
        <f t="shared" si="37"/>
        <v>35</v>
      </c>
      <c r="W263" s="305">
        <f t="shared" si="38"/>
        <v>1</v>
      </c>
    </row>
    <row r="264" spans="2:23" ht="45.6">
      <c r="B264" s="896"/>
      <c r="C264" s="838"/>
      <c r="D264" s="837"/>
      <c r="E264" s="550" t="s">
        <v>1398</v>
      </c>
      <c r="F264" s="560"/>
      <c r="G264" s="552" t="s">
        <v>25</v>
      </c>
      <c r="H264" s="553" t="s">
        <v>1176</v>
      </c>
      <c r="I264" s="554" t="s">
        <v>1177</v>
      </c>
      <c r="K264" s="286"/>
      <c r="L264" s="305" t="str">
        <f>IF(OR(Overview!$D$4="Preliminary Documentation Review",Overview!$D$4="Preliminary Precertification Review"),IF(AND(P264=0,Q264=0),"",IF(AND(P264&gt;0,Q264&gt;0),"","MISMATCH")),"")</f>
        <v/>
      </c>
      <c r="M264" s="305" t="str">
        <f>IF(OR(Overview!$D$4="Preliminary Documentation Review",Overview!$D$4="Preliminary Precertification Review"),IF(AND(R264=0,S264=0),"",IF(AND(R264&gt;0,S264&gt;0),"","MISMATCH")),"")</f>
        <v/>
      </c>
      <c r="N264" s="305" t="str">
        <f>IF(OR(Overview!$D$4="Preliminary Documentation Review",Overview!$D$4="Preliminary Precertification Review"),IF(AND(T264=0,U264=0),"",IF(AND(T264&gt;0,U264&gt;0),"MISMATCH","")),"")</f>
        <v/>
      </c>
      <c r="O264" s="305" t="str">
        <f>IF(OR(Overview!$D$4="Preliminary Documentation Review",Overview!$D$4="Preliminary Precertification Review"),IF(AND(V264=0,W264=0),"",IF(AND(V264&gt;0,W264&gt;0),"","MISMATCH")),"")</f>
        <v/>
      </c>
      <c r="P264" s="286">
        <f t="shared" si="45"/>
        <v>0</v>
      </c>
      <c r="Q264" s="286">
        <f t="shared" si="43"/>
        <v>0</v>
      </c>
      <c r="R264" s="305">
        <f t="shared" si="46"/>
        <v>0</v>
      </c>
      <c r="S264" s="305">
        <f t="shared" si="44"/>
        <v>0</v>
      </c>
      <c r="T264" s="305">
        <f t="shared" si="39"/>
        <v>35</v>
      </c>
      <c r="U264" s="305">
        <f t="shared" si="40"/>
        <v>0</v>
      </c>
      <c r="V264" s="305">
        <f t="shared" si="37"/>
        <v>35</v>
      </c>
      <c r="W264" s="305">
        <f t="shared" si="38"/>
        <v>1</v>
      </c>
    </row>
    <row r="265" spans="2:23" ht="45.6">
      <c r="B265" s="896"/>
      <c r="C265" s="838"/>
      <c r="D265" s="837"/>
      <c r="E265" s="550" t="s">
        <v>1399</v>
      </c>
      <c r="F265" s="560"/>
      <c r="G265" s="552" t="s">
        <v>25</v>
      </c>
      <c r="H265" s="553" t="s">
        <v>1176</v>
      </c>
      <c r="I265" s="554" t="s">
        <v>1177</v>
      </c>
      <c r="L265" s="305" t="str">
        <f>IF(OR(Overview!$D$4="Preliminary Documentation Review",Overview!$D$4="Preliminary Precertification Review"),IF(AND(P265=0,Q265=0),"",IF(AND(P265&gt;0,Q265&gt;0),"","MISMATCH")),"")</f>
        <v/>
      </c>
      <c r="M265" s="305" t="str">
        <f>IF(OR(Overview!$D$4="Preliminary Documentation Review",Overview!$D$4="Preliminary Precertification Review"),IF(AND(R265=0,S265=0),"",IF(AND(R265&gt;0,S265&gt;0),"","MISMATCH")),"")</f>
        <v/>
      </c>
      <c r="N265" s="305" t="str">
        <f>IF(OR(Overview!$D$4="Preliminary Documentation Review",Overview!$D$4="Preliminary Precertification Review"),IF(AND(T265=0,U265=0),"",IF(AND(T265&gt;0,U265&gt;0),"MISMATCH","")),"")</f>
        <v/>
      </c>
      <c r="O265" s="305" t="str">
        <f>IF(OR(Overview!$D$4="Preliminary Documentation Review",Overview!$D$4="Preliminary Precertification Review"),IF(AND(V265=0,W265=0),"",IF(AND(V265&gt;0,W265&gt;0),"","MISMATCH")),"")</f>
        <v/>
      </c>
      <c r="P265" s="286">
        <f t="shared" si="45"/>
        <v>0</v>
      </c>
      <c r="Q265" s="286">
        <f t="shared" si="43"/>
        <v>0</v>
      </c>
      <c r="R265" s="305">
        <f t="shared" si="46"/>
        <v>0</v>
      </c>
      <c r="S265" s="305">
        <f t="shared" si="44"/>
        <v>0</v>
      </c>
      <c r="T265" s="305">
        <f t="shared" si="39"/>
        <v>35</v>
      </c>
      <c r="U265" s="305">
        <f t="shared" si="40"/>
        <v>0</v>
      </c>
      <c r="V265" s="305">
        <f t="shared" si="37"/>
        <v>35</v>
      </c>
      <c r="W265" s="305">
        <f t="shared" si="38"/>
        <v>1</v>
      </c>
    </row>
    <row r="266" spans="2:23" ht="45.6">
      <c r="B266" s="896"/>
      <c r="C266" s="838"/>
      <c r="D266" s="837"/>
      <c r="E266" s="550" t="s">
        <v>1400</v>
      </c>
      <c r="F266" s="562"/>
      <c r="G266" s="552" t="s">
        <v>25</v>
      </c>
      <c r="H266" s="553" t="s">
        <v>1176</v>
      </c>
      <c r="I266" s="554" t="s">
        <v>1177</v>
      </c>
      <c r="L266" s="305" t="str">
        <f>IF(OR(Overview!$D$4="Preliminary Documentation Review",Overview!$D$4="Preliminary Precertification Review"),IF(AND(P266=0,Q266=0),"",IF(AND(P266&gt;0,Q266&gt;0),"","MISMATCH")),"")</f>
        <v/>
      </c>
      <c r="M266" s="305" t="str">
        <f>IF(OR(Overview!$D$4="Preliminary Documentation Review",Overview!$D$4="Preliminary Precertification Review"),IF(AND(R266=0,S266=0),"",IF(AND(R266&gt;0,S266&gt;0),"","MISMATCH")),"")</f>
        <v/>
      </c>
      <c r="N266" s="305" t="str">
        <f>IF(OR(Overview!$D$4="Preliminary Documentation Review",Overview!$D$4="Preliminary Precertification Review"),IF(AND(T266=0,U266=0),"",IF(AND(T266&gt;0,U266&gt;0),"MISMATCH","")),"")</f>
        <v/>
      </c>
      <c r="O266" s="305" t="str">
        <f>IF(OR(Overview!$D$4="Preliminary Documentation Review",Overview!$D$4="Preliminary Precertification Review"),IF(AND(V266=0,W266=0),"",IF(AND(V266&gt;0,W266&gt;0),"","MISMATCH")),"")</f>
        <v/>
      </c>
      <c r="P266" s="286">
        <f t="shared" si="45"/>
        <v>0</v>
      </c>
      <c r="Q266" s="286">
        <f t="shared" si="43"/>
        <v>0</v>
      </c>
      <c r="R266" s="305">
        <f t="shared" si="46"/>
        <v>0</v>
      </c>
      <c r="S266" s="305">
        <f t="shared" si="44"/>
        <v>0</v>
      </c>
      <c r="T266" s="305">
        <f t="shared" si="39"/>
        <v>35</v>
      </c>
      <c r="U266" s="305">
        <f t="shared" si="40"/>
        <v>0</v>
      </c>
      <c r="V266" s="305">
        <f t="shared" si="37"/>
        <v>35</v>
      </c>
      <c r="W266" s="305">
        <f t="shared" si="38"/>
        <v>1</v>
      </c>
    </row>
    <row r="267" spans="2:23" ht="45.6">
      <c r="B267" s="896"/>
      <c r="C267" s="838" t="s">
        <v>767</v>
      </c>
      <c r="D267" s="837" t="s">
        <v>1083</v>
      </c>
      <c r="E267" s="550" t="s">
        <v>1401</v>
      </c>
      <c r="F267" s="559">
        <v>2</v>
      </c>
      <c r="G267" s="552" t="s">
        <v>309</v>
      </c>
      <c r="H267" s="553" t="s">
        <v>1458</v>
      </c>
      <c r="I267" s="554" t="s">
        <v>1208</v>
      </c>
      <c r="L267" s="305" t="str">
        <f>IF(OR(Overview!$D$4="Preliminary Documentation Review",Overview!$D$4="Preliminary Precertification Review"),IF(AND(P267=0,Q267=0),"",IF(AND(P267&gt;0,Q267&gt;0),"","MISMATCH")),"")</f>
        <v/>
      </c>
      <c r="M267" s="305" t="str">
        <f>IF(OR(Overview!$D$4="Preliminary Documentation Review",Overview!$D$4="Preliminary Precertification Review"),IF(AND(R267=0,S267=0),"",IF(AND(R267&gt;0,S267&gt;0),"","MISMATCH")),"")</f>
        <v/>
      </c>
      <c r="N267" s="305" t="str">
        <f>IF(OR(Overview!$D$4="Preliminary Documentation Review",Overview!$D$4="Preliminary Precertification Review"),IF(AND(T267=0,U267=0),"",IF(AND(T267&gt;0,U267&gt;0),"MISMATCH","")),"")</f>
        <v/>
      </c>
      <c r="O267" s="305" t="str">
        <f>IF(OR(Overview!$D$4="Preliminary Documentation Review",Overview!$D$4="Preliminary Precertification Review"),IF(AND(V267=0,W267=0),"",IF(AND(V267&gt;0,W267&gt;0),"","MISMATCH")),"")</f>
        <v/>
      </c>
      <c r="P267" s="286">
        <f t="shared" si="45"/>
        <v>0</v>
      </c>
      <c r="Q267" s="286">
        <f t="shared" si="43"/>
        <v>0</v>
      </c>
      <c r="R267" s="305">
        <f t="shared" si="46"/>
        <v>0</v>
      </c>
      <c r="S267" s="305">
        <f t="shared" si="44"/>
        <v>0</v>
      </c>
      <c r="T267" s="305">
        <f t="shared" si="39"/>
        <v>0</v>
      </c>
      <c r="U267" s="305">
        <f t="shared" si="40"/>
        <v>0</v>
      </c>
      <c r="V267" s="305">
        <f t="shared" si="37"/>
        <v>0</v>
      </c>
      <c r="W267" s="305">
        <f t="shared" si="38"/>
        <v>0</v>
      </c>
    </row>
    <row r="268" spans="2:23" ht="45.6">
      <c r="B268" s="896"/>
      <c r="C268" s="838"/>
      <c r="D268" s="837"/>
      <c r="E268" s="550" t="s">
        <v>1402</v>
      </c>
      <c r="F268" s="562"/>
      <c r="G268" s="552" t="s">
        <v>25</v>
      </c>
      <c r="H268" s="553" t="s">
        <v>1176</v>
      </c>
      <c r="I268" s="554" t="s">
        <v>1177</v>
      </c>
      <c r="L268" s="305" t="str">
        <f>IF(OR(Overview!$D$4="Preliminary Documentation Review",Overview!$D$4="Preliminary Precertification Review"),IF(AND(P268=0,Q268=0),"",IF(AND(P268&gt;0,Q268&gt;0),"","MISMATCH")),"")</f>
        <v/>
      </c>
      <c r="M268" s="305" t="str">
        <f>IF(OR(Overview!$D$4="Preliminary Documentation Review",Overview!$D$4="Preliminary Precertification Review"),IF(AND(R268=0,S268=0),"",IF(AND(R268&gt;0,S268&gt;0),"","MISMATCH")),"")</f>
        <v/>
      </c>
      <c r="N268" s="305" t="str">
        <f>IF(OR(Overview!$D$4="Preliminary Documentation Review",Overview!$D$4="Preliminary Precertification Review"),IF(AND(T268=0,U268=0),"",IF(AND(T268&gt;0,U268&gt;0),"MISMATCH","")),"")</f>
        <v/>
      </c>
      <c r="O268" s="305" t="str">
        <f>IF(OR(Overview!$D$4="Preliminary Documentation Review",Overview!$D$4="Preliminary Precertification Review"),IF(AND(V268=0,W268=0),"",IF(AND(V268&gt;0,W268&gt;0),"","MISMATCH")),"")</f>
        <v/>
      </c>
      <c r="P268" s="286">
        <f t="shared" si="45"/>
        <v>0</v>
      </c>
      <c r="Q268" s="286">
        <f t="shared" si="43"/>
        <v>0</v>
      </c>
      <c r="R268" s="305">
        <f t="shared" si="46"/>
        <v>0</v>
      </c>
      <c r="S268" s="305">
        <f t="shared" si="44"/>
        <v>0</v>
      </c>
      <c r="T268" s="305">
        <f t="shared" si="39"/>
        <v>35</v>
      </c>
      <c r="U268" s="305">
        <f t="shared" si="40"/>
        <v>0</v>
      </c>
      <c r="V268" s="305">
        <f t="shared" si="37"/>
        <v>35</v>
      </c>
      <c r="W268" s="305">
        <f t="shared" si="38"/>
        <v>1</v>
      </c>
    </row>
    <row r="269" spans="2:23" ht="45.6">
      <c r="B269" s="896"/>
      <c r="C269" s="838" t="s">
        <v>767</v>
      </c>
      <c r="D269" s="837" t="s">
        <v>1086</v>
      </c>
      <c r="E269" s="550" t="s">
        <v>1403</v>
      </c>
      <c r="F269" s="559">
        <v>2</v>
      </c>
      <c r="G269" s="552" t="s">
        <v>309</v>
      </c>
      <c r="H269" s="553" t="s">
        <v>1458</v>
      </c>
      <c r="I269" s="554" t="s">
        <v>1208</v>
      </c>
      <c r="L269" s="305" t="str">
        <f>IF(OR(Overview!$D$4="Preliminary Documentation Review",Overview!$D$4="Preliminary Precertification Review"),IF(AND(P269=0,Q269=0),"",IF(AND(P269&gt;0,Q269&gt;0),"","MISMATCH")),"")</f>
        <v/>
      </c>
      <c r="M269" s="305" t="str">
        <f>IF(OR(Overview!$D$4="Preliminary Documentation Review",Overview!$D$4="Preliminary Precertification Review"),IF(AND(R269=0,S269=0),"",IF(AND(R269&gt;0,S269&gt;0),"","MISMATCH")),"")</f>
        <v/>
      </c>
      <c r="N269" s="305" t="str">
        <f>IF(OR(Overview!$D$4="Preliminary Documentation Review",Overview!$D$4="Preliminary Precertification Review"),IF(AND(T269=0,U269=0),"",IF(AND(T269&gt;0,U269&gt;0),"MISMATCH","")),"")</f>
        <v/>
      </c>
      <c r="O269" s="305" t="str">
        <f>IF(OR(Overview!$D$4="Preliminary Documentation Review",Overview!$D$4="Preliminary Precertification Review"),IF(AND(V269=0,W269=0),"",IF(AND(V269&gt;0,W269&gt;0),"","MISMATCH")),"")</f>
        <v/>
      </c>
      <c r="P269" s="286">
        <f t="shared" si="45"/>
        <v>0</v>
      </c>
      <c r="Q269" s="286">
        <f t="shared" si="43"/>
        <v>0</v>
      </c>
      <c r="R269" s="305">
        <f t="shared" si="46"/>
        <v>0</v>
      </c>
      <c r="S269" s="305">
        <f t="shared" si="44"/>
        <v>0</v>
      </c>
      <c r="T269" s="305">
        <f t="shared" si="39"/>
        <v>0</v>
      </c>
      <c r="U269" s="305">
        <f t="shared" si="40"/>
        <v>0</v>
      </c>
      <c r="V269" s="305">
        <f t="shared" ref="V269:V300" si="47">IFERROR(SEARCH("This Part has not been attempted.",$I269),IFERROR(SEARCH("Not Attempted",$I269),0))</f>
        <v>0</v>
      </c>
      <c r="W269" s="305">
        <f t="shared" si="38"/>
        <v>0</v>
      </c>
    </row>
    <row r="270" spans="2:23" ht="45.6">
      <c r="B270" s="896"/>
      <c r="C270" s="838"/>
      <c r="D270" s="837"/>
      <c r="E270" s="550" t="s">
        <v>1404</v>
      </c>
      <c r="F270" s="562"/>
      <c r="G270" s="552" t="s">
        <v>25</v>
      </c>
      <c r="H270" s="553" t="s">
        <v>1176</v>
      </c>
      <c r="I270" s="554" t="s">
        <v>1177</v>
      </c>
      <c r="L270" s="305" t="str">
        <f>IF(OR(Overview!$D$4="Preliminary Documentation Review",Overview!$D$4="Preliminary Precertification Review"),IF(AND(P270=0,Q270=0),"",IF(AND(P270&gt;0,Q270&gt;0),"","MISMATCH")),"")</f>
        <v/>
      </c>
      <c r="M270" s="305" t="str">
        <f>IF(OR(Overview!$D$4="Preliminary Documentation Review",Overview!$D$4="Preliminary Precertification Review"),IF(AND(R270=0,S270=0),"",IF(AND(R270&gt;0,S270&gt;0),"","MISMATCH")),"")</f>
        <v/>
      </c>
      <c r="N270" s="305" t="str">
        <f>IF(OR(Overview!$D$4="Preliminary Documentation Review",Overview!$D$4="Preliminary Precertification Review"),IF(AND(T270=0,U270=0),"",IF(AND(T270&gt;0,U270&gt;0),"MISMATCH","")),"")</f>
        <v/>
      </c>
      <c r="O270" s="305" t="str">
        <f>IF(OR(Overview!$D$4="Preliminary Documentation Review",Overview!$D$4="Preliminary Precertification Review"),IF(AND(V270=0,W270=0),"",IF(AND(V270&gt;0,W270&gt;0),"","MISMATCH")),"")</f>
        <v/>
      </c>
      <c r="P270" s="286">
        <f t="shared" si="45"/>
        <v>0</v>
      </c>
      <c r="Q270" s="286">
        <f t="shared" si="43"/>
        <v>0</v>
      </c>
      <c r="R270" s="305">
        <f t="shared" si="46"/>
        <v>0</v>
      </c>
      <c r="S270" s="305">
        <f t="shared" si="44"/>
        <v>0</v>
      </c>
      <c r="T270" s="305">
        <f t="shared" si="39"/>
        <v>35</v>
      </c>
      <c r="U270" s="305">
        <f t="shared" si="40"/>
        <v>0</v>
      </c>
      <c r="V270" s="305">
        <f t="shared" si="47"/>
        <v>35</v>
      </c>
      <c r="W270" s="305">
        <f t="shared" si="38"/>
        <v>1</v>
      </c>
    </row>
    <row r="271" spans="2:23" ht="45.6">
      <c r="B271" s="896"/>
      <c r="C271" s="838" t="s">
        <v>767</v>
      </c>
      <c r="D271" s="837" t="s">
        <v>1089</v>
      </c>
      <c r="E271" s="550" t="s">
        <v>1405</v>
      </c>
      <c r="F271" s="559"/>
      <c r="G271" s="552" t="s">
        <v>25</v>
      </c>
      <c r="H271" s="553" t="s">
        <v>1176</v>
      </c>
      <c r="I271" s="554" t="s">
        <v>1177</v>
      </c>
      <c r="L271" s="305" t="str">
        <f>IF(OR(Overview!$D$4="Preliminary Documentation Review",Overview!$D$4="Preliminary Precertification Review"),IF(AND(P271=0,Q271=0),"",IF(AND(P271&gt;0,Q271&gt;0),"","MISMATCH")),"")</f>
        <v/>
      </c>
      <c r="M271" s="305" t="str">
        <f>IF(OR(Overview!$D$4="Preliminary Documentation Review",Overview!$D$4="Preliminary Precertification Review"),IF(AND(R271=0,S271=0),"",IF(AND(R271&gt;0,S271&gt;0),"","MISMATCH")),"")</f>
        <v/>
      </c>
      <c r="N271" s="305" t="str">
        <f>IF(OR(Overview!$D$4="Preliminary Documentation Review",Overview!$D$4="Preliminary Precertification Review"),IF(AND(T271=0,U271=0),"",IF(AND(T271&gt;0,U271&gt;0),"MISMATCH","")),"")</f>
        <v/>
      </c>
      <c r="O271" s="305" t="str">
        <f>IF(OR(Overview!$D$4="Preliminary Documentation Review",Overview!$D$4="Preliminary Precertification Review"),IF(AND(V271=0,W271=0),"",IF(AND(V271&gt;0,W271&gt;0),"","MISMATCH")),"")</f>
        <v/>
      </c>
      <c r="P271" s="286">
        <f t="shared" si="45"/>
        <v>0</v>
      </c>
      <c r="Q271" s="286">
        <f t="shared" si="43"/>
        <v>0</v>
      </c>
      <c r="R271" s="305">
        <f t="shared" si="46"/>
        <v>0</v>
      </c>
      <c r="S271" s="305">
        <f t="shared" si="44"/>
        <v>0</v>
      </c>
      <c r="T271" s="305">
        <f t="shared" si="39"/>
        <v>35</v>
      </c>
      <c r="U271" s="305">
        <f t="shared" si="40"/>
        <v>0</v>
      </c>
      <c r="V271" s="305">
        <f t="shared" si="47"/>
        <v>35</v>
      </c>
      <c r="W271" s="305">
        <f t="shared" si="38"/>
        <v>1</v>
      </c>
    </row>
    <row r="272" spans="2:23" ht="45.6">
      <c r="B272" s="896"/>
      <c r="C272" s="838"/>
      <c r="D272" s="837"/>
      <c r="E272" s="550" t="s">
        <v>1406</v>
      </c>
      <c r="F272" s="562"/>
      <c r="G272" s="552" t="s">
        <v>25</v>
      </c>
      <c r="H272" s="553" t="s">
        <v>1176</v>
      </c>
      <c r="I272" s="554" t="s">
        <v>1177</v>
      </c>
      <c r="L272" s="305" t="str">
        <f>IF(OR(Overview!$D$4="Preliminary Documentation Review",Overview!$D$4="Preliminary Precertification Review"),IF(AND(P272=0,Q272=0),"",IF(AND(P272&gt;0,Q272&gt;0),"","MISMATCH")),"")</f>
        <v/>
      </c>
      <c r="M272" s="305" t="str">
        <f>IF(OR(Overview!$D$4="Preliminary Documentation Review",Overview!$D$4="Preliminary Precertification Review"),IF(AND(R272=0,S272=0),"",IF(AND(R272&gt;0,S272&gt;0),"","MISMATCH")),"")</f>
        <v/>
      </c>
      <c r="N272" s="305" t="str">
        <f>IF(OR(Overview!$D$4="Preliminary Documentation Review",Overview!$D$4="Preliminary Precertification Review"),IF(AND(T272=0,U272=0),"",IF(AND(T272&gt;0,U272&gt;0),"MISMATCH","")),"")</f>
        <v/>
      </c>
      <c r="O272" s="305" t="str">
        <f>IF(OR(Overview!$D$4="Preliminary Documentation Review",Overview!$D$4="Preliminary Precertification Review"),IF(AND(V272=0,W272=0),"",IF(AND(V272&gt;0,W272&gt;0),"","MISMATCH")),"")</f>
        <v/>
      </c>
      <c r="P272" s="286">
        <f t="shared" si="45"/>
        <v>0</v>
      </c>
      <c r="Q272" s="286">
        <f t="shared" si="43"/>
        <v>0</v>
      </c>
      <c r="R272" s="305">
        <f t="shared" si="46"/>
        <v>0</v>
      </c>
      <c r="S272" s="305">
        <f t="shared" si="44"/>
        <v>0</v>
      </c>
      <c r="T272" s="305">
        <f t="shared" si="39"/>
        <v>35</v>
      </c>
      <c r="U272" s="305">
        <f t="shared" si="40"/>
        <v>0</v>
      </c>
      <c r="V272" s="305">
        <f t="shared" si="47"/>
        <v>35</v>
      </c>
      <c r="W272" s="305">
        <f t="shared" si="38"/>
        <v>1</v>
      </c>
    </row>
    <row r="273" spans="2:23" ht="45.6">
      <c r="B273" s="896"/>
      <c r="C273" s="838" t="s">
        <v>767</v>
      </c>
      <c r="D273" s="837" t="s">
        <v>1092</v>
      </c>
      <c r="E273" s="550" t="s">
        <v>1407</v>
      </c>
      <c r="F273" s="559"/>
      <c r="G273" s="552" t="s">
        <v>25</v>
      </c>
      <c r="H273" s="553" t="s">
        <v>1176</v>
      </c>
      <c r="I273" s="554" t="s">
        <v>1177</v>
      </c>
      <c r="L273" s="305" t="str">
        <f>IF(OR(Overview!$D$4="Preliminary Documentation Review",Overview!$D$4="Preliminary Precertification Review"),IF(AND(P273=0,Q273=0),"",IF(AND(P273&gt;0,Q273&gt;0),"","MISMATCH")),"")</f>
        <v/>
      </c>
      <c r="M273" s="305" t="str">
        <f>IF(OR(Overview!$D$4="Preliminary Documentation Review",Overview!$D$4="Preliminary Precertification Review"),IF(AND(R273=0,S273=0),"",IF(AND(R273&gt;0,S273&gt;0),"","MISMATCH")),"")</f>
        <v/>
      </c>
      <c r="N273" s="305" t="str">
        <f>IF(OR(Overview!$D$4="Preliminary Documentation Review",Overview!$D$4="Preliminary Precertification Review"),IF(AND(T273=0,U273=0),"",IF(AND(T273&gt;0,U273&gt;0),"MISMATCH","")),"")</f>
        <v/>
      </c>
      <c r="O273" s="305" t="str">
        <f>IF(OR(Overview!$D$4="Preliminary Documentation Review",Overview!$D$4="Preliminary Precertification Review"),IF(AND(V273=0,W273=0),"",IF(AND(V273&gt;0,W273&gt;0),"","MISMATCH")),"")</f>
        <v/>
      </c>
      <c r="P273" s="286">
        <f t="shared" si="45"/>
        <v>0</v>
      </c>
      <c r="Q273" s="286">
        <f t="shared" si="43"/>
        <v>0</v>
      </c>
      <c r="R273" s="305">
        <f t="shared" si="46"/>
        <v>0</v>
      </c>
      <c r="S273" s="305">
        <f t="shared" si="44"/>
        <v>0</v>
      </c>
      <c r="T273" s="305">
        <f t="shared" si="39"/>
        <v>35</v>
      </c>
      <c r="U273" s="305">
        <f t="shared" si="40"/>
        <v>0</v>
      </c>
      <c r="V273" s="305">
        <f t="shared" si="47"/>
        <v>35</v>
      </c>
      <c r="W273" s="305">
        <f t="shared" si="38"/>
        <v>1</v>
      </c>
    </row>
    <row r="274" spans="2:23" ht="45.6">
      <c r="B274" s="896"/>
      <c r="C274" s="838"/>
      <c r="D274" s="837"/>
      <c r="E274" s="550" t="s">
        <v>1408</v>
      </c>
      <c r="F274" s="562">
        <v>1</v>
      </c>
      <c r="G274" s="552" t="s">
        <v>309</v>
      </c>
      <c r="H274" s="553" t="s">
        <v>1458</v>
      </c>
      <c r="I274" s="554" t="s">
        <v>1208</v>
      </c>
      <c r="L274" s="305" t="str">
        <f>IF(OR(Overview!$D$4="Preliminary Documentation Review",Overview!$D$4="Preliminary Precertification Review"),IF(AND(P274=0,Q274=0),"",IF(AND(P274&gt;0,Q274&gt;0),"","MISMATCH")),"")</f>
        <v/>
      </c>
      <c r="M274" s="305" t="str">
        <f>IF(OR(Overview!$D$4="Preliminary Documentation Review",Overview!$D$4="Preliminary Precertification Review"),IF(AND(R274=0,S274=0),"",IF(AND(R274&gt;0,S274&gt;0),"","MISMATCH")),"")</f>
        <v/>
      </c>
      <c r="N274" s="305" t="str">
        <f>IF(OR(Overview!$D$4="Preliminary Documentation Review",Overview!$D$4="Preliminary Precertification Review"),IF(AND(T274=0,U274=0),"",IF(AND(T274&gt;0,U274&gt;0),"MISMATCH","")),"")</f>
        <v/>
      </c>
      <c r="O274" s="305" t="str">
        <f>IF(OR(Overview!$D$4="Preliminary Documentation Review",Overview!$D$4="Preliminary Precertification Review"),IF(AND(V274=0,W274=0),"",IF(AND(V274&gt;0,W274&gt;0),"","MISMATCH")),"")</f>
        <v/>
      </c>
      <c r="P274" s="286">
        <f t="shared" si="45"/>
        <v>0</v>
      </c>
      <c r="Q274" s="286">
        <f t="shared" si="43"/>
        <v>0</v>
      </c>
      <c r="R274" s="305">
        <f t="shared" si="46"/>
        <v>0</v>
      </c>
      <c r="S274" s="305">
        <f t="shared" si="44"/>
        <v>0</v>
      </c>
      <c r="T274" s="305">
        <f t="shared" si="39"/>
        <v>0</v>
      </c>
      <c r="U274" s="305">
        <f t="shared" si="40"/>
        <v>0</v>
      </c>
      <c r="V274" s="305">
        <f t="shared" si="47"/>
        <v>0</v>
      </c>
      <c r="W274" s="305">
        <f t="shared" si="38"/>
        <v>0</v>
      </c>
    </row>
    <row r="275" spans="2:23" ht="45.6">
      <c r="B275" s="896"/>
      <c r="C275" s="838" t="s">
        <v>767</v>
      </c>
      <c r="D275" s="837" t="s">
        <v>1095</v>
      </c>
      <c r="E275" s="550" t="s">
        <v>1409</v>
      </c>
      <c r="F275" s="559"/>
      <c r="G275" s="552" t="s">
        <v>25</v>
      </c>
      <c r="H275" s="553" t="s">
        <v>1176</v>
      </c>
      <c r="I275" s="554" t="s">
        <v>1177</v>
      </c>
      <c r="L275" s="305" t="str">
        <f>IF(OR(Overview!$D$4="Preliminary Documentation Review",Overview!$D$4="Preliminary Precertification Review"),IF(AND(P275=0,Q275=0),"",IF(AND(P275&gt;0,Q275&gt;0),"","MISMATCH")),"")</f>
        <v/>
      </c>
      <c r="M275" s="305" t="str">
        <f>IF(OR(Overview!$D$4="Preliminary Documentation Review",Overview!$D$4="Preliminary Precertification Review"),IF(AND(R275=0,S275=0),"",IF(AND(R275&gt;0,S275&gt;0),"","MISMATCH")),"")</f>
        <v/>
      </c>
      <c r="N275" s="305" t="str">
        <f>IF(OR(Overview!$D$4="Preliminary Documentation Review",Overview!$D$4="Preliminary Precertification Review"),IF(AND(T275=0,U275=0),"",IF(AND(T275&gt;0,U275&gt;0),"MISMATCH","")),"")</f>
        <v/>
      </c>
      <c r="O275" s="305" t="str">
        <f>IF(OR(Overview!$D$4="Preliminary Documentation Review",Overview!$D$4="Preliminary Precertification Review"),IF(AND(V275=0,W275=0),"",IF(AND(V275&gt;0,W275&gt;0),"","MISMATCH")),"")</f>
        <v/>
      </c>
      <c r="P275" s="286">
        <f t="shared" si="45"/>
        <v>0</v>
      </c>
      <c r="Q275" s="286">
        <f t="shared" si="43"/>
        <v>0</v>
      </c>
      <c r="R275" s="305">
        <f t="shared" si="46"/>
        <v>0</v>
      </c>
      <c r="S275" s="305">
        <f t="shared" si="44"/>
        <v>0</v>
      </c>
      <c r="T275" s="305">
        <f t="shared" si="39"/>
        <v>35</v>
      </c>
      <c r="U275" s="305">
        <f t="shared" si="40"/>
        <v>0</v>
      </c>
      <c r="V275" s="305">
        <f t="shared" si="47"/>
        <v>35</v>
      </c>
      <c r="W275" s="305">
        <f t="shared" si="38"/>
        <v>1</v>
      </c>
    </row>
    <row r="276" spans="2:23" ht="45.6">
      <c r="B276" s="896"/>
      <c r="C276" s="838"/>
      <c r="D276" s="837"/>
      <c r="E276" s="550" t="s">
        <v>1410</v>
      </c>
      <c r="F276" s="560"/>
      <c r="G276" s="552" t="s">
        <v>25</v>
      </c>
      <c r="H276" s="553" t="s">
        <v>1176</v>
      </c>
      <c r="I276" s="554" t="s">
        <v>1177</v>
      </c>
      <c r="L276" s="305" t="str">
        <f>IF(OR(Overview!$D$4="Preliminary Documentation Review",Overview!$D$4="Preliminary Precertification Review"),IF(AND(P276=0,Q276=0),"",IF(AND(P276&gt;0,Q276&gt;0),"","MISMATCH")),"")</f>
        <v/>
      </c>
      <c r="M276" s="305" t="str">
        <f>IF(OR(Overview!$D$4="Preliminary Documentation Review",Overview!$D$4="Preliminary Precertification Review"),IF(AND(R276=0,S276=0),"",IF(AND(R276&gt;0,S276&gt;0),"","MISMATCH")),"")</f>
        <v/>
      </c>
      <c r="N276" s="305" t="str">
        <f>IF(OR(Overview!$D$4="Preliminary Documentation Review",Overview!$D$4="Preliminary Precertification Review"),IF(AND(T276=0,U276=0),"",IF(AND(T276&gt;0,U276&gt;0),"MISMATCH","")),"")</f>
        <v/>
      </c>
      <c r="O276" s="305" t="str">
        <f>IF(OR(Overview!$D$4="Preliminary Documentation Review",Overview!$D$4="Preliminary Precertification Review"),IF(AND(V276=0,W276=0),"",IF(AND(V276&gt;0,W276&gt;0),"","MISMATCH")),"")</f>
        <v/>
      </c>
      <c r="P276" s="286">
        <f t="shared" si="45"/>
        <v>0</v>
      </c>
      <c r="Q276" s="286">
        <f t="shared" si="43"/>
        <v>0</v>
      </c>
      <c r="R276" s="305">
        <f t="shared" si="46"/>
        <v>0</v>
      </c>
      <c r="S276" s="305">
        <f t="shared" si="44"/>
        <v>0</v>
      </c>
      <c r="T276" s="305">
        <f t="shared" si="39"/>
        <v>35</v>
      </c>
      <c r="U276" s="305">
        <f t="shared" si="40"/>
        <v>0</v>
      </c>
      <c r="V276" s="305">
        <f t="shared" si="47"/>
        <v>35</v>
      </c>
      <c r="W276" s="305">
        <f t="shared" si="38"/>
        <v>1</v>
      </c>
    </row>
    <row r="277" spans="2:23" ht="45.6">
      <c r="B277" s="896"/>
      <c r="C277" s="838"/>
      <c r="D277" s="837"/>
      <c r="E277" s="550" t="s">
        <v>1411</v>
      </c>
      <c r="F277" s="562"/>
      <c r="G277" s="552" t="s">
        <v>25</v>
      </c>
      <c r="H277" s="553" t="s">
        <v>1176</v>
      </c>
      <c r="I277" s="554" t="s">
        <v>1177</v>
      </c>
      <c r="L277" s="305" t="str">
        <f>IF(OR(Overview!$D$4="Preliminary Documentation Review",Overview!$D$4="Preliminary Precertification Review"),IF(AND(P277=0,Q277=0),"",IF(AND(P277&gt;0,Q277&gt;0),"","MISMATCH")),"")</f>
        <v/>
      </c>
      <c r="M277" s="305" t="str">
        <f>IF(OR(Overview!$D$4="Preliminary Documentation Review",Overview!$D$4="Preliminary Precertification Review"),IF(AND(R277=0,S277=0),"",IF(AND(R277&gt;0,S277&gt;0),"","MISMATCH")),"")</f>
        <v/>
      </c>
      <c r="N277" s="305" t="str">
        <f>IF(OR(Overview!$D$4="Preliminary Documentation Review",Overview!$D$4="Preliminary Precertification Review"),IF(AND(T277=0,U277=0),"",IF(AND(T277&gt;0,U277&gt;0),"MISMATCH","")),"")</f>
        <v/>
      </c>
      <c r="O277" s="305" t="str">
        <f>IF(OR(Overview!$D$4="Preliminary Documentation Review",Overview!$D$4="Preliminary Precertification Review"),IF(AND(V277=0,W277=0),"",IF(AND(V277&gt;0,W277&gt;0),"","MISMATCH")),"")</f>
        <v/>
      </c>
      <c r="P277" s="286">
        <f t="shared" si="45"/>
        <v>0</v>
      </c>
      <c r="Q277" s="286">
        <f t="shared" si="43"/>
        <v>0</v>
      </c>
      <c r="R277" s="305">
        <f t="shared" si="46"/>
        <v>0</v>
      </c>
      <c r="S277" s="305">
        <f t="shared" si="44"/>
        <v>0</v>
      </c>
      <c r="T277" s="305">
        <f t="shared" si="39"/>
        <v>35</v>
      </c>
      <c r="U277" s="305">
        <f t="shared" si="40"/>
        <v>0</v>
      </c>
      <c r="V277" s="305">
        <f t="shared" si="47"/>
        <v>35</v>
      </c>
      <c r="W277" s="305">
        <f t="shared" si="38"/>
        <v>1</v>
      </c>
    </row>
    <row r="278" spans="2:23" ht="45.6">
      <c r="B278" s="896"/>
      <c r="C278" s="838" t="s">
        <v>767</v>
      </c>
      <c r="D278" s="837" t="s">
        <v>1099</v>
      </c>
      <c r="E278" s="550" t="s">
        <v>1412</v>
      </c>
      <c r="F278" s="559"/>
      <c r="G278" s="552" t="s">
        <v>25</v>
      </c>
      <c r="H278" s="553" t="s">
        <v>1176</v>
      </c>
      <c r="I278" s="554" t="s">
        <v>1177</v>
      </c>
      <c r="L278" s="305" t="str">
        <f>IF(OR(Overview!$D$4="Preliminary Documentation Review",Overview!$D$4="Preliminary Precertification Review"),IF(AND(P278=0,Q278=0),"",IF(AND(P278&gt;0,Q278&gt;0),"","MISMATCH")),"")</f>
        <v/>
      </c>
      <c r="M278" s="305" t="str">
        <f>IF(OR(Overview!$D$4="Preliminary Documentation Review",Overview!$D$4="Preliminary Precertification Review"),IF(AND(R278=0,S278=0),"",IF(AND(R278&gt;0,S278&gt;0),"","MISMATCH")),"")</f>
        <v/>
      </c>
      <c r="N278" s="305" t="str">
        <f>IF(OR(Overview!$D$4="Preliminary Documentation Review",Overview!$D$4="Preliminary Precertification Review"),IF(AND(T278=0,U278=0),"",IF(AND(T278&gt;0,U278&gt;0),"MISMATCH","")),"")</f>
        <v/>
      </c>
      <c r="O278" s="305" t="str">
        <f>IF(OR(Overview!$D$4="Preliminary Documentation Review",Overview!$D$4="Preliminary Precertification Review"),IF(AND(V278=0,W278=0),"",IF(AND(V278&gt;0,W278&gt;0),"","MISMATCH")),"")</f>
        <v/>
      </c>
      <c r="P278" s="286">
        <f t="shared" si="45"/>
        <v>0</v>
      </c>
      <c r="Q278" s="286">
        <f t="shared" si="43"/>
        <v>0</v>
      </c>
      <c r="R278" s="305">
        <f t="shared" si="46"/>
        <v>0</v>
      </c>
      <c r="S278" s="305">
        <f t="shared" si="44"/>
        <v>0</v>
      </c>
      <c r="T278" s="305">
        <f t="shared" si="39"/>
        <v>35</v>
      </c>
      <c r="U278" s="305">
        <f t="shared" si="40"/>
        <v>0</v>
      </c>
      <c r="V278" s="305">
        <f t="shared" si="47"/>
        <v>35</v>
      </c>
      <c r="W278" s="305">
        <f t="shared" si="38"/>
        <v>1</v>
      </c>
    </row>
    <row r="279" spans="2:23" ht="45.6">
      <c r="B279" s="896"/>
      <c r="C279" s="838"/>
      <c r="D279" s="837"/>
      <c r="E279" s="550" t="s">
        <v>1413</v>
      </c>
      <c r="F279" s="560"/>
      <c r="G279" s="552" t="s">
        <v>25</v>
      </c>
      <c r="H279" s="553" t="s">
        <v>1176</v>
      </c>
      <c r="I279" s="554" t="s">
        <v>1177</v>
      </c>
      <c r="L279" s="305" t="str">
        <f>IF(OR(Overview!$D$4="Preliminary Documentation Review",Overview!$D$4="Preliminary Precertification Review"),IF(AND(P279=0,Q279=0),"",IF(AND(P279&gt;0,Q279&gt;0),"","MISMATCH")),"")</f>
        <v/>
      </c>
      <c r="M279" s="305" t="str">
        <f>IF(OR(Overview!$D$4="Preliminary Documentation Review",Overview!$D$4="Preliminary Precertification Review"),IF(AND(R279=0,S279=0),"",IF(AND(R279&gt;0,S279&gt;0),"","MISMATCH")),"")</f>
        <v/>
      </c>
      <c r="N279" s="305" t="str">
        <f>IF(OR(Overview!$D$4="Preliminary Documentation Review",Overview!$D$4="Preliminary Precertification Review"),IF(AND(T279=0,U279=0),"",IF(AND(T279&gt;0,U279&gt;0),"MISMATCH","")),"")</f>
        <v/>
      </c>
      <c r="O279" s="305" t="str">
        <f>IF(OR(Overview!$D$4="Preliminary Documentation Review",Overview!$D$4="Preliminary Precertification Review"),IF(AND(V279=0,W279=0),"",IF(AND(V279&gt;0,W279&gt;0),"","MISMATCH")),"")</f>
        <v/>
      </c>
      <c r="P279" s="286">
        <f t="shared" si="45"/>
        <v>0</v>
      </c>
      <c r="Q279" s="286">
        <f t="shared" si="43"/>
        <v>0</v>
      </c>
      <c r="R279" s="305">
        <f t="shared" si="46"/>
        <v>0</v>
      </c>
      <c r="S279" s="305">
        <f t="shared" si="44"/>
        <v>0</v>
      </c>
      <c r="T279" s="305">
        <f t="shared" si="39"/>
        <v>35</v>
      </c>
      <c r="U279" s="305">
        <f t="shared" si="40"/>
        <v>0</v>
      </c>
      <c r="V279" s="305">
        <f t="shared" si="47"/>
        <v>35</v>
      </c>
      <c r="W279" s="305">
        <f t="shared" si="38"/>
        <v>1</v>
      </c>
    </row>
    <row r="280" spans="2:23" ht="45.6">
      <c r="B280" s="896"/>
      <c r="C280" s="838"/>
      <c r="D280" s="837"/>
      <c r="E280" s="550" t="s">
        <v>1414</v>
      </c>
      <c r="F280" s="560"/>
      <c r="G280" s="552" t="s">
        <v>25</v>
      </c>
      <c r="H280" s="553" t="s">
        <v>1176</v>
      </c>
      <c r="I280" s="554" t="s">
        <v>1177</v>
      </c>
      <c r="L280" s="305" t="str">
        <f>IF(OR(Overview!$D$4="Preliminary Documentation Review",Overview!$D$4="Preliminary Precertification Review"),IF(AND(P280=0,Q280=0),"",IF(AND(P280&gt;0,Q280&gt;0),"","MISMATCH")),"")</f>
        <v/>
      </c>
      <c r="M280" s="305" t="str">
        <f>IF(OR(Overview!$D$4="Preliminary Documentation Review",Overview!$D$4="Preliminary Precertification Review"),IF(AND(R280=0,S280=0),"",IF(AND(R280&gt;0,S280&gt;0),"","MISMATCH")),"")</f>
        <v/>
      </c>
      <c r="N280" s="305" t="str">
        <f>IF(OR(Overview!$D$4="Preliminary Documentation Review",Overview!$D$4="Preliminary Precertification Review"),IF(AND(T280=0,U280=0),"",IF(AND(T280&gt;0,U280&gt;0),"MISMATCH","")),"")</f>
        <v/>
      </c>
      <c r="O280" s="305" t="str">
        <f>IF(OR(Overview!$D$4="Preliminary Documentation Review",Overview!$D$4="Preliminary Precertification Review"),IF(AND(V280=0,W280=0),"",IF(AND(V280&gt;0,W280&gt;0),"","MISMATCH")),"")</f>
        <v/>
      </c>
      <c r="P280" s="286">
        <f t="shared" si="45"/>
        <v>0</v>
      </c>
      <c r="Q280" s="286">
        <f t="shared" si="43"/>
        <v>0</v>
      </c>
      <c r="R280" s="305">
        <f t="shared" si="46"/>
        <v>0</v>
      </c>
      <c r="S280" s="305">
        <f t="shared" si="44"/>
        <v>0</v>
      </c>
      <c r="T280" s="305">
        <f t="shared" si="39"/>
        <v>35</v>
      </c>
      <c r="U280" s="305">
        <f t="shared" si="40"/>
        <v>0</v>
      </c>
      <c r="V280" s="305">
        <f t="shared" si="47"/>
        <v>35</v>
      </c>
      <c r="W280" s="305">
        <f t="shared" si="38"/>
        <v>1</v>
      </c>
    </row>
    <row r="281" spans="2:23" ht="45.6">
      <c r="B281" s="896"/>
      <c r="C281" s="838"/>
      <c r="D281" s="837"/>
      <c r="E281" s="550" t="s">
        <v>1415</v>
      </c>
      <c r="F281" s="562"/>
      <c r="G281" s="552" t="s">
        <v>25</v>
      </c>
      <c r="H281" s="553" t="s">
        <v>1176</v>
      </c>
      <c r="I281" s="554" t="s">
        <v>1177</v>
      </c>
      <c r="L281" s="305" t="str">
        <f>IF(OR(Overview!$D$4="Preliminary Documentation Review",Overview!$D$4="Preliminary Precertification Review"),IF(AND(P281=0,Q281=0),"",IF(AND(P281&gt;0,Q281&gt;0),"","MISMATCH")),"")</f>
        <v/>
      </c>
      <c r="M281" s="305" t="str">
        <f>IF(OR(Overview!$D$4="Preliminary Documentation Review",Overview!$D$4="Preliminary Precertification Review"),IF(AND(R281=0,S281=0),"",IF(AND(R281&gt;0,S281&gt;0),"","MISMATCH")),"")</f>
        <v/>
      </c>
      <c r="N281" s="305" t="str">
        <f>IF(OR(Overview!$D$4="Preliminary Documentation Review",Overview!$D$4="Preliminary Precertification Review"),IF(AND(T281=0,U281=0),"",IF(AND(T281&gt;0,U281&gt;0),"MISMATCH","")),"")</f>
        <v/>
      </c>
      <c r="O281" s="305" t="str">
        <f>IF(OR(Overview!$D$4="Preliminary Documentation Review",Overview!$D$4="Preliminary Precertification Review"),IF(AND(V281=0,W281=0),"",IF(AND(V281&gt;0,W281&gt;0),"","MISMATCH")),"")</f>
        <v/>
      </c>
      <c r="P281" s="286">
        <f t="shared" si="45"/>
        <v>0</v>
      </c>
      <c r="Q281" s="286">
        <f t="shared" si="43"/>
        <v>0</v>
      </c>
      <c r="R281" s="305">
        <f t="shared" si="46"/>
        <v>0</v>
      </c>
      <c r="S281" s="305">
        <f t="shared" si="44"/>
        <v>0</v>
      </c>
      <c r="T281" s="305">
        <f t="shared" si="39"/>
        <v>35</v>
      </c>
      <c r="U281" s="305">
        <f t="shared" si="40"/>
        <v>0</v>
      </c>
      <c r="V281" s="305">
        <f t="shared" si="47"/>
        <v>35</v>
      </c>
      <c r="W281" s="305">
        <f t="shared" si="38"/>
        <v>1</v>
      </c>
    </row>
    <row r="282" spans="2:23" ht="45.6">
      <c r="B282" s="896"/>
      <c r="C282" s="548" t="s">
        <v>767</v>
      </c>
      <c r="D282" s="550" t="s">
        <v>1104</v>
      </c>
      <c r="E282" s="550" t="s">
        <v>1416</v>
      </c>
      <c r="F282" s="564"/>
      <c r="G282" s="552" t="s">
        <v>25</v>
      </c>
      <c r="H282" s="553" t="s">
        <v>1176</v>
      </c>
      <c r="I282" s="554" t="s">
        <v>1177</v>
      </c>
      <c r="L282" s="305" t="str">
        <f>IF(OR(Overview!$D$4="Preliminary Documentation Review",Overview!$D$4="Preliminary Precertification Review"),IF(AND(P282=0,Q282=0),"",IF(AND(P282&gt;0,Q282&gt;0),"","MISMATCH")),"")</f>
        <v/>
      </c>
      <c r="M282" s="305" t="str">
        <f>IF(OR(Overview!$D$4="Preliminary Documentation Review",Overview!$D$4="Preliminary Precertification Review"),IF(AND(R282=0,S282=0),"",IF(AND(R282&gt;0,S282&gt;0),"","MISMATCH")),"")</f>
        <v/>
      </c>
      <c r="N282" s="305" t="str">
        <f>IF(OR(Overview!$D$4="Preliminary Documentation Review",Overview!$D$4="Preliminary Precertification Review"),IF(AND(T282=0,U282=0),"",IF(AND(T282&gt;0,U282&gt;0),"MISMATCH","")),"")</f>
        <v/>
      </c>
      <c r="O282" s="305" t="str">
        <f>IF(OR(Overview!$D$4="Preliminary Documentation Review",Overview!$D$4="Preliminary Precertification Review"),IF(AND(V282=0,W282=0),"",IF(AND(V282&gt;0,W282&gt;0),"","MISMATCH")),"")</f>
        <v/>
      </c>
      <c r="P282" s="286">
        <f t="shared" si="45"/>
        <v>0</v>
      </c>
      <c r="Q282" s="286">
        <f t="shared" si="43"/>
        <v>0</v>
      </c>
      <c r="R282" s="305">
        <f t="shared" si="46"/>
        <v>0</v>
      </c>
      <c r="S282" s="305">
        <f t="shared" si="44"/>
        <v>0</v>
      </c>
      <c r="T282" s="305">
        <f t="shared" si="39"/>
        <v>35</v>
      </c>
      <c r="U282" s="305">
        <f t="shared" si="40"/>
        <v>0</v>
      </c>
      <c r="V282" s="305">
        <f t="shared" si="47"/>
        <v>35</v>
      </c>
      <c r="W282" s="305">
        <f t="shared" si="38"/>
        <v>1</v>
      </c>
    </row>
    <row r="283" spans="2:23" ht="45.6">
      <c r="B283" s="896"/>
      <c r="C283" s="548" t="s">
        <v>767</v>
      </c>
      <c r="D283" s="550" t="s">
        <v>1106</v>
      </c>
      <c r="E283" s="550" t="s">
        <v>1417</v>
      </c>
      <c r="F283" s="564"/>
      <c r="G283" s="552" t="s">
        <v>25</v>
      </c>
      <c r="H283" s="553" t="s">
        <v>1176</v>
      </c>
      <c r="I283" s="554" t="s">
        <v>1177</v>
      </c>
      <c r="L283" s="305" t="str">
        <f>IF(OR(Overview!$D$4="Preliminary Documentation Review",Overview!$D$4="Preliminary Precertification Review"),IF(AND(P283=0,Q283=0),"",IF(AND(P283&gt;0,Q283&gt;0),"","MISMATCH")),"")</f>
        <v/>
      </c>
      <c r="M283" s="305" t="str">
        <f>IF(OR(Overview!$D$4="Preliminary Documentation Review",Overview!$D$4="Preliminary Precertification Review"),IF(AND(R283=0,S283=0),"",IF(AND(R283&gt;0,S283&gt;0),"","MISMATCH")),"")</f>
        <v/>
      </c>
      <c r="N283" s="305" t="str">
        <f>IF(OR(Overview!$D$4="Preliminary Documentation Review",Overview!$D$4="Preliminary Precertification Review"),IF(AND(T283=0,U283=0),"",IF(AND(T283&gt;0,U283&gt;0),"MISMATCH","")),"")</f>
        <v/>
      </c>
      <c r="O283" s="305" t="str">
        <f>IF(OR(Overview!$D$4="Preliminary Documentation Review",Overview!$D$4="Preliminary Precertification Review"),IF(AND(V283=0,W283=0),"",IF(AND(V283&gt;0,W283&gt;0),"","MISMATCH")),"")</f>
        <v/>
      </c>
      <c r="P283" s="286">
        <f t="shared" si="45"/>
        <v>0</v>
      </c>
      <c r="Q283" s="286">
        <f t="shared" si="43"/>
        <v>0</v>
      </c>
      <c r="R283" s="305">
        <f t="shared" si="46"/>
        <v>0</v>
      </c>
      <c r="S283" s="305">
        <f t="shared" si="44"/>
        <v>0</v>
      </c>
      <c r="T283" s="305">
        <f t="shared" si="39"/>
        <v>35</v>
      </c>
      <c r="U283" s="305">
        <f t="shared" si="40"/>
        <v>0</v>
      </c>
      <c r="V283" s="305">
        <f t="shared" si="47"/>
        <v>35</v>
      </c>
      <c r="W283" s="305">
        <f t="shared" ref="W283:W300" si="48">IFERROR(SEARCH("Not Attempted",$H283),0)</f>
        <v>1</v>
      </c>
    </row>
    <row r="284" spans="2:23" ht="45.6">
      <c r="B284" s="896"/>
      <c r="C284" s="838" t="s">
        <v>767</v>
      </c>
      <c r="D284" s="837" t="s">
        <v>1108</v>
      </c>
      <c r="E284" s="550" t="s">
        <v>1418</v>
      </c>
      <c r="F284" s="559">
        <v>1</v>
      </c>
      <c r="G284" s="552" t="s">
        <v>309</v>
      </c>
      <c r="H284" s="553" t="s">
        <v>1458</v>
      </c>
      <c r="I284" s="554" t="s">
        <v>1208</v>
      </c>
      <c r="L284" s="305" t="str">
        <f>IF(OR(Overview!$D$4="Preliminary Documentation Review",Overview!$D$4="Preliminary Precertification Review"),IF(AND(P284=0,Q284=0),"",IF(AND(P284&gt;0,Q284&gt;0),"","MISMATCH")),"")</f>
        <v/>
      </c>
      <c r="M284" s="305" t="str">
        <f>IF(OR(Overview!$D$4="Preliminary Documentation Review",Overview!$D$4="Preliminary Precertification Review"),IF(AND(R284=0,S284=0),"",IF(AND(R284&gt;0,S284&gt;0),"","MISMATCH")),"")</f>
        <v/>
      </c>
      <c r="N284" s="305" t="str">
        <f>IF(OR(Overview!$D$4="Preliminary Documentation Review",Overview!$D$4="Preliminary Precertification Review"),IF(AND(T284=0,U284=0),"",IF(AND(T284&gt;0,U284&gt;0),"MISMATCH","")),"")</f>
        <v/>
      </c>
      <c r="O284" s="305" t="str">
        <f>IF(OR(Overview!$D$4="Preliminary Documentation Review",Overview!$D$4="Preliminary Precertification Review"),IF(AND(V284=0,W284=0),"",IF(AND(V284&gt;0,W284&gt;0),"","MISMATCH")),"")</f>
        <v/>
      </c>
      <c r="P284" s="286">
        <f t="shared" si="45"/>
        <v>0</v>
      </c>
      <c r="Q284" s="286">
        <f t="shared" si="43"/>
        <v>0</v>
      </c>
      <c r="R284" s="305">
        <f t="shared" si="46"/>
        <v>0</v>
      </c>
      <c r="S284" s="305">
        <f t="shared" si="44"/>
        <v>0</v>
      </c>
      <c r="T284" s="305">
        <f t="shared" ref="T284:T300" si="49">IFERROR(SEARCH("This Part has no",$I284),0)</f>
        <v>0</v>
      </c>
      <c r="U284" s="305">
        <f t="shared" ref="U284:U300" si="50">IFERROR(SEARCH("Anticipated",$H284),0)</f>
        <v>0</v>
      </c>
      <c r="V284" s="305">
        <f t="shared" si="47"/>
        <v>0</v>
      </c>
      <c r="W284" s="305">
        <f t="shared" si="48"/>
        <v>0</v>
      </c>
    </row>
    <row r="285" spans="2:23" ht="45.6">
      <c r="B285" s="896"/>
      <c r="C285" s="838"/>
      <c r="D285" s="837"/>
      <c r="E285" s="550" t="s">
        <v>1419</v>
      </c>
      <c r="F285" s="562">
        <v>2</v>
      </c>
      <c r="G285" s="552" t="s">
        <v>309</v>
      </c>
      <c r="H285" s="553" t="s">
        <v>1458</v>
      </c>
      <c r="I285" s="554" t="s">
        <v>1208</v>
      </c>
      <c r="L285" s="305" t="str">
        <f>IF(OR(Overview!$D$4="Preliminary Documentation Review",Overview!$D$4="Preliminary Precertification Review"),IF(AND(P285=0,Q285=0),"",IF(AND(P285&gt;0,Q285&gt;0),"","MISMATCH")),"")</f>
        <v/>
      </c>
      <c r="M285" s="305" t="str">
        <f>IF(OR(Overview!$D$4="Preliminary Documentation Review",Overview!$D$4="Preliminary Precertification Review"),IF(AND(R285=0,S285=0),"",IF(AND(R285&gt;0,S285&gt;0),"","MISMATCH")),"")</f>
        <v/>
      </c>
      <c r="N285" s="305" t="str">
        <f>IF(OR(Overview!$D$4="Preliminary Documentation Review",Overview!$D$4="Preliminary Precertification Review"),IF(AND(T285=0,U285=0),"",IF(AND(T285&gt;0,U285&gt;0),"MISMATCH","")),"")</f>
        <v/>
      </c>
      <c r="O285" s="305" t="str">
        <f>IF(OR(Overview!$D$4="Preliminary Documentation Review",Overview!$D$4="Preliminary Precertification Review"),IF(AND(V285=0,W285=0),"",IF(AND(V285&gt;0,W285&gt;0),"","MISMATCH")),"")</f>
        <v/>
      </c>
      <c r="P285" s="286">
        <f t="shared" si="45"/>
        <v>0</v>
      </c>
      <c r="Q285" s="286">
        <f t="shared" si="43"/>
        <v>0</v>
      </c>
      <c r="R285" s="305">
        <f t="shared" si="46"/>
        <v>0</v>
      </c>
      <c r="S285" s="305">
        <f t="shared" si="44"/>
        <v>0</v>
      </c>
      <c r="T285" s="305">
        <f t="shared" si="49"/>
        <v>0</v>
      </c>
      <c r="U285" s="305">
        <f t="shared" si="50"/>
        <v>0</v>
      </c>
      <c r="V285" s="305">
        <f t="shared" si="47"/>
        <v>0</v>
      </c>
      <c r="W285" s="305">
        <f t="shared" si="48"/>
        <v>0</v>
      </c>
    </row>
    <row r="286" spans="2:23" ht="45.6">
      <c r="B286" s="896"/>
      <c r="C286" s="838" t="s">
        <v>767</v>
      </c>
      <c r="D286" s="837" t="s">
        <v>1111</v>
      </c>
      <c r="E286" s="550" t="s">
        <v>1420</v>
      </c>
      <c r="F286" s="559"/>
      <c r="G286" s="552" t="s">
        <v>25</v>
      </c>
      <c r="H286" s="553" t="s">
        <v>1176</v>
      </c>
      <c r="I286" s="554" t="s">
        <v>1177</v>
      </c>
      <c r="L286" s="305" t="str">
        <f>IF(OR(Overview!$D$4="Preliminary Documentation Review",Overview!$D$4="Preliminary Precertification Review"),IF(AND(P286=0,Q286=0),"",IF(AND(P286&gt;0,Q286&gt;0),"","MISMATCH")),"")</f>
        <v/>
      </c>
      <c r="M286" s="305" t="str">
        <f>IF(OR(Overview!$D$4="Preliminary Documentation Review",Overview!$D$4="Preliminary Precertification Review"),IF(AND(R286=0,S286=0),"",IF(AND(R286&gt;0,S286&gt;0),"","MISMATCH")),"")</f>
        <v/>
      </c>
      <c r="N286" s="305" t="str">
        <f>IF(OR(Overview!$D$4="Preliminary Documentation Review",Overview!$D$4="Preliminary Precertification Review"),IF(AND(T286=0,U286=0),"",IF(AND(T286&gt;0,U286&gt;0),"MISMATCH","")),"")</f>
        <v/>
      </c>
      <c r="O286" s="305" t="str">
        <f>IF(OR(Overview!$D$4="Preliminary Documentation Review",Overview!$D$4="Preliminary Precertification Review"),IF(AND(V286=0,W286=0),"",IF(AND(V286&gt;0,W286&gt;0),"","MISMATCH")),"")</f>
        <v/>
      </c>
      <c r="P286" s="286">
        <f t="shared" si="45"/>
        <v>0</v>
      </c>
      <c r="Q286" s="286">
        <f t="shared" si="43"/>
        <v>0</v>
      </c>
      <c r="R286" s="305">
        <f t="shared" si="46"/>
        <v>0</v>
      </c>
      <c r="S286" s="305">
        <f t="shared" si="44"/>
        <v>0</v>
      </c>
      <c r="T286" s="305">
        <f t="shared" si="49"/>
        <v>35</v>
      </c>
      <c r="U286" s="305">
        <f t="shared" si="50"/>
        <v>0</v>
      </c>
      <c r="V286" s="305">
        <f t="shared" si="47"/>
        <v>35</v>
      </c>
      <c r="W286" s="305">
        <f t="shared" si="48"/>
        <v>1</v>
      </c>
    </row>
    <row r="287" spans="2:23" ht="45.6">
      <c r="B287" s="896"/>
      <c r="C287" s="838"/>
      <c r="D287" s="837"/>
      <c r="E287" s="550" t="s">
        <v>1421</v>
      </c>
      <c r="F287" s="560"/>
      <c r="G287" s="552" t="s">
        <v>25</v>
      </c>
      <c r="H287" s="553" t="s">
        <v>1176</v>
      </c>
      <c r="I287" s="554" t="s">
        <v>1177</v>
      </c>
      <c r="L287" s="305" t="str">
        <f>IF(OR(Overview!$D$4="Preliminary Documentation Review",Overview!$D$4="Preliminary Precertification Review"),IF(AND(P287=0,Q287=0),"",IF(AND(P287&gt;0,Q287&gt;0),"","MISMATCH")),"")</f>
        <v/>
      </c>
      <c r="M287" s="305" t="str">
        <f>IF(OR(Overview!$D$4="Preliminary Documentation Review",Overview!$D$4="Preliminary Precertification Review"),IF(AND(R287=0,S287=0),"",IF(AND(R287&gt;0,S287&gt;0),"","MISMATCH")),"")</f>
        <v/>
      </c>
      <c r="N287" s="305" t="str">
        <f>IF(OR(Overview!$D$4="Preliminary Documentation Review",Overview!$D$4="Preliminary Precertification Review"),IF(AND(T287=0,U287=0),"",IF(AND(T287&gt;0,U287&gt;0),"MISMATCH","")),"")</f>
        <v/>
      </c>
      <c r="O287" s="305" t="str">
        <f>IF(OR(Overview!$D$4="Preliminary Documentation Review",Overview!$D$4="Preliminary Precertification Review"),IF(AND(V287=0,W287=0),"",IF(AND(V287&gt;0,W287&gt;0),"","MISMATCH")),"")</f>
        <v/>
      </c>
      <c r="P287" s="286">
        <f t="shared" si="45"/>
        <v>0</v>
      </c>
      <c r="Q287" s="286">
        <f t="shared" si="43"/>
        <v>0</v>
      </c>
      <c r="R287" s="305">
        <f t="shared" si="46"/>
        <v>0</v>
      </c>
      <c r="S287" s="305">
        <f t="shared" si="44"/>
        <v>0</v>
      </c>
      <c r="T287" s="305">
        <f t="shared" si="49"/>
        <v>35</v>
      </c>
      <c r="U287" s="305">
        <f t="shared" si="50"/>
        <v>0</v>
      </c>
      <c r="V287" s="305">
        <f t="shared" si="47"/>
        <v>35</v>
      </c>
      <c r="W287" s="305">
        <f t="shared" si="48"/>
        <v>1</v>
      </c>
    </row>
    <row r="288" spans="2:23" ht="45.6">
      <c r="B288" s="896"/>
      <c r="C288" s="838"/>
      <c r="D288" s="837"/>
      <c r="E288" s="550" t="s">
        <v>1422</v>
      </c>
      <c r="F288" s="562"/>
      <c r="G288" s="552" t="s">
        <v>25</v>
      </c>
      <c r="H288" s="553" t="s">
        <v>1176</v>
      </c>
      <c r="I288" s="554" t="s">
        <v>1177</v>
      </c>
      <c r="L288" s="305" t="str">
        <f>IF(OR(Overview!$D$4="Preliminary Documentation Review",Overview!$D$4="Preliminary Precertification Review"),IF(AND(P288=0,Q288=0),"",IF(AND(P288&gt;0,Q288&gt;0),"","MISMATCH")),"")</f>
        <v/>
      </c>
      <c r="M288" s="305" t="str">
        <f>IF(OR(Overview!$D$4="Preliminary Documentation Review",Overview!$D$4="Preliminary Precertification Review"),IF(AND(R288=0,S288=0),"",IF(AND(R288&gt;0,S288&gt;0),"","MISMATCH")),"")</f>
        <v/>
      </c>
      <c r="N288" s="305" t="str">
        <f>IF(OR(Overview!$D$4="Preliminary Documentation Review",Overview!$D$4="Preliminary Precertification Review"),IF(AND(T288=0,U288=0),"",IF(AND(T288&gt;0,U288&gt;0),"MISMATCH","")),"")</f>
        <v/>
      </c>
      <c r="O288" s="305" t="str">
        <f>IF(OR(Overview!$D$4="Preliminary Documentation Review",Overview!$D$4="Preliminary Precertification Review"),IF(AND(V288=0,W288=0),"",IF(AND(V288&gt;0,W288&gt;0),"","MISMATCH")),"")</f>
        <v/>
      </c>
      <c r="P288" s="286">
        <f t="shared" si="45"/>
        <v>0</v>
      </c>
      <c r="Q288" s="286">
        <f t="shared" si="43"/>
        <v>0</v>
      </c>
      <c r="R288" s="305">
        <f t="shared" si="46"/>
        <v>0</v>
      </c>
      <c r="S288" s="305">
        <f t="shared" si="44"/>
        <v>0</v>
      </c>
      <c r="T288" s="305">
        <f t="shared" si="49"/>
        <v>35</v>
      </c>
      <c r="U288" s="305">
        <f t="shared" si="50"/>
        <v>0</v>
      </c>
      <c r="V288" s="305">
        <f t="shared" si="47"/>
        <v>35</v>
      </c>
      <c r="W288" s="305">
        <f t="shared" si="48"/>
        <v>1</v>
      </c>
    </row>
    <row r="289" spans="2:23" ht="181.8">
      <c r="B289" s="896"/>
      <c r="C289" s="838" t="s">
        <v>767</v>
      </c>
      <c r="D289" s="837" t="s">
        <v>1115</v>
      </c>
      <c r="E289" s="550" t="s">
        <v>1423</v>
      </c>
      <c r="F289" s="559">
        <v>1</v>
      </c>
      <c r="G289" s="552" t="s">
        <v>309</v>
      </c>
      <c r="H289" s="553" t="s">
        <v>1458</v>
      </c>
      <c r="I289" s="554" t="s">
        <v>1424</v>
      </c>
      <c r="L289" s="305" t="str">
        <f>IF(OR(Overview!$D$4="Preliminary Documentation Review",Overview!$D$4="Preliminary Precertification Review"),IF(AND(P289=0,Q289=0),"",IF(AND(P289&gt;0,Q289&gt;0),"","MISMATCH")),"")</f>
        <v/>
      </c>
      <c r="M289" s="305" t="str">
        <f>IF(OR(Overview!$D$4="Preliminary Documentation Review",Overview!$D$4="Preliminary Precertification Review"),IF(AND(R289=0,S289=0),"",IF(AND(R289&gt;0,S289&gt;0),"","MISMATCH")),"")</f>
        <v/>
      </c>
      <c r="N289" s="305" t="str">
        <f>IF(OR(Overview!$D$4="Preliminary Documentation Review",Overview!$D$4="Preliminary Precertification Review"),IF(AND(T289=0,U289=0),"",IF(AND(T289&gt;0,U289&gt;0),"MISMATCH","")),"")</f>
        <v/>
      </c>
      <c r="O289" s="305" t="str">
        <f>IF(OR(Overview!$D$4="Preliminary Documentation Review",Overview!$D$4="Preliminary Precertification Review"),IF(AND(V289=0,W289=0),"",IF(AND(V289&gt;0,W289&gt;0),"","MISMATCH")),"")</f>
        <v/>
      </c>
      <c r="P289" s="286">
        <f t="shared" si="45"/>
        <v>211</v>
      </c>
      <c r="Q289" s="286">
        <f t="shared" si="43"/>
        <v>0</v>
      </c>
      <c r="R289" s="305">
        <f t="shared" si="46"/>
        <v>0</v>
      </c>
      <c r="S289" s="305">
        <f t="shared" si="44"/>
        <v>0</v>
      </c>
      <c r="T289" s="305">
        <f t="shared" si="49"/>
        <v>0</v>
      </c>
      <c r="U289" s="305">
        <f t="shared" si="50"/>
        <v>0</v>
      </c>
      <c r="V289" s="305">
        <f t="shared" si="47"/>
        <v>0</v>
      </c>
      <c r="W289" s="305">
        <f t="shared" si="48"/>
        <v>0</v>
      </c>
    </row>
    <row r="290" spans="2:23" ht="136.19999999999999">
      <c r="B290" s="896"/>
      <c r="C290" s="838"/>
      <c r="D290" s="837"/>
      <c r="E290" s="550" t="s">
        <v>1425</v>
      </c>
      <c r="F290" s="562">
        <v>2</v>
      </c>
      <c r="G290" s="552" t="s">
        <v>309</v>
      </c>
      <c r="H290" s="553" t="s">
        <v>1458</v>
      </c>
      <c r="I290" s="565" t="s">
        <v>1461</v>
      </c>
      <c r="L290" s="305" t="str">
        <f>IF(OR(Overview!$D$4="Preliminary Documentation Review",Overview!$D$4="Preliminary Precertification Review"),IF(AND(P290=0,Q290=0),"",IF(AND(P290&gt;0,Q290&gt;0),"","MISMATCH")),"")</f>
        <v/>
      </c>
      <c r="M290" s="305" t="str">
        <f>IF(OR(Overview!$D$4="Preliminary Documentation Review",Overview!$D$4="Preliminary Precertification Review"),IF(AND(R290=0,S290=0),"",IF(AND(R290&gt;0,S290&gt;0),"","MISMATCH")),"")</f>
        <v/>
      </c>
      <c r="N290" s="305" t="str">
        <f>IF(OR(Overview!$D$4="Preliminary Documentation Review",Overview!$D$4="Preliminary Precertification Review"),IF(AND(T290=0,U290=0),"",IF(AND(T290&gt;0,U290&gt;0),"MISMATCH","")),"")</f>
        <v/>
      </c>
      <c r="O290" s="305" t="str">
        <f>IF(OR(Overview!$D$4="Preliminary Documentation Review",Overview!$D$4="Preliminary Precertification Review"),IF(AND(V290=0,W290=0),"",IF(AND(V290&gt;0,W290&gt;0),"","MISMATCH")),"")</f>
        <v/>
      </c>
      <c r="P290" s="286">
        <f t="shared" si="45"/>
        <v>0</v>
      </c>
      <c r="Q290" s="286">
        <f t="shared" si="43"/>
        <v>0</v>
      </c>
      <c r="R290" s="305">
        <f t="shared" si="46"/>
        <v>178</v>
      </c>
      <c r="S290" s="305">
        <f t="shared" si="44"/>
        <v>0</v>
      </c>
      <c r="T290" s="305">
        <f t="shared" si="49"/>
        <v>0</v>
      </c>
      <c r="U290" s="305">
        <f t="shared" si="50"/>
        <v>0</v>
      </c>
      <c r="V290" s="305">
        <f t="shared" si="47"/>
        <v>0</v>
      </c>
      <c r="W290" s="305">
        <f t="shared" si="48"/>
        <v>0</v>
      </c>
    </row>
    <row r="291" spans="2:23" ht="45.6">
      <c r="B291" s="896"/>
      <c r="C291" s="548" t="s">
        <v>767</v>
      </c>
      <c r="D291" s="550" t="s">
        <v>1118</v>
      </c>
      <c r="E291" s="550" t="s">
        <v>1426</v>
      </c>
      <c r="F291" s="564"/>
      <c r="G291" s="552" t="s">
        <v>25</v>
      </c>
      <c r="H291" s="553" t="s">
        <v>1176</v>
      </c>
      <c r="I291" s="554" t="s">
        <v>1177</v>
      </c>
      <c r="K291" s="555" t="s">
        <v>1120</v>
      </c>
      <c r="L291" s="305" t="str">
        <f>IF(OR(Overview!$D$4="Preliminary Documentation Review",Overview!$D$4="Preliminary Precertification Review"),IF(AND(P291=0,Q291=0),"",IF(AND(P291&gt;0,Q291&gt;0),"","MISMATCH")),"")</f>
        <v/>
      </c>
      <c r="M291" s="305" t="str">
        <f>IF(OR(Overview!$D$4="Preliminary Documentation Review",Overview!$D$4="Preliminary Precertification Review"),IF(AND(R291=0,S291=0),"",IF(AND(R291&gt;0,S291&gt;0),"","MISMATCH")),"")</f>
        <v/>
      </c>
      <c r="N291" s="305" t="str">
        <f>IF(OR(Overview!$D$4="Preliminary Documentation Review",Overview!$D$4="Preliminary Precertification Review"),IF(AND(T291=0,U291=0),"",IF(AND(T291&gt;0,U291&gt;0),"MISMATCH","")),"")</f>
        <v/>
      </c>
      <c r="O291" s="305" t="str">
        <f>IF(OR(Overview!$D$4="Preliminary Documentation Review",Overview!$D$4="Preliminary Precertification Review"),IF(AND(V291=0,W291=0),"",IF(AND(V291&gt;0,W291&gt;0),"","MISMATCH")),"")</f>
        <v/>
      </c>
      <c r="P291" s="286">
        <f t="shared" si="45"/>
        <v>0</v>
      </c>
      <c r="Q291" s="286">
        <f t="shared" si="43"/>
        <v>0</v>
      </c>
      <c r="R291" s="305">
        <f t="shared" si="46"/>
        <v>0</v>
      </c>
      <c r="S291" s="305">
        <f t="shared" si="44"/>
        <v>0</v>
      </c>
      <c r="T291" s="305">
        <f t="shared" si="49"/>
        <v>35</v>
      </c>
      <c r="U291" s="305">
        <f t="shared" si="50"/>
        <v>0</v>
      </c>
      <c r="V291" s="305">
        <f t="shared" si="47"/>
        <v>35</v>
      </c>
      <c r="W291" s="305">
        <f t="shared" si="48"/>
        <v>1</v>
      </c>
    </row>
    <row r="292" spans="2:23" ht="30" hidden="1">
      <c r="B292" s="896"/>
      <c r="C292" s="548" t="s">
        <v>767</v>
      </c>
      <c r="D292" s="550" t="s">
        <v>1427</v>
      </c>
      <c r="E292" s="550" t="s">
        <v>1428</v>
      </c>
      <c r="F292" s="638"/>
      <c r="G292" s="591"/>
      <c r="H292" s="592"/>
      <c r="I292" s="554"/>
      <c r="L292" s="305" t="str">
        <f>IF(OR(Overview!$D$4="Preliminary Documentation Review",Overview!$D$4="Preliminary Precertification Review"),IF(AND(P292=0,Q292=0),"",IF(AND(P292&gt;0,Q292&gt;0),"","MISMATCH")),"")</f>
        <v/>
      </c>
      <c r="M292" s="305" t="str">
        <f>IF(OR(Overview!$D$4="Preliminary Documentation Review",Overview!$D$4="Preliminary Precertification Review"),IF(AND(R292=0,S292=0),"",IF(AND(R292&gt;0,S292&gt;0),"","MISMATCH")),"")</f>
        <v/>
      </c>
      <c r="N292" s="305" t="str">
        <f>IF(OR(Overview!$D$4="Preliminary Documentation Review",Overview!$D$4="Preliminary Precertification Review"),IF(AND(T292=0,U292=0),"",IF(AND(T292&gt;0,U292&gt;0),"MISMATCH","")),"")</f>
        <v/>
      </c>
      <c r="O292" s="305" t="str">
        <f>IF(OR(Overview!$D$4="Preliminary Documentation Review",Overview!$D$4="Preliminary Precertification Review"),IF(AND(V292=0,W292=0),"",IF(AND(V292&gt;0,W292&gt;0),"","MISMATCH")),"")</f>
        <v/>
      </c>
      <c r="P292" s="286">
        <f t="shared" si="45"/>
        <v>0</v>
      </c>
      <c r="Q292" s="286">
        <f t="shared" si="43"/>
        <v>0</v>
      </c>
      <c r="R292" s="305">
        <f t="shared" si="46"/>
        <v>0</v>
      </c>
      <c r="S292" s="305">
        <f t="shared" si="44"/>
        <v>0</v>
      </c>
      <c r="T292" s="305">
        <f t="shared" si="49"/>
        <v>0</v>
      </c>
      <c r="U292" s="305">
        <f t="shared" si="50"/>
        <v>0</v>
      </c>
      <c r="V292" s="305">
        <f t="shared" si="47"/>
        <v>0</v>
      </c>
      <c r="W292" s="305">
        <f t="shared" si="48"/>
        <v>0</v>
      </c>
    </row>
    <row r="293" spans="2:23" ht="45.6" hidden="1">
      <c r="B293" s="896"/>
      <c r="C293" s="851" t="s">
        <v>767</v>
      </c>
      <c r="D293" s="844" t="s">
        <v>1429</v>
      </c>
      <c r="E293" s="550" t="s">
        <v>1430</v>
      </c>
      <c r="F293" s="678">
        <v>0</v>
      </c>
      <c r="G293" s="591" t="s">
        <v>309</v>
      </c>
      <c r="H293" s="592" t="s">
        <v>1458</v>
      </c>
      <c r="I293" s="554" t="s">
        <v>1208</v>
      </c>
      <c r="L293" s="305" t="str">
        <f>IF(OR(Overview!$D$4="Preliminary Documentation Review",Overview!$D$4="Preliminary Precertification Review"),IF(AND(P293=0,Q293=0),"",IF(AND(P293&gt;0,Q293&gt;0),"","MISMATCH")),"")</f>
        <v/>
      </c>
      <c r="M293" s="305" t="str">
        <f>IF(OR(Overview!$D$4="Preliminary Documentation Review",Overview!$D$4="Preliminary Precertification Review"),IF(AND(R293=0,S293=0),"",IF(AND(R293&gt;0,S293&gt;0),"","MISMATCH")),"")</f>
        <v/>
      </c>
      <c r="N293" s="305" t="str">
        <f>IF(OR(Overview!$D$4="Preliminary Documentation Review",Overview!$D$4="Preliminary Precertification Review"),IF(AND(T293=0,U293=0),"",IF(AND(T293&gt;0,U293&gt;0),"MISMATCH","")),"")</f>
        <v/>
      </c>
      <c r="O293" s="305" t="str">
        <f>IF(OR(Overview!$D$4="Preliminary Documentation Review",Overview!$D$4="Preliminary Precertification Review"),IF(AND(V293=0,W293=0),"",IF(AND(V293&gt;0,W293&gt;0),"","MISMATCH")),"")</f>
        <v/>
      </c>
      <c r="P293" s="286">
        <f t="shared" si="45"/>
        <v>0</v>
      </c>
      <c r="Q293" s="286">
        <f t="shared" si="43"/>
        <v>0</v>
      </c>
      <c r="R293" s="305">
        <f t="shared" si="46"/>
        <v>0</v>
      </c>
      <c r="S293" s="305">
        <f t="shared" si="44"/>
        <v>0</v>
      </c>
      <c r="T293" s="305">
        <f t="shared" si="49"/>
        <v>0</v>
      </c>
      <c r="U293" s="305">
        <f t="shared" si="50"/>
        <v>0</v>
      </c>
      <c r="V293" s="305">
        <f t="shared" si="47"/>
        <v>0</v>
      </c>
      <c r="W293" s="305">
        <f t="shared" si="48"/>
        <v>0</v>
      </c>
    </row>
    <row r="294" spans="2:23" ht="45.6" hidden="1">
      <c r="B294" s="896"/>
      <c r="C294" s="853"/>
      <c r="D294" s="871"/>
      <c r="E294" s="550" t="s">
        <v>1431</v>
      </c>
      <c r="F294" s="679">
        <v>0</v>
      </c>
      <c r="G294" s="591" t="s">
        <v>309</v>
      </c>
      <c r="H294" s="592" t="s">
        <v>1458</v>
      </c>
      <c r="I294" s="554" t="s">
        <v>1208</v>
      </c>
      <c r="L294" s="305" t="str">
        <f>IF(OR(Overview!$D$4="Preliminary Documentation Review",Overview!$D$4="Preliminary Precertification Review"),IF(AND(P294=0,Q294=0),"",IF(AND(P294&gt;0,Q294&gt;0),"","MISMATCH")),"")</f>
        <v/>
      </c>
      <c r="M294" s="305" t="str">
        <f>IF(OR(Overview!$D$4="Preliminary Documentation Review",Overview!$D$4="Preliminary Precertification Review"),IF(AND(R294=0,S294=0),"",IF(AND(R294&gt;0,S294&gt;0),"","MISMATCH")),"")</f>
        <v/>
      </c>
      <c r="N294" s="305" t="str">
        <f>IF(OR(Overview!$D$4="Preliminary Documentation Review",Overview!$D$4="Preliminary Precertification Review"),IF(AND(T294=0,U294=0),"",IF(AND(T294&gt;0,U294&gt;0),"MISMATCH","")),"")</f>
        <v/>
      </c>
      <c r="O294" s="305" t="str">
        <f>IF(OR(Overview!$D$4="Preliminary Documentation Review",Overview!$D$4="Preliminary Precertification Review"),IF(AND(V294=0,W294=0),"",IF(AND(V294&gt;0,W294&gt;0),"","MISMATCH")),"")</f>
        <v/>
      </c>
      <c r="P294" s="286">
        <f t="shared" si="45"/>
        <v>0</v>
      </c>
      <c r="Q294" s="286">
        <f t="shared" si="43"/>
        <v>0</v>
      </c>
      <c r="R294" s="305">
        <f t="shared" si="46"/>
        <v>0</v>
      </c>
      <c r="S294" s="305">
        <f t="shared" si="44"/>
        <v>0</v>
      </c>
      <c r="T294" s="305">
        <f t="shared" si="49"/>
        <v>0</v>
      </c>
      <c r="U294" s="305">
        <f t="shared" si="50"/>
        <v>0</v>
      </c>
      <c r="V294" s="305">
        <f t="shared" si="47"/>
        <v>0</v>
      </c>
      <c r="W294" s="305">
        <f t="shared" si="48"/>
        <v>0</v>
      </c>
    </row>
    <row r="295" spans="2:23" ht="45.6" hidden="1">
      <c r="B295" s="896"/>
      <c r="C295" s="852"/>
      <c r="D295" s="845"/>
      <c r="E295" s="550" t="s">
        <v>1432</v>
      </c>
      <c r="F295" s="680">
        <v>0</v>
      </c>
      <c r="G295" s="591" t="s">
        <v>309</v>
      </c>
      <c r="H295" s="592" t="s">
        <v>1458</v>
      </c>
      <c r="I295" s="554" t="s">
        <v>1208</v>
      </c>
      <c r="L295" s="305" t="str">
        <f>IF(OR(Overview!$D$4="Preliminary Documentation Review",Overview!$D$4="Preliminary Precertification Review"),IF(AND(P295=0,Q295=0),"",IF(AND(P295&gt;0,Q295&gt;0),"","MISMATCH")),"")</f>
        <v/>
      </c>
      <c r="M295" s="305" t="str">
        <f>IF(OR(Overview!$D$4="Preliminary Documentation Review",Overview!$D$4="Preliminary Precertification Review"),IF(AND(R295=0,S295=0),"",IF(AND(R295&gt;0,S295&gt;0),"","MISMATCH")),"")</f>
        <v/>
      </c>
      <c r="N295" s="305" t="str">
        <f>IF(OR(Overview!$D$4="Preliminary Documentation Review",Overview!$D$4="Preliminary Precertification Review"),IF(AND(T295=0,U295=0),"",IF(AND(T295&gt;0,U295&gt;0),"MISMATCH","")),"")</f>
        <v/>
      </c>
      <c r="O295" s="305" t="str">
        <f>IF(OR(Overview!$D$4="Preliminary Documentation Review",Overview!$D$4="Preliminary Precertification Review"),IF(AND(V295=0,W295=0),"",IF(AND(V295&gt;0,W295&gt;0),"","MISMATCH")),"")</f>
        <v/>
      </c>
      <c r="P295" s="286">
        <f t="shared" si="45"/>
        <v>0</v>
      </c>
      <c r="Q295" s="286">
        <f t="shared" si="43"/>
        <v>0</v>
      </c>
      <c r="R295" s="305">
        <f t="shared" si="46"/>
        <v>0</v>
      </c>
      <c r="S295" s="305">
        <f t="shared" si="44"/>
        <v>0</v>
      </c>
      <c r="T295" s="305">
        <f t="shared" si="49"/>
        <v>0</v>
      </c>
      <c r="U295" s="305">
        <f t="shared" si="50"/>
        <v>0</v>
      </c>
      <c r="V295" s="305">
        <f t="shared" si="47"/>
        <v>0</v>
      </c>
      <c r="W295" s="305">
        <f t="shared" si="48"/>
        <v>0</v>
      </c>
    </row>
    <row r="296" spans="2:23" ht="45.6" hidden="1">
      <c r="B296" s="896"/>
      <c r="C296" s="851" t="s">
        <v>767</v>
      </c>
      <c r="D296" s="844" t="s">
        <v>1433</v>
      </c>
      <c r="E296" s="550" t="s">
        <v>1434</v>
      </c>
      <c r="F296" s="639"/>
      <c r="G296" s="591"/>
      <c r="H296" s="592"/>
      <c r="I296" s="554" t="s">
        <v>1208</v>
      </c>
      <c r="L296" s="305" t="str">
        <f>IF(OR(Overview!$D$4="Preliminary Documentation Review",Overview!$D$4="Preliminary Precertification Review"),IF(AND(P296=0,Q296=0),"",IF(AND(P296&gt;0,Q296&gt;0),"","MISMATCH")),"")</f>
        <v/>
      </c>
      <c r="M296" s="305" t="str">
        <f>IF(OR(Overview!$D$4="Preliminary Documentation Review",Overview!$D$4="Preliminary Precertification Review"),IF(AND(R296=0,S296=0),"",IF(AND(R296&gt;0,S296&gt;0),"","MISMATCH")),"")</f>
        <v/>
      </c>
      <c r="N296" s="305" t="str">
        <f>IF(OR(Overview!$D$4="Preliminary Documentation Review",Overview!$D$4="Preliminary Precertification Review"),IF(AND(T296=0,U296=0),"",IF(AND(T296&gt;0,U296&gt;0),"MISMATCH","")),"")</f>
        <v/>
      </c>
      <c r="O296" s="305" t="str">
        <f>IF(OR(Overview!$D$4="Preliminary Documentation Review",Overview!$D$4="Preliminary Precertification Review"),IF(AND(V296=0,W296=0),"",IF(AND(V296&gt;0,W296&gt;0),"","MISMATCH")),"")</f>
        <v/>
      </c>
      <c r="P296" s="286">
        <f t="shared" si="45"/>
        <v>0</v>
      </c>
      <c r="Q296" s="286">
        <f t="shared" si="43"/>
        <v>0</v>
      </c>
      <c r="R296" s="305">
        <f t="shared" si="46"/>
        <v>0</v>
      </c>
      <c r="S296" s="305">
        <f t="shared" si="44"/>
        <v>0</v>
      </c>
      <c r="T296" s="305">
        <f t="shared" si="49"/>
        <v>0</v>
      </c>
      <c r="U296" s="305">
        <f t="shared" si="50"/>
        <v>0</v>
      </c>
      <c r="V296" s="305">
        <f t="shared" si="47"/>
        <v>0</v>
      </c>
      <c r="W296" s="305">
        <f t="shared" si="48"/>
        <v>0</v>
      </c>
    </row>
    <row r="297" spans="2:23" ht="45.6" hidden="1">
      <c r="B297" s="896"/>
      <c r="C297" s="852"/>
      <c r="D297" s="845"/>
      <c r="E297" s="550" t="s">
        <v>1435</v>
      </c>
      <c r="F297" s="641"/>
      <c r="G297" s="591"/>
      <c r="H297" s="592"/>
      <c r="I297" s="554" t="s">
        <v>1208</v>
      </c>
      <c r="L297" s="305" t="str">
        <f>IF(OR(Overview!$D$4="Preliminary Documentation Review",Overview!$D$4="Preliminary Precertification Review"),IF(AND(P297=0,Q297=0),"",IF(AND(P297&gt;0,Q297&gt;0),"","MISMATCH")),"")</f>
        <v/>
      </c>
      <c r="M297" s="305" t="str">
        <f>IF(OR(Overview!$D$4="Preliminary Documentation Review",Overview!$D$4="Preliminary Precertification Review"),IF(AND(R297=0,S297=0),"",IF(AND(R297&gt;0,S297&gt;0),"","MISMATCH")),"")</f>
        <v/>
      </c>
      <c r="N297" s="305" t="str">
        <f>IF(OR(Overview!$D$4="Preliminary Documentation Review",Overview!$D$4="Preliminary Precertification Review"),IF(AND(T297=0,U297=0),"",IF(AND(T297&gt;0,U297&gt;0),"MISMATCH","")),"")</f>
        <v/>
      </c>
      <c r="O297" s="305" t="str">
        <f>IF(OR(Overview!$D$4="Preliminary Documentation Review",Overview!$D$4="Preliminary Precertification Review"),IF(AND(V297=0,W297=0),"",IF(AND(V297&gt;0,W297&gt;0),"","MISMATCH")),"")</f>
        <v/>
      </c>
      <c r="P297" s="286">
        <f t="shared" si="45"/>
        <v>0</v>
      </c>
      <c r="Q297" s="286">
        <f t="shared" si="43"/>
        <v>0</v>
      </c>
      <c r="R297" s="305">
        <f t="shared" si="46"/>
        <v>0</v>
      </c>
      <c r="S297" s="305">
        <f t="shared" si="44"/>
        <v>0</v>
      </c>
      <c r="T297" s="305">
        <f t="shared" si="49"/>
        <v>0</v>
      </c>
      <c r="U297" s="305">
        <f t="shared" si="50"/>
        <v>0</v>
      </c>
      <c r="V297" s="305">
        <f t="shared" si="47"/>
        <v>0</v>
      </c>
      <c r="W297" s="305">
        <f t="shared" si="48"/>
        <v>0</v>
      </c>
    </row>
    <row r="298" spans="2:23" ht="45.6" hidden="1">
      <c r="B298" s="681"/>
      <c r="C298" s="548" t="s">
        <v>767</v>
      </c>
      <c r="D298" s="682" t="s">
        <v>1129</v>
      </c>
      <c r="E298" s="550" t="s">
        <v>1436</v>
      </c>
      <c r="F298" s="641"/>
      <c r="G298" s="591"/>
      <c r="H298" s="592"/>
      <c r="I298" s="554" t="s">
        <v>1208</v>
      </c>
      <c r="L298" s="305" t="str">
        <f>IF(OR(Overview!$D$4="Preliminary Documentation Review",Overview!$D$4="Preliminary Precertification Review"),IF(AND(P298=0,Q298=0),"",IF(AND(P298&gt;0,Q298&gt;0),"","MISMATCH")),"")</f>
        <v/>
      </c>
      <c r="M298" s="305" t="str">
        <f>IF(OR(Overview!$D$4="Preliminary Documentation Review",Overview!$D$4="Preliminary Precertification Review"),IF(AND(R298=0,S298=0),"",IF(AND(R298&gt;0,S298&gt;0),"","MISMATCH")),"")</f>
        <v/>
      </c>
      <c r="N298" s="305" t="str">
        <f>IF(OR(Overview!$D$4="Preliminary Documentation Review",Overview!$D$4="Preliminary Precertification Review"),IF(AND(T298=0,U298=0),"",IF(AND(T298&gt;0,U298&gt;0),"MISMATCH","")),"")</f>
        <v/>
      </c>
      <c r="O298" s="305" t="str">
        <f>IF(OR(Overview!$D$4="Preliminary Documentation Review",Overview!$D$4="Preliminary Precertification Review"),IF(AND(V298=0,W298=0),"",IF(AND(V298&gt;0,W298&gt;0),"","MISMATCH")),"")</f>
        <v/>
      </c>
      <c r="P298" s="286">
        <f t="shared" si="45"/>
        <v>0</v>
      </c>
      <c r="Q298" s="286">
        <f t="shared" si="43"/>
        <v>0</v>
      </c>
      <c r="R298" s="305">
        <f t="shared" si="46"/>
        <v>0</v>
      </c>
      <c r="S298" s="305">
        <f t="shared" si="44"/>
        <v>0</v>
      </c>
      <c r="T298" s="305">
        <f t="shared" si="49"/>
        <v>0</v>
      </c>
      <c r="U298" s="305">
        <f t="shared" si="50"/>
        <v>0</v>
      </c>
      <c r="V298" s="305">
        <f t="shared" si="47"/>
        <v>0</v>
      </c>
      <c r="W298" s="305">
        <f t="shared" si="48"/>
        <v>0</v>
      </c>
    </row>
    <row r="299" spans="2:23">
      <c r="B299" s="683"/>
      <c r="C299" s="684"/>
      <c r="D299" s="685"/>
      <c r="E299" s="686"/>
      <c r="F299" s="654"/>
      <c r="G299" s="654"/>
      <c r="H299" s="687"/>
      <c r="I299" s="688"/>
      <c r="L299" s="305" t="str">
        <f>IF(OR(Overview!$D$4="Preliminary Documentation Review",Overview!$D$4="Preliminary Precertification Review"),IF(AND(P299=0,Q299=0),"",IF(AND(P299&gt;0,Q299&gt;0),"","MISMATCH")),"")</f>
        <v/>
      </c>
      <c r="M299" s="305" t="str">
        <f>IF(OR(Overview!$D$4="Preliminary Documentation Review",Overview!$D$4="Preliminary Precertification Review"),IF(AND(R299=0,S299=0),"",IF(AND(R299&gt;0,S299&gt;0),"","MISMATCH")),"")</f>
        <v/>
      </c>
      <c r="N299" s="305" t="str">
        <f>IF(OR(Overview!$D$4="Preliminary Documentation Review",Overview!$D$4="Preliminary Precertification Review"),IF(AND(T299=0,U299=0),"",IF(AND(T299&gt;0,U299&gt;0),"MISMATCH","")),"")</f>
        <v/>
      </c>
      <c r="O299" s="305" t="str">
        <f>IF(OR(Overview!$D$4="Preliminary Documentation Review",Overview!$D$4="Preliminary Precertification Review"),IF(AND(V299=0,W299=0),"",IF(AND(V299&gt;0,W299&gt;0),"","MISMATCH")),"")</f>
        <v/>
      </c>
      <c r="P299" s="286">
        <f t="shared" si="45"/>
        <v>0</v>
      </c>
      <c r="Q299" s="286">
        <f t="shared" si="43"/>
        <v>0</v>
      </c>
      <c r="R299" s="305">
        <f t="shared" si="46"/>
        <v>0</v>
      </c>
      <c r="S299" s="305">
        <f t="shared" si="44"/>
        <v>0</v>
      </c>
      <c r="T299" s="305">
        <f t="shared" si="49"/>
        <v>0</v>
      </c>
      <c r="U299" s="305">
        <f t="shared" si="50"/>
        <v>0</v>
      </c>
      <c r="V299" s="305">
        <f t="shared" si="47"/>
        <v>0</v>
      </c>
      <c r="W299" s="305">
        <f t="shared" si="48"/>
        <v>0</v>
      </c>
    </row>
    <row r="300" spans="2:23">
      <c r="B300" s="573"/>
      <c r="C300" s="574"/>
      <c r="D300" s="575"/>
      <c r="E300" s="576"/>
      <c r="F300" s="654"/>
      <c r="G300" s="654"/>
      <c r="H300" s="578"/>
      <c r="I300" s="579"/>
      <c r="L300" s="305" t="str">
        <f>IF(OR(Overview!$D$4="Preliminary Documentation Review",Overview!$D$4="Preliminary Precertification Review"),IF(AND(P300=0,Q300=0),"",IF(AND(P300&gt;0,Q300&gt;0),"","MISMATCH")),"")</f>
        <v/>
      </c>
      <c r="M300" s="305" t="str">
        <f>IF(OR(Overview!$D$4="Preliminary Documentation Review",Overview!$D$4="Preliminary Precertification Review"),IF(AND(R300=0,S300=0),"",IF(AND(R300&gt;0,S300&gt;0),"","MISMATCH")),"")</f>
        <v/>
      </c>
      <c r="N300" s="305" t="str">
        <f>IF(OR(Overview!$D$4="Preliminary Documentation Review",Overview!$D$4="Preliminary Precertification Review"),IF(AND(T300=0,U300=0),"",IF(AND(T300&gt;0,U300&gt;0),"MISMATCH","")),"")</f>
        <v/>
      </c>
      <c r="O300" s="305" t="str">
        <f>IF(OR(Overview!$D$4="Preliminary Documentation Review",Overview!$D$4="Preliminary Precertification Review"),IF(AND(V300=0,W300=0),"",IF(AND(V300&gt;0,W300&gt;0),"","MISMATCH")),"")</f>
        <v/>
      </c>
      <c r="P300" s="286">
        <f t="shared" si="45"/>
        <v>0</v>
      </c>
      <c r="Q300" s="286">
        <f t="shared" si="43"/>
        <v>0</v>
      </c>
      <c r="R300" s="305">
        <f t="shared" si="46"/>
        <v>0</v>
      </c>
      <c r="S300" s="305">
        <f t="shared" si="44"/>
        <v>0</v>
      </c>
      <c r="T300" s="305">
        <f t="shared" si="49"/>
        <v>0</v>
      </c>
      <c r="U300" s="305">
        <f t="shared" si="50"/>
        <v>0</v>
      </c>
      <c r="V300" s="305">
        <f t="shared" si="47"/>
        <v>0</v>
      </c>
      <c r="W300" s="305">
        <f t="shared" si="48"/>
        <v>0</v>
      </c>
    </row>
    <row r="301" spans="2:23" ht="15.6" thickBot="1">
      <c r="B301" s="689"/>
      <c r="C301" s="690"/>
      <c r="D301" s="690"/>
      <c r="E301" s="690"/>
      <c r="F301" s="690"/>
      <c r="G301" s="690"/>
      <c r="H301" s="690"/>
      <c r="I301" s="691"/>
      <c r="L301" s="305" t="str">
        <f>IF(OR(Overview!$D$4="Preliminary Documentation Review",Overview!$D$4="Preliminary Precertification Review"),IF(AND(P301=0,Q301=0),"",IF(AND(P301&gt;0,Q301&gt;0),"","MISMATCH")),"")</f>
        <v/>
      </c>
      <c r="M301" s="305" t="str">
        <f>IF(OR(Overview!$D$4="Preliminary Documentation Review",Overview!$D$4="Preliminary Precertification Review"),IF(AND(R301=0,S301=0),"",IF(AND(R301&gt;0,S301&gt;0),"","MISMATCH")),"")</f>
        <v/>
      </c>
      <c r="N301" s="305" t="str">
        <f>IF(OR(Overview!$D$4="Preliminary Documentation Review",Overview!$D$4="Preliminary Precertification Review"),IF(AND(T301=0,U301=0),"",IF(AND(T301&gt;0,U301&gt;0),"MISMATCH","")),"")</f>
        <v/>
      </c>
    </row>
    <row r="302" spans="2:23" s="547" customFormat="1" ht="99.9" hidden="1" customHeight="1">
      <c r="B302" s="692"/>
      <c r="C302" s="832" t="s">
        <v>1437</v>
      </c>
      <c r="D302" s="833"/>
      <c r="E302" s="833"/>
      <c r="F302" s="833"/>
      <c r="G302" s="833"/>
      <c r="H302" s="833"/>
      <c r="I302" s="834"/>
      <c r="J302" s="546"/>
      <c r="K302" s="531"/>
      <c r="L302" s="305" t="str">
        <f>IF(OR(Overview!$D$4="Preliminary Documentation Review",Overview!$D$4="Preliminary Precertification Review"),IF(AND(P302=0,Q302=0),"",IF(AND(P302&gt;0,Q302&gt;0),"","MISMATCH")),"")</f>
        <v/>
      </c>
      <c r="M302" s="305" t="str">
        <f>IF(OR(Overview!$D$4="Preliminary Documentation Review",Overview!$D$4="Preliminary Precertification Review"),IF(AND(R302=0,S302=0),"",IF(AND(R302&gt;0,S302&gt;0),"","MISMATCH")),"")</f>
        <v/>
      </c>
    </row>
    <row r="303" spans="2:23" s="547" customFormat="1" ht="15.6" hidden="1" customHeight="1" thickBot="1">
      <c r="B303" s="899"/>
      <c r="C303" s="900"/>
      <c r="D303" s="900"/>
      <c r="E303" s="900"/>
      <c r="F303" s="900"/>
      <c r="G303" s="900"/>
      <c r="H303" s="900"/>
      <c r="I303" s="901"/>
      <c r="J303" s="546"/>
      <c r="K303" s="531"/>
      <c r="L303" s="305" t="str">
        <f>IF(OR(Overview!$D$4="Preliminary Documentation Review",Overview!$D$4="Preliminary Precertification Review"),IF(AND(P303=0,Q303=0),"",IF(AND(P303&gt;0,Q303&gt;0),"","MISMATCH")),"")</f>
        <v/>
      </c>
      <c r="M303" s="305" t="str">
        <f>IF(OR(Overview!$D$4="Preliminary Documentation Review",Overview!$D$4="Preliminary Precertification Review"),IF(AND(R303=0,S303=0),"",IF(AND(R303&gt;0,S303&gt;0),"","MISMATCH")),"")</f>
        <v/>
      </c>
    </row>
    <row r="304" spans="2:23" ht="45.6">
      <c r="B304" s="902" t="s">
        <v>1131</v>
      </c>
      <c r="C304" s="851" t="s">
        <v>767</v>
      </c>
      <c r="D304" s="837" t="s">
        <v>1132</v>
      </c>
      <c r="E304" s="844" t="s">
        <v>1438</v>
      </c>
      <c r="F304" s="693" t="s">
        <v>71</v>
      </c>
      <c r="G304" s="552" t="s">
        <v>25</v>
      </c>
      <c r="H304" s="553" t="s">
        <v>1176</v>
      </c>
      <c r="I304" s="554" t="s">
        <v>1177</v>
      </c>
      <c r="K304" s="694" t="s">
        <v>1439</v>
      </c>
      <c r="N304" s="292"/>
      <c r="O304" s="292"/>
      <c r="P304" s="286">
        <f t="shared" ref="P304:P323" si="51">IFERROR(SEARCH("COMMENTS TO BE ADDRESS",$I304),0)</f>
        <v>0</v>
      </c>
      <c r="Q304" s="286">
        <f t="shared" si="43"/>
        <v>0</v>
      </c>
      <c r="R304" s="305">
        <f t="shared" ref="R304:R323" si="52">IFERROR(SEARCH("equirements of this part will be v",$I304),0)</f>
        <v>0</v>
      </c>
      <c r="S304" s="305">
        <f t="shared" si="44"/>
        <v>0</v>
      </c>
      <c r="T304" s="292"/>
    </row>
    <row r="305" spans="2:20" ht="165.6" hidden="1">
      <c r="B305" s="902"/>
      <c r="C305" s="853"/>
      <c r="D305" s="837"/>
      <c r="E305" s="871"/>
      <c r="F305" s="695"/>
      <c r="G305" s="552"/>
      <c r="H305" s="553"/>
      <c r="I305" s="554" t="s">
        <v>1440</v>
      </c>
      <c r="K305" s="694" t="s">
        <v>1441</v>
      </c>
      <c r="N305" s="292"/>
      <c r="O305" s="292"/>
      <c r="P305" s="286">
        <f t="shared" si="51"/>
        <v>288</v>
      </c>
      <c r="Q305" s="286">
        <f t="shared" si="43"/>
        <v>0</v>
      </c>
      <c r="R305" s="305">
        <f t="shared" si="52"/>
        <v>0</v>
      </c>
      <c r="S305" s="305">
        <f t="shared" si="44"/>
        <v>0</v>
      </c>
      <c r="T305" s="292"/>
    </row>
    <row r="306" spans="2:20" ht="165.6" hidden="1">
      <c r="B306" s="902"/>
      <c r="C306" s="853"/>
      <c r="D306" s="837"/>
      <c r="E306" s="871"/>
      <c r="F306" s="696"/>
      <c r="G306" s="552"/>
      <c r="H306" s="697"/>
      <c r="I306" s="554" t="s">
        <v>1442</v>
      </c>
      <c r="K306" s="694" t="s">
        <v>1443</v>
      </c>
      <c r="N306" s="292"/>
      <c r="O306" s="292"/>
      <c r="P306" s="286">
        <f t="shared" si="51"/>
        <v>293</v>
      </c>
      <c r="Q306" s="286">
        <f t="shared" si="43"/>
        <v>0</v>
      </c>
      <c r="R306" s="305">
        <f t="shared" si="52"/>
        <v>0</v>
      </c>
      <c r="S306" s="305">
        <f t="shared" si="44"/>
        <v>0</v>
      </c>
      <c r="T306" s="292"/>
    </row>
    <row r="307" spans="2:20" ht="15.6" hidden="1">
      <c r="B307" s="902"/>
      <c r="C307" s="853"/>
      <c r="D307" s="837"/>
      <c r="E307" s="871"/>
      <c r="F307" s="696"/>
      <c r="G307" s="552"/>
      <c r="H307" s="697"/>
      <c r="I307" s="637"/>
      <c r="J307" s="694"/>
      <c r="K307" s="698"/>
      <c r="N307" s="292"/>
      <c r="O307" s="292"/>
      <c r="P307" s="286">
        <f t="shared" si="51"/>
        <v>0</v>
      </c>
      <c r="Q307" s="286">
        <f t="shared" si="43"/>
        <v>0</v>
      </c>
      <c r="R307" s="305">
        <f t="shared" si="52"/>
        <v>0</v>
      </c>
      <c r="S307" s="305">
        <f t="shared" si="44"/>
        <v>0</v>
      </c>
      <c r="T307" s="292"/>
    </row>
    <row r="308" spans="2:20" ht="15.6" hidden="1">
      <c r="B308" s="902"/>
      <c r="C308" s="853"/>
      <c r="D308" s="837"/>
      <c r="E308" s="871"/>
      <c r="F308" s="696"/>
      <c r="G308" s="552"/>
      <c r="H308" s="697"/>
      <c r="I308" s="637"/>
      <c r="J308" s="694"/>
      <c r="N308" s="292"/>
      <c r="O308" s="292"/>
      <c r="P308" s="286">
        <f t="shared" si="51"/>
        <v>0</v>
      </c>
      <c r="Q308" s="286">
        <f t="shared" si="43"/>
        <v>0</v>
      </c>
      <c r="R308" s="305">
        <f t="shared" si="52"/>
        <v>0</v>
      </c>
      <c r="S308" s="305">
        <f t="shared" si="44"/>
        <v>0</v>
      </c>
      <c r="T308" s="292"/>
    </row>
    <row r="309" spans="2:20" ht="15.6" hidden="1">
      <c r="B309" s="902"/>
      <c r="C309" s="853"/>
      <c r="D309" s="837"/>
      <c r="E309" s="871"/>
      <c r="F309" s="696"/>
      <c r="G309" s="552"/>
      <c r="H309" s="697"/>
      <c r="I309" s="699"/>
      <c r="J309" s="694"/>
      <c r="N309" s="292"/>
      <c r="O309" s="292"/>
      <c r="P309" s="286">
        <f t="shared" si="51"/>
        <v>0</v>
      </c>
      <c r="Q309" s="286">
        <f t="shared" si="43"/>
        <v>0</v>
      </c>
      <c r="R309" s="305">
        <f t="shared" si="52"/>
        <v>0</v>
      </c>
      <c r="S309" s="305">
        <f t="shared" si="44"/>
        <v>0</v>
      </c>
      <c r="T309" s="292"/>
    </row>
    <row r="310" spans="2:20" ht="15.6" hidden="1">
      <c r="B310" s="902"/>
      <c r="C310" s="853"/>
      <c r="D310" s="837"/>
      <c r="E310" s="871"/>
      <c r="F310" s="696"/>
      <c r="G310" s="552"/>
      <c r="H310" s="697"/>
      <c r="I310" s="699"/>
      <c r="J310" s="694"/>
      <c r="N310" s="292"/>
      <c r="O310" s="292"/>
      <c r="P310" s="286">
        <f t="shared" si="51"/>
        <v>0</v>
      </c>
      <c r="Q310" s="286">
        <f t="shared" si="43"/>
        <v>0</v>
      </c>
      <c r="R310" s="305">
        <f t="shared" si="52"/>
        <v>0</v>
      </c>
      <c r="S310" s="305">
        <f t="shared" si="44"/>
        <v>0</v>
      </c>
      <c r="T310" s="292"/>
    </row>
    <row r="311" spans="2:20" ht="15.6" hidden="1">
      <c r="B311" s="902"/>
      <c r="C311" s="853"/>
      <c r="D311" s="837"/>
      <c r="E311" s="871"/>
      <c r="F311" s="696"/>
      <c r="G311" s="552"/>
      <c r="H311" s="697"/>
      <c r="I311" s="699"/>
      <c r="J311" s="694"/>
      <c r="N311" s="292"/>
      <c r="O311" s="292"/>
      <c r="P311" s="286">
        <f t="shared" si="51"/>
        <v>0</v>
      </c>
      <c r="Q311" s="286">
        <f t="shared" si="43"/>
        <v>0</v>
      </c>
      <c r="R311" s="305">
        <f t="shared" si="52"/>
        <v>0</v>
      </c>
      <c r="S311" s="305">
        <f t="shared" si="44"/>
        <v>0</v>
      </c>
      <c r="T311" s="292"/>
    </row>
    <row r="312" spans="2:20" ht="15.6" hidden="1">
      <c r="B312" s="902"/>
      <c r="C312" s="853"/>
      <c r="D312" s="837"/>
      <c r="E312" s="871"/>
      <c r="F312" s="696"/>
      <c r="G312" s="552"/>
      <c r="H312" s="697"/>
      <c r="I312" s="699"/>
      <c r="J312" s="694"/>
      <c r="N312" s="292"/>
      <c r="O312" s="292"/>
      <c r="P312" s="286">
        <f t="shared" si="51"/>
        <v>0</v>
      </c>
      <c r="Q312" s="286">
        <f t="shared" si="43"/>
        <v>0</v>
      </c>
      <c r="R312" s="305">
        <f t="shared" si="52"/>
        <v>0</v>
      </c>
      <c r="S312" s="305">
        <f t="shared" si="44"/>
        <v>0</v>
      </c>
      <c r="T312" s="292"/>
    </row>
    <row r="313" spans="2:20" ht="15.6" hidden="1">
      <c r="B313" s="902"/>
      <c r="C313" s="853"/>
      <c r="D313" s="837"/>
      <c r="E313" s="871"/>
      <c r="F313" s="696"/>
      <c r="G313" s="552"/>
      <c r="H313" s="697"/>
      <c r="I313" s="699"/>
      <c r="J313" s="694"/>
      <c r="N313" s="292"/>
      <c r="O313" s="292"/>
      <c r="P313" s="286">
        <f t="shared" si="51"/>
        <v>0</v>
      </c>
      <c r="Q313" s="286">
        <f t="shared" si="43"/>
        <v>0</v>
      </c>
      <c r="R313" s="305">
        <f t="shared" si="52"/>
        <v>0</v>
      </c>
      <c r="S313" s="305">
        <f t="shared" si="44"/>
        <v>0</v>
      </c>
      <c r="T313" s="292"/>
    </row>
    <row r="314" spans="2:20" ht="15.6" hidden="1">
      <c r="B314" s="902"/>
      <c r="C314" s="852"/>
      <c r="D314" s="837"/>
      <c r="E314" s="845"/>
      <c r="F314" s="661"/>
      <c r="G314" s="552"/>
      <c r="H314" s="697"/>
      <c r="I314" s="699"/>
      <c r="J314" s="694"/>
      <c r="N314" s="292"/>
      <c r="O314" s="292"/>
      <c r="P314" s="286">
        <f t="shared" si="51"/>
        <v>0</v>
      </c>
      <c r="Q314" s="286">
        <f t="shared" si="43"/>
        <v>0</v>
      </c>
      <c r="R314" s="305">
        <f t="shared" si="52"/>
        <v>0</v>
      </c>
      <c r="S314" s="305">
        <f t="shared" si="44"/>
        <v>0</v>
      </c>
      <c r="T314" s="292"/>
    </row>
    <row r="315" spans="2:20" ht="45.6">
      <c r="B315" s="902"/>
      <c r="C315" s="548" t="s">
        <v>767</v>
      </c>
      <c r="D315" s="550" t="s">
        <v>1134</v>
      </c>
      <c r="E315" s="550" t="s">
        <v>1444</v>
      </c>
      <c r="F315" s="552">
        <v>1</v>
      </c>
      <c r="G315" s="552" t="s">
        <v>309</v>
      </c>
      <c r="H315" s="553" t="s">
        <v>1458</v>
      </c>
      <c r="I315" s="554" t="s">
        <v>1208</v>
      </c>
      <c r="L315" s="305" t="str">
        <f>IF(OR(Overview!$D$4="Preliminary Documentation Review",Overview!$D$4="Preliminary Precertification Review"),IF(AND(P315=0,Q315=0),"",IF(AND(P315&gt;0,Q315&gt;0),"","MISMATCH")),"")</f>
        <v/>
      </c>
      <c r="M315" s="305" t="str">
        <f>IF(OR(Overview!$D$4="Preliminary Documentation Review",Overview!$D$4="Preliminary Precertification Review"),IF(AND(R315=0,S315=0),"",IF(AND(R315&gt;0,S315&gt;0),"","MISMATCH")),"")</f>
        <v/>
      </c>
      <c r="N315" s="292"/>
      <c r="O315" s="292"/>
      <c r="P315" s="286">
        <f t="shared" si="51"/>
        <v>0</v>
      </c>
      <c r="Q315" s="286">
        <f t="shared" si="43"/>
        <v>0</v>
      </c>
      <c r="R315" s="305">
        <f t="shared" si="52"/>
        <v>0</v>
      </c>
      <c r="S315" s="305">
        <f t="shared" si="44"/>
        <v>0</v>
      </c>
      <c r="T315" s="292"/>
    </row>
    <row r="316" spans="2:20" ht="317.39999999999998">
      <c r="B316" s="902"/>
      <c r="C316" s="548" t="s">
        <v>767</v>
      </c>
      <c r="D316" s="550" t="s">
        <v>1136</v>
      </c>
      <c r="E316" s="550" t="s">
        <v>1445</v>
      </c>
      <c r="F316" s="552">
        <v>1</v>
      </c>
      <c r="G316" s="552" t="s">
        <v>309</v>
      </c>
      <c r="H316" s="553" t="s">
        <v>1474</v>
      </c>
      <c r="I316" s="700" t="s">
        <v>1446</v>
      </c>
      <c r="L316" s="305" t="str">
        <f>IF(OR(Overview!$D$4="Preliminary Documentation Review",Overview!$D$4="Preliminary Precertification Review"),IF(AND(P316=0,Q316=0),"",IF(AND(P316&gt;0,Q316&gt;0),"","MISMATCH")),"")</f>
        <v/>
      </c>
      <c r="M316" s="305" t="str">
        <f>IF(OR(Overview!$D$4="Preliminary Documentation Review",Overview!$D$4="Preliminary Precertification Review"),IF(AND(R316=0,S316=0),"",IF(AND(R316&gt;0,S316&gt;0),"","MISMATCH")),"")</f>
        <v/>
      </c>
      <c r="N316" s="292"/>
      <c r="O316" s="292"/>
      <c r="P316" s="286">
        <f t="shared" si="51"/>
        <v>172</v>
      </c>
      <c r="Q316" s="286">
        <f t="shared" si="43"/>
        <v>0</v>
      </c>
      <c r="R316" s="305">
        <f t="shared" si="52"/>
        <v>0</v>
      </c>
      <c r="S316" s="305">
        <f t="shared" si="44"/>
        <v>0</v>
      </c>
      <c r="T316" s="292"/>
    </row>
    <row r="317" spans="2:20" ht="45.6">
      <c r="B317" s="902"/>
      <c r="C317" s="548" t="s">
        <v>767</v>
      </c>
      <c r="D317" s="550" t="s">
        <v>1138</v>
      </c>
      <c r="E317" s="550" t="s">
        <v>1447</v>
      </c>
      <c r="F317" s="552"/>
      <c r="G317" s="552" t="s">
        <v>25</v>
      </c>
      <c r="H317" s="553" t="s">
        <v>1176</v>
      </c>
      <c r="I317" s="554" t="s">
        <v>1177</v>
      </c>
      <c r="L317" s="305" t="str">
        <f>IF(OR(Overview!$D$4="Preliminary Documentation Review",Overview!$D$4="Preliminary Precertification Review"),IF(AND(P317=0,Q317=0),"",IF(AND(P317&gt;0,Q317&gt;0),"","MISMATCH")),"")</f>
        <v/>
      </c>
      <c r="M317" s="305" t="str">
        <f>IF(OR(Overview!$D$4="Preliminary Documentation Review",Overview!$D$4="Preliminary Precertification Review"),IF(AND(R317=0,S317=0),"",IF(AND(R317&gt;0,S317&gt;0),"","MISMATCH")),"")</f>
        <v/>
      </c>
      <c r="N317" s="292"/>
      <c r="O317" s="292"/>
      <c r="P317" s="286">
        <f t="shared" si="51"/>
        <v>0</v>
      </c>
      <c r="Q317" s="286">
        <f t="shared" ref="Q317:Q323" si="53">IFERROR(SEARCH("Pending Documentation",$H317),0)</f>
        <v>0</v>
      </c>
      <c r="R317" s="305">
        <f t="shared" si="52"/>
        <v>0</v>
      </c>
      <c r="S317" s="305">
        <f t="shared" ref="S317:S323" si="54">IFERROR(SEARCH("Pending On",$H317),0)</f>
        <v>0</v>
      </c>
      <c r="T317" s="292"/>
    </row>
    <row r="318" spans="2:20" ht="45.6">
      <c r="B318" s="902"/>
      <c r="C318" s="548" t="s">
        <v>767</v>
      </c>
      <c r="D318" s="550" t="s">
        <v>1140</v>
      </c>
      <c r="E318" s="550" t="s">
        <v>1448</v>
      </c>
      <c r="F318" s="552">
        <v>5</v>
      </c>
      <c r="G318" s="552" t="s">
        <v>309</v>
      </c>
      <c r="H318" s="553" t="s">
        <v>1458</v>
      </c>
      <c r="I318" s="554" t="s">
        <v>1208</v>
      </c>
      <c r="L318" s="305" t="str">
        <f>IF(OR(Overview!$D$4="Preliminary Documentation Review",Overview!$D$4="Preliminary Precertification Review"),IF(AND(P318=0,Q318=0),"",IF(AND(P318&gt;0,Q318&gt;0),"","MISMATCH")),"")</f>
        <v/>
      </c>
      <c r="M318" s="305" t="str">
        <f>IF(OR(Overview!$D$4="Preliminary Documentation Review",Overview!$D$4="Preliminary Precertification Review"),IF(AND(R318=0,S318=0),"",IF(AND(R318&gt;0,S318&gt;0),"","MISMATCH")),"")</f>
        <v/>
      </c>
      <c r="N318" s="292"/>
      <c r="O318" s="292"/>
      <c r="P318" s="286">
        <f t="shared" si="51"/>
        <v>0</v>
      </c>
      <c r="Q318" s="286">
        <f t="shared" si="53"/>
        <v>0</v>
      </c>
      <c r="R318" s="305">
        <f t="shared" si="52"/>
        <v>0</v>
      </c>
      <c r="S318" s="305">
        <f t="shared" si="54"/>
        <v>0</v>
      </c>
      <c r="T318" s="292"/>
    </row>
    <row r="319" spans="2:20" ht="45.6" hidden="1">
      <c r="B319" s="701"/>
      <c r="C319" s="851" t="s">
        <v>767</v>
      </c>
      <c r="D319" s="844" t="s">
        <v>1142</v>
      </c>
      <c r="E319" s="550" t="s">
        <v>1449</v>
      </c>
      <c r="F319" s="693"/>
      <c r="G319" s="552"/>
      <c r="H319" s="553"/>
      <c r="I319" s="554" t="s">
        <v>1208</v>
      </c>
      <c r="L319" s="305" t="str">
        <f>IF(OR(Overview!$D$4="Preliminary Documentation Review",Overview!$D$4="Preliminary Precertification Review"),IF(AND(P319=0,Q319=0),"",IF(AND(P319&gt;0,Q319&gt;0),"","MISMATCH")),"")</f>
        <v/>
      </c>
      <c r="M319" s="305" t="str">
        <f>IF(OR(Overview!$D$4="Preliminary Documentation Review",Overview!$D$4="Preliminary Precertification Review"),IF(AND(R319=0,S319=0),"",IF(AND(R319&gt;0,S319&gt;0),"","MISMATCH")),"")</f>
        <v/>
      </c>
      <c r="N319" s="292"/>
      <c r="O319" s="292"/>
      <c r="P319" s="286">
        <f t="shared" si="51"/>
        <v>0</v>
      </c>
      <c r="Q319" s="286">
        <f t="shared" si="53"/>
        <v>0</v>
      </c>
      <c r="R319" s="305">
        <f t="shared" si="52"/>
        <v>0</v>
      </c>
      <c r="S319" s="305">
        <f t="shared" si="54"/>
        <v>0</v>
      </c>
      <c r="T319" s="292"/>
    </row>
    <row r="320" spans="2:20" ht="45.6" hidden="1">
      <c r="B320" s="701"/>
      <c r="C320" s="853"/>
      <c r="D320" s="871"/>
      <c r="E320" s="550" t="s">
        <v>1450</v>
      </c>
      <c r="F320" s="696"/>
      <c r="G320" s="552" t="s">
        <v>25</v>
      </c>
      <c r="H320" s="553" t="s">
        <v>1176</v>
      </c>
      <c r="I320" s="554" t="s">
        <v>1177</v>
      </c>
      <c r="L320" s="305" t="str">
        <f>IF(OR(Overview!$D$4="Preliminary Documentation Review",Overview!$D$4="Preliminary Precertification Review"),IF(AND(P320=0,Q320=0),"",IF(AND(P320&gt;0,Q320&gt;0),"","MISMATCH")),"")</f>
        <v/>
      </c>
      <c r="M320" s="305" t="str">
        <f>IF(OR(Overview!$D$4="Preliminary Documentation Review",Overview!$D$4="Preliminary Precertification Review"),IF(AND(R320=0,S320=0),"",IF(AND(R320&gt;0,S320&gt;0),"","MISMATCH")),"")</f>
        <v/>
      </c>
      <c r="N320" s="292"/>
      <c r="O320" s="292"/>
      <c r="P320" s="286">
        <f t="shared" si="51"/>
        <v>0</v>
      </c>
      <c r="Q320" s="286">
        <f t="shared" si="53"/>
        <v>0</v>
      </c>
      <c r="R320" s="305">
        <f t="shared" si="52"/>
        <v>0</v>
      </c>
      <c r="S320" s="305">
        <f t="shared" si="54"/>
        <v>0</v>
      </c>
      <c r="T320" s="292"/>
    </row>
    <row r="321" spans="2:20" ht="45.6" hidden="1">
      <c r="B321" s="701"/>
      <c r="C321" s="853"/>
      <c r="D321" s="871"/>
      <c r="E321" s="550" t="s">
        <v>1451</v>
      </c>
      <c r="F321" s="696"/>
      <c r="G321" s="552" t="s">
        <v>25</v>
      </c>
      <c r="H321" s="553" t="s">
        <v>1176</v>
      </c>
      <c r="I321" s="554" t="s">
        <v>1177</v>
      </c>
      <c r="L321" s="305" t="str">
        <f>IF(OR(Overview!$D$4="Preliminary Documentation Review",Overview!$D$4="Preliminary Precertification Review"),IF(AND(P321=0,Q321=0),"",IF(AND(P321&gt;0,Q321&gt;0),"","MISMATCH")),"")</f>
        <v/>
      </c>
      <c r="M321" s="305" t="str">
        <f>IF(OR(Overview!$D$4="Preliminary Documentation Review",Overview!$D$4="Preliminary Precertification Review"),IF(AND(R321=0,S321=0),"",IF(AND(R321&gt;0,S321&gt;0),"","MISMATCH")),"")</f>
        <v/>
      </c>
      <c r="N321" s="292"/>
      <c r="O321" s="292"/>
      <c r="P321" s="286">
        <f t="shared" si="51"/>
        <v>0</v>
      </c>
      <c r="Q321" s="286">
        <f t="shared" si="53"/>
        <v>0</v>
      </c>
      <c r="R321" s="305">
        <f t="shared" si="52"/>
        <v>0</v>
      </c>
      <c r="S321" s="305">
        <f t="shared" si="54"/>
        <v>0</v>
      </c>
      <c r="T321" s="292"/>
    </row>
    <row r="322" spans="2:20" ht="45.6" hidden="1">
      <c r="B322" s="701"/>
      <c r="C322" s="852"/>
      <c r="D322" s="845"/>
      <c r="E322" s="550" t="s">
        <v>1452</v>
      </c>
      <c r="F322" s="661"/>
      <c r="G322" s="552" t="s">
        <v>25</v>
      </c>
      <c r="H322" s="553" t="s">
        <v>1176</v>
      </c>
      <c r="I322" s="554" t="s">
        <v>1177</v>
      </c>
      <c r="L322" s="305" t="str">
        <f>IF(OR(Overview!$D$4="Preliminary Documentation Review",Overview!$D$4="Preliminary Precertification Review"),IF(AND(P322=0,Q322=0),"",IF(AND(P322&gt;0,Q322&gt;0),"","MISMATCH")),"")</f>
        <v/>
      </c>
      <c r="M322" s="305" t="str">
        <f>IF(OR(Overview!$D$4="Preliminary Documentation Review",Overview!$D$4="Preliminary Precertification Review"),IF(AND(R322=0,S322=0),"",IF(AND(R322&gt;0,S322&gt;0),"","MISMATCH")),"")</f>
        <v/>
      </c>
      <c r="N322" s="292"/>
      <c r="O322" s="292"/>
      <c r="P322" s="286">
        <f t="shared" si="51"/>
        <v>0</v>
      </c>
      <c r="Q322" s="286">
        <f t="shared" si="53"/>
        <v>0</v>
      </c>
      <c r="R322" s="305">
        <f t="shared" si="52"/>
        <v>0</v>
      </c>
      <c r="S322" s="305">
        <f t="shared" si="54"/>
        <v>0</v>
      </c>
      <c r="T322" s="292"/>
    </row>
    <row r="323" spans="2:20">
      <c r="B323" s="702"/>
      <c r="C323" s="703"/>
      <c r="D323" s="704"/>
      <c r="E323" s="705"/>
      <c r="F323" s="705"/>
      <c r="G323" s="705"/>
      <c r="H323" s="706"/>
      <c r="I323" s="707"/>
      <c r="L323" s="305" t="str">
        <f>IF(OR(Overview!$D$4="Preliminary Documentation Review",Overview!$D$4="Preliminary Precertification Review"),IF(AND(P323=0,Q323=0),"",IF(AND(P323&gt;0,Q323&gt;0),"","MISMATCH")),"")</f>
        <v/>
      </c>
      <c r="M323" s="305" t="str">
        <f>IF(OR(Overview!$D$4="Preliminary Documentation Review",Overview!$D$4="Preliminary Precertification Review"),IF(AND(R323=0,S323=0),"",IF(AND(R323&gt;0,S323&gt;0),"","MISMATCH")),"")</f>
        <v/>
      </c>
      <c r="P323" s="286">
        <f t="shared" si="51"/>
        <v>0</v>
      </c>
      <c r="Q323" s="286">
        <f t="shared" si="53"/>
        <v>0</v>
      </c>
      <c r="R323" s="305">
        <f t="shared" si="52"/>
        <v>0</v>
      </c>
      <c r="S323" s="305">
        <f t="shared" si="54"/>
        <v>0</v>
      </c>
    </row>
    <row r="324" spans="2:20" ht="15.6" thickBot="1">
      <c r="B324" s="708"/>
      <c r="C324" s="709"/>
      <c r="D324" s="710"/>
      <c r="E324" s="711"/>
      <c r="F324" s="711"/>
      <c r="G324" s="711"/>
      <c r="H324" s="712"/>
      <c r="I324" s="713"/>
      <c r="L324" s="305" t="str">
        <f>IF(OR(Overview!$D$4="Preliminary Documentation Review",Overview!$D$4="Preliminary Precertification Review"),IF(AND(P324=0,Q324=0),"",IF(AND(P324&gt;0,Q324&gt;0),"","MISMATCH")),"")</f>
        <v/>
      </c>
      <c r="M324" s="305" t="str">
        <f>IF(OR(Overview!$D$4="Preliminary Documentation Review",Overview!$D$4="Preliminary Precertification Review"),IF(AND(R324=0,S324=0),"",IF(AND(R324&gt;0,S324&gt;0),"","MISMATCH")),"")</f>
        <v/>
      </c>
    </row>
    <row r="325" spans="2:20">
      <c r="F325" s="527"/>
      <c r="G325" s="528"/>
    </row>
    <row r="326" spans="2:20" ht="15" customHeight="1">
      <c r="F326" s="897" t="s">
        <v>1453</v>
      </c>
      <c r="G326" s="898"/>
    </row>
    <row r="327" spans="2:20" ht="15" customHeight="1">
      <c r="F327" s="898"/>
      <c r="G327" s="898"/>
    </row>
    <row r="328" spans="2:20" ht="15" customHeight="1">
      <c r="F328" s="898"/>
      <c r="G328" s="898"/>
    </row>
    <row r="329" spans="2:20" ht="15" customHeight="1">
      <c r="F329" s="898"/>
      <c r="G329" s="898"/>
    </row>
    <row r="330" spans="2:20" ht="15" customHeight="1">
      <c r="F330" s="898"/>
      <c r="G330" s="898"/>
    </row>
    <row r="331" spans="2:20" ht="15" customHeight="1">
      <c r="F331" s="898"/>
      <c r="G331" s="898"/>
    </row>
    <row r="332" spans="2:20" ht="15" customHeight="1">
      <c r="F332" s="898"/>
      <c r="G332" s="898"/>
    </row>
    <row r="333" spans="2:20" ht="15" customHeight="1">
      <c r="F333" s="898"/>
      <c r="G333" s="898"/>
    </row>
    <row r="334" spans="2:20" ht="15" customHeight="1">
      <c r="F334" s="898"/>
      <c r="G334" s="898"/>
    </row>
    <row r="335" spans="2:20" ht="15" customHeight="1">
      <c r="F335" s="898"/>
      <c r="G335" s="898"/>
    </row>
    <row r="351" spans="2:2">
      <c r="B351" s="714"/>
    </row>
    <row r="352" spans="2:2">
      <c r="B352" s="714"/>
    </row>
    <row r="353" spans="2:2">
      <c r="B353" s="714"/>
    </row>
    <row r="354" spans="2:2">
      <c r="B354" s="714"/>
    </row>
    <row r="355" spans="2:2">
      <c r="B355" s="714"/>
    </row>
    <row r="356" spans="2:2">
      <c r="B356" s="714"/>
    </row>
    <row r="357" spans="2:2">
      <c r="B357" s="714"/>
    </row>
    <row r="358" spans="2:2">
      <c r="B358" s="714"/>
    </row>
    <row r="359" spans="2:2">
      <c r="B359" s="714"/>
    </row>
    <row r="360" spans="2:2">
      <c r="B360" s="714"/>
    </row>
    <row r="361" spans="2:2">
      <c r="B361" s="714"/>
    </row>
    <row r="362" spans="2:2">
      <c r="B362" s="714"/>
    </row>
    <row r="363" spans="2:2">
      <c r="B363" s="714"/>
    </row>
    <row r="364" spans="2:2">
      <c r="B364" s="714"/>
    </row>
    <row r="365" spans="2:2">
      <c r="B365" s="714"/>
    </row>
    <row r="366" spans="2:2">
      <c r="B366" s="714"/>
    </row>
    <row r="367" spans="2:2">
      <c r="B367" s="714"/>
    </row>
    <row r="368" spans="2:2">
      <c r="B368" s="714"/>
    </row>
    <row r="369" spans="2:2">
      <c r="B369" s="714"/>
    </row>
    <row r="370" spans="2:2">
      <c r="B370" s="714"/>
    </row>
    <row r="371" spans="2:2">
      <c r="B371" s="714"/>
    </row>
    <row r="372" spans="2:2">
      <c r="B372" s="714"/>
    </row>
    <row r="373" spans="2:2">
      <c r="B373" s="714"/>
    </row>
    <row r="374" spans="2:2">
      <c r="B374" s="714"/>
    </row>
    <row r="375" spans="2:2">
      <c r="B375" s="714"/>
    </row>
    <row r="376" spans="2:2">
      <c r="B376" s="714"/>
    </row>
    <row r="377" spans="2:2">
      <c r="B377" s="714"/>
    </row>
    <row r="378" spans="2:2">
      <c r="B378" s="714"/>
    </row>
    <row r="379" spans="2:2">
      <c r="B379" s="714"/>
    </row>
    <row r="380" spans="2:2">
      <c r="B380" s="714"/>
    </row>
    <row r="381" spans="2:2">
      <c r="B381" s="714"/>
    </row>
    <row r="382" spans="2:2">
      <c r="B382" s="714"/>
    </row>
    <row r="383" spans="2:2">
      <c r="B383" s="714"/>
    </row>
    <row r="384" spans="2:2">
      <c r="B384" s="714"/>
    </row>
    <row r="385" spans="2:2">
      <c r="B385" s="714"/>
    </row>
    <row r="386" spans="2:2">
      <c r="B386" s="714"/>
    </row>
    <row r="387" spans="2:2">
      <c r="B387" s="714"/>
    </row>
    <row r="388" spans="2:2">
      <c r="B388" s="714"/>
    </row>
    <row r="389" spans="2:2">
      <c r="B389" s="714"/>
    </row>
    <row r="390" spans="2:2">
      <c r="B390" s="714"/>
    </row>
    <row r="391" spans="2:2">
      <c r="B391" s="714"/>
    </row>
    <row r="392" spans="2:2">
      <c r="B392" s="714"/>
    </row>
    <row r="393" spans="2:2">
      <c r="B393" s="714"/>
    </row>
    <row r="394" spans="2:2">
      <c r="B394" s="714"/>
    </row>
    <row r="395" spans="2:2">
      <c r="B395" s="714"/>
    </row>
    <row r="396" spans="2:2">
      <c r="B396" s="714"/>
    </row>
    <row r="397" spans="2:2">
      <c r="B397" s="714"/>
    </row>
    <row r="398" spans="2:2">
      <c r="B398" s="714"/>
    </row>
    <row r="399" spans="2:2">
      <c r="B399" s="714"/>
    </row>
    <row r="400" spans="2:2">
      <c r="B400" s="714"/>
    </row>
    <row r="401" spans="2:2">
      <c r="B401" s="714"/>
    </row>
    <row r="402" spans="2:2">
      <c r="B402" s="714"/>
    </row>
    <row r="403" spans="2:2">
      <c r="B403" s="714"/>
    </row>
    <row r="404" spans="2:2">
      <c r="B404" s="714"/>
    </row>
    <row r="405" spans="2:2">
      <c r="B405" s="714"/>
    </row>
    <row r="406" spans="2:2">
      <c r="B406" s="714"/>
    </row>
    <row r="407" spans="2:2">
      <c r="B407" s="714"/>
    </row>
    <row r="408" spans="2:2">
      <c r="B408" s="714"/>
    </row>
    <row r="409" spans="2:2">
      <c r="B409" s="714"/>
    </row>
    <row r="410" spans="2:2">
      <c r="B410" s="714"/>
    </row>
    <row r="411" spans="2:2">
      <c r="B411" s="714"/>
    </row>
    <row r="412" spans="2:2">
      <c r="B412" s="714"/>
    </row>
    <row r="413" spans="2:2">
      <c r="B413" s="714"/>
    </row>
    <row r="414" spans="2:2">
      <c r="B414" s="714"/>
    </row>
    <row r="415" spans="2:2">
      <c r="B415" s="714"/>
    </row>
    <row r="416" spans="2:2">
      <c r="B416" s="714"/>
    </row>
    <row r="417" spans="2:2">
      <c r="B417" s="714"/>
    </row>
    <row r="418" spans="2:2">
      <c r="B418" s="714"/>
    </row>
    <row r="419" spans="2:2">
      <c r="B419" s="714"/>
    </row>
    <row r="420" spans="2:2">
      <c r="B420" s="714"/>
    </row>
    <row r="421" spans="2:2">
      <c r="B421" s="714"/>
    </row>
    <row r="422" spans="2:2">
      <c r="B422" s="714"/>
    </row>
    <row r="423" spans="2:2">
      <c r="B423" s="714"/>
    </row>
    <row r="424" spans="2:2">
      <c r="B424" s="714"/>
    </row>
    <row r="425" spans="2:2">
      <c r="B425" s="714"/>
    </row>
    <row r="426" spans="2:2">
      <c r="B426" s="714"/>
    </row>
    <row r="427" spans="2:2">
      <c r="B427" s="714"/>
    </row>
    <row r="428" spans="2:2">
      <c r="B428" s="714"/>
    </row>
    <row r="429" spans="2:2">
      <c r="B429" s="714"/>
    </row>
    <row r="430" spans="2:2">
      <c r="B430" s="714"/>
    </row>
    <row r="431" spans="2:2">
      <c r="B431" s="714"/>
    </row>
    <row r="432" spans="2:2">
      <c r="B432" s="714"/>
    </row>
    <row r="433" spans="2:2">
      <c r="B433" s="714"/>
    </row>
    <row r="434" spans="2:2">
      <c r="B434" s="714"/>
    </row>
    <row r="435" spans="2:2">
      <c r="B435" s="714"/>
    </row>
    <row r="436" spans="2:2">
      <c r="B436" s="714"/>
    </row>
    <row r="437" spans="2:2">
      <c r="B437" s="714"/>
    </row>
    <row r="438" spans="2:2">
      <c r="B438" s="714"/>
    </row>
    <row r="439" spans="2:2">
      <c r="B439" s="714"/>
    </row>
    <row r="440" spans="2:2">
      <c r="B440" s="714"/>
    </row>
    <row r="441" spans="2:2">
      <c r="B441" s="714"/>
    </row>
    <row r="442" spans="2:2">
      <c r="B442" s="714"/>
    </row>
    <row r="443" spans="2:2">
      <c r="B443" s="714"/>
    </row>
    <row r="444" spans="2:2">
      <c r="B444" s="714"/>
    </row>
    <row r="445" spans="2:2">
      <c r="B445" s="714"/>
    </row>
    <row r="446" spans="2:2">
      <c r="B446" s="714"/>
    </row>
    <row r="447" spans="2:2">
      <c r="B447" s="714"/>
    </row>
    <row r="448" spans="2:2">
      <c r="B448" s="714"/>
    </row>
    <row r="449" spans="2:2">
      <c r="B449" s="714"/>
    </row>
    <row r="450" spans="2:2">
      <c r="B450" s="714"/>
    </row>
    <row r="451" spans="2:2">
      <c r="B451" s="714"/>
    </row>
    <row r="452" spans="2:2">
      <c r="B452" s="714"/>
    </row>
    <row r="453" spans="2:2">
      <c r="B453" s="714"/>
    </row>
    <row r="454" spans="2:2">
      <c r="B454" s="714"/>
    </row>
    <row r="455" spans="2:2">
      <c r="B455" s="714"/>
    </row>
    <row r="456" spans="2:2">
      <c r="B456" s="714"/>
    </row>
    <row r="457" spans="2:2">
      <c r="B457" s="714"/>
    </row>
    <row r="458" spans="2:2">
      <c r="B458" s="714"/>
    </row>
    <row r="459" spans="2:2">
      <c r="B459" s="714"/>
    </row>
    <row r="460" spans="2:2">
      <c r="B460" s="714"/>
    </row>
    <row r="461" spans="2:2">
      <c r="B461" s="714"/>
    </row>
    <row r="462" spans="2:2">
      <c r="B462" s="714"/>
    </row>
    <row r="463" spans="2:2">
      <c r="B463" s="714"/>
    </row>
    <row r="464" spans="2:2">
      <c r="B464" s="714"/>
    </row>
    <row r="465" spans="2:2">
      <c r="B465" s="714"/>
    </row>
    <row r="466" spans="2:2">
      <c r="B466" s="714"/>
    </row>
    <row r="467" spans="2:2">
      <c r="B467" s="714"/>
    </row>
    <row r="468" spans="2:2">
      <c r="B468" s="714"/>
    </row>
    <row r="469" spans="2:2">
      <c r="B469" s="714"/>
    </row>
    <row r="470" spans="2:2">
      <c r="B470" s="714"/>
    </row>
    <row r="471" spans="2:2">
      <c r="B471" s="714"/>
    </row>
    <row r="472" spans="2:2">
      <c r="B472" s="714"/>
    </row>
    <row r="473" spans="2:2">
      <c r="B473" s="714"/>
    </row>
    <row r="474" spans="2:2">
      <c r="B474" s="714"/>
    </row>
    <row r="475" spans="2:2">
      <c r="B475" s="714"/>
    </row>
    <row r="476" spans="2:2">
      <c r="B476" s="714"/>
    </row>
    <row r="477" spans="2:2">
      <c r="B477" s="714"/>
    </row>
    <row r="478" spans="2:2">
      <c r="B478" s="714"/>
    </row>
    <row r="479" spans="2:2">
      <c r="B479" s="714"/>
    </row>
    <row r="480" spans="2:2">
      <c r="B480" s="714"/>
    </row>
    <row r="481" spans="2:2">
      <c r="B481" s="714"/>
    </row>
    <row r="482" spans="2:2">
      <c r="B482" s="714"/>
    </row>
    <row r="483" spans="2:2">
      <c r="B483" s="714"/>
    </row>
    <row r="484" spans="2:2">
      <c r="B484" s="714"/>
    </row>
    <row r="485" spans="2:2">
      <c r="B485" s="714"/>
    </row>
    <row r="486" spans="2:2">
      <c r="B486" s="714"/>
    </row>
    <row r="487" spans="2:2">
      <c r="B487" s="714"/>
    </row>
    <row r="488" spans="2:2">
      <c r="B488" s="714"/>
    </row>
    <row r="489" spans="2:2">
      <c r="B489" s="714"/>
    </row>
    <row r="490" spans="2:2">
      <c r="B490" s="714"/>
    </row>
    <row r="491" spans="2:2">
      <c r="B491" s="714"/>
    </row>
    <row r="492" spans="2:2">
      <c r="B492" s="714"/>
    </row>
    <row r="493" spans="2:2">
      <c r="B493" s="714"/>
    </row>
    <row r="494" spans="2:2">
      <c r="B494" s="714"/>
    </row>
    <row r="495" spans="2:2">
      <c r="B495" s="714"/>
    </row>
    <row r="496" spans="2:2">
      <c r="B496" s="714"/>
    </row>
    <row r="497" spans="2:2">
      <c r="B497" s="714"/>
    </row>
    <row r="498" spans="2:2">
      <c r="B498" s="714"/>
    </row>
    <row r="499" spans="2:2">
      <c r="B499" s="714"/>
    </row>
    <row r="500" spans="2:2">
      <c r="B500" s="714"/>
    </row>
    <row r="501" spans="2:2">
      <c r="B501" s="714"/>
    </row>
    <row r="502" spans="2:2">
      <c r="B502" s="714"/>
    </row>
    <row r="503" spans="2:2">
      <c r="B503" s="714"/>
    </row>
    <row r="504" spans="2:2">
      <c r="B504" s="714"/>
    </row>
    <row r="505" spans="2:2">
      <c r="B505" s="714"/>
    </row>
    <row r="506" spans="2:2">
      <c r="B506" s="714"/>
    </row>
    <row r="507" spans="2:2">
      <c r="B507" s="714"/>
    </row>
    <row r="508" spans="2:2">
      <c r="B508" s="714"/>
    </row>
    <row r="509" spans="2:2">
      <c r="B509" s="714"/>
    </row>
    <row r="510" spans="2:2">
      <c r="B510" s="714"/>
    </row>
    <row r="511" spans="2:2">
      <c r="B511" s="714"/>
    </row>
    <row r="512" spans="2:2">
      <c r="B512" s="714"/>
    </row>
    <row r="513" spans="2:2">
      <c r="B513" s="714"/>
    </row>
    <row r="514" spans="2:2">
      <c r="B514" s="714"/>
    </row>
    <row r="515" spans="2:2">
      <c r="B515" s="714"/>
    </row>
    <row r="516" spans="2:2">
      <c r="B516" s="714"/>
    </row>
    <row r="517" spans="2:2">
      <c r="B517" s="714"/>
    </row>
    <row r="518" spans="2:2">
      <c r="B518" s="714"/>
    </row>
    <row r="519" spans="2:2">
      <c r="B519" s="714"/>
    </row>
    <row r="520" spans="2:2">
      <c r="B520" s="714"/>
    </row>
    <row r="521" spans="2:2">
      <c r="B521" s="714"/>
    </row>
    <row r="522" spans="2:2">
      <c r="B522" s="714"/>
    </row>
    <row r="523" spans="2:2">
      <c r="B523" s="714"/>
    </row>
    <row r="524" spans="2:2">
      <c r="B524" s="714"/>
    </row>
    <row r="525" spans="2:2">
      <c r="B525" s="714"/>
    </row>
    <row r="526" spans="2:2">
      <c r="B526" s="714"/>
    </row>
    <row r="527" spans="2:2">
      <c r="B527" s="714"/>
    </row>
    <row r="528" spans="2:2">
      <c r="B528" s="714"/>
    </row>
    <row r="529" spans="2:2">
      <c r="B529" s="714"/>
    </row>
    <row r="530" spans="2:2">
      <c r="B530" s="714"/>
    </row>
    <row r="531" spans="2:2">
      <c r="B531" s="714"/>
    </row>
    <row r="532" spans="2:2">
      <c r="B532" s="714"/>
    </row>
    <row r="533" spans="2:2">
      <c r="B533" s="714"/>
    </row>
    <row r="534" spans="2:2">
      <c r="B534" s="714"/>
    </row>
    <row r="535" spans="2:2">
      <c r="B535" s="714"/>
    </row>
    <row r="536" spans="2:2">
      <c r="B536" s="714"/>
    </row>
    <row r="537" spans="2:2">
      <c r="B537" s="714"/>
    </row>
    <row r="538" spans="2:2">
      <c r="B538" s="714"/>
    </row>
    <row r="539" spans="2:2">
      <c r="B539" s="714"/>
    </row>
    <row r="540" spans="2:2">
      <c r="B540" s="714"/>
    </row>
    <row r="541" spans="2:2">
      <c r="B541" s="714"/>
    </row>
    <row r="542" spans="2:2">
      <c r="B542" s="714"/>
    </row>
    <row r="543" spans="2:2">
      <c r="B543" s="714"/>
    </row>
    <row r="544" spans="2:2">
      <c r="B544" s="714"/>
    </row>
    <row r="545" spans="2:2">
      <c r="B545" s="714"/>
    </row>
    <row r="546" spans="2:2">
      <c r="B546" s="714"/>
    </row>
    <row r="547" spans="2:2">
      <c r="B547" s="714"/>
    </row>
    <row r="548" spans="2:2">
      <c r="B548" s="714"/>
    </row>
    <row r="549" spans="2:2">
      <c r="B549" s="714"/>
    </row>
    <row r="550" spans="2:2">
      <c r="B550" s="714"/>
    </row>
    <row r="551" spans="2:2">
      <c r="B551" s="714"/>
    </row>
    <row r="552" spans="2:2">
      <c r="B552" s="714"/>
    </row>
    <row r="553" spans="2:2">
      <c r="B553" s="714"/>
    </row>
    <row r="554" spans="2:2">
      <c r="B554" s="714"/>
    </row>
    <row r="555" spans="2:2">
      <c r="B555" s="714"/>
    </row>
    <row r="556" spans="2:2">
      <c r="B556" s="714"/>
    </row>
    <row r="557" spans="2:2">
      <c r="B557" s="714"/>
    </row>
    <row r="558" spans="2:2">
      <c r="B558" s="714"/>
    </row>
    <row r="559" spans="2:2">
      <c r="B559" s="714"/>
    </row>
    <row r="560" spans="2:2">
      <c r="B560" s="714"/>
    </row>
    <row r="561" spans="2:2">
      <c r="B561" s="714"/>
    </row>
    <row r="562" spans="2:2">
      <c r="B562" s="714"/>
    </row>
    <row r="563" spans="2:2">
      <c r="B563" s="714"/>
    </row>
    <row r="564" spans="2:2">
      <c r="B564" s="714"/>
    </row>
    <row r="565" spans="2:2">
      <c r="B565" s="714"/>
    </row>
    <row r="566" spans="2:2">
      <c r="B566" s="714"/>
    </row>
    <row r="567" spans="2:2">
      <c r="B567" s="714"/>
    </row>
    <row r="568" spans="2:2">
      <c r="B568" s="714"/>
    </row>
    <row r="569" spans="2:2">
      <c r="B569" s="714"/>
    </row>
    <row r="570" spans="2:2">
      <c r="B570" s="714"/>
    </row>
    <row r="571" spans="2:2">
      <c r="B571" s="714"/>
    </row>
    <row r="572" spans="2:2">
      <c r="B572" s="714"/>
    </row>
    <row r="573" spans="2:2">
      <c r="B573" s="714"/>
    </row>
    <row r="574" spans="2:2">
      <c r="B574" s="714"/>
    </row>
    <row r="575" spans="2:2">
      <c r="B575" s="714"/>
    </row>
    <row r="576" spans="2:2">
      <c r="B576" s="714"/>
    </row>
    <row r="577" spans="2:2">
      <c r="B577" s="714"/>
    </row>
    <row r="578" spans="2:2">
      <c r="B578" s="714"/>
    </row>
    <row r="579" spans="2:2">
      <c r="B579" s="714"/>
    </row>
    <row r="580" spans="2:2">
      <c r="B580" s="714"/>
    </row>
    <row r="581" spans="2:2">
      <c r="B581" s="714"/>
    </row>
    <row r="582" spans="2:2">
      <c r="B582" s="714"/>
    </row>
    <row r="583" spans="2:2">
      <c r="B583" s="714"/>
    </row>
    <row r="584" spans="2:2">
      <c r="B584" s="714"/>
    </row>
    <row r="585" spans="2:2">
      <c r="B585" s="714"/>
    </row>
    <row r="586" spans="2:2">
      <c r="B586" s="714"/>
    </row>
    <row r="587" spans="2:2">
      <c r="B587" s="714"/>
    </row>
    <row r="588" spans="2:2">
      <c r="B588" s="714"/>
    </row>
    <row r="589" spans="2:2">
      <c r="B589" s="714"/>
    </row>
    <row r="590" spans="2:2">
      <c r="B590" s="714"/>
    </row>
    <row r="591" spans="2:2">
      <c r="B591" s="714"/>
    </row>
    <row r="592" spans="2:2">
      <c r="B592" s="714"/>
    </row>
    <row r="593" spans="2:2">
      <c r="B593" s="714"/>
    </row>
    <row r="594" spans="2:2">
      <c r="B594" s="714"/>
    </row>
    <row r="595" spans="2:2">
      <c r="B595" s="714"/>
    </row>
    <row r="596" spans="2:2">
      <c r="B596" s="714"/>
    </row>
    <row r="597" spans="2:2">
      <c r="B597" s="714"/>
    </row>
    <row r="598" spans="2:2">
      <c r="B598" s="714"/>
    </row>
    <row r="599" spans="2:2">
      <c r="B599" s="714"/>
    </row>
    <row r="600" spans="2:2">
      <c r="B600" s="714"/>
    </row>
    <row r="601" spans="2:2">
      <c r="B601" s="714"/>
    </row>
    <row r="602" spans="2:2">
      <c r="B602" s="714"/>
    </row>
    <row r="603" spans="2:2">
      <c r="B603" s="714"/>
    </row>
    <row r="604" spans="2:2">
      <c r="B604" s="714"/>
    </row>
    <row r="605" spans="2:2">
      <c r="B605" s="714"/>
    </row>
    <row r="606" spans="2:2">
      <c r="B606" s="714"/>
    </row>
    <row r="607" spans="2:2">
      <c r="B607" s="714"/>
    </row>
    <row r="608" spans="2:2">
      <c r="B608" s="714"/>
    </row>
    <row r="609" spans="2:2">
      <c r="B609" s="714"/>
    </row>
    <row r="610" spans="2:2">
      <c r="B610" s="714"/>
    </row>
    <row r="611" spans="2:2">
      <c r="B611" s="714"/>
    </row>
    <row r="612" spans="2:2">
      <c r="B612" s="714"/>
    </row>
    <row r="613" spans="2:2">
      <c r="B613" s="714"/>
    </row>
    <row r="614" spans="2:2">
      <c r="B614" s="714"/>
    </row>
    <row r="615" spans="2:2">
      <c r="B615" s="714"/>
    </row>
    <row r="616" spans="2:2">
      <c r="B616" s="714"/>
    </row>
    <row r="617" spans="2:2">
      <c r="B617" s="714"/>
    </row>
    <row r="618" spans="2:2">
      <c r="B618" s="714"/>
    </row>
    <row r="619" spans="2:2">
      <c r="B619" s="714"/>
    </row>
    <row r="620" spans="2:2">
      <c r="B620" s="714"/>
    </row>
    <row r="621" spans="2:2">
      <c r="B621" s="714"/>
    </row>
    <row r="622" spans="2:2">
      <c r="B622" s="714"/>
    </row>
    <row r="623" spans="2:2">
      <c r="B623" s="714"/>
    </row>
    <row r="624" spans="2:2">
      <c r="B624" s="714"/>
    </row>
    <row r="625" spans="2:2">
      <c r="B625" s="714"/>
    </row>
    <row r="626" spans="2:2">
      <c r="B626" s="714"/>
    </row>
    <row r="627" spans="2:2">
      <c r="B627" s="714"/>
    </row>
    <row r="628" spans="2:2">
      <c r="B628" s="714"/>
    </row>
    <row r="629" spans="2:2">
      <c r="B629" s="714"/>
    </row>
    <row r="630" spans="2:2">
      <c r="B630" s="714"/>
    </row>
    <row r="631" spans="2:2">
      <c r="B631" s="714"/>
    </row>
    <row r="632" spans="2:2">
      <c r="B632" s="714"/>
    </row>
    <row r="633" spans="2:2">
      <c r="B633" s="714"/>
    </row>
    <row r="634" spans="2:2">
      <c r="B634" s="714"/>
    </row>
    <row r="635" spans="2:2">
      <c r="B635" s="714"/>
    </row>
    <row r="636" spans="2:2">
      <c r="B636" s="714"/>
    </row>
    <row r="637" spans="2:2">
      <c r="B637" s="714"/>
    </row>
    <row r="638" spans="2:2">
      <c r="B638" s="714"/>
    </row>
    <row r="639" spans="2:2">
      <c r="B639" s="714"/>
    </row>
    <row r="640" spans="2:2">
      <c r="B640" s="714"/>
    </row>
    <row r="641" spans="2:2">
      <c r="B641" s="714"/>
    </row>
    <row r="642" spans="2:2">
      <c r="B642" s="714"/>
    </row>
    <row r="643" spans="2:2">
      <c r="B643" s="714"/>
    </row>
    <row r="644" spans="2:2">
      <c r="B644" s="714"/>
    </row>
    <row r="645" spans="2:2">
      <c r="B645" s="714"/>
    </row>
    <row r="646" spans="2:2">
      <c r="B646" s="714"/>
    </row>
    <row r="647" spans="2:2">
      <c r="B647" s="714"/>
    </row>
    <row r="648" spans="2:2">
      <c r="B648" s="714"/>
    </row>
    <row r="649" spans="2:2">
      <c r="B649" s="714"/>
    </row>
    <row r="650" spans="2:2">
      <c r="B650" s="714"/>
    </row>
    <row r="651" spans="2:2">
      <c r="B651" s="714"/>
    </row>
    <row r="652" spans="2:2">
      <c r="B652" s="714"/>
    </row>
    <row r="653" spans="2:2">
      <c r="B653" s="714"/>
    </row>
    <row r="654" spans="2:2">
      <c r="B654" s="714"/>
    </row>
    <row r="655" spans="2:2">
      <c r="B655" s="714"/>
    </row>
    <row r="656" spans="2:2">
      <c r="B656" s="714"/>
    </row>
    <row r="657" spans="2:2">
      <c r="B657" s="714"/>
    </row>
    <row r="658" spans="2:2">
      <c r="B658" s="714"/>
    </row>
    <row r="659" spans="2:2">
      <c r="B659" s="714"/>
    </row>
    <row r="660" spans="2:2">
      <c r="B660" s="714"/>
    </row>
    <row r="661" spans="2:2">
      <c r="B661" s="714"/>
    </row>
    <row r="662" spans="2:2">
      <c r="B662" s="714"/>
    </row>
    <row r="663" spans="2:2">
      <c r="B663" s="714"/>
    </row>
    <row r="664" spans="2:2">
      <c r="B664" s="714"/>
    </row>
    <row r="665" spans="2:2">
      <c r="B665" s="714"/>
    </row>
    <row r="666" spans="2:2">
      <c r="B666" s="714"/>
    </row>
    <row r="667" spans="2:2">
      <c r="B667" s="714"/>
    </row>
    <row r="668" spans="2:2">
      <c r="B668" s="714"/>
    </row>
    <row r="669" spans="2:2">
      <c r="B669" s="714"/>
    </row>
    <row r="670" spans="2:2">
      <c r="B670" s="714"/>
    </row>
    <row r="671" spans="2:2">
      <c r="B671" s="714"/>
    </row>
    <row r="672" spans="2:2">
      <c r="B672" s="714"/>
    </row>
    <row r="673" spans="2:2">
      <c r="B673" s="714"/>
    </row>
    <row r="674" spans="2:2">
      <c r="B674" s="714"/>
    </row>
    <row r="675" spans="2:2">
      <c r="B675" s="714"/>
    </row>
    <row r="676" spans="2:2">
      <c r="B676" s="714"/>
    </row>
    <row r="677" spans="2:2">
      <c r="B677" s="714"/>
    </row>
    <row r="678" spans="2:2">
      <c r="B678" s="714"/>
    </row>
    <row r="679" spans="2:2">
      <c r="B679" s="714"/>
    </row>
    <row r="680" spans="2:2">
      <c r="B680" s="714"/>
    </row>
    <row r="681" spans="2:2">
      <c r="B681" s="714"/>
    </row>
    <row r="682" spans="2:2">
      <c r="B682" s="714"/>
    </row>
    <row r="683" spans="2:2">
      <c r="B683" s="714"/>
    </row>
    <row r="684" spans="2:2">
      <c r="B684" s="714"/>
    </row>
    <row r="685" spans="2:2">
      <c r="B685" s="714"/>
    </row>
    <row r="686" spans="2:2">
      <c r="B686" s="714"/>
    </row>
    <row r="687" spans="2:2">
      <c r="B687" s="714"/>
    </row>
    <row r="688" spans="2:2">
      <c r="B688" s="714"/>
    </row>
    <row r="689" spans="2:2">
      <c r="B689" s="714"/>
    </row>
    <row r="690" spans="2:2">
      <c r="B690" s="714"/>
    </row>
    <row r="691" spans="2:2">
      <c r="B691" s="714"/>
    </row>
    <row r="692" spans="2:2">
      <c r="B692" s="714"/>
    </row>
    <row r="693" spans="2:2">
      <c r="B693" s="714"/>
    </row>
    <row r="694" spans="2:2">
      <c r="B694" s="714"/>
    </row>
    <row r="695" spans="2:2">
      <c r="B695" s="714"/>
    </row>
    <row r="696" spans="2:2">
      <c r="B696" s="714"/>
    </row>
    <row r="697" spans="2:2">
      <c r="B697" s="714"/>
    </row>
    <row r="698" spans="2:2">
      <c r="B698" s="714"/>
    </row>
    <row r="699" spans="2:2">
      <c r="B699" s="714"/>
    </row>
    <row r="700" spans="2:2">
      <c r="B700" s="714"/>
    </row>
    <row r="701" spans="2:2">
      <c r="B701" s="714"/>
    </row>
    <row r="702" spans="2:2">
      <c r="B702" s="714"/>
    </row>
    <row r="703" spans="2:2">
      <c r="B703" s="714"/>
    </row>
    <row r="704" spans="2:2">
      <c r="B704" s="714"/>
    </row>
    <row r="705" spans="2:2">
      <c r="B705" s="714"/>
    </row>
    <row r="706" spans="2:2">
      <c r="B706" s="714"/>
    </row>
    <row r="707" spans="2:2">
      <c r="B707" s="714"/>
    </row>
    <row r="708" spans="2:2">
      <c r="B708" s="714"/>
    </row>
    <row r="709" spans="2:2">
      <c r="B709" s="714"/>
    </row>
    <row r="710" spans="2:2">
      <c r="B710" s="714"/>
    </row>
    <row r="711" spans="2:2">
      <c r="B711" s="714"/>
    </row>
    <row r="712" spans="2:2">
      <c r="B712" s="714"/>
    </row>
    <row r="713" spans="2:2">
      <c r="B713" s="714"/>
    </row>
    <row r="714" spans="2:2">
      <c r="B714" s="714"/>
    </row>
    <row r="715" spans="2:2">
      <c r="B715" s="714"/>
    </row>
    <row r="716" spans="2:2">
      <c r="B716" s="714"/>
    </row>
    <row r="717" spans="2:2">
      <c r="B717" s="714"/>
    </row>
    <row r="718" spans="2:2">
      <c r="B718" s="714"/>
    </row>
    <row r="719" spans="2:2">
      <c r="B719" s="714"/>
    </row>
    <row r="720" spans="2:2">
      <c r="B720" s="714"/>
    </row>
    <row r="721" spans="2:2">
      <c r="B721" s="714"/>
    </row>
    <row r="722" spans="2:2">
      <c r="B722" s="714"/>
    </row>
    <row r="723" spans="2:2">
      <c r="B723" s="714"/>
    </row>
    <row r="724" spans="2:2">
      <c r="B724" s="714"/>
    </row>
    <row r="725" spans="2:2">
      <c r="B725" s="714"/>
    </row>
    <row r="726" spans="2:2">
      <c r="B726" s="714"/>
    </row>
    <row r="727" spans="2:2">
      <c r="B727" s="714"/>
    </row>
    <row r="728" spans="2:2">
      <c r="B728" s="714"/>
    </row>
    <row r="729" spans="2:2">
      <c r="B729" s="714"/>
    </row>
    <row r="730" spans="2:2">
      <c r="B730" s="714"/>
    </row>
    <row r="731" spans="2:2">
      <c r="B731" s="714"/>
    </row>
    <row r="732" spans="2:2">
      <c r="B732" s="714"/>
    </row>
    <row r="733" spans="2:2">
      <c r="B733" s="714"/>
    </row>
    <row r="734" spans="2:2">
      <c r="B734" s="714"/>
    </row>
    <row r="735" spans="2:2">
      <c r="B735" s="714"/>
    </row>
    <row r="736" spans="2:2">
      <c r="B736" s="714"/>
    </row>
    <row r="737" spans="2:2">
      <c r="B737" s="714"/>
    </row>
    <row r="738" spans="2:2">
      <c r="B738" s="714"/>
    </row>
    <row r="739" spans="2:2">
      <c r="B739" s="714"/>
    </row>
    <row r="740" spans="2:2">
      <c r="B740" s="714"/>
    </row>
    <row r="741" spans="2:2">
      <c r="B741" s="714"/>
    </row>
    <row r="742" spans="2:2">
      <c r="B742" s="714"/>
    </row>
    <row r="743" spans="2:2">
      <c r="B743" s="714"/>
    </row>
    <row r="744" spans="2:2">
      <c r="B744" s="714"/>
    </row>
    <row r="745" spans="2:2">
      <c r="B745" s="714"/>
    </row>
    <row r="746" spans="2:2">
      <c r="B746" s="714"/>
    </row>
    <row r="747" spans="2:2">
      <c r="B747" s="714"/>
    </row>
    <row r="748" spans="2:2">
      <c r="B748" s="714"/>
    </row>
    <row r="749" spans="2:2">
      <c r="B749" s="714"/>
    </row>
    <row r="750" spans="2:2">
      <c r="B750" s="714"/>
    </row>
    <row r="751" spans="2:2">
      <c r="B751" s="714"/>
    </row>
    <row r="752" spans="2:2">
      <c r="B752" s="714"/>
    </row>
    <row r="753" spans="2:2">
      <c r="B753" s="714"/>
    </row>
    <row r="754" spans="2:2">
      <c r="B754" s="714"/>
    </row>
    <row r="755" spans="2:2">
      <c r="B755" s="714"/>
    </row>
    <row r="756" spans="2:2">
      <c r="B756" s="714"/>
    </row>
    <row r="757" spans="2:2">
      <c r="B757" s="714"/>
    </row>
    <row r="758" spans="2:2">
      <c r="B758" s="714"/>
    </row>
    <row r="759" spans="2:2">
      <c r="B759" s="714"/>
    </row>
    <row r="760" spans="2:2">
      <c r="B760" s="714"/>
    </row>
    <row r="761" spans="2:2">
      <c r="B761" s="714"/>
    </row>
    <row r="762" spans="2:2">
      <c r="B762" s="714"/>
    </row>
    <row r="763" spans="2:2">
      <c r="B763" s="714"/>
    </row>
    <row r="764" spans="2:2">
      <c r="B764" s="714"/>
    </row>
    <row r="765" spans="2:2">
      <c r="B765" s="714"/>
    </row>
    <row r="766" spans="2:2">
      <c r="B766" s="714"/>
    </row>
    <row r="767" spans="2:2">
      <c r="B767" s="714"/>
    </row>
    <row r="768" spans="2:2">
      <c r="B768" s="714"/>
    </row>
    <row r="769" spans="2:2">
      <c r="B769" s="714"/>
    </row>
    <row r="770" spans="2:2">
      <c r="B770" s="714"/>
    </row>
    <row r="771" spans="2:2">
      <c r="B771" s="714"/>
    </row>
    <row r="772" spans="2:2">
      <c r="B772" s="714"/>
    </row>
    <row r="773" spans="2:2">
      <c r="B773" s="714"/>
    </row>
    <row r="774" spans="2:2">
      <c r="B774" s="714"/>
    </row>
    <row r="775" spans="2:2">
      <c r="B775" s="714"/>
    </row>
    <row r="776" spans="2:2">
      <c r="B776" s="714"/>
    </row>
    <row r="777" spans="2:2">
      <c r="B777" s="714"/>
    </row>
    <row r="778" spans="2:2">
      <c r="B778" s="714"/>
    </row>
    <row r="779" spans="2:2">
      <c r="B779" s="714"/>
    </row>
    <row r="780" spans="2:2">
      <c r="B780" s="714"/>
    </row>
    <row r="781" spans="2:2">
      <c r="B781" s="714"/>
    </row>
    <row r="782" spans="2:2">
      <c r="B782" s="714"/>
    </row>
    <row r="783" spans="2:2">
      <c r="B783" s="714"/>
    </row>
    <row r="784" spans="2:2">
      <c r="B784" s="714"/>
    </row>
    <row r="785" spans="2:2">
      <c r="B785" s="714"/>
    </row>
    <row r="786" spans="2:2">
      <c r="B786" s="714"/>
    </row>
    <row r="787" spans="2:2">
      <c r="B787" s="714"/>
    </row>
    <row r="788" spans="2:2">
      <c r="B788" s="714"/>
    </row>
    <row r="789" spans="2:2">
      <c r="B789" s="714"/>
    </row>
    <row r="790" spans="2:2">
      <c r="B790" s="714"/>
    </row>
    <row r="791" spans="2:2">
      <c r="B791" s="714"/>
    </row>
    <row r="792" spans="2:2">
      <c r="B792" s="714"/>
    </row>
    <row r="793" spans="2:2">
      <c r="B793" s="714"/>
    </row>
    <row r="794" spans="2:2">
      <c r="B794" s="714"/>
    </row>
    <row r="795" spans="2:2">
      <c r="B795" s="714"/>
    </row>
    <row r="796" spans="2:2">
      <c r="B796" s="714"/>
    </row>
    <row r="797" spans="2:2">
      <c r="B797" s="714"/>
    </row>
    <row r="798" spans="2:2">
      <c r="B798" s="714"/>
    </row>
    <row r="799" spans="2:2">
      <c r="B799" s="714"/>
    </row>
    <row r="800" spans="2:2">
      <c r="B800" s="714"/>
    </row>
    <row r="801" spans="2:2">
      <c r="B801" s="714"/>
    </row>
    <row r="802" spans="2:2">
      <c r="B802" s="714"/>
    </row>
    <row r="803" spans="2:2">
      <c r="B803" s="714"/>
    </row>
    <row r="804" spans="2:2">
      <c r="B804" s="714"/>
    </row>
    <row r="805" spans="2:2">
      <c r="B805" s="714"/>
    </row>
    <row r="806" spans="2:2">
      <c r="B806" s="714"/>
    </row>
    <row r="807" spans="2:2">
      <c r="B807" s="714"/>
    </row>
    <row r="808" spans="2:2">
      <c r="B808" s="714"/>
    </row>
    <row r="809" spans="2:2">
      <c r="B809" s="714"/>
    </row>
    <row r="810" spans="2:2">
      <c r="B810" s="714"/>
    </row>
    <row r="811" spans="2:2">
      <c r="B811" s="714"/>
    </row>
    <row r="812" spans="2:2">
      <c r="B812" s="714"/>
    </row>
    <row r="813" spans="2:2">
      <c r="B813" s="714"/>
    </row>
    <row r="814" spans="2:2">
      <c r="B814" s="714"/>
    </row>
    <row r="815" spans="2:2">
      <c r="B815" s="714"/>
    </row>
    <row r="816" spans="2:2">
      <c r="B816" s="714"/>
    </row>
    <row r="817" spans="2:2">
      <c r="B817" s="714"/>
    </row>
    <row r="818" spans="2:2">
      <c r="B818" s="714"/>
    </row>
    <row r="819" spans="2:2">
      <c r="B819" s="714"/>
    </row>
    <row r="820" spans="2:2">
      <c r="B820" s="714"/>
    </row>
    <row r="821" spans="2:2">
      <c r="B821" s="714"/>
    </row>
    <row r="822" spans="2:2">
      <c r="B822" s="714"/>
    </row>
    <row r="823" spans="2:2">
      <c r="B823" s="714"/>
    </row>
    <row r="824" spans="2:2">
      <c r="B824" s="714"/>
    </row>
    <row r="825" spans="2:2">
      <c r="B825" s="714"/>
    </row>
    <row r="826" spans="2:2">
      <c r="B826" s="714"/>
    </row>
    <row r="827" spans="2:2">
      <c r="B827" s="714"/>
    </row>
    <row r="828" spans="2:2">
      <c r="B828" s="714"/>
    </row>
    <row r="829" spans="2:2">
      <c r="B829" s="714"/>
    </row>
    <row r="830" spans="2:2">
      <c r="B830" s="714"/>
    </row>
    <row r="831" spans="2:2">
      <c r="B831" s="714"/>
    </row>
    <row r="832" spans="2:2">
      <c r="B832" s="714"/>
    </row>
    <row r="833" spans="2:2">
      <c r="B833" s="714"/>
    </row>
    <row r="834" spans="2:2">
      <c r="B834" s="714"/>
    </row>
    <row r="835" spans="2:2">
      <c r="B835" s="714"/>
    </row>
    <row r="836" spans="2:2">
      <c r="B836" s="714"/>
    </row>
    <row r="837" spans="2:2">
      <c r="B837" s="714"/>
    </row>
    <row r="838" spans="2:2">
      <c r="B838" s="714"/>
    </row>
    <row r="839" spans="2:2">
      <c r="B839" s="714"/>
    </row>
    <row r="840" spans="2:2">
      <c r="B840" s="714"/>
    </row>
    <row r="841" spans="2:2">
      <c r="B841" s="714"/>
    </row>
    <row r="842" spans="2:2">
      <c r="B842" s="714"/>
    </row>
    <row r="843" spans="2:2">
      <c r="B843" s="714"/>
    </row>
    <row r="844" spans="2:2">
      <c r="B844" s="714"/>
    </row>
    <row r="845" spans="2:2">
      <c r="B845" s="714"/>
    </row>
    <row r="846" spans="2:2">
      <c r="B846" s="714"/>
    </row>
    <row r="847" spans="2:2">
      <c r="B847" s="714"/>
    </row>
    <row r="848" spans="2:2">
      <c r="B848" s="714"/>
    </row>
    <row r="849" spans="2:2">
      <c r="B849" s="714"/>
    </row>
    <row r="850" spans="2:2">
      <c r="B850" s="714"/>
    </row>
    <row r="851" spans="2:2">
      <c r="B851" s="714"/>
    </row>
    <row r="852" spans="2:2">
      <c r="B852" s="714"/>
    </row>
    <row r="853" spans="2:2">
      <c r="B853" s="714"/>
    </row>
    <row r="854" spans="2:2">
      <c r="B854" s="714"/>
    </row>
    <row r="855" spans="2:2">
      <c r="B855" s="714"/>
    </row>
    <row r="856" spans="2:2">
      <c r="B856" s="714"/>
    </row>
    <row r="857" spans="2:2">
      <c r="B857" s="714"/>
    </row>
    <row r="858" spans="2:2">
      <c r="B858" s="714"/>
    </row>
    <row r="859" spans="2:2">
      <c r="B859" s="714"/>
    </row>
    <row r="860" spans="2:2">
      <c r="B860" s="714"/>
    </row>
    <row r="861" spans="2:2">
      <c r="B861" s="714"/>
    </row>
    <row r="862" spans="2:2">
      <c r="B862" s="714"/>
    </row>
    <row r="863" spans="2:2">
      <c r="B863" s="714"/>
    </row>
    <row r="864" spans="2:2">
      <c r="B864" s="714"/>
    </row>
    <row r="865" spans="2:2">
      <c r="B865" s="714"/>
    </row>
    <row r="866" spans="2:2">
      <c r="B866" s="714"/>
    </row>
    <row r="867" spans="2:2">
      <c r="B867" s="714"/>
    </row>
    <row r="868" spans="2:2">
      <c r="B868" s="714"/>
    </row>
    <row r="869" spans="2:2">
      <c r="B869" s="714"/>
    </row>
    <row r="870" spans="2:2">
      <c r="B870" s="714"/>
    </row>
    <row r="871" spans="2:2">
      <c r="B871" s="714"/>
    </row>
    <row r="872" spans="2:2">
      <c r="B872" s="714"/>
    </row>
    <row r="873" spans="2:2">
      <c r="B873" s="714"/>
    </row>
    <row r="874" spans="2:2">
      <c r="B874" s="714"/>
    </row>
    <row r="875" spans="2:2">
      <c r="B875" s="714"/>
    </row>
    <row r="876" spans="2:2">
      <c r="B876" s="714"/>
    </row>
    <row r="877" spans="2:2">
      <c r="B877" s="714"/>
    </row>
    <row r="878" spans="2:2">
      <c r="B878" s="714"/>
    </row>
    <row r="879" spans="2:2">
      <c r="B879" s="714"/>
    </row>
    <row r="880" spans="2:2">
      <c r="B880" s="714"/>
    </row>
    <row r="881" spans="2:2">
      <c r="B881" s="714"/>
    </row>
    <row r="882" spans="2:2">
      <c r="B882" s="714"/>
    </row>
    <row r="883" spans="2:2">
      <c r="B883" s="714"/>
    </row>
    <row r="884" spans="2:2">
      <c r="B884" s="714"/>
    </row>
    <row r="885" spans="2:2">
      <c r="B885" s="714"/>
    </row>
    <row r="886" spans="2:2">
      <c r="B886" s="714"/>
    </row>
    <row r="887" spans="2:2">
      <c r="B887" s="714"/>
    </row>
    <row r="888" spans="2:2">
      <c r="B888" s="714"/>
    </row>
    <row r="889" spans="2:2">
      <c r="B889" s="714"/>
    </row>
    <row r="890" spans="2:2">
      <c r="B890" s="714"/>
    </row>
    <row r="891" spans="2:2">
      <c r="B891" s="714"/>
    </row>
    <row r="892" spans="2:2">
      <c r="B892" s="714"/>
    </row>
    <row r="893" spans="2:2">
      <c r="B893" s="714"/>
    </row>
    <row r="894" spans="2:2">
      <c r="B894" s="714"/>
    </row>
    <row r="895" spans="2:2">
      <c r="B895" s="714"/>
    </row>
    <row r="896" spans="2:2">
      <c r="B896" s="714"/>
    </row>
    <row r="897" spans="2:2">
      <c r="B897" s="714"/>
    </row>
    <row r="898" spans="2:2">
      <c r="B898" s="714"/>
    </row>
    <row r="899" spans="2:2">
      <c r="B899" s="714"/>
    </row>
    <row r="900" spans="2:2">
      <c r="B900" s="714"/>
    </row>
    <row r="901" spans="2:2">
      <c r="B901" s="714"/>
    </row>
    <row r="902" spans="2:2">
      <c r="B902" s="714"/>
    </row>
    <row r="903" spans="2:2">
      <c r="B903" s="714"/>
    </row>
    <row r="904" spans="2:2">
      <c r="B904" s="714"/>
    </row>
    <row r="905" spans="2:2">
      <c r="B905" s="714"/>
    </row>
    <row r="906" spans="2:2">
      <c r="B906" s="714"/>
    </row>
    <row r="907" spans="2:2">
      <c r="B907" s="714"/>
    </row>
    <row r="908" spans="2:2">
      <c r="B908" s="714"/>
    </row>
    <row r="909" spans="2:2">
      <c r="B909" s="714"/>
    </row>
    <row r="910" spans="2:2">
      <c r="B910" s="714"/>
    </row>
    <row r="911" spans="2:2">
      <c r="B911" s="714"/>
    </row>
    <row r="912" spans="2:2">
      <c r="B912" s="714"/>
    </row>
    <row r="913" spans="2:2">
      <c r="B913" s="714"/>
    </row>
    <row r="914" spans="2:2">
      <c r="B914" s="714"/>
    </row>
    <row r="915" spans="2:2">
      <c r="B915" s="714"/>
    </row>
    <row r="916" spans="2:2">
      <c r="B916" s="714"/>
    </row>
    <row r="917" spans="2:2">
      <c r="B917" s="714"/>
    </row>
    <row r="918" spans="2:2">
      <c r="B918" s="714"/>
    </row>
    <row r="919" spans="2:2">
      <c r="B919" s="714"/>
    </row>
    <row r="920" spans="2:2">
      <c r="B920" s="714"/>
    </row>
    <row r="921" spans="2:2">
      <c r="B921" s="714"/>
    </row>
    <row r="922" spans="2:2">
      <c r="B922" s="714"/>
    </row>
    <row r="923" spans="2:2">
      <c r="B923" s="714"/>
    </row>
    <row r="924" spans="2:2">
      <c r="B924" s="714"/>
    </row>
    <row r="925" spans="2:2">
      <c r="B925" s="714"/>
    </row>
    <row r="926" spans="2:2">
      <c r="B926" s="714"/>
    </row>
    <row r="927" spans="2:2">
      <c r="B927" s="714"/>
    </row>
    <row r="928" spans="2:2">
      <c r="B928" s="714"/>
    </row>
    <row r="929" spans="2:2">
      <c r="B929" s="714"/>
    </row>
    <row r="930" spans="2:2">
      <c r="B930" s="714"/>
    </row>
    <row r="931" spans="2:2">
      <c r="B931" s="714"/>
    </row>
    <row r="932" spans="2:2">
      <c r="B932" s="714"/>
    </row>
    <row r="933" spans="2:2">
      <c r="B933" s="714"/>
    </row>
    <row r="934" spans="2:2">
      <c r="B934" s="714"/>
    </row>
    <row r="935" spans="2:2">
      <c r="B935" s="714"/>
    </row>
    <row r="936" spans="2:2">
      <c r="B936" s="714"/>
    </row>
    <row r="937" spans="2:2">
      <c r="B937" s="714"/>
    </row>
    <row r="938" spans="2:2">
      <c r="B938" s="714"/>
    </row>
    <row r="939" spans="2:2">
      <c r="B939" s="714"/>
    </row>
    <row r="940" spans="2:2">
      <c r="B940" s="714"/>
    </row>
    <row r="941" spans="2:2">
      <c r="B941" s="714"/>
    </row>
    <row r="942" spans="2:2">
      <c r="B942" s="714"/>
    </row>
    <row r="943" spans="2:2">
      <c r="B943" s="714"/>
    </row>
    <row r="944" spans="2:2">
      <c r="B944" s="714"/>
    </row>
    <row r="945" spans="2:2">
      <c r="B945" s="714"/>
    </row>
    <row r="946" spans="2:2">
      <c r="B946" s="714"/>
    </row>
    <row r="947" spans="2:2">
      <c r="B947" s="714"/>
    </row>
    <row r="948" spans="2:2">
      <c r="B948" s="714"/>
    </row>
    <row r="949" spans="2:2">
      <c r="B949" s="714"/>
    </row>
    <row r="950" spans="2:2">
      <c r="B950" s="714"/>
    </row>
    <row r="951" spans="2:2">
      <c r="B951" s="714"/>
    </row>
    <row r="952" spans="2:2">
      <c r="B952" s="714"/>
    </row>
    <row r="953" spans="2:2">
      <c r="B953" s="714"/>
    </row>
    <row r="954" spans="2:2">
      <c r="B954" s="714"/>
    </row>
    <row r="955" spans="2:2">
      <c r="B955" s="714"/>
    </row>
    <row r="956" spans="2:2">
      <c r="B956" s="714"/>
    </row>
    <row r="957" spans="2:2">
      <c r="B957" s="714"/>
    </row>
    <row r="958" spans="2:2">
      <c r="B958" s="714"/>
    </row>
    <row r="959" spans="2:2">
      <c r="B959" s="714"/>
    </row>
    <row r="960" spans="2:2">
      <c r="B960" s="714"/>
    </row>
    <row r="961" spans="2:2">
      <c r="B961" s="714"/>
    </row>
    <row r="962" spans="2:2">
      <c r="B962" s="714"/>
    </row>
    <row r="963" spans="2:2">
      <c r="B963" s="714"/>
    </row>
    <row r="964" spans="2:2">
      <c r="B964" s="714"/>
    </row>
    <row r="965" spans="2:2">
      <c r="B965" s="714"/>
    </row>
    <row r="966" spans="2:2">
      <c r="B966" s="714"/>
    </row>
    <row r="967" spans="2:2">
      <c r="B967" s="714"/>
    </row>
    <row r="968" spans="2:2">
      <c r="B968" s="714"/>
    </row>
    <row r="969" spans="2:2">
      <c r="B969" s="714"/>
    </row>
    <row r="970" spans="2:2">
      <c r="B970" s="714"/>
    </row>
    <row r="971" spans="2:2">
      <c r="B971" s="714"/>
    </row>
    <row r="972" spans="2:2">
      <c r="B972" s="714"/>
    </row>
    <row r="973" spans="2:2">
      <c r="B973" s="714"/>
    </row>
    <row r="974" spans="2:2">
      <c r="B974" s="714"/>
    </row>
    <row r="975" spans="2:2">
      <c r="B975" s="714"/>
    </row>
    <row r="976" spans="2:2">
      <c r="B976" s="714"/>
    </row>
    <row r="977" spans="2:2">
      <c r="B977" s="714"/>
    </row>
    <row r="978" spans="2:2">
      <c r="B978" s="714"/>
    </row>
    <row r="979" spans="2:2">
      <c r="B979" s="714"/>
    </row>
    <row r="980" spans="2:2">
      <c r="B980" s="714"/>
    </row>
    <row r="981" spans="2:2">
      <c r="B981" s="714"/>
    </row>
    <row r="982" spans="2:2">
      <c r="B982" s="714"/>
    </row>
    <row r="983" spans="2:2">
      <c r="B983" s="714"/>
    </row>
    <row r="984" spans="2:2">
      <c r="B984" s="714"/>
    </row>
    <row r="985" spans="2:2">
      <c r="B985" s="714"/>
    </row>
    <row r="986" spans="2:2">
      <c r="B986" s="714"/>
    </row>
    <row r="987" spans="2:2">
      <c r="B987" s="714"/>
    </row>
    <row r="988" spans="2:2">
      <c r="B988" s="714"/>
    </row>
    <row r="989" spans="2:2">
      <c r="B989" s="714"/>
    </row>
    <row r="990" spans="2:2">
      <c r="B990" s="714"/>
    </row>
    <row r="991" spans="2:2">
      <c r="B991" s="714"/>
    </row>
    <row r="992" spans="2:2">
      <c r="B992" s="714"/>
    </row>
    <row r="993" spans="2:2">
      <c r="B993" s="714"/>
    </row>
    <row r="994" spans="2:2">
      <c r="B994" s="714"/>
    </row>
    <row r="995" spans="2:2">
      <c r="B995" s="714"/>
    </row>
    <row r="996" spans="2:2">
      <c r="B996" s="714"/>
    </row>
    <row r="997" spans="2:2">
      <c r="B997" s="714"/>
    </row>
    <row r="998" spans="2:2">
      <c r="B998" s="714"/>
    </row>
    <row r="999" spans="2:2">
      <c r="B999" s="714"/>
    </row>
    <row r="1000" spans="2:2">
      <c r="B1000" s="714"/>
    </row>
    <row r="1001" spans="2:2">
      <c r="B1001" s="714"/>
    </row>
    <row r="1002" spans="2:2">
      <c r="B1002" s="714"/>
    </row>
    <row r="1003" spans="2:2">
      <c r="B1003" s="714"/>
    </row>
    <row r="1004" spans="2:2">
      <c r="B1004" s="714"/>
    </row>
    <row r="1005" spans="2:2">
      <c r="B1005" s="714"/>
    </row>
    <row r="1006" spans="2:2">
      <c r="B1006" s="714"/>
    </row>
    <row r="1007" spans="2:2">
      <c r="B1007" s="714"/>
    </row>
    <row r="1008" spans="2:2">
      <c r="B1008" s="714"/>
    </row>
    <row r="1009" spans="2:2">
      <c r="B1009" s="714"/>
    </row>
    <row r="1010" spans="2:2">
      <c r="B1010" s="714"/>
    </row>
    <row r="1011" spans="2:2">
      <c r="B1011" s="714"/>
    </row>
    <row r="1012" spans="2:2">
      <c r="B1012" s="714"/>
    </row>
    <row r="1013" spans="2:2">
      <c r="B1013" s="714"/>
    </row>
    <row r="1014" spans="2:2">
      <c r="B1014" s="714"/>
    </row>
    <row r="1015" spans="2:2">
      <c r="B1015" s="714"/>
    </row>
    <row r="1016" spans="2:2">
      <c r="B1016" s="714"/>
    </row>
    <row r="1017" spans="2:2">
      <c r="B1017" s="714"/>
    </row>
    <row r="1018" spans="2:2">
      <c r="B1018" s="714"/>
    </row>
    <row r="1019" spans="2:2">
      <c r="B1019" s="714"/>
    </row>
    <row r="1020" spans="2:2">
      <c r="B1020" s="714"/>
    </row>
    <row r="1021" spans="2:2">
      <c r="B1021" s="714"/>
    </row>
    <row r="1022" spans="2:2">
      <c r="B1022" s="714"/>
    </row>
    <row r="1023" spans="2:2">
      <c r="B1023" s="714"/>
    </row>
    <row r="1024" spans="2:2">
      <c r="B1024" s="714"/>
    </row>
    <row r="1025" spans="2:2">
      <c r="B1025" s="714"/>
    </row>
    <row r="1026" spans="2:2">
      <c r="B1026" s="714"/>
    </row>
    <row r="1027" spans="2:2">
      <c r="B1027" s="714"/>
    </row>
    <row r="1028" spans="2:2">
      <c r="B1028" s="714"/>
    </row>
    <row r="1029" spans="2:2">
      <c r="B1029" s="714"/>
    </row>
    <row r="1030" spans="2:2">
      <c r="B1030" s="714"/>
    </row>
    <row r="1031" spans="2:2">
      <c r="B1031" s="714"/>
    </row>
    <row r="1032" spans="2:2">
      <c r="B1032" s="714"/>
    </row>
    <row r="1033" spans="2:2">
      <c r="B1033" s="714"/>
    </row>
    <row r="1034" spans="2:2">
      <c r="B1034" s="714"/>
    </row>
    <row r="1035" spans="2:2">
      <c r="B1035" s="714"/>
    </row>
    <row r="1036" spans="2:2">
      <c r="B1036" s="714"/>
    </row>
    <row r="1037" spans="2:2">
      <c r="B1037" s="714"/>
    </row>
    <row r="1038" spans="2:2">
      <c r="B1038" s="714"/>
    </row>
    <row r="1039" spans="2:2">
      <c r="B1039" s="714"/>
    </row>
    <row r="1040" spans="2:2">
      <c r="B1040" s="714"/>
    </row>
    <row r="1041" spans="2:2">
      <c r="B1041" s="714"/>
    </row>
    <row r="1042" spans="2:2">
      <c r="B1042" s="714"/>
    </row>
    <row r="1043" spans="2:2">
      <c r="B1043" s="714"/>
    </row>
    <row r="1044" spans="2:2">
      <c r="B1044" s="714"/>
    </row>
    <row r="1045" spans="2:2">
      <c r="B1045" s="714"/>
    </row>
    <row r="1046" spans="2:2">
      <c r="B1046" s="714"/>
    </row>
    <row r="1047" spans="2:2">
      <c r="B1047" s="714"/>
    </row>
    <row r="1048" spans="2:2">
      <c r="B1048" s="714"/>
    </row>
    <row r="1049" spans="2:2">
      <c r="B1049" s="714"/>
    </row>
    <row r="1050" spans="2:2">
      <c r="B1050" s="714"/>
    </row>
    <row r="1051" spans="2:2">
      <c r="B1051" s="714"/>
    </row>
    <row r="1052" spans="2:2">
      <c r="B1052" s="714"/>
    </row>
    <row r="1053" spans="2:2">
      <c r="B1053" s="714"/>
    </row>
    <row r="1054" spans="2:2">
      <c r="B1054" s="714"/>
    </row>
    <row r="1055" spans="2:2">
      <c r="B1055" s="714"/>
    </row>
    <row r="1056" spans="2:2">
      <c r="B1056" s="714"/>
    </row>
    <row r="1057" spans="2:2">
      <c r="B1057" s="714"/>
    </row>
    <row r="1058" spans="2:2">
      <c r="B1058" s="714"/>
    </row>
    <row r="1059" spans="2:2">
      <c r="B1059" s="714"/>
    </row>
    <row r="1060" spans="2:2">
      <c r="B1060" s="714"/>
    </row>
    <row r="1061" spans="2:2">
      <c r="B1061" s="714"/>
    </row>
    <row r="1062" spans="2:2">
      <c r="B1062" s="714"/>
    </row>
    <row r="1063" spans="2:2">
      <c r="B1063" s="714"/>
    </row>
    <row r="1064" spans="2:2">
      <c r="B1064" s="714"/>
    </row>
    <row r="1065" spans="2:2">
      <c r="B1065" s="714"/>
    </row>
    <row r="1066" spans="2:2">
      <c r="B1066" s="714"/>
    </row>
    <row r="1067" spans="2:2">
      <c r="B1067" s="714"/>
    </row>
    <row r="1068" spans="2:2">
      <c r="B1068" s="714"/>
    </row>
    <row r="1069" spans="2:2">
      <c r="B1069" s="714"/>
    </row>
    <row r="1070" spans="2:2">
      <c r="B1070" s="714"/>
    </row>
    <row r="1071" spans="2:2">
      <c r="B1071" s="714"/>
    </row>
    <row r="1072" spans="2:2">
      <c r="B1072" s="714"/>
    </row>
    <row r="1073" spans="2:2">
      <c r="B1073" s="714"/>
    </row>
    <row r="1074" spans="2:2">
      <c r="B1074" s="714"/>
    </row>
    <row r="1075" spans="2:2">
      <c r="B1075" s="714"/>
    </row>
    <row r="1076" spans="2:2">
      <c r="B1076" s="714"/>
    </row>
    <row r="1077" spans="2:2">
      <c r="B1077" s="714"/>
    </row>
    <row r="1078" spans="2:2">
      <c r="B1078" s="714"/>
    </row>
    <row r="1079" spans="2:2">
      <c r="B1079" s="714"/>
    </row>
    <row r="1080" spans="2:2">
      <c r="B1080" s="714"/>
    </row>
    <row r="1081" spans="2:2">
      <c r="B1081" s="714"/>
    </row>
    <row r="1082" spans="2:2">
      <c r="B1082" s="714"/>
    </row>
    <row r="1083" spans="2:2">
      <c r="B1083" s="714"/>
    </row>
    <row r="1084" spans="2:2">
      <c r="B1084" s="714"/>
    </row>
    <row r="1085" spans="2:2">
      <c r="B1085" s="714"/>
    </row>
    <row r="1086" spans="2:2">
      <c r="B1086" s="714"/>
    </row>
    <row r="1087" spans="2:2">
      <c r="B1087" s="714"/>
    </row>
    <row r="1088" spans="2:2">
      <c r="B1088" s="714"/>
    </row>
    <row r="1089" spans="2:2">
      <c r="B1089" s="714"/>
    </row>
    <row r="1090" spans="2:2">
      <c r="B1090" s="714"/>
    </row>
  </sheetData>
  <sheetProtection autoFilter="0"/>
  <mergeCells count="211">
    <mergeCell ref="F326:G335"/>
    <mergeCell ref="C296:C297"/>
    <mergeCell ref="D296:D297"/>
    <mergeCell ref="C302:I302"/>
    <mergeCell ref="B303:I303"/>
    <mergeCell ref="B304:B318"/>
    <mergeCell ref="C304:C314"/>
    <mergeCell ref="D304:D314"/>
    <mergeCell ref="E304:E314"/>
    <mergeCell ref="C293:C295"/>
    <mergeCell ref="D293:D295"/>
    <mergeCell ref="C275:C277"/>
    <mergeCell ref="D275:D277"/>
    <mergeCell ref="C278:C281"/>
    <mergeCell ref="D278:D281"/>
    <mergeCell ref="C284:C285"/>
    <mergeCell ref="D284:D285"/>
    <mergeCell ref="C319:C322"/>
    <mergeCell ref="D319:D322"/>
    <mergeCell ref="B252:I252"/>
    <mergeCell ref="C253:I253"/>
    <mergeCell ref="B254:I254"/>
    <mergeCell ref="B255:B297"/>
    <mergeCell ref="C255:C256"/>
    <mergeCell ref="D255:D256"/>
    <mergeCell ref="C257:C260"/>
    <mergeCell ref="D257:D260"/>
    <mergeCell ref="C269:C270"/>
    <mergeCell ref="D269:D270"/>
    <mergeCell ref="C271:C272"/>
    <mergeCell ref="D271:D272"/>
    <mergeCell ref="C273:C274"/>
    <mergeCell ref="D273:D274"/>
    <mergeCell ref="C261:C262"/>
    <mergeCell ref="D261:D262"/>
    <mergeCell ref="C263:C266"/>
    <mergeCell ref="D263:D266"/>
    <mergeCell ref="C267:C268"/>
    <mergeCell ref="D267:D268"/>
    <mergeCell ref="C286:C288"/>
    <mergeCell ref="D286:D288"/>
    <mergeCell ref="C289:C290"/>
    <mergeCell ref="D289:D290"/>
    <mergeCell ref="B221:I221"/>
    <mergeCell ref="C222:I222"/>
    <mergeCell ref="B223:I223"/>
    <mergeCell ref="B224:B249"/>
    <mergeCell ref="C224:C225"/>
    <mergeCell ref="D224:D225"/>
    <mergeCell ref="C227:C230"/>
    <mergeCell ref="D227:D230"/>
    <mergeCell ref="C240:C241"/>
    <mergeCell ref="D240:D241"/>
    <mergeCell ref="C242:C243"/>
    <mergeCell ref="D242:D243"/>
    <mergeCell ref="C245:C246"/>
    <mergeCell ref="D245:D246"/>
    <mergeCell ref="C231:C232"/>
    <mergeCell ref="D231:D232"/>
    <mergeCell ref="C233:C234"/>
    <mergeCell ref="D233:D234"/>
    <mergeCell ref="C236:C237"/>
    <mergeCell ref="D236:D237"/>
    <mergeCell ref="C247:C248"/>
    <mergeCell ref="D247:D248"/>
    <mergeCell ref="D206:D207"/>
    <mergeCell ref="C208:C210"/>
    <mergeCell ref="D208:D210"/>
    <mergeCell ref="C211:C212"/>
    <mergeCell ref="D211:D212"/>
    <mergeCell ref="C213:C214"/>
    <mergeCell ref="D213:D214"/>
    <mergeCell ref="B190:I190"/>
    <mergeCell ref="C191:I191"/>
    <mergeCell ref="B193:B218"/>
    <mergeCell ref="C193:C195"/>
    <mergeCell ref="D193:D195"/>
    <mergeCell ref="C196:C198"/>
    <mergeCell ref="D196:D198"/>
    <mergeCell ref="C199:C200"/>
    <mergeCell ref="D199:D200"/>
    <mergeCell ref="C206:C207"/>
    <mergeCell ref="C217:C218"/>
    <mergeCell ref="D217:D218"/>
    <mergeCell ref="C180:C182"/>
    <mergeCell ref="D180:D182"/>
    <mergeCell ref="C184:C185"/>
    <mergeCell ref="D184:D185"/>
    <mergeCell ref="C186:C187"/>
    <mergeCell ref="D186:D187"/>
    <mergeCell ref="C166:C168"/>
    <mergeCell ref="D166:D168"/>
    <mergeCell ref="B171:H171"/>
    <mergeCell ref="C172:I172"/>
    <mergeCell ref="C173:I173"/>
    <mergeCell ref="B174:B187"/>
    <mergeCell ref="C174:C176"/>
    <mergeCell ref="D174:D176"/>
    <mergeCell ref="C178:C179"/>
    <mergeCell ref="D178:D179"/>
    <mergeCell ref="C157:C158"/>
    <mergeCell ref="D157:D158"/>
    <mergeCell ref="C159:C160"/>
    <mergeCell ref="D159:D160"/>
    <mergeCell ref="C161:C162"/>
    <mergeCell ref="D161:D162"/>
    <mergeCell ref="C145:C146"/>
    <mergeCell ref="D145:D146"/>
    <mergeCell ref="B150:H150"/>
    <mergeCell ref="C151:I151"/>
    <mergeCell ref="C152:I152"/>
    <mergeCell ref="B153:B168"/>
    <mergeCell ref="C153:C154"/>
    <mergeCell ref="D153:D154"/>
    <mergeCell ref="C155:C156"/>
    <mergeCell ref="D155:D156"/>
    <mergeCell ref="B116:H116"/>
    <mergeCell ref="C117:I117"/>
    <mergeCell ref="C118:I118"/>
    <mergeCell ref="B119:B147"/>
    <mergeCell ref="C120:C124"/>
    <mergeCell ref="D120:D124"/>
    <mergeCell ref="C125:C127"/>
    <mergeCell ref="D125:D127"/>
    <mergeCell ref="C137:C139"/>
    <mergeCell ref="D137:D139"/>
    <mergeCell ref="C140:C141"/>
    <mergeCell ref="D140:D141"/>
    <mergeCell ref="C142:C144"/>
    <mergeCell ref="D142:D144"/>
    <mergeCell ref="C128:C129"/>
    <mergeCell ref="D128:D129"/>
    <mergeCell ref="C130:C133"/>
    <mergeCell ref="D130:D133"/>
    <mergeCell ref="C134:C135"/>
    <mergeCell ref="D134:D135"/>
    <mergeCell ref="B100:B113"/>
    <mergeCell ref="C100:C101"/>
    <mergeCell ref="D100:D101"/>
    <mergeCell ref="C104:C105"/>
    <mergeCell ref="D104:D105"/>
    <mergeCell ref="C106:C108"/>
    <mergeCell ref="D106:D108"/>
    <mergeCell ref="C110:C111"/>
    <mergeCell ref="D110:D111"/>
    <mergeCell ref="C112:C113"/>
    <mergeCell ref="D112:D113"/>
    <mergeCell ref="B97:I97"/>
    <mergeCell ref="C98:I98"/>
    <mergeCell ref="C77:C79"/>
    <mergeCell ref="D77:D79"/>
    <mergeCell ref="C80:C81"/>
    <mergeCell ref="D80:D81"/>
    <mergeCell ref="C85:C86"/>
    <mergeCell ref="D85:D86"/>
    <mergeCell ref="C99:I99"/>
    <mergeCell ref="C70:I70"/>
    <mergeCell ref="C71:I71"/>
    <mergeCell ref="B72:B94"/>
    <mergeCell ref="C72:C73"/>
    <mergeCell ref="D72:D73"/>
    <mergeCell ref="C74:C76"/>
    <mergeCell ref="D74:D76"/>
    <mergeCell ref="C87:C88"/>
    <mergeCell ref="D87:D88"/>
    <mergeCell ref="C91:C92"/>
    <mergeCell ref="D91:D92"/>
    <mergeCell ref="C44:I44"/>
    <mergeCell ref="C45:I45"/>
    <mergeCell ref="B46:B66"/>
    <mergeCell ref="C46:C48"/>
    <mergeCell ref="D46:D48"/>
    <mergeCell ref="C49:C55"/>
    <mergeCell ref="D49:D55"/>
    <mergeCell ref="C58:C59"/>
    <mergeCell ref="D58:D59"/>
    <mergeCell ref="C61:C63"/>
    <mergeCell ref="D61:D63"/>
    <mergeCell ref="C64:C65"/>
    <mergeCell ref="D64:D65"/>
    <mergeCell ref="C32:C33"/>
    <mergeCell ref="D32:D33"/>
    <mergeCell ref="C39:C40"/>
    <mergeCell ref="D39:D40"/>
    <mergeCell ref="B10:B40"/>
    <mergeCell ref="C10:C15"/>
    <mergeCell ref="D10:D15"/>
    <mergeCell ref="C16:C17"/>
    <mergeCell ref="D16:D17"/>
    <mergeCell ref="C18:C19"/>
    <mergeCell ref="D18:D19"/>
    <mergeCell ref="C21:C24"/>
    <mergeCell ref="D21:D24"/>
    <mergeCell ref="C25:C28"/>
    <mergeCell ref="B2:I3"/>
    <mergeCell ref="B5:I5"/>
    <mergeCell ref="B6:I6"/>
    <mergeCell ref="B7:I7"/>
    <mergeCell ref="C8:I8"/>
    <mergeCell ref="C9:I9"/>
    <mergeCell ref="D25:D28"/>
    <mergeCell ref="C29:C31"/>
    <mergeCell ref="D29:D31"/>
    <mergeCell ref="H11:H12"/>
    <mergeCell ref="G11:G12"/>
    <mergeCell ref="F11:F12"/>
    <mergeCell ref="E11:E12"/>
    <mergeCell ref="H22:H23"/>
    <mergeCell ref="G22:G23"/>
    <mergeCell ref="F22:F23"/>
    <mergeCell ref="E22:E23"/>
  </mergeCells>
  <printOptions horizontalCentered="1"/>
  <pageMargins left="0.7" right="0.7" top="0.75" bottom="0.5" header="0.3" footer="0.3"/>
  <pageSetup scale="33" fitToHeight="0" orientation="portrait" r:id="rId1"/>
  <rowBreaks count="14" manualBreakCount="14">
    <brk id="20" max="9" man="1"/>
    <brk id="41" max="13" man="1"/>
    <brk id="57" max="9" man="1"/>
    <brk id="67" max="13" man="1"/>
    <brk id="95" max="13" man="1"/>
    <brk id="114" max="13" man="1"/>
    <brk id="141" max="9" man="1"/>
    <brk id="148" max="13" man="1"/>
    <brk id="169" max="13" man="1"/>
    <brk id="188" max="11" man="1"/>
    <brk id="219" max="13" man="1"/>
    <brk id="250" max="16383" man="1"/>
    <brk id="288" max="9" man="1"/>
    <brk id="299" max="13" man="1"/>
  </rowBreaks>
  <colBreaks count="3" manualBreakCount="3">
    <brk id="7" max="251" man="1"/>
    <brk id="9" max="246" man="1"/>
    <brk id="10"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E8135-E4AA-48EA-9879-87712CA68082}">
  <sheetPr codeName="Sheet3">
    <tabColor rgb="FFC00000"/>
  </sheetPr>
  <dimension ref="A1:R208"/>
  <sheetViews>
    <sheetView workbookViewId="0"/>
  </sheetViews>
  <sheetFormatPr defaultColWidth="8.88671875" defaultRowHeight="14.4"/>
  <cols>
    <col min="1" max="1" width="26.6640625" customWidth="1"/>
    <col min="2" max="2" width="14.88671875" customWidth="1"/>
    <col min="3" max="3" width="17" bestFit="1" customWidth="1"/>
    <col min="4" max="4" width="58.44140625" bestFit="1" customWidth="1"/>
    <col min="5" max="5" width="22.109375" customWidth="1"/>
    <col min="6" max="6" width="13" customWidth="1"/>
    <col min="7" max="7" width="14" bestFit="1" customWidth="1"/>
    <col min="8" max="8" width="19.109375" customWidth="1"/>
    <col min="9" max="9" width="15" customWidth="1"/>
    <col min="10" max="10" width="12.88671875" customWidth="1"/>
    <col min="11" max="11" width="12.44140625" customWidth="1"/>
    <col min="13" max="13" width="14.33203125" customWidth="1"/>
  </cols>
  <sheetData>
    <row r="1" spans="1:16">
      <c r="H1" s="163" t="s">
        <v>240</v>
      </c>
      <c r="I1" s="164" t="s">
        <v>241</v>
      </c>
      <c r="J1" s="164" t="s">
        <v>242</v>
      </c>
      <c r="K1" s="164" t="s">
        <v>243</v>
      </c>
      <c r="L1" s="164" t="s">
        <v>244</v>
      </c>
      <c r="M1" s="164" t="s">
        <v>245</v>
      </c>
      <c r="N1" s="164" t="s">
        <v>246</v>
      </c>
      <c r="O1" s="164" t="s">
        <v>247</v>
      </c>
      <c r="P1" s="165" t="s">
        <v>248</v>
      </c>
    </row>
    <row r="2" spans="1:16">
      <c r="A2" s="166" t="s">
        <v>249</v>
      </c>
      <c r="B2" t="s">
        <v>250</v>
      </c>
      <c r="H2" s="167" t="s">
        <v>251</v>
      </c>
      <c r="I2" s="167" t="s">
        <v>252</v>
      </c>
      <c r="J2" s="167" t="s">
        <v>253</v>
      </c>
    </row>
    <row r="3" spans="1:16">
      <c r="A3" s="170" t="s">
        <v>256</v>
      </c>
      <c r="H3" s="169" t="s">
        <v>251</v>
      </c>
      <c r="I3" s="169" t="s">
        <v>252</v>
      </c>
      <c r="J3" s="169" t="s">
        <v>255</v>
      </c>
    </row>
    <row r="4" spans="1:16">
      <c r="A4" s="170"/>
    </row>
    <row r="5" spans="1:16">
      <c r="A5" s="168"/>
    </row>
    <row r="6" spans="1:16">
      <c r="A6" s="170"/>
    </row>
    <row r="7" spans="1:16">
      <c r="A7" s="168"/>
    </row>
    <row r="8" spans="1:16">
      <c r="A8" s="170"/>
    </row>
    <row r="9" spans="1:16">
      <c r="A9" s="170"/>
    </row>
    <row r="10" spans="1:16">
      <c r="H10" t="s">
        <v>257</v>
      </c>
      <c r="I10" t="s">
        <v>258</v>
      </c>
      <c r="L10" t="s">
        <v>240</v>
      </c>
      <c r="M10" s="76" t="s">
        <v>259</v>
      </c>
      <c r="N10" t="s">
        <v>260</v>
      </c>
      <c r="O10" t="s">
        <v>261</v>
      </c>
    </row>
    <row r="11" spans="1:16">
      <c r="H11" s="171" t="s">
        <v>262</v>
      </c>
      <c r="I11" s="172" t="s">
        <v>263</v>
      </c>
      <c r="L11" t="str">
        <f>M11&amp;N11</f>
        <v>A01.1</v>
      </c>
      <c r="M11" s="171" t="s">
        <v>262</v>
      </c>
      <c r="N11" s="172"/>
      <c r="O11" s="172" t="s">
        <v>264</v>
      </c>
    </row>
    <row r="12" spans="1:16">
      <c r="A12" t="s">
        <v>265</v>
      </c>
      <c r="B12" t="s">
        <v>266</v>
      </c>
      <c r="H12" s="171" t="s">
        <v>267</v>
      </c>
      <c r="I12" s="172" t="s">
        <v>268</v>
      </c>
      <c r="L12" t="str">
        <f t="shared" ref="L12:L28" si="0">M12&amp;N12</f>
        <v>A01.2</v>
      </c>
      <c r="M12" s="171" t="s">
        <v>267</v>
      </c>
      <c r="N12" s="172"/>
      <c r="O12" s="172" t="s">
        <v>268</v>
      </c>
    </row>
    <row r="13" spans="1:16">
      <c r="A13" t="s">
        <v>253</v>
      </c>
      <c r="B13" t="s">
        <v>253</v>
      </c>
      <c r="H13" s="171" t="s">
        <v>269</v>
      </c>
      <c r="I13" s="172" t="s">
        <v>270</v>
      </c>
      <c r="L13" t="str">
        <f t="shared" si="0"/>
        <v>A01.3</v>
      </c>
      <c r="M13" s="171" t="s">
        <v>269</v>
      </c>
      <c r="N13" s="172"/>
      <c r="O13" s="172" t="s">
        <v>270</v>
      </c>
    </row>
    <row r="14" spans="1:16">
      <c r="A14" t="s">
        <v>271</v>
      </c>
      <c r="B14" t="s">
        <v>272</v>
      </c>
      <c r="H14" s="171" t="s">
        <v>273</v>
      </c>
      <c r="I14" s="172" t="s">
        <v>274</v>
      </c>
      <c r="L14" t="str">
        <f t="shared" si="0"/>
        <v>A05.1</v>
      </c>
      <c r="M14" s="171" t="s">
        <v>273</v>
      </c>
      <c r="N14" s="172"/>
      <c r="O14" s="172" t="s">
        <v>274</v>
      </c>
    </row>
    <row r="15" spans="1:16">
      <c r="H15" s="171" t="s">
        <v>275</v>
      </c>
      <c r="I15" s="172" t="s">
        <v>276</v>
      </c>
      <c r="L15" t="str">
        <f t="shared" si="0"/>
        <v>A05.2</v>
      </c>
      <c r="M15" s="171" t="s">
        <v>275</v>
      </c>
      <c r="N15" s="172"/>
      <c r="O15" s="172" t="s">
        <v>276</v>
      </c>
    </row>
    <row r="16" spans="1:16">
      <c r="A16" s="173" t="s">
        <v>277</v>
      </c>
      <c r="B16" t="s">
        <v>278</v>
      </c>
      <c r="H16" s="171" t="s">
        <v>279</v>
      </c>
      <c r="I16" s="172" t="s">
        <v>280</v>
      </c>
      <c r="L16" t="str">
        <f t="shared" si="0"/>
        <v>A05.3</v>
      </c>
      <c r="M16" s="171" t="s">
        <v>279</v>
      </c>
      <c r="N16" s="172"/>
      <c r="O16" s="172" t="s">
        <v>280</v>
      </c>
    </row>
    <row r="17" spans="1:15">
      <c r="A17" t="s">
        <v>281</v>
      </c>
      <c r="H17" s="171" t="s">
        <v>282</v>
      </c>
      <c r="I17" s="172" t="s">
        <v>283</v>
      </c>
      <c r="L17" t="str">
        <f t="shared" si="0"/>
        <v>W01.1</v>
      </c>
      <c r="M17" s="171" t="s">
        <v>282</v>
      </c>
      <c r="N17" s="172"/>
      <c r="O17" s="172" t="s">
        <v>284</v>
      </c>
    </row>
    <row r="18" spans="1:15">
      <c r="A18" t="s">
        <v>285</v>
      </c>
      <c r="H18" s="174" t="s">
        <v>286</v>
      </c>
      <c r="I18" t="s">
        <v>287</v>
      </c>
      <c r="L18" t="str">
        <f t="shared" si="0"/>
        <v>W02.1</v>
      </c>
      <c r="M18" s="171" t="s">
        <v>286</v>
      </c>
      <c r="N18" s="172"/>
      <c r="O18" s="172" t="s">
        <v>288</v>
      </c>
    </row>
    <row r="19" spans="1:15">
      <c r="A19" t="s">
        <v>289</v>
      </c>
      <c r="H19" s="174" t="s">
        <v>290</v>
      </c>
      <c r="I19" t="s">
        <v>291</v>
      </c>
      <c r="L19" t="str">
        <f t="shared" si="0"/>
        <v>W02.2</v>
      </c>
      <c r="M19" s="171" t="s">
        <v>290</v>
      </c>
      <c r="N19" s="172"/>
      <c r="O19" s="172" t="s">
        <v>292</v>
      </c>
    </row>
    <row r="20" spans="1:15">
      <c r="H20" s="174" t="s">
        <v>293</v>
      </c>
      <c r="I20" t="s">
        <v>294</v>
      </c>
      <c r="L20" t="str">
        <f t="shared" si="0"/>
        <v>W04.1</v>
      </c>
      <c r="M20" s="171" t="s">
        <v>295</v>
      </c>
      <c r="N20" s="172"/>
      <c r="O20" s="172" t="s">
        <v>296</v>
      </c>
    </row>
    <row r="21" spans="1:15">
      <c r="A21" t="s">
        <v>297</v>
      </c>
      <c r="B21" t="s">
        <v>278</v>
      </c>
      <c r="C21" t="s">
        <v>298</v>
      </c>
      <c r="H21" s="174" t="s">
        <v>299</v>
      </c>
      <c r="I21" t="s">
        <v>300</v>
      </c>
      <c r="L21" t="str">
        <f t="shared" si="0"/>
        <v>L02.1</v>
      </c>
      <c r="M21" s="171" t="s">
        <v>301</v>
      </c>
      <c r="N21" s="172"/>
      <c r="O21" s="172" t="s">
        <v>302</v>
      </c>
    </row>
    <row r="22" spans="1:15">
      <c r="A22" t="s">
        <v>303</v>
      </c>
      <c r="B22" t="s">
        <v>25</v>
      </c>
      <c r="H22" s="174" t="s">
        <v>304</v>
      </c>
      <c r="I22" t="s">
        <v>305</v>
      </c>
      <c r="L22" t="str">
        <f t="shared" si="0"/>
        <v>L03.1</v>
      </c>
      <c r="M22" s="171" t="s">
        <v>306</v>
      </c>
      <c r="N22" s="172"/>
      <c r="O22" s="172" t="s">
        <v>307</v>
      </c>
    </row>
    <row r="23" spans="1:15">
      <c r="A23" t="s">
        <v>308</v>
      </c>
      <c r="B23" t="s">
        <v>309</v>
      </c>
      <c r="C23" t="s">
        <v>310</v>
      </c>
      <c r="H23" s="171" t="s">
        <v>311</v>
      </c>
      <c r="I23" t="s">
        <v>312</v>
      </c>
      <c r="L23" t="str">
        <f t="shared" si="0"/>
        <v>T01.1</v>
      </c>
      <c r="M23" s="171" t="s">
        <v>313</v>
      </c>
      <c r="N23" s="172"/>
      <c r="O23" s="172" t="s">
        <v>314</v>
      </c>
    </row>
    <row r="24" spans="1:15">
      <c r="A24" t="s">
        <v>315</v>
      </c>
      <c r="B24" t="s">
        <v>25</v>
      </c>
      <c r="H24" s="171" t="s">
        <v>316</v>
      </c>
      <c r="I24" t="s">
        <v>317</v>
      </c>
      <c r="L24" t="str">
        <f t="shared" si="0"/>
        <v>T07.1</v>
      </c>
      <c r="M24" s="171" t="s">
        <v>318</v>
      </c>
      <c r="N24" s="172"/>
      <c r="O24" s="172" t="s">
        <v>319</v>
      </c>
    </row>
    <row r="25" spans="1:15">
      <c r="A25" t="s">
        <v>320</v>
      </c>
      <c r="B25" t="s">
        <v>25</v>
      </c>
      <c r="H25" s="171" t="s">
        <v>295</v>
      </c>
      <c r="I25" s="172" t="s">
        <v>321</v>
      </c>
      <c r="L25" t="str">
        <f t="shared" si="0"/>
        <v>S02.1</v>
      </c>
      <c r="M25" s="171" t="s">
        <v>322</v>
      </c>
      <c r="N25" s="172"/>
      <c r="O25" s="172" t="s">
        <v>323</v>
      </c>
    </row>
    <row r="26" spans="1:15">
      <c r="A26" t="s">
        <v>324</v>
      </c>
      <c r="B26" t="s">
        <v>25</v>
      </c>
      <c r="H26" s="171" t="s">
        <v>301</v>
      </c>
      <c r="I26" s="172" t="s">
        <v>325</v>
      </c>
      <c r="L26" t="str">
        <f t="shared" si="0"/>
        <v>S03.2Option 1</v>
      </c>
      <c r="M26" s="171" t="s">
        <v>326</v>
      </c>
      <c r="N26" s="172" t="s">
        <v>327</v>
      </c>
      <c r="O26" s="172" t="s">
        <v>328</v>
      </c>
    </row>
    <row r="27" spans="1:15">
      <c r="A27" t="s">
        <v>329</v>
      </c>
      <c r="B27" t="s">
        <v>25</v>
      </c>
      <c r="H27" s="171" t="s">
        <v>306</v>
      </c>
      <c r="I27" t="s">
        <v>330</v>
      </c>
      <c r="L27" t="str">
        <f t="shared" si="0"/>
        <v>S03.2Option 2</v>
      </c>
      <c r="M27" s="171" t="s">
        <v>326</v>
      </c>
      <c r="N27" s="172" t="s">
        <v>331</v>
      </c>
      <c r="O27" s="172" t="s">
        <v>332</v>
      </c>
    </row>
    <row r="28" spans="1:15">
      <c r="A28" t="s">
        <v>333</v>
      </c>
      <c r="B28" t="s">
        <v>25</v>
      </c>
      <c r="H28" s="171" t="s">
        <v>313</v>
      </c>
      <c r="I28" s="172" t="s">
        <v>334</v>
      </c>
      <c r="L28" t="str">
        <f t="shared" si="0"/>
        <v>S04.1</v>
      </c>
      <c r="M28" s="175" t="s">
        <v>335</v>
      </c>
      <c r="N28" s="176"/>
      <c r="O28" s="176" t="s">
        <v>336</v>
      </c>
    </row>
    <row r="29" spans="1:15">
      <c r="A29" t="s">
        <v>337</v>
      </c>
      <c r="B29" t="s">
        <v>25</v>
      </c>
      <c r="H29" s="171" t="s">
        <v>338</v>
      </c>
      <c r="I29" s="172" t="s">
        <v>339</v>
      </c>
    </row>
    <row r="30" spans="1:15">
      <c r="A30" t="s">
        <v>340</v>
      </c>
      <c r="B30" t="s">
        <v>25</v>
      </c>
      <c r="H30" s="171" t="s">
        <v>318</v>
      </c>
      <c r="I30" s="172" t="s">
        <v>319</v>
      </c>
    </row>
    <row r="31" spans="1:15">
      <c r="A31" t="s">
        <v>341</v>
      </c>
      <c r="B31" t="s">
        <v>25</v>
      </c>
      <c r="H31" s="171" t="s">
        <v>322</v>
      </c>
      <c r="I31" s="172" t="s">
        <v>323</v>
      </c>
    </row>
    <row r="32" spans="1:15">
      <c r="H32" s="171" t="s">
        <v>342</v>
      </c>
      <c r="I32" s="172" t="s">
        <v>343</v>
      </c>
    </row>
    <row r="33" spans="1:15">
      <c r="H33" s="175" t="s">
        <v>335</v>
      </c>
      <c r="I33" s="176" t="s">
        <v>344</v>
      </c>
    </row>
    <row r="34" spans="1:15">
      <c r="A34" s="903" t="s">
        <v>345</v>
      </c>
      <c r="B34" s="903"/>
      <c r="C34" s="903"/>
      <c r="H34" s="171" t="s">
        <v>346</v>
      </c>
      <c r="I34" s="172" t="s">
        <v>347</v>
      </c>
      <c r="L34" t="s">
        <v>240</v>
      </c>
      <c r="M34" t="s">
        <v>348</v>
      </c>
      <c r="N34" t="s">
        <v>260</v>
      </c>
      <c r="O34" t="s">
        <v>349</v>
      </c>
    </row>
    <row r="35" spans="1:15">
      <c r="A35" t="s">
        <v>350</v>
      </c>
      <c r="B35" t="s">
        <v>351</v>
      </c>
      <c r="C35" t="s">
        <v>352</v>
      </c>
      <c r="H35" s="175"/>
      <c r="I35" s="176"/>
      <c r="L35" t="str">
        <f t="shared" ref="L35:L52" si="1">M35&amp;N35</f>
        <v>PA1</v>
      </c>
      <c r="M35" t="s">
        <v>353</v>
      </c>
      <c r="N35" s="172"/>
      <c r="O35" s="177" t="s">
        <v>263</v>
      </c>
    </row>
    <row r="36" spans="1:15">
      <c r="A36" t="s">
        <v>354</v>
      </c>
      <c r="B36">
        <v>30</v>
      </c>
      <c r="C36">
        <v>320</v>
      </c>
      <c r="L36" t="str">
        <f t="shared" si="1"/>
        <v>PA3</v>
      </c>
      <c r="M36" t="s">
        <v>355</v>
      </c>
      <c r="N36" s="172"/>
      <c r="O36" s="177" t="s">
        <v>268</v>
      </c>
    </row>
    <row r="37" spans="1:15">
      <c r="A37" t="s">
        <v>170</v>
      </c>
      <c r="B37">
        <v>30</v>
      </c>
      <c r="C37">
        <v>320</v>
      </c>
      <c r="L37" t="str">
        <f t="shared" si="1"/>
        <v>PA5</v>
      </c>
      <c r="M37" t="s">
        <v>356</v>
      </c>
      <c r="N37" s="172"/>
      <c r="O37" s="177" t="s">
        <v>270</v>
      </c>
    </row>
    <row r="38" spans="1:15">
      <c r="A38" t="s">
        <v>357</v>
      </c>
      <c r="B38">
        <v>10</v>
      </c>
      <c r="C38">
        <v>110</v>
      </c>
      <c r="L38" t="str">
        <f t="shared" si="1"/>
        <v>PA2</v>
      </c>
      <c r="M38" t="s">
        <v>358</v>
      </c>
      <c r="N38" s="172"/>
      <c r="O38" s="177" t="s">
        <v>274</v>
      </c>
    </row>
    <row r="39" spans="1:15">
      <c r="A39" t="s">
        <v>359</v>
      </c>
      <c r="B39">
        <v>10</v>
      </c>
      <c r="C39">
        <v>110</v>
      </c>
      <c r="L39" t="str">
        <f t="shared" si="1"/>
        <v>PA4</v>
      </c>
      <c r="M39" t="s">
        <v>360</v>
      </c>
      <c r="N39" s="172"/>
      <c r="O39" s="177" t="s">
        <v>276</v>
      </c>
    </row>
    <row r="40" spans="1:15">
      <c r="A40" t="s">
        <v>186</v>
      </c>
      <c r="B40">
        <v>10</v>
      </c>
      <c r="C40">
        <v>110</v>
      </c>
      <c r="L40" t="str">
        <f t="shared" si="1"/>
        <v>PA6</v>
      </c>
      <c r="M40" t="s">
        <v>361</v>
      </c>
      <c r="N40" s="172"/>
      <c r="O40" s="177" t="s">
        <v>280</v>
      </c>
    </row>
    <row r="41" spans="1:15">
      <c r="A41" t="s">
        <v>362</v>
      </c>
      <c r="B41">
        <v>10</v>
      </c>
      <c r="C41">
        <v>110</v>
      </c>
      <c r="L41" t="str">
        <f t="shared" si="1"/>
        <v>PW1</v>
      </c>
      <c r="M41" t="s">
        <v>363</v>
      </c>
      <c r="N41" s="172"/>
      <c r="O41" s="177" t="s">
        <v>284</v>
      </c>
    </row>
    <row r="42" spans="1:15">
      <c r="A42" t="s">
        <v>364</v>
      </c>
      <c r="B42">
        <v>10</v>
      </c>
      <c r="C42">
        <v>110</v>
      </c>
      <c r="L42" t="str">
        <f t="shared" si="1"/>
        <v>PW2</v>
      </c>
      <c r="M42" t="s">
        <v>365</v>
      </c>
      <c r="N42" s="172"/>
      <c r="O42" s="177" t="s">
        <v>288</v>
      </c>
    </row>
    <row r="43" spans="1:15">
      <c r="L43" t="str">
        <f t="shared" si="1"/>
        <v>PW3</v>
      </c>
      <c r="M43" t="s">
        <v>366</v>
      </c>
      <c r="N43" s="172"/>
      <c r="O43" s="177" t="s">
        <v>292</v>
      </c>
    </row>
    <row r="44" spans="1:15">
      <c r="L44" t="str">
        <f t="shared" si="1"/>
        <v>PW4</v>
      </c>
      <c r="M44" t="s">
        <v>367</v>
      </c>
      <c r="N44" s="172"/>
      <c r="O44" s="177" t="s">
        <v>296</v>
      </c>
    </row>
    <row r="45" spans="1:15">
      <c r="A45" s="178" t="s">
        <v>368</v>
      </c>
      <c r="B45" s="173"/>
      <c r="L45" t="str">
        <f t="shared" si="1"/>
        <v>PL1</v>
      </c>
      <c r="M45" t="s">
        <v>369</v>
      </c>
      <c r="N45" s="172"/>
      <c r="O45" s="177" t="s">
        <v>302</v>
      </c>
    </row>
    <row r="46" spans="1:15">
      <c r="A46" s="179" t="s">
        <v>370</v>
      </c>
      <c r="B46" s="179" t="s">
        <v>254</v>
      </c>
      <c r="L46" t="str">
        <f t="shared" si="1"/>
        <v>PL2</v>
      </c>
      <c r="M46" t="s">
        <v>371</v>
      </c>
      <c r="N46" s="172"/>
      <c r="O46" s="177" t="s">
        <v>372</v>
      </c>
    </row>
    <row r="47" spans="1:15">
      <c r="A47" t="s">
        <v>373</v>
      </c>
      <c r="B47" t="s">
        <v>374</v>
      </c>
      <c r="L47" t="str">
        <f t="shared" si="1"/>
        <v>PT1</v>
      </c>
      <c r="M47" t="s">
        <v>375</v>
      </c>
      <c r="N47" s="172"/>
      <c r="O47" s="177" t="s">
        <v>314</v>
      </c>
    </row>
    <row r="48" spans="1:15">
      <c r="A48" t="s">
        <v>376</v>
      </c>
      <c r="L48" t="str">
        <f t="shared" si="1"/>
        <v>PT2</v>
      </c>
      <c r="M48" t="s">
        <v>377</v>
      </c>
      <c r="N48" s="172"/>
      <c r="O48" s="177" t="s">
        <v>319</v>
      </c>
    </row>
    <row r="49" spans="1:15">
      <c r="A49" t="s">
        <v>378</v>
      </c>
      <c r="B49" t="s">
        <v>376</v>
      </c>
      <c r="L49" t="str">
        <f t="shared" si="1"/>
        <v>PS1</v>
      </c>
      <c r="M49" t="s">
        <v>379</v>
      </c>
      <c r="N49" s="172"/>
      <c r="O49" s="177" t="s">
        <v>323</v>
      </c>
    </row>
    <row r="50" spans="1:15">
      <c r="A50" t="s">
        <v>380</v>
      </c>
      <c r="B50" t="s">
        <v>373</v>
      </c>
      <c r="L50" t="str">
        <f t="shared" si="1"/>
        <v>PS2Option 1</v>
      </c>
      <c r="M50" t="s">
        <v>381</v>
      </c>
      <c r="N50" s="172" t="s">
        <v>327</v>
      </c>
      <c r="O50" s="177" t="s">
        <v>328</v>
      </c>
    </row>
    <row r="51" spans="1:15">
      <c r="A51" t="s">
        <v>382</v>
      </c>
      <c r="B51" t="s">
        <v>383</v>
      </c>
      <c r="L51" t="str">
        <f t="shared" si="1"/>
        <v>PS2Option 2</v>
      </c>
      <c r="M51" t="s">
        <v>381</v>
      </c>
      <c r="N51" s="172" t="s">
        <v>331</v>
      </c>
      <c r="O51" s="177" t="s">
        <v>332</v>
      </c>
    </row>
    <row r="52" spans="1:15">
      <c r="A52" t="s">
        <v>384</v>
      </c>
      <c r="B52" t="s">
        <v>385</v>
      </c>
      <c r="L52" t="str">
        <f t="shared" si="1"/>
        <v>PS3</v>
      </c>
      <c r="M52" t="s">
        <v>386</v>
      </c>
      <c r="N52" s="176"/>
      <c r="O52" s="180" t="s">
        <v>336</v>
      </c>
    </row>
    <row r="53" spans="1:15">
      <c r="A53" t="s">
        <v>387</v>
      </c>
    </row>
    <row r="54" spans="1:15">
      <c r="A54" t="s">
        <v>388</v>
      </c>
    </row>
    <row r="55" spans="1:15">
      <c r="A55" t="s">
        <v>389</v>
      </c>
    </row>
    <row r="56" spans="1:15">
      <c r="A56" t="s">
        <v>390</v>
      </c>
    </row>
    <row r="57" spans="1:15">
      <c r="A57" t="s">
        <v>391</v>
      </c>
    </row>
    <row r="58" spans="1:15">
      <c r="A58" t="s">
        <v>392</v>
      </c>
    </row>
    <row r="59" spans="1:15">
      <c r="A59" t="s">
        <v>393</v>
      </c>
    </row>
    <row r="60" spans="1:15">
      <c r="A60" t="s">
        <v>394</v>
      </c>
    </row>
    <row r="61" spans="1:15">
      <c r="A61" t="s">
        <v>395</v>
      </c>
    </row>
    <row r="62" spans="1:15">
      <c r="A62" t="s">
        <v>396</v>
      </c>
    </row>
    <row r="63" spans="1:15">
      <c r="A63" t="s">
        <v>385</v>
      </c>
    </row>
    <row r="64" spans="1:15">
      <c r="A64" t="s">
        <v>397</v>
      </c>
    </row>
    <row r="65" spans="1:5">
      <c r="A65" t="s">
        <v>398</v>
      </c>
    </row>
    <row r="66" spans="1:5">
      <c r="A66" t="s">
        <v>399</v>
      </c>
    </row>
    <row r="67" spans="1:5">
      <c r="A67" s="178" t="s">
        <v>400</v>
      </c>
    </row>
    <row r="68" spans="1:5">
      <c r="A68" t="s">
        <v>259</v>
      </c>
      <c r="B68" t="s">
        <v>348</v>
      </c>
      <c r="C68" s="76" t="s">
        <v>261</v>
      </c>
      <c r="D68" t="s">
        <v>349</v>
      </c>
      <c r="E68" t="s">
        <v>401</v>
      </c>
    </row>
    <row r="69" spans="1:5">
      <c r="A69" s="76" t="s">
        <v>262</v>
      </c>
      <c r="B69" s="76" t="s">
        <v>353</v>
      </c>
      <c r="C69" t="s">
        <v>402</v>
      </c>
      <c r="D69" t="s">
        <v>403</v>
      </c>
      <c r="E69">
        <v>1</v>
      </c>
    </row>
    <row r="70" spans="1:5">
      <c r="A70" s="76" t="s">
        <v>267</v>
      </c>
      <c r="B70" s="76" t="s">
        <v>355</v>
      </c>
      <c r="C70" t="s">
        <v>404</v>
      </c>
      <c r="D70" t="s">
        <v>405</v>
      </c>
      <c r="E70">
        <v>2</v>
      </c>
    </row>
    <row r="71" spans="1:5">
      <c r="A71" s="76" t="s">
        <v>269</v>
      </c>
      <c r="B71" s="76" t="s">
        <v>356</v>
      </c>
      <c r="C71" t="s">
        <v>406</v>
      </c>
      <c r="D71" t="s">
        <v>407</v>
      </c>
      <c r="E71">
        <v>3</v>
      </c>
    </row>
    <row r="72" spans="1:5">
      <c r="A72" s="76" t="s">
        <v>273</v>
      </c>
      <c r="B72" s="76" t="s">
        <v>358</v>
      </c>
      <c r="C72" t="s">
        <v>408</v>
      </c>
      <c r="D72" t="s">
        <v>409</v>
      </c>
      <c r="E72">
        <v>4</v>
      </c>
    </row>
    <row r="73" spans="1:5">
      <c r="A73" s="76" t="s">
        <v>275</v>
      </c>
      <c r="B73" s="76" t="s">
        <v>360</v>
      </c>
      <c r="C73" t="s">
        <v>410</v>
      </c>
      <c r="D73" t="s">
        <v>411</v>
      </c>
      <c r="E73">
        <v>5</v>
      </c>
    </row>
    <row r="74" spans="1:5">
      <c r="A74" s="76" t="s">
        <v>279</v>
      </c>
      <c r="B74" s="76" t="s">
        <v>361</v>
      </c>
      <c r="C74" t="s">
        <v>412</v>
      </c>
      <c r="D74" t="s">
        <v>413</v>
      </c>
      <c r="E74">
        <v>6</v>
      </c>
    </row>
    <row r="75" spans="1:5">
      <c r="A75" s="76" t="s">
        <v>282</v>
      </c>
      <c r="B75" s="76" t="s">
        <v>363</v>
      </c>
      <c r="C75" t="s">
        <v>414</v>
      </c>
      <c r="D75" t="s">
        <v>415</v>
      </c>
      <c r="E75">
        <v>7</v>
      </c>
    </row>
    <row r="76" spans="1:5">
      <c r="A76" s="76" t="s">
        <v>286</v>
      </c>
      <c r="B76" s="76" t="s">
        <v>365</v>
      </c>
      <c r="C76" t="s">
        <v>416</v>
      </c>
      <c r="D76" t="s">
        <v>417</v>
      </c>
      <c r="E76">
        <v>8</v>
      </c>
    </row>
    <row r="77" spans="1:5">
      <c r="A77" s="76" t="s">
        <v>290</v>
      </c>
      <c r="B77" s="76" t="s">
        <v>366</v>
      </c>
      <c r="C77" t="s">
        <v>418</v>
      </c>
      <c r="D77" t="s">
        <v>419</v>
      </c>
      <c r="E77">
        <v>9</v>
      </c>
    </row>
    <row r="78" spans="1:5">
      <c r="A78" s="76" t="s">
        <v>295</v>
      </c>
      <c r="B78" s="76" t="s">
        <v>367</v>
      </c>
      <c r="C78" t="s">
        <v>420</v>
      </c>
      <c r="D78" t="s">
        <v>421</v>
      </c>
      <c r="E78">
        <v>10</v>
      </c>
    </row>
    <row r="79" spans="1:5">
      <c r="A79" s="76" t="s">
        <v>301</v>
      </c>
      <c r="B79" s="76" t="s">
        <v>369</v>
      </c>
      <c r="C79" t="s">
        <v>422</v>
      </c>
      <c r="D79" t="s">
        <v>423</v>
      </c>
      <c r="E79">
        <v>11</v>
      </c>
    </row>
    <row r="80" spans="1:5">
      <c r="A80" s="76" t="s">
        <v>306</v>
      </c>
      <c r="B80" s="76" t="s">
        <v>371</v>
      </c>
      <c r="C80" t="s">
        <v>424</v>
      </c>
      <c r="D80" t="s">
        <v>425</v>
      </c>
      <c r="E80">
        <v>12</v>
      </c>
    </row>
    <row r="81" spans="1:9">
      <c r="A81" s="76" t="s">
        <v>313</v>
      </c>
      <c r="B81" s="76" t="s">
        <v>375</v>
      </c>
      <c r="C81" t="s">
        <v>426</v>
      </c>
      <c r="D81" t="s">
        <v>427</v>
      </c>
      <c r="E81">
        <v>13</v>
      </c>
    </row>
    <row r="82" spans="1:9">
      <c r="A82" s="76" t="s">
        <v>318</v>
      </c>
      <c r="B82" s="76" t="s">
        <v>377</v>
      </c>
      <c r="C82" t="s">
        <v>428</v>
      </c>
      <c r="D82" t="s">
        <v>429</v>
      </c>
      <c r="E82">
        <v>14</v>
      </c>
    </row>
    <row r="83" spans="1:9">
      <c r="A83" s="76" t="s">
        <v>322</v>
      </c>
      <c r="B83" s="76" t="s">
        <v>379</v>
      </c>
      <c r="C83" t="s">
        <v>430</v>
      </c>
      <c r="D83" t="s">
        <v>431</v>
      </c>
      <c r="E83">
        <v>15</v>
      </c>
    </row>
    <row r="84" spans="1:9">
      <c r="A84" s="76" t="s">
        <v>432</v>
      </c>
      <c r="B84" s="76" t="s">
        <v>433</v>
      </c>
      <c r="C84" t="s">
        <v>434</v>
      </c>
      <c r="D84" t="s">
        <v>435</v>
      </c>
      <c r="E84">
        <v>16</v>
      </c>
    </row>
    <row r="85" spans="1:9">
      <c r="A85" s="76" t="s">
        <v>436</v>
      </c>
      <c r="B85" s="76" t="s">
        <v>437</v>
      </c>
      <c r="C85" t="s">
        <v>438</v>
      </c>
      <c r="D85" t="s">
        <v>439</v>
      </c>
      <c r="E85">
        <v>17</v>
      </c>
    </row>
    <row r="86" spans="1:9">
      <c r="A86" s="76" t="s">
        <v>335</v>
      </c>
      <c r="B86" s="76" t="s">
        <v>386</v>
      </c>
      <c r="C86" t="s">
        <v>440</v>
      </c>
      <c r="D86" t="s">
        <v>441</v>
      </c>
      <c r="E86">
        <v>18</v>
      </c>
    </row>
    <row r="88" spans="1:9">
      <c r="A88" s="76" t="s">
        <v>442</v>
      </c>
    </row>
    <row r="89" spans="1:9">
      <c r="A89" t="s">
        <v>443</v>
      </c>
      <c r="B89" t="s">
        <v>242</v>
      </c>
      <c r="C89" t="s">
        <v>444</v>
      </c>
      <c r="D89" t="s">
        <v>445</v>
      </c>
      <c r="E89" t="s">
        <v>152</v>
      </c>
      <c r="F89" t="s">
        <v>145</v>
      </c>
      <c r="G89" t="s">
        <v>446</v>
      </c>
      <c r="H89" t="s">
        <v>447</v>
      </c>
      <c r="I89" t="s">
        <v>448</v>
      </c>
    </row>
    <row r="90" spans="1:9">
      <c r="A90" s="188">
        <v>1</v>
      </c>
      <c r="B90" t="s">
        <v>262</v>
      </c>
      <c r="C90" t="s">
        <v>353</v>
      </c>
      <c r="D90" t="s">
        <v>52</v>
      </c>
      <c r="E90" s="188">
        <v>15</v>
      </c>
      <c r="F90" s="188" t="s">
        <v>453</v>
      </c>
      <c r="G90" s="188">
        <v>1.2</v>
      </c>
      <c r="H90" s="188"/>
      <c r="I90" s="188"/>
    </row>
    <row r="91" spans="1:9">
      <c r="A91" s="188">
        <v>2</v>
      </c>
      <c r="B91" t="s">
        <v>262</v>
      </c>
      <c r="C91" t="s">
        <v>353</v>
      </c>
      <c r="D91" t="s">
        <v>51</v>
      </c>
      <c r="E91" s="188">
        <v>50</v>
      </c>
      <c r="F91" s="188" t="s">
        <v>453</v>
      </c>
      <c r="G91" s="188">
        <v>1.2</v>
      </c>
      <c r="H91" s="188"/>
      <c r="I91" s="188"/>
    </row>
    <row r="92" spans="1:9">
      <c r="A92" s="188">
        <v>3</v>
      </c>
      <c r="B92" t="s">
        <v>262</v>
      </c>
      <c r="C92" t="s">
        <v>353</v>
      </c>
      <c r="D92" t="s">
        <v>454</v>
      </c>
      <c r="E92" s="188">
        <v>35</v>
      </c>
      <c r="F92" s="188" t="s">
        <v>453</v>
      </c>
      <c r="G92" s="188">
        <v>1.2</v>
      </c>
      <c r="H92" s="188"/>
      <c r="I92" s="188"/>
    </row>
    <row r="93" spans="1:9">
      <c r="A93" s="188">
        <v>4</v>
      </c>
      <c r="B93" t="s">
        <v>273</v>
      </c>
      <c r="C93" t="s">
        <v>358</v>
      </c>
      <c r="D93" t="s">
        <v>52</v>
      </c>
      <c r="E93" s="188">
        <v>12</v>
      </c>
      <c r="F93" s="188" t="s">
        <v>453</v>
      </c>
      <c r="G93" s="188">
        <v>1.2</v>
      </c>
      <c r="H93" s="188"/>
      <c r="I93" s="188"/>
    </row>
    <row r="94" spans="1:9">
      <c r="A94" s="188">
        <v>5</v>
      </c>
      <c r="B94" t="s">
        <v>273</v>
      </c>
      <c r="C94" t="s">
        <v>358</v>
      </c>
      <c r="D94" t="s">
        <v>51</v>
      </c>
      <c r="E94" s="188">
        <v>30</v>
      </c>
      <c r="F94" s="188" t="s">
        <v>453</v>
      </c>
      <c r="G94" s="188">
        <v>1.2</v>
      </c>
      <c r="H94" s="188"/>
      <c r="I94" s="188"/>
    </row>
    <row r="95" spans="1:9">
      <c r="A95" s="188">
        <v>6</v>
      </c>
      <c r="B95" t="s">
        <v>273</v>
      </c>
      <c r="C95" t="s">
        <v>358</v>
      </c>
      <c r="D95" t="s">
        <v>52</v>
      </c>
      <c r="E95" s="188">
        <v>10</v>
      </c>
      <c r="F95" s="188" t="s">
        <v>453</v>
      </c>
      <c r="G95" s="188">
        <v>1.2</v>
      </c>
      <c r="H95" s="188"/>
      <c r="I95" s="188"/>
    </row>
    <row r="96" spans="1:9">
      <c r="A96" s="188">
        <v>7</v>
      </c>
      <c r="B96" t="s">
        <v>273</v>
      </c>
      <c r="C96" t="s">
        <v>358</v>
      </c>
      <c r="D96" t="s">
        <v>51</v>
      </c>
      <c r="E96" s="188">
        <v>20</v>
      </c>
      <c r="F96" s="188" t="s">
        <v>453</v>
      </c>
      <c r="G96" s="188">
        <v>1.2</v>
      </c>
      <c r="H96" s="188"/>
      <c r="I96" s="188"/>
    </row>
    <row r="97" spans="1:18">
      <c r="A97" s="188">
        <v>8</v>
      </c>
      <c r="B97" t="s">
        <v>267</v>
      </c>
      <c r="C97" t="s">
        <v>355</v>
      </c>
      <c r="D97" t="s">
        <v>376</v>
      </c>
      <c r="E97" s="188">
        <v>10</v>
      </c>
      <c r="F97" s="188" t="s">
        <v>453</v>
      </c>
      <c r="G97" s="188">
        <v>1.05</v>
      </c>
      <c r="H97" s="188"/>
      <c r="I97" s="188"/>
    </row>
    <row r="98" spans="1:18">
      <c r="A98" s="188">
        <v>9</v>
      </c>
      <c r="B98" t="s">
        <v>267</v>
      </c>
      <c r="C98" t="s">
        <v>355</v>
      </c>
      <c r="D98" t="s">
        <v>373</v>
      </c>
      <c r="E98" s="188">
        <v>50</v>
      </c>
      <c r="F98" s="188" t="s">
        <v>453</v>
      </c>
      <c r="G98" s="188">
        <v>1.2</v>
      </c>
      <c r="H98" s="188"/>
      <c r="I98" s="188"/>
    </row>
    <row r="99" spans="1:18">
      <c r="A99" s="188">
        <v>10</v>
      </c>
      <c r="B99" t="s">
        <v>267</v>
      </c>
      <c r="C99" t="s">
        <v>355</v>
      </c>
      <c r="D99" t="s">
        <v>385</v>
      </c>
      <c r="E99" s="188">
        <v>300</v>
      </c>
      <c r="F99" s="188" t="s">
        <v>453</v>
      </c>
      <c r="G99" s="188">
        <v>1.05</v>
      </c>
      <c r="H99" s="188"/>
      <c r="I99" s="188"/>
    </row>
    <row r="100" spans="1:18">
      <c r="A100" s="188">
        <v>11</v>
      </c>
      <c r="B100" t="s">
        <v>275</v>
      </c>
      <c r="C100" t="s">
        <v>360</v>
      </c>
      <c r="D100" t="s">
        <v>374</v>
      </c>
      <c r="E100" s="188">
        <v>140</v>
      </c>
      <c r="F100" s="188" t="s">
        <v>453</v>
      </c>
      <c r="G100" s="188">
        <v>1.2</v>
      </c>
      <c r="H100" s="188"/>
      <c r="I100" s="188"/>
    </row>
    <row r="101" spans="1:18">
      <c r="A101" s="188">
        <v>12</v>
      </c>
      <c r="B101" t="s">
        <v>275</v>
      </c>
      <c r="C101" t="s">
        <v>360</v>
      </c>
      <c r="D101" t="s">
        <v>455</v>
      </c>
      <c r="E101" s="188">
        <v>5</v>
      </c>
      <c r="F101" s="188" t="s">
        <v>453</v>
      </c>
      <c r="G101" s="188">
        <v>1.05</v>
      </c>
      <c r="H101" s="188"/>
      <c r="I101" s="188"/>
    </row>
    <row r="102" spans="1:18">
      <c r="A102" s="188">
        <v>13</v>
      </c>
      <c r="B102" t="s">
        <v>275</v>
      </c>
      <c r="C102" t="s">
        <v>360</v>
      </c>
      <c r="D102" t="s">
        <v>456</v>
      </c>
      <c r="E102" s="188">
        <v>2.2000000000000002</v>
      </c>
      <c r="F102" s="188" t="s">
        <v>453</v>
      </c>
      <c r="G102" s="188">
        <v>1.05</v>
      </c>
      <c r="H102" s="188"/>
      <c r="I102" s="188"/>
    </row>
    <row r="103" spans="1:18">
      <c r="A103" s="188">
        <v>14</v>
      </c>
      <c r="B103" t="s">
        <v>275</v>
      </c>
      <c r="C103" t="s">
        <v>360</v>
      </c>
      <c r="D103" t="s">
        <v>376</v>
      </c>
      <c r="E103" s="188">
        <v>3</v>
      </c>
      <c r="F103" s="188" t="s">
        <v>453</v>
      </c>
      <c r="G103" s="188">
        <v>1.05</v>
      </c>
      <c r="H103" s="188"/>
      <c r="I103" s="188"/>
    </row>
    <row r="104" spans="1:18" ht="15" thickBot="1">
      <c r="A104" s="188">
        <v>15</v>
      </c>
      <c r="B104" t="s">
        <v>275</v>
      </c>
      <c r="C104" t="s">
        <v>360</v>
      </c>
      <c r="D104" t="s">
        <v>373</v>
      </c>
      <c r="E104" s="188">
        <v>9</v>
      </c>
      <c r="F104" s="188" t="s">
        <v>453</v>
      </c>
      <c r="G104" s="188">
        <v>1.2</v>
      </c>
      <c r="H104" s="188"/>
      <c r="I104" s="188"/>
    </row>
    <row r="105" spans="1:18">
      <c r="A105" s="188">
        <v>16</v>
      </c>
      <c r="B105" t="s">
        <v>275</v>
      </c>
      <c r="C105" t="s">
        <v>360</v>
      </c>
      <c r="D105" t="s">
        <v>383</v>
      </c>
      <c r="E105" s="188">
        <v>9</v>
      </c>
      <c r="F105" s="188" t="s">
        <v>453</v>
      </c>
      <c r="G105" s="188">
        <v>1.05</v>
      </c>
      <c r="H105" s="188"/>
      <c r="I105" s="188"/>
      <c r="M105" s="181" t="s">
        <v>458</v>
      </c>
      <c r="N105" s="182"/>
      <c r="O105" s="182"/>
      <c r="P105" s="182"/>
      <c r="Q105" s="182"/>
      <c r="R105" s="183"/>
    </row>
    <row r="106" spans="1:18" ht="28.8">
      <c r="A106" s="188">
        <v>17</v>
      </c>
      <c r="B106" t="s">
        <v>275</v>
      </c>
      <c r="C106" t="s">
        <v>360</v>
      </c>
      <c r="D106" t="s">
        <v>385</v>
      </c>
      <c r="E106" s="188">
        <v>300</v>
      </c>
      <c r="F106" s="188" t="s">
        <v>453</v>
      </c>
      <c r="G106" s="188">
        <v>1.05</v>
      </c>
      <c r="H106" s="188"/>
      <c r="I106" s="188"/>
      <c r="M106" s="184" t="s">
        <v>449</v>
      </c>
      <c r="N106" s="185" t="s">
        <v>450</v>
      </c>
      <c r="O106" s="185" t="s">
        <v>451</v>
      </c>
      <c r="P106" s="186" t="s">
        <v>452</v>
      </c>
      <c r="Q106" s="141" t="s">
        <v>19</v>
      </c>
      <c r="R106" s="187"/>
    </row>
    <row r="107" spans="1:18">
      <c r="A107" s="188">
        <v>18</v>
      </c>
      <c r="B107" t="s">
        <v>269</v>
      </c>
      <c r="C107" t="s">
        <v>356</v>
      </c>
      <c r="D107" t="s">
        <v>459</v>
      </c>
      <c r="E107" s="188">
        <v>9</v>
      </c>
      <c r="F107" s="188" t="s">
        <v>460</v>
      </c>
      <c r="G107" s="188">
        <v>1</v>
      </c>
      <c r="H107" s="188">
        <v>10</v>
      </c>
      <c r="I107" s="188" t="s">
        <v>461</v>
      </c>
      <c r="M107" s="189">
        <v>10</v>
      </c>
      <c r="N107" s="190">
        <v>12</v>
      </c>
      <c r="O107" s="190">
        <v>20</v>
      </c>
      <c r="P107" s="191">
        <v>30</v>
      </c>
      <c r="Q107" s="192"/>
      <c r="R107" s="193"/>
    </row>
    <row r="108" spans="1:18">
      <c r="A108" s="188">
        <v>19</v>
      </c>
      <c r="B108" t="s">
        <v>269</v>
      </c>
      <c r="C108" t="s">
        <v>356</v>
      </c>
      <c r="D108" t="s">
        <v>462</v>
      </c>
      <c r="E108" s="188">
        <v>51</v>
      </c>
      <c r="F108" s="188" t="s">
        <v>463</v>
      </c>
      <c r="G108" s="188">
        <v>1.05</v>
      </c>
      <c r="H108" s="188">
        <v>100</v>
      </c>
      <c r="I108" s="188" t="s">
        <v>453</v>
      </c>
      <c r="M108" s="194">
        <v>12</v>
      </c>
      <c r="N108" s="195">
        <v>14.399999999999999</v>
      </c>
      <c r="O108" s="195">
        <v>24</v>
      </c>
      <c r="P108" s="196">
        <v>36</v>
      </c>
      <c r="Q108" s="6" t="str">
        <f>IF(v2p_Air!D60&lt;&gt;"",MIN(M108:P108),"")</f>
        <v/>
      </c>
      <c r="R108" s="193"/>
    </row>
    <row r="109" spans="1:18">
      <c r="A109" s="188">
        <v>20</v>
      </c>
      <c r="B109" t="s">
        <v>269</v>
      </c>
      <c r="C109" t="s">
        <v>356</v>
      </c>
      <c r="D109" t="s">
        <v>464</v>
      </c>
      <c r="E109" s="188">
        <v>30</v>
      </c>
      <c r="F109" s="188" t="s">
        <v>460</v>
      </c>
      <c r="G109" s="188">
        <v>1</v>
      </c>
      <c r="H109" s="188">
        <v>34</v>
      </c>
      <c r="I109" s="188" t="s">
        <v>461</v>
      </c>
      <c r="M109" s="197">
        <f>IF(v2p_Air!$D76&lt;&gt;"",IF(v2p_Air!$E76&lt;=LookUpData!$M$108,2,""),"")</f>
        <v>2</v>
      </c>
      <c r="N109" s="197" t="str">
        <f>IF(v2p_Air!$D76&lt;&gt;"",IF(M109="",IF(v2p_Air!$E76&lt;=LookUpData!$N$108,1,0),""),"")</f>
        <v/>
      </c>
      <c r="O109" s="197">
        <f>IF(v2p_Air!$D76&lt;&gt;"",IF(v2p_Air!$F76&lt;=LookUpData!$O$108,2,""),"")</f>
        <v>2</v>
      </c>
      <c r="P109" s="197" t="str">
        <f>IF(v2p_Air!$D76&lt;&gt;"",IF(O109="",IF(v2p_Air!$F76&lt;=LookUpData!$P$108,1,0),""),"")</f>
        <v/>
      </c>
      <c r="Q109" s="6">
        <f>IF(v2p_Air!D76&lt;&gt;"",MIN(M109:P109),"")</f>
        <v>2</v>
      </c>
      <c r="R109" s="193"/>
    </row>
    <row r="110" spans="1:18">
      <c r="A110" s="188">
        <v>21</v>
      </c>
      <c r="B110" t="s">
        <v>269</v>
      </c>
      <c r="C110" t="s">
        <v>356</v>
      </c>
      <c r="D110" t="s">
        <v>465</v>
      </c>
      <c r="E110" s="188">
        <v>51</v>
      </c>
      <c r="F110" s="188" t="s">
        <v>463</v>
      </c>
      <c r="G110" s="188">
        <v>1.05</v>
      </c>
      <c r="H110" s="188">
        <v>100</v>
      </c>
      <c r="I110" s="188" t="s">
        <v>453</v>
      </c>
      <c r="M110" s="197">
        <f>IF(v2p_Air!$D77&lt;&gt;"",IF(v2p_Air!$E77&lt;=LookUpData!$M$108,2,""),"")</f>
        <v>2</v>
      </c>
      <c r="N110" s="197" t="str">
        <f>IF(v2p_Air!$D77&lt;&gt;"",IF(M110="",IF(v2p_Air!$E77&lt;=LookUpData!$N$108,1,0),""),"")</f>
        <v/>
      </c>
      <c r="O110" s="197">
        <f>IF(v2p_Air!$D77&lt;&gt;"",IF(v2p_Air!$F77&lt;=LookUpData!$O$108,2,""),"")</f>
        <v>2</v>
      </c>
      <c r="P110" s="197" t="str">
        <f>IF(v2p_Air!$D77&lt;&gt;"",IF(O110="",IF(v2p_Air!$F77&lt;=LookUpData!$P$108,1,0),""),"")</f>
        <v/>
      </c>
      <c r="Q110" s="6">
        <f>IF(v2p_Air!D77&lt;&gt;"",MIN(M110:P110),"")</f>
        <v>2</v>
      </c>
      <c r="R110" s="193"/>
    </row>
    <row r="111" spans="1:18">
      <c r="A111" s="188">
        <v>22</v>
      </c>
      <c r="B111" t="s">
        <v>279</v>
      </c>
      <c r="C111" t="s">
        <v>361</v>
      </c>
      <c r="D111" t="s">
        <v>459</v>
      </c>
      <c r="E111" s="188">
        <v>6</v>
      </c>
      <c r="F111" s="188" t="s">
        <v>460</v>
      </c>
      <c r="G111" s="188">
        <v>1</v>
      </c>
      <c r="H111" s="188">
        <v>7</v>
      </c>
      <c r="I111" s="188" t="s">
        <v>461</v>
      </c>
      <c r="M111" s="197">
        <f>IF(v2p_Air!$D78&lt;&gt;"",IF(v2p_Air!$E78&lt;=LookUpData!$M$108,2,""),"")</f>
        <v>2</v>
      </c>
      <c r="N111" s="197" t="str">
        <f>IF(v2p_Air!$D78&lt;&gt;"",IF(M111="",IF(v2p_Air!$E78&lt;=LookUpData!$N$108,1,0),""),"")</f>
        <v/>
      </c>
      <c r="O111" s="197">
        <f>IF(v2p_Air!$D78&lt;&gt;"",IF(v2p_Air!$F78&lt;=LookUpData!$O$108,2,""),"")</f>
        <v>2</v>
      </c>
      <c r="P111" s="197" t="str">
        <f>IF(v2p_Air!$D78&lt;&gt;"",IF(O111="",IF(v2p_Air!$F78&lt;=LookUpData!$P$108,1,0),""),"")</f>
        <v/>
      </c>
      <c r="Q111" s="6">
        <f>IF(v2p_Air!D78&lt;&gt;"",MIN(M111:P111),"")</f>
        <v>2</v>
      </c>
      <c r="R111" s="193"/>
    </row>
    <row r="112" spans="1:18">
      <c r="A112" s="188">
        <v>23</v>
      </c>
      <c r="B112" t="s">
        <v>279</v>
      </c>
      <c r="C112" t="s">
        <v>361</v>
      </c>
      <c r="D112" t="s">
        <v>466</v>
      </c>
      <c r="E112" s="188">
        <v>21</v>
      </c>
      <c r="F112" s="188" t="s">
        <v>463</v>
      </c>
      <c r="G112" s="188">
        <v>1.2</v>
      </c>
      <c r="H112" s="188">
        <v>40</v>
      </c>
      <c r="I112" s="188" t="s">
        <v>453</v>
      </c>
      <c r="M112" s="197">
        <f>IF(v2p_Air!$D79&lt;&gt;"",IF(v2p_Air!$E79&lt;=LookUpData!$M$108,2,""),"")</f>
        <v>2</v>
      </c>
      <c r="N112" s="197" t="str">
        <f>IF(v2p_Air!$D79&lt;&gt;"",IF(M112="",IF(v2p_Air!$E79&lt;=LookUpData!$N$108,1,0),""),"")</f>
        <v/>
      </c>
      <c r="O112" s="197">
        <f>IF(v2p_Air!$D79&lt;&gt;"",IF(v2p_Air!$F79&lt;=LookUpData!$O$108,2,""),"")</f>
        <v>2</v>
      </c>
      <c r="P112" s="197" t="str">
        <f>IF(v2p_Air!$D79&lt;&gt;"",IF(O112="",IF(v2p_Air!$F79&lt;=LookUpData!$P$108,1,0),""),"")</f>
        <v/>
      </c>
      <c r="Q112" s="6">
        <f>IF(v2p_Air!D79&lt;&gt;"",MIN(M112:P112),"")</f>
        <v>2</v>
      </c>
      <c r="R112" s="193"/>
    </row>
    <row r="113" spans="1:18">
      <c r="M113" s="197">
        <f>IF(v2p_Air!$D80&lt;&gt;"",IF(v2p_Air!$E80&lt;=LookUpData!$M$108,2,""),"")</f>
        <v>2</v>
      </c>
      <c r="N113" s="197" t="str">
        <f>IF(v2p_Air!$D80&lt;&gt;"",IF(M113="",IF(v2p_Air!$E80&lt;=LookUpData!$N$108,1,0),""),"")</f>
        <v/>
      </c>
      <c r="O113" s="197">
        <f>IF(v2p_Air!$D80&lt;&gt;"",IF(v2p_Air!$F80&lt;=LookUpData!$O$108,2,""),"")</f>
        <v>2</v>
      </c>
      <c r="P113" s="197" t="str">
        <f>IF(v2p_Air!$D80&lt;&gt;"",IF(O113="",IF(v2p_Air!$F80&lt;=LookUpData!$P$108,1,0),""),"")</f>
        <v/>
      </c>
      <c r="Q113" s="6">
        <f>IF(v2p_Air!D80&lt;&gt;"",MIN(M113:P113),"")</f>
        <v>2</v>
      </c>
      <c r="R113" s="193"/>
    </row>
    <row r="114" spans="1:18">
      <c r="M114" s="197">
        <f>IF(v2p_Air!$D81&lt;&gt;"",IF(v2p_Air!$E81&lt;=LookUpData!$M$108,2,""),"")</f>
        <v>2</v>
      </c>
      <c r="N114" s="197" t="str">
        <f>IF(v2p_Air!$D81&lt;&gt;"",IF(M114="",IF(v2p_Air!$E81&lt;=LookUpData!$N$108,1,0),""),"")</f>
        <v/>
      </c>
      <c r="O114" s="197">
        <f>IF(v2p_Air!$D81&lt;&gt;"",IF(v2p_Air!$F81&lt;=LookUpData!$O$108,2,""),"")</f>
        <v>2</v>
      </c>
      <c r="P114" s="197" t="str">
        <f>IF(v2p_Air!$D81&lt;&gt;"",IF(O114="",IF(v2p_Air!$F81&lt;=LookUpData!$P$108,1,0),""),"")</f>
        <v/>
      </c>
      <c r="Q114" s="6">
        <f>IF(v2p_Air!D81&lt;&gt;"",MIN(M114:P114),"")</f>
        <v>2</v>
      </c>
      <c r="R114" s="193"/>
    </row>
    <row r="115" spans="1:18">
      <c r="M115" s="197">
        <f>IF(v2p_Air!$D82&lt;&gt;"",IF(v2p_Air!$E82&lt;=LookUpData!$M$108,2,""),"")</f>
        <v>2</v>
      </c>
      <c r="N115" s="197" t="str">
        <f>IF(v2p_Air!$D82&lt;&gt;"",IF(M115="",IF(v2p_Air!$E82&lt;=LookUpData!$N$108,1,0),""),"")</f>
        <v/>
      </c>
      <c r="O115" s="197">
        <f>IF(v2p_Air!$D82&lt;&gt;"",IF(v2p_Air!$F82&lt;=LookUpData!$O$108,2,""),"")</f>
        <v>2</v>
      </c>
      <c r="P115" s="197" t="str">
        <f>IF(v2p_Air!$D82&lt;&gt;"",IF(O115="",IF(v2p_Air!$F82&lt;=LookUpData!$P$108,1,0),""),"")</f>
        <v/>
      </c>
      <c r="Q115" s="6">
        <f>IF(v2p_Air!D82&lt;&gt;"",MIN(M115:P115),"")</f>
        <v>2</v>
      </c>
      <c r="R115" s="193"/>
    </row>
    <row r="116" spans="1:18">
      <c r="A116" t="s">
        <v>467</v>
      </c>
      <c r="B116" t="s">
        <v>468</v>
      </c>
      <c r="C116" t="s">
        <v>469</v>
      </c>
      <c r="D116" t="s">
        <v>145</v>
      </c>
      <c r="M116" s="197">
        <f>IF(v2p_Air!$D83&lt;&gt;"",IF(v2p_Air!$E83&lt;=LookUpData!$M$108,2,""),"")</f>
        <v>2</v>
      </c>
      <c r="N116" s="197" t="str">
        <f>IF(v2p_Air!$D83&lt;&gt;"",IF(M116="",IF(v2p_Air!$E83&lt;=LookUpData!$N$108,1,0),""),"")</f>
        <v/>
      </c>
      <c r="O116" s="197">
        <f>IF(v2p_Air!$D83&lt;&gt;"",IF(v2p_Air!$F83&lt;=LookUpData!$O$108,2,""),"")</f>
        <v>2</v>
      </c>
      <c r="P116" s="197" t="str">
        <f>IF(v2p_Air!$D83&lt;&gt;"",IF(O116="",IF(v2p_Air!$F83&lt;=LookUpData!$P$108,1,0),""),"")</f>
        <v/>
      </c>
      <c r="Q116" s="6">
        <f>IF(v2p_Air!D83&lt;&gt;"",MIN(M116:P116),"")</f>
        <v>2</v>
      </c>
      <c r="R116" s="193"/>
    </row>
    <row r="117" spans="1:18">
      <c r="A117" s="201" t="s">
        <v>470</v>
      </c>
      <c r="B117" t="str">
        <f t="shared" ref="B117:B124" si="2">_xlfn.CONCAT(A117,"
",D117)</f>
        <v>Aldrin and Dieldrin
mg/L</v>
      </c>
      <c r="C117">
        <v>3.0000000000000001E-5</v>
      </c>
      <c r="D117" t="s">
        <v>471</v>
      </c>
      <c r="M117" s="197">
        <f>IF(v2p_Air!$D84&lt;&gt;"",IF(v2p_Air!$E84&lt;=LookUpData!$M$108,2,""),"")</f>
        <v>2</v>
      </c>
      <c r="N117" s="197" t="str">
        <f>IF(v2p_Air!$D84&lt;&gt;"",IF(M117="",IF(v2p_Air!$E84&lt;=LookUpData!$N$108,1,0),""),"")</f>
        <v/>
      </c>
      <c r="O117" s="197">
        <f>IF(v2p_Air!$D84&lt;&gt;"",IF(v2p_Air!$F84&lt;=LookUpData!$O$108,2,""),"")</f>
        <v>2</v>
      </c>
      <c r="P117" s="197" t="str">
        <f>IF(v2p_Air!$D84&lt;&gt;"",IF(O117="",IF(v2p_Air!$F84&lt;=LookUpData!$P$108,1,0),""),"")</f>
        <v/>
      </c>
      <c r="Q117" s="6">
        <f>IF(v2p_Air!D84&lt;&gt;"",MIN(M117:P117),"")</f>
        <v>2</v>
      </c>
      <c r="R117" s="193"/>
    </row>
    <row r="118" spans="1:18">
      <c r="A118" s="201" t="s">
        <v>472</v>
      </c>
      <c r="B118" t="str">
        <f t="shared" si="2"/>
        <v>Atrazine
mg/L</v>
      </c>
      <c r="C118">
        <v>0.1</v>
      </c>
      <c r="D118" t="s">
        <v>471</v>
      </c>
      <c r="M118" s="197">
        <f>IF(v2p_Air!$D85&lt;&gt;"",IF(v2p_Air!$E85&lt;=LookUpData!$M$108,2,""),"")</f>
        <v>2</v>
      </c>
      <c r="N118" s="197" t="str">
        <f>IF(v2p_Air!$D85&lt;&gt;"",IF(M118="",IF(v2p_Air!$E85&lt;=LookUpData!$N$108,1,0),""),"")</f>
        <v/>
      </c>
      <c r="O118" s="197">
        <f>IF(v2p_Air!$D85&lt;&gt;"",IF(v2p_Air!$F85&lt;=LookUpData!$O$108,2,""),"")</f>
        <v>2</v>
      </c>
      <c r="P118" s="197" t="str">
        <f>IF(v2p_Air!$D85&lt;&gt;"",IF(O118="",IF(v2p_Air!$F85&lt;=LookUpData!$P$108,1,0),""),"")</f>
        <v/>
      </c>
      <c r="Q118" s="6">
        <f>IF(v2p_Air!D85&lt;&gt;"",MIN(M118:P118),"")</f>
        <v>2</v>
      </c>
      <c r="R118" s="193"/>
    </row>
    <row r="119" spans="1:18" ht="15" thickBot="1">
      <c r="A119" s="201" t="s">
        <v>473</v>
      </c>
      <c r="B119" t="str">
        <f t="shared" si="2"/>
        <v>Carbofuran
mg/L</v>
      </c>
      <c r="C119">
        <v>7.0000000000000001E-3</v>
      </c>
      <c r="D119" t="s">
        <v>471</v>
      </c>
      <c r="M119" s="198"/>
      <c r="N119" s="199"/>
      <c r="O119" s="199"/>
      <c r="P119" s="199"/>
      <c r="Q119" s="199">
        <f>MIN(Q109:Q118)</f>
        <v>2</v>
      </c>
      <c r="R119" s="200" t="s">
        <v>457</v>
      </c>
    </row>
    <row r="120" spans="1:18">
      <c r="A120" s="201" t="s">
        <v>474</v>
      </c>
      <c r="B120" t="str">
        <f t="shared" si="2"/>
        <v>Chlordane
mg/L</v>
      </c>
      <c r="C120">
        <v>2.0000000000000001E-4</v>
      </c>
      <c r="D120" t="s">
        <v>471</v>
      </c>
    </row>
    <row r="121" spans="1:18">
      <c r="A121" s="201" t="s">
        <v>475</v>
      </c>
      <c r="B121" t="str">
        <f t="shared" si="2"/>
        <v>2,4-Dichlorophenoxyacetic acid (2,4-D)
mg/L</v>
      </c>
      <c r="C121">
        <v>0.03</v>
      </c>
      <c r="D121" t="s">
        <v>471</v>
      </c>
    </row>
    <row r="122" spans="1:18">
      <c r="A122" s="201" t="s">
        <v>476</v>
      </c>
      <c r="B122" t="str">
        <f t="shared" si="2"/>
        <v>Dichlorodiphenyltrichloroethane (DDT)
mg/L</v>
      </c>
      <c r="C122">
        <v>1E-3</v>
      </c>
      <c r="D122" t="s">
        <v>471</v>
      </c>
    </row>
    <row r="123" spans="1:18">
      <c r="A123" s="201" t="s">
        <v>477</v>
      </c>
      <c r="B123" t="str">
        <f t="shared" si="2"/>
        <v>Lindane
mg/L</v>
      </c>
      <c r="C123">
        <v>2E-3</v>
      </c>
      <c r="D123" t="s">
        <v>471</v>
      </c>
    </row>
    <row r="124" spans="1:18">
      <c r="A124" s="201" t="s">
        <v>478</v>
      </c>
      <c r="B124" t="str">
        <f t="shared" si="2"/>
        <v>Pentachlorophenol (PCP)
mg/L</v>
      </c>
      <c r="C124">
        <v>8.9999999999999993E-3</v>
      </c>
      <c r="D124" t="s">
        <v>471</v>
      </c>
    </row>
    <row r="125" spans="1:18">
      <c r="A125" s="201"/>
    </row>
    <row r="126" spans="1:18">
      <c r="A126" s="98" t="s">
        <v>479</v>
      </c>
      <c r="B126" t="s">
        <v>468</v>
      </c>
      <c r="C126" t="s">
        <v>469</v>
      </c>
      <c r="D126" t="s">
        <v>145</v>
      </c>
    </row>
    <row r="127" spans="1:18">
      <c r="A127" s="201" t="s">
        <v>376</v>
      </c>
      <c r="B127" t="str">
        <f t="shared" ref="B127:B136" si="3">_xlfn.CONCAT(A127,"
",D127)</f>
        <v>Benzene
mg/L</v>
      </c>
      <c r="C127">
        <v>0.01</v>
      </c>
      <c r="D127" t="s">
        <v>471</v>
      </c>
    </row>
    <row r="128" spans="1:18">
      <c r="A128" s="201" t="s">
        <v>480</v>
      </c>
      <c r="B128" t="str">
        <f t="shared" si="3"/>
        <v>Benzo[a]pyrene
mg/L</v>
      </c>
      <c r="C128">
        <v>6.9999999999999999E-4</v>
      </c>
      <c r="D128" t="s">
        <v>471</v>
      </c>
    </row>
    <row r="129" spans="1:4">
      <c r="A129" s="201" t="s">
        <v>380</v>
      </c>
      <c r="B129" t="str">
        <f t="shared" si="3"/>
        <v>Carbon tetrachloride
mg/L</v>
      </c>
      <c r="C129">
        <v>4.0000000000000001E-3</v>
      </c>
      <c r="D129" t="s">
        <v>471</v>
      </c>
    </row>
    <row r="130" spans="1:4">
      <c r="A130" s="201" t="s">
        <v>481</v>
      </c>
      <c r="B130" t="str">
        <f t="shared" si="3"/>
        <v>1,2-Dichloroethane
mg/L</v>
      </c>
      <c r="C130">
        <v>0.03</v>
      </c>
      <c r="D130" t="s">
        <v>471</v>
      </c>
    </row>
    <row r="131" spans="1:4">
      <c r="A131" s="201" t="s">
        <v>482</v>
      </c>
      <c r="B131" t="str">
        <f t="shared" si="3"/>
        <v>Tetrachloroethene (Tetrachloroethylene)
mg/L</v>
      </c>
      <c r="C131">
        <v>0.04</v>
      </c>
      <c r="D131" t="s">
        <v>471</v>
      </c>
    </row>
    <row r="132" spans="1:4">
      <c r="A132" s="201" t="s">
        <v>385</v>
      </c>
      <c r="B132" t="str">
        <f t="shared" si="3"/>
        <v>Toluene
mg/L</v>
      </c>
      <c r="C132">
        <v>0.7</v>
      </c>
      <c r="D132" t="s">
        <v>471</v>
      </c>
    </row>
    <row r="133" spans="1:4">
      <c r="A133" s="201" t="s">
        <v>483</v>
      </c>
      <c r="B133" t="str">
        <f t="shared" si="3"/>
        <v>Trichloroethene (Trichloroethylene)
mg/L</v>
      </c>
      <c r="C133">
        <v>0.02</v>
      </c>
      <c r="D133" t="s">
        <v>471</v>
      </c>
    </row>
    <row r="134" spans="1:4">
      <c r="A134" s="201" t="s">
        <v>484</v>
      </c>
      <c r="B134" t="str">
        <f t="shared" si="3"/>
        <v>2,4,6-Trichlorophenol
mg/L</v>
      </c>
      <c r="C134">
        <v>0.2</v>
      </c>
      <c r="D134" t="s">
        <v>471</v>
      </c>
    </row>
    <row r="135" spans="1:4">
      <c r="A135" s="201" t="s">
        <v>485</v>
      </c>
      <c r="B135" t="str">
        <f t="shared" si="3"/>
        <v>Vinyl Chloride
mg/L</v>
      </c>
      <c r="C135">
        <v>2.9999999999999997E-4</v>
      </c>
      <c r="D135" t="s">
        <v>471</v>
      </c>
    </row>
    <row r="136" spans="1:4">
      <c r="A136" s="201" t="s">
        <v>486</v>
      </c>
      <c r="B136" t="str">
        <f t="shared" si="3"/>
        <v>Xylenes (o-, m- and p-)
mg/L</v>
      </c>
      <c r="C136">
        <v>0.5</v>
      </c>
      <c r="D136" t="s">
        <v>471</v>
      </c>
    </row>
    <row r="148" spans="1:9">
      <c r="A148" s="76" t="s">
        <v>494</v>
      </c>
    </row>
    <row r="149" spans="1:9">
      <c r="A149" t="s">
        <v>443</v>
      </c>
      <c r="B149" t="s">
        <v>242</v>
      </c>
      <c r="C149" t="s">
        <v>444</v>
      </c>
      <c r="D149" t="s">
        <v>445</v>
      </c>
      <c r="E149" t="s">
        <v>152</v>
      </c>
      <c r="F149" t="s">
        <v>145</v>
      </c>
      <c r="G149" t="s">
        <v>446</v>
      </c>
      <c r="H149" t="s">
        <v>447</v>
      </c>
      <c r="I149" t="s">
        <v>448</v>
      </c>
    </row>
    <row r="150" spans="1:9">
      <c r="A150" s="188">
        <v>1</v>
      </c>
      <c r="B150" t="s">
        <v>262</v>
      </c>
      <c r="C150" t="s">
        <v>353</v>
      </c>
      <c r="D150" t="s">
        <v>52</v>
      </c>
      <c r="E150" s="188">
        <v>15</v>
      </c>
      <c r="F150" s="188" t="s">
        <v>453</v>
      </c>
      <c r="G150" s="188">
        <v>1.2</v>
      </c>
      <c r="H150" s="188"/>
      <c r="I150" s="188"/>
    </row>
    <row r="151" spans="1:9">
      <c r="A151" s="188">
        <v>2</v>
      </c>
      <c r="B151" t="s">
        <v>262</v>
      </c>
      <c r="C151" t="s">
        <v>353</v>
      </c>
      <c r="D151" t="s">
        <v>51</v>
      </c>
      <c r="E151" s="188">
        <v>50</v>
      </c>
      <c r="F151" s="188" t="s">
        <v>453</v>
      </c>
      <c r="G151" s="188">
        <v>1.2</v>
      </c>
      <c r="H151" s="188"/>
      <c r="I151" s="188"/>
    </row>
    <row r="152" spans="1:9">
      <c r="A152" s="188">
        <v>3</v>
      </c>
      <c r="B152" t="s">
        <v>262</v>
      </c>
      <c r="C152" t="s">
        <v>353</v>
      </c>
      <c r="D152" t="s">
        <v>454</v>
      </c>
      <c r="E152" s="188">
        <v>35</v>
      </c>
      <c r="F152" s="188" t="s">
        <v>453</v>
      </c>
      <c r="G152" s="188">
        <v>1.2</v>
      </c>
      <c r="H152" s="188"/>
      <c r="I152" s="188"/>
    </row>
    <row r="153" spans="1:9">
      <c r="A153" s="188">
        <v>4</v>
      </c>
      <c r="B153" t="s">
        <v>273</v>
      </c>
      <c r="C153" t="s">
        <v>358</v>
      </c>
      <c r="D153" t="s">
        <v>52</v>
      </c>
      <c r="E153" s="188">
        <v>12</v>
      </c>
      <c r="F153" s="188" t="s">
        <v>453</v>
      </c>
      <c r="G153" s="188">
        <v>1.2</v>
      </c>
      <c r="H153" s="188"/>
      <c r="I153" s="188"/>
    </row>
    <row r="154" spans="1:9">
      <c r="A154" s="188">
        <v>5</v>
      </c>
      <c r="B154" t="s">
        <v>273</v>
      </c>
      <c r="C154" t="s">
        <v>358</v>
      </c>
      <c r="D154" t="s">
        <v>51</v>
      </c>
      <c r="E154" s="188">
        <v>30</v>
      </c>
      <c r="F154" s="188" t="s">
        <v>453</v>
      </c>
      <c r="G154" s="188">
        <v>1.2</v>
      </c>
      <c r="H154" s="188"/>
      <c r="I154" s="188"/>
    </row>
    <row r="155" spans="1:9">
      <c r="A155" s="188">
        <v>6</v>
      </c>
      <c r="B155" t="s">
        <v>273</v>
      </c>
      <c r="C155" t="s">
        <v>358</v>
      </c>
      <c r="D155" t="s">
        <v>52</v>
      </c>
      <c r="E155" s="188">
        <v>10</v>
      </c>
      <c r="F155" s="188" t="s">
        <v>453</v>
      </c>
      <c r="G155" s="188">
        <v>1.2</v>
      </c>
      <c r="H155" s="188"/>
      <c r="I155" s="188"/>
    </row>
    <row r="156" spans="1:9">
      <c r="A156" s="188">
        <v>7</v>
      </c>
      <c r="B156" t="s">
        <v>273</v>
      </c>
      <c r="C156" t="s">
        <v>358</v>
      </c>
      <c r="D156" t="s">
        <v>51</v>
      </c>
      <c r="E156" s="188">
        <v>20</v>
      </c>
      <c r="F156" s="188" t="s">
        <v>453</v>
      </c>
      <c r="G156" s="188">
        <v>1.2</v>
      </c>
      <c r="H156" s="188"/>
      <c r="I156" s="188"/>
    </row>
    <row r="157" spans="1:9">
      <c r="A157" s="188">
        <v>8</v>
      </c>
      <c r="B157" t="s">
        <v>267</v>
      </c>
      <c r="C157" t="s">
        <v>355</v>
      </c>
      <c r="D157" t="s">
        <v>373</v>
      </c>
      <c r="E157" s="188">
        <v>27</v>
      </c>
      <c r="F157" s="188" t="s">
        <v>463</v>
      </c>
      <c r="G157" s="188">
        <v>1.2</v>
      </c>
      <c r="H157" s="188"/>
      <c r="I157" s="188"/>
    </row>
    <row r="158" spans="1:9">
      <c r="A158" s="188">
        <v>9</v>
      </c>
      <c r="B158" t="s">
        <v>267</v>
      </c>
      <c r="C158" t="s">
        <v>355</v>
      </c>
      <c r="D158" t="s">
        <v>376</v>
      </c>
      <c r="E158" s="188">
        <v>30</v>
      </c>
      <c r="F158" s="188" t="s">
        <v>453</v>
      </c>
      <c r="G158" s="188">
        <v>1.05</v>
      </c>
      <c r="H158" s="188"/>
      <c r="I158" s="188"/>
    </row>
    <row r="159" spans="1:9">
      <c r="A159" s="188">
        <v>10</v>
      </c>
      <c r="B159" t="s">
        <v>267</v>
      </c>
      <c r="C159" t="s">
        <v>355</v>
      </c>
      <c r="D159" t="s">
        <v>378</v>
      </c>
      <c r="E159" s="188">
        <v>400</v>
      </c>
      <c r="F159" s="188" t="s">
        <v>453</v>
      </c>
      <c r="G159" s="188">
        <v>1.05</v>
      </c>
      <c r="H159" s="188"/>
      <c r="I159" s="188"/>
    </row>
    <row r="160" spans="1:9">
      <c r="A160" s="188">
        <v>11</v>
      </c>
      <c r="B160" t="s">
        <v>267</v>
      </c>
      <c r="C160" t="s">
        <v>355</v>
      </c>
      <c r="D160" t="s">
        <v>380</v>
      </c>
      <c r="E160" s="188">
        <v>20</v>
      </c>
      <c r="F160" s="188" t="s">
        <v>453</v>
      </c>
      <c r="G160" s="188">
        <v>1.05</v>
      </c>
      <c r="H160" s="188"/>
      <c r="I160" s="188"/>
    </row>
    <row r="161" spans="1:9">
      <c r="A161" s="188">
        <v>12</v>
      </c>
      <c r="B161" t="s">
        <v>267</v>
      </c>
      <c r="C161" t="s">
        <v>355</v>
      </c>
      <c r="D161" t="s">
        <v>382</v>
      </c>
      <c r="E161" s="188">
        <v>500</v>
      </c>
      <c r="F161" s="188" t="s">
        <v>453</v>
      </c>
      <c r="G161" s="188">
        <v>1.05</v>
      </c>
      <c r="H161" s="188"/>
      <c r="I161" s="188"/>
    </row>
    <row r="162" spans="1:9">
      <c r="A162" s="188">
        <v>13</v>
      </c>
      <c r="B162" t="s">
        <v>267</v>
      </c>
      <c r="C162" t="s">
        <v>355</v>
      </c>
      <c r="D162" t="s">
        <v>384</v>
      </c>
      <c r="E162" s="188">
        <v>150</v>
      </c>
      <c r="F162" s="188" t="s">
        <v>453</v>
      </c>
      <c r="G162" s="188">
        <v>1.05</v>
      </c>
      <c r="H162" s="188"/>
      <c r="I162" s="188"/>
    </row>
    <row r="163" spans="1:9">
      <c r="A163" s="188">
        <v>14</v>
      </c>
      <c r="B163" t="s">
        <v>267</v>
      </c>
      <c r="C163" t="s">
        <v>355</v>
      </c>
      <c r="D163" t="s">
        <v>387</v>
      </c>
      <c r="E163" s="188">
        <v>400</v>
      </c>
      <c r="F163" s="188" t="s">
        <v>453</v>
      </c>
      <c r="G163" s="188">
        <v>1.05</v>
      </c>
      <c r="H163" s="188"/>
      <c r="I163" s="188"/>
    </row>
    <row r="164" spans="1:9">
      <c r="A164" s="188">
        <v>15</v>
      </c>
      <c r="B164" t="s">
        <v>267</v>
      </c>
      <c r="C164" t="s">
        <v>355</v>
      </c>
      <c r="D164" t="s">
        <v>388</v>
      </c>
      <c r="E164" s="188">
        <v>35</v>
      </c>
      <c r="F164" s="188" t="s">
        <v>453</v>
      </c>
      <c r="G164" s="188">
        <v>1.05</v>
      </c>
      <c r="H164" s="188"/>
      <c r="I164" s="188"/>
    </row>
    <row r="165" spans="1:9">
      <c r="A165" s="188">
        <v>16</v>
      </c>
      <c r="B165" t="s">
        <v>267</v>
      </c>
      <c r="C165" t="s">
        <v>355</v>
      </c>
      <c r="D165" t="s">
        <v>389</v>
      </c>
      <c r="E165" s="188">
        <v>1000</v>
      </c>
      <c r="F165" s="188" t="s">
        <v>453</v>
      </c>
      <c r="G165" s="188">
        <v>1.05</v>
      </c>
      <c r="H165" s="188"/>
      <c r="I165" s="188"/>
    </row>
    <row r="166" spans="1:9">
      <c r="A166" s="188">
        <v>17</v>
      </c>
      <c r="B166" t="s">
        <v>267</v>
      </c>
      <c r="C166" t="s">
        <v>355</v>
      </c>
      <c r="D166" t="s">
        <v>390</v>
      </c>
      <c r="E166" s="188">
        <v>3500</v>
      </c>
      <c r="F166" s="188" t="s">
        <v>453</v>
      </c>
      <c r="G166" s="188">
        <v>1.05</v>
      </c>
      <c r="H166" s="188"/>
      <c r="I166" s="188"/>
    </row>
    <row r="167" spans="1:9">
      <c r="A167" s="188">
        <v>18</v>
      </c>
      <c r="B167" t="s">
        <v>267</v>
      </c>
      <c r="C167" t="s">
        <v>355</v>
      </c>
      <c r="D167" t="s">
        <v>391</v>
      </c>
      <c r="E167" s="188">
        <v>3500</v>
      </c>
      <c r="F167" s="188" t="s">
        <v>453</v>
      </c>
      <c r="G167" s="188">
        <v>1.05</v>
      </c>
      <c r="H167" s="188"/>
      <c r="I167" s="188"/>
    </row>
    <row r="168" spans="1:9">
      <c r="A168" s="188">
        <v>19</v>
      </c>
      <c r="B168" t="s">
        <v>267</v>
      </c>
      <c r="C168" t="s">
        <v>355</v>
      </c>
      <c r="D168" t="s">
        <v>392</v>
      </c>
      <c r="E168" s="188">
        <v>500</v>
      </c>
      <c r="F168" s="188" t="s">
        <v>453</v>
      </c>
      <c r="G168" s="188">
        <v>1.05</v>
      </c>
      <c r="H168" s="188"/>
      <c r="I168" s="188"/>
    </row>
    <row r="169" spans="1:9">
      <c r="A169" s="188">
        <v>20</v>
      </c>
      <c r="B169" t="s">
        <v>267</v>
      </c>
      <c r="C169" t="s">
        <v>355</v>
      </c>
      <c r="D169" t="s">
        <v>393</v>
      </c>
      <c r="E169" s="188">
        <v>200</v>
      </c>
      <c r="F169" s="188" t="s">
        <v>453</v>
      </c>
      <c r="G169" s="188">
        <v>1.05</v>
      </c>
      <c r="H169" s="188"/>
      <c r="I169" s="188"/>
    </row>
    <row r="170" spans="1:9">
      <c r="A170" s="188">
        <v>21</v>
      </c>
      <c r="B170" t="s">
        <v>267</v>
      </c>
      <c r="C170" t="s">
        <v>355</v>
      </c>
      <c r="D170" t="s">
        <v>394</v>
      </c>
      <c r="E170" s="188">
        <v>4000</v>
      </c>
      <c r="F170" s="188" t="s">
        <v>453</v>
      </c>
      <c r="G170" s="188">
        <v>1.05</v>
      </c>
      <c r="H170" s="188"/>
      <c r="I170" s="188"/>
    </row>
    <row r="171" spans="1:9">
      <c r="A171" s="188">
        <v>22</v>
      </c>
      <c r="B171" t="s">
        <v>267</v>
      </c>
      <c r="C171" t="s">
        <v>355</v>
      </c>
      <c r="D171" t="s">
        <v>395</v>
      </c>
      <c r="E171" s="188">
        <v>450</v>
      </c>
      <c r="F171" s="188" t="s">
        <v>453</v>
      </c>
      <c r="G171" s="188">
        <v>1.05</v>
      </c>
      <c r="H171" s="188"/>
      <c r="I171" s="188"/>
    </row>
    <row r="172" spans="1:9">
      <c r="A172" s="188">
        <v>23</v>
      </c>
      <c r="B172" t="s">
        <v>267</v>
      </c>
      <c r="C172" t="s">
        <v>355</v>
      </c>
      <c r="D172" t="s">
        <v>396</v>
      </c>
      <c r="E172" s="188">
        <v>17.5</v>
      </c>
      <c r="F172" s="188" t="s">
        <v>453</v>
      </c>
      <c r="G172" s="188">
        <v>1.05</v>
      </c>
      <c r="H172" s="188"/>
      <c r="I172" s="188"/>
    </row>
    <row r="173" spans="1:9">
      <c r="A173" s="188">
        <v>24</v>
      </c>
      <c r="B173" t="s">
        <v>267</v>
      </c>
      <c r="C173" t="s">
        <v>355</v>
      </c>
      <c r="D173" t="s">
        <v>385</v>
      </c>
      <c r="E173" s="188">
        <v>150</v>
      </c>
      <c r="F173" s="188" t="s">
        <v>453</v>
      </c>
      <c r="G173" s="188">
        <v>1.05</v>
      </c>
      <c r="H173" s="188"/>
      <c r="I173" s="188"/>
    </row>
    <row r="174" spans="1:9">
      <c r="A174" s="188">
        <v>25</v>
      </c>
      <c r="B174" t="s">
        <v>267</v>
      </c>
      <c r="C174" t="s">
        <v>355</v>
      </c>
      <c r="D174" t="s">
        <v>397</v>
      </c>
      <c r="E174" s="188">
        <v>100</v>
      </c>
      <c r="F174" s="188" t="s">
        <v>453</v>
      </c>
      <c r="G174" s="188">
        <v>1.05</v>
      </c>
      <c r="H174" s="188"/>
      <c r="I174" s="188"/>
    </row>
    <row r="175" spans="1:9">
      <c r="A175" s="188">
        <v>26</v>
      </c>
      <c r="B175" t="s">
        <v>267</v>
      </c>
      <c r="C175" t="s">
        <v>355</v>
      </c>
      <c r="D175" t="s">
        <v>398</v>
      </c>
      <c r="E175" s="188">
        <v>300</v>
      </c>
      <c r="F175" s="188" t="s">
        <v>453</v>
      </c>
      <c r="G175" s="188">
        <v>1.05</v>
      </c>
      <c r="H175" s="188"/>
      <c r="I175" s="188"/>
    </row>
    <row r="176" spans="1:9">
      <c r="A176" s="188">
        <v>27</v>
      </c>
      <c r="B176" t="s">
        <v>267</v>
      </c>
      <c r="C176" t="s">
        <v>355</v>
      </c>
      <c r="D176" t="s">
        <v>399</v>
      </c>
      <c r="E176" s="188">
        <v>350</v>
      </c>
      <c r="F176" s="188" t="s">
        <v>453</v>
      </c>
      <c r="G176" s="188">
        <v>1.05</v>
      </c>
      <c r="H176" s="188"/>
      <c r="I176" s="188"/>
    </row>
    <row r="177" spans="1:9">
      <c r="A177" s="188">
        <v>28</v>
      </c>
      <c r="B177" t="s">
        <v>275</v>
      </c>
      <c r="C177" t="s">
        <v>360</v>
      </c>
      <c r="D177" t="s">
        <v>373</v>
      </c>
      <c r="E177" s="188">
        <v>13.4</v>
      </c>
      <c r="F177" s="188" t="s">
        <v>463</v>
      </c>
      <c r="G177" s="188">
        <v>1.2</v>
      </c>
      <c r="H177" s="188"/>
      <c r="I177" s="188"/>
    </row>
    <row r="178" spans="1:9">
      <c r="A178" s="188">
        <v>29</v>
      </c>
      <c r="B178" t="s">
        <v>275</v>
      </c>
      <c r="C178" t="s">
        <v>360</v>
      </c>
      <c r="D178" t="s">
        <v>376</v>
      </c>
      <c r="E178" s="188">
        <v>3</v>
      </c>
      <c r="F178" s="188" t="s">
        <v>453</v>
      </c>
      <c r="G178" s="188">
        <v>1.05</v>
      </c>
      <c r="H178" s="188"/>
      <c r="I178" s="188"/>
    </row>
    <row r="179" spans="1:9">
      <c r="A179" s="188">
        <v>30</v>
      </c>
      <c r="B179" t="s">
        <v>269</v>
      </c>
      <c r="C179" t="s">
        <v>356</v>
      </c>
      <c r="D179" t="s">
        <v>459</v>
      </c>
      <c r="E179" s="188">
        <v>9</v>
      </c>
      <c r="F179" s="188" t="s">
        <v>460</v>
      </c>
      <c r="G179" s="188">
        <v>1</v>
      </c>
      <c r="H179" s="188"/>
      <c r="I179" s="188"/>
    </row>
    <row r="180" spans="1:9">
      <c r="A180" s="188">
        <v>31</v>
      </c>
      <c r="B180" t="s">
        <v>269</v>
      </c>
      <c r="C180" t="s">
        <v>356</v>
      </c>
      <c r="D180" t="s">
        <v>462</v>
      </c>
      <c r="E180" s="188">
        <v>51</v>
      </c>
      <c r="F180" s="188" t="s">
        <v>463</v>
      </c>
      <c r="G180" s="188">
        <v>1.05</v>
      </c>
      <c r="H180" s="188"/>
      <c r="I180" s="188"/>
    </row>
    <row r="181" spans="1:9">
      <c r="A181" s="188">
        <v>32</v>
      </c>
      <c r="B181" t="s">
        <v>269</v>
      </c>
      <c r="C181" t="s">
        <v>356</v>
      </c>
      <c r="D181" t="s">
        <v>464</v>
      </c>
      <c r="E181" s="188">
        <v>30</v>
      </c>
      <c r="F181" s="188" t="s">
        <v>460</v>
      </c>
      <c r="G181" s="188">
        <v>1</v>
      </c>
      <c r="H181" s="188"/>
      <c r="I181" s="188"/>
    </row>
    <row r="182" spans="1:9">
      <c r="A182" s="188">
        <v>33</v>
      </c>
      <c r="B182" t="s">
        <v>279</v>
      </c>
      <c r="C182" t="s">
        <v>361</v>
      </c>
      <c r="D182" t="s">
        <v>459</v>
      </c>
      <c r="E182" s="188">
        <v>6</v>
      </c>
      <c r="F182" s="188" t="s">
        <v>460</v>
      </c>
      <c r="G182" s="188">
        <v>1</v>
      </c>
      <c r="H182" s="188"/>
      <c r="I182" s="188"/>
    </row>
    <row r="183" spans="1:9">
      <c r="A183" s="188">
        <v>34</v>
      </c>
      <c r="B183" t="s">
        <v>279</v>
      </c>
      <c r="C183" t="s">
        <v>361</v>
      </c>
      <c r="D183" t="s">
        <v>462</v>
      </c>
      <c r="E183" s="188">
        <v>25</v>
      </c>
      <c r="F183" s="188" t="s">
        <v>463</v>
      </c>
      <c r="G183" s="188">
        <v>1.05</v>
      </c>
      <c r="H183" s="188"/>
      <c r="I183" s="188"/>
    </row>
    <row r="184" spans="1:9">
      <c r="A184" s="188">
        <v>35</v>
      </c>
      <c r="B184" t="s">
        <v>279</v>
      </c>
      <c r="C184" t="s">
        <v>361</v>
      </c>
      <c r="D184" t="s">
        <v>466</v>
      </c>
      <c r="E184" s="188">
        <v>21</v>
      </c>
      <c r="F184" s="188" t="s">
        <v>463</v>
      </c>
      <c r="G184" s="188">
        <v>1.2</v>
      </c>
      <c r="H184" s="188"/>
      <c r="I184" s="188"/>
    </row>
    <row r="185" spans="1:9">
      <c r="A185" s="188">
        <v>36</v>
      </c>
      <c r="B185" t="s">
        <v>267</v>
      </c>
      <c r="C185" t="s">
        <v>355</v>
      </c>
      <c r="D185" t="s">
        <v>495</v>
      </c>
      <c r="E185" s="188">
        <v>81</v>
      </c>
      <c r="F185" s="188" t="s">
        <v>463</v>
      </c>
      <c r="G185" s="188">
        <v>1.2</v>
      </c>
      <c r="H185" s="188"/>
      <c r="I185" s="188"/>
    </row>
    <row r="186" spans="1:9">
      <c r="A186" s="188"/>
      <c r="E186" s="188"/>
      <c r="F186" s="188"/>
      <c r="G186" s="188"/>
      <c r="H186" s="188"/>
      <c r="I186" s="188"/>
    </row>
    <row r="189" spans="1:9">
      <c r="A189" t="s">
        <v>496</v>
      </c>
    </row>
    <row r="190" spans="1:9">
      <c r="A190" t="s">
        <v>487</v>
      </c>
      <c r="B190" t="s">
        <v>488</v>
      </c>
      <c r="C190" t="s">
        <v>201</v>
      </c>
      <c r="D190" t="s">
        <v>489</v>
      </c>
      <c r="E190" t="s">
        <v>490</v>
      </c>
      <c r="F190" t="s">
        <v>491</v>
      </c>
      <c r="G190" t="s">
        <v>492</v>
      </c>
    </row>
    <row r="191" spans="1:9">
      <c r="A191" t="s">
        <v>493</v>
      </c>
      <c r="B191">
        <v>150</v>
      </c>
      <c r="C191">
        <v>1</v>
      </c>
      <c r="D191">
        <v>1</v>
      </c>
      <c r="E191">
        <f>IF(IFERROR(SEARCH(EMLThresholdsv2p[[#This Row],[Thresholds]],v2p_Light!$C$181),0)&gt;0,EMLThresholdsv2p[[#This Row],[Thresholds]],0)</f>
        <v>0</v>
      </c>
      <c r="F191" t="e">
        <f>v2p_Light!$E$181*1.05</f>
        <v>#NUM!</v>
      </c>
      <c r="G191" t="str" cm="1">
        <f t="array" ref="G191">IF(EMLThresholdsv2p[[#This Row],[Attempting]]&gt;0,IF(IsTypeCore="Yes",EMLThresholdsv2p[[#This Row],[PointsCore]],EMLThresholdsv2p[[#This Row],[Points]]),"")</f>
        <v/>
      </c>
    </row>
    <row r="192" spans="1:9" ht="28.8">
      <c r="A192" s="202" t="s">
        <v>497</v>
      </c>
      <c r="B192">
        <v>240</v>
      </c>
      <c r="C192">
        <v>3</v>
      </c>
      <c r="D192">
        <v>3</v>
      </c>
      <c r="E192">
        <f>IF(IFERROR(SEARCH(EMLThresholdsv2p[[#This Row],[Thresholds]],v2p_Light!$C$181),0)&gt;0,EMLThresholdsv2p[[#This Row],[Thresholds]],0)</f>
        <v>0</v>
      </c>
      <c r="F192" t="e">
        <f>v2p_Light!$E$181*1.05</f>
        <v>#NUM!</v>
      </c>
      <c r="G192" t="str" cm="1">
        <f t="array" ref="G192">IF(EMLThresholdsv2p[[#This Row],[Attempting]]&gt;0,IF(IsTypeCore="Yes",EMLThresholdsv2p[[#This Row],[PointsCore]],EMLThresholdsv2p[[#This Row],[Points]]),"")</f>
        <v/>
      </c>
    </row>
    <row r="193" spans="1:7" ht="57.6">
      <c r="A193" s="202" t="s">
        <v>498</v>
      </c>
      <c r="B193">
        <v>120</v>
      </c>
      <c r="C193">
        <v>1</v>
      </c>
      <c r="D193">
        <v>1</v>
      </c>
      <c r="E193">
        <f>IF(IFERROR(SEARCH(EMLThresholdsv2p[[#This Row],[Thresholds]],v2p_Light!$C$181),0)&gt;0,EMLThresholdsv2p[[#This Row],[Thresholds]],0)</f>
        <v>0</v>
      </c>
      <c r="F193" t="e">
        <f>v2p_Light!$E$181*1.05</f>
        <v>#NUM!</v>
      </c>
      <c r="G193" t="str" cm="1">
        <f t="array" ref="G193">IF(EMLThresholdsv2p[[#This Row],[Attempting]]&gt;0,IF(IsTypeCore="Yes",EMLThresholdsv2p[[#This Row],[PointsCore]],EMLThresholdsv2p[[#This Row],[Points]]),"")</f>
        <v/>
      </c>
    </row>
    <row r="194" spans="1:7" ht="57.6">
      <c r="A194" s="202" t="s">
        <v>499</v>
      </c>
      <c r="B194">
        <v>180</v>
      </c>
      <c r="C194">
        <v>3</v>
      </c>
      <c r="D194">
        <v>3</v>
      </c>
      <c r="E194">
        <f>IF(IFERROR(SEARCH(EMLThresholdsv2p[[#This Row],[Thresholds]],v2p_Light!$C$181),0)&gt;0,EMLThresholdsv2p[[#This Row],[Thresholds]],0)</f>
        <v>0</v>
      </c>
      <c r="F194" t="e">
        <f>v2p_Light!$E$181*1.05</f>
        <v>#NUM!</v>
      </c>
      <c r="G194" t="str" cm="1">
        <f t="array" ref="G194">IF(EMLThresholdsv2p[[#This Row],[Attempting]]&gt;0,IF(IsTypeCore="Yes",EMLThresholdsv2p[[#This Row],[PointsCore]],EMLThresholdsv2p[[#This Row],[Points]]),"")</f>
        <v/>
      </c>
    </row>
    <row r="199" spans="1:7">
      <c r="A199" t="s">
        <v>521</v>
      </c>
    </row>
    <row r="200" spans="1:7">
      <c r="A200" t="s">
        <v>529</v>
      </c>
      <c r="B200" t="s">
        <v>517</v>
      </c>
      <c r="C200" t="s">
        <v>518</v>
      </c>
    </row>
    <row r="201" spans="1:7" ht="57.6">
      <c r="A201" s="202" t="s">
        <v>514</v>
      </c>
      <c r="B201" s="202" t="s">
        <v>515</v>
      </c>
      <c r="C201" s="202" t="s">
        <v>516</v>
      </c>
    </row>
    <row r="202" spans="1:7" ht="57.6">
      <c r="A202" s="202" t="s">
        <v>530</v>
      </c>
      <c r="B202" s="202" t="s">
        <v>519</v>
      </c>
      <c r="C202" s="202" t="s">
        <v>520</v>
      </c>
    </row>
    <row r="205" spans="1:7">
      <c r="A205" t="s">
        <v>522</v>
      </c>
    </row>
    <row r="206" spans="1:7">
      <c r="A206" t="s">
        <v>523</v>
      </c>
      <c r="B206" t="s">
        <v>524</v>
      </c>
    </row>
    <row r="207" spans="1:7" ht="28.8">
      <c r="A207" s="202" t="s">
        <v>525</v>
      </c>
      <c r="B207" s="202" t="s">
        <v>527</v>
      </c>
    </row>
    <row r="208" spans="1:7" ht="28.8">
      <c r="A208" s="202" t="s">
        <v>526</v>
      </c>
      <c r="B208" s="202" t="s">
        <v>528</v>
      </c>
    </row>
  </sheetData>
  <mergeCells count="1">
    <mergeCell ref="A34:C34"/>
  </mergeCells>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5C1B4-6A0A-4113-B7A9-66FD625F5D22}">
  <sheetPr codeName="Sheet17" filterMode="1">
    <tabColor rgb="FF7030A0"/>
  </sheetPr>
  <dimension ref="A1:U118"/>
  <sheetViews>
    <sheetView view="pageBreakPreview" zoomScale="90" zoomScaleNormal="70" zoomScaleSheetLayoutView="90" workbookViewId="0">
      <selection activeCell="D53" sqref="D52:D53"/>
    </sheetView>
  </sheetViews>
  <sheetFormatPr defaultColWidth="8.88671875" defaultRowHeight="18"/>
  <cols>
    <col min="1" max="1" width="4" style="1" customWidth="1"/>
    <col min="2" max="2" width="10.6640625" style="1" customWidth="1"/>
    <col min="3" max="3" width="16.6640625" style="3" bestFit="1" customWidth="1"/>
    <col min="4" max="4" width="40.6640625" style="4" customWidth="1"/>
    <col min="5" max="9" width="12.6640625" style="3" customWidth="1"/>
    <col min="10" max="16" width="12.6640625" style="1" customWidth="1"/>
    <col min="17" max="17" width="1.6640625" style="1" customWidth="1"/>
    <col min="18" max="18" width="2.5546875" style="1" customWidth="1"/>
    <col min="19" max="19" width="40.44140625" style="3" customWidth="1"/>
    <col min="20" max="20" width="14" style="1" customWidth="1"/>
    <col min="21" max="21" width="70" style="2" customWidth="1"/>
    <col min="22" max="16384" width="8.88671875" style="1"/>
  </cols>
  <sheetData>
    <row r="1" spans="1:21" customFormat="1" ht="45" customHeight="1">
      <c r="A1" s="923"/>
      <c r="B1" s="923"/>
      <c r="C1" s="923"/>
      <c r="D1" s="923"/>
      <c r="E1" s="923"/>
      <c r="F1" s="923"/>
      <c r="G1" s="923"/>
      <c r="H1" s="923"/>
      <c r="I1" s="923"/>
      <c r="J1" s="923"/>
      <c r="K1" s="923"/>
      <c r="L1" s="923"/>
      <c r="M1" s="923"/>
      <c r="N1" s="923"/>
      <c r="O1" s="923"/>
      <c r="P1" s="923"/>
      <c r="Q1" s="55"/>
      <c r="R1" s="55"/>
      <c r="S1" s="55"/>
      <c r="U1" s="54"/>
    </row>
    <row r="2" spans="1:21" s="44" customFormat="1" ht="39.9" customHeight="1">
      <c r="A2" s="919" t="str">
        <f>Overview!C1</f>
        <v>2202025410 - Accenture - Assago Milanofiori U1</v>
      </c>
      <c r="B2" s="919"/>
      <c r="C2" s="919"/>
      <c r="D2" s="919"/>
      <c r="E2" s="919"/>
      <c r="F2" s="919"/>
      <c r="G2" s="919"/>
      <c r="H2" s="919"/>
      <c r="I2" s="919"/>
      <c r="J2" s="919"/>
      <c r="K2" s="919"/>
      <c r="L2" s="919"/>
      <c r="M2" s="919"/>
      <c r="N2" s="919"/>
      <c r="O2" s="919"/>
      <c r="P2" s="919"/>
      <c r="S2" s="3"/>
      <c r="U2" s="54" t="s">
        <v>57</v>
      </c>
    </row>
    <row r="3" spans="1:21" ht="30" customHeight="1">
      <c r="A3" s="51"/>
      <c r="B3" s="51"/>
      <c r="C3" s="52"/>
      <c r="D3" s="53"/>
      <c r="E3" s="52"/>
      <c r="F3" s="52"/>
      <c r="G3" s="52"/>
      <c r="H3" s="52"/>
      <c r="I3" s="52"/>
      <c r="J3" s="51"/>
      <c r="K3" s="51"/>
      <c r="L3" s="51"/>
      <c r="M3" s="51"/>
      <c r="N3" s="51"/>
      <c r="O3" s="51"/>
      <c r="P3" s="51"/>
      <c r="Q3" s="44"/>
      <c r="R3" s="44"/>
      <c r="S3" s="203" t="s">
        <v>56</v>
      </c>
      <c r="U3" s="50"/>
    </row>
    <row r="4" spans="1:21" ht="31.2">
      <c r="B4" s="920" t="s">
        <v>55</v>
      </c>
      <c r="C4" s="921"/>
      <c r="D4" s="921"/>
      <c r="E4" s="921"/>
      <c r="F4" s="921"/>
      <c r="G4" s="921"/>
      <c r="H4" s="921"/>
      <c r="I4" s="921"/>
      <c r="J4" s="921"/>
      <c r="K4" s="921"/>
      <c r="L4" s="921"/>
      <c r="M4" s="921"/>
      <c r="N4" s="921"/>
      <c r="O4" s="921"/>
      <c r="P4" s="922"/>
      <c r="Q4" s="44"/>
      <c r="R4" s="44"/>
      <c r="S4" s="3" t="s">
        <v>500</v>
      </c>
    </row>
    <row r="5" spans="1:21" ht="24" customHeight="1">
      <c r="B5" s="11"/>
      <c r="C5" s="905" t="s">
        <v>54</v>
      </c>
      <c r="D5" s="905"/>
      <c r="E5" s="905"/>
      <c r="F5" s="905"/>
      <c r="G5" s="905"/>
      <c r="H5" s="905"/>
      <c r="I5" s="905"/>
      <c r="J5" s="905"/>
      <c r="K5" s="905"/>
      <c r="L5" s="905"/>
      <c r="M5" s="905"/>
      <c r="N5" s="905"/>
      <c r="O5" s="905"/>
      <c r="P5" s="906"/>
      <c r="Q5" s="44"/>
      <c r="R5" s="44"/>
      <c r="S5" s="3" t="s">
        <v>500</v>
      </c>
      <c r="U5" s="904" t="s">
        <v>510</v>
      </c>
    </row>
    <row r="6" spans="1:21" ht="41.4" customHeight="1">
      <c r="B6" s="927"/>
      <c r="C6" s="32"/>
      <c r="D6" s="49"/>
      <c r="E6" s="924" t="s">
        <v>53</v>
      </c>
      <c r="F6" s="925"/>
      <c r="G6" s="925"/>
      <c r="H6" s="926"/>
      <c r="I6" s="30"/>
      <c r="J6" s="30"/>
      <c r="K6" s="30"/>
      <c r="L6" s="30"/>
      <c r="M6" s="30"/>
      <c r="N6" s="30"/>
      <c r="O6" s="30"/>
      <c r="P6" s="29"/>
      <c r="Q6" s="44"/>
      <c r="R6" s="44"/>
      <c r="S6" s="3" t="s">
        <v>500</v>
      </c>
      <c r="U6" s="904"/>
    </row>
    <row r="7" spans="1:21" ht="32.1" customHeight="1">
      <c r="B7" s="927"/>
      <c r="C7" s="48"/>
      <c r="D7" s="47"/>
      <c r="E7" s="12" t="s">
        <v>21</v>
      </c>
      <c r="F7" s="12" t="s">
        <v>20</v>
      </c>
      <c r="G7" s="907" t="s">
        <v>10</v>
      </c>
      <c r="H7" s="908"/>
      <c r="I7" s="204"/>
      <c r="J7" s="204"/>
      <c r="K7" s="204"/>
      <c r="L7" s="204"/>
      <c r="M7" s="204"/>
      <c r="N7" s="204"/>
      <c r="O7" s="204"/>
      <c r="P7" s="28"/>
      <c r="Q7" s="44"/>
      <c r="R7" s="44"/>
      <c r="S7" s="3" t="s">
        <v>500</v>
      </c>
      <c r="U7" s="904"/>
    </row>
    <row r="8" spans="1:21" s="232" customFormat="1" ht="24" customHeight="1">
      <c r="B8" s="927"/>
      <c r="C8" s="12" t="s">
        <v>49</v>
      </c>
      <c r="D8" s="13" t="s">
        <v>37</v>
      </c>
      <c r="E8" s="14" t="str">
        <f>_xlfn.CONCAT(INDEX(v2pAirThresholds[Max],1,1)," (",INDEX(v2pAirThresholds[Max],1,1)*INDEX(v2pAirThresholds[Percent Tolerance],1,1),")")</f>
        <v>15 (18)</v>
      </c>
      <c r="F8" s="14" t="str">
        <f>_xlfn.CONCAT(INDEX(v2pAirThresholds[Max],2,1)," (",INDEX(v2pAirThresholds[Max],2,1)*INDEX(v2pAirThresholds[Percent Tolerance],2,1),")")</f>
        <v>50 (60)</v>
      </c>
      <c r="G8" s="13" t="s">
        <v>52</v>
      </c>
      <c r="H8" s="13" t="s">
        <v>51</v>
      </c>
      <c r="I8" s="27" t="s">
        <v>1</v>
      </c>
      <c r="J8" s="233"/>
      <c r="K8" s="233"/>
      <c r="L8" s="233"/>
      <c r="M8" s="233"/>
      <c r="N8" s="233"/>
      <c r="O8" s="233"/>
      <c r="P8" s="234"/>
      <c r="Q8" s="4"/>
      <c r="R8" s="4"/>
      <c r="S8" s="3" t="s">
        <v>500</v>
      </c>
      <c r="U8" s="904"/>
    </row>
    <row r="9" spans="1:21" s="232" customFormat="1" ht="20.100000000000001" customHeight="1">
      <c r="B9" s="927"/>
      <c r="C9" s="10">
        <v>1</v>
      </c>
      <c r="D9" s="6" t="s">
        <v>532</v>
      </c>
      <c r="E9" s="8">
        <v>3</v>
      </c>
      <c r="F9" s="8">
        <v>10.3</v>
      </c>
      <c r="G9" s="23" t="str">
        <f>IF($D9&lt;&gt;"",IF($E9&lt;= INDEX(v2pAirThresholds[Max],1,1),"No",IF($E9&lt;=INDEX(v2pAirThresholds[Max],1,1)*INDEX(v2pAirThresholds[Percent Tolerance],1,1),"Yes","Over")),"")</f>
        <v>No</v>
      </c>
      <c r="H9" s="23" t="str">
        <f>IF($D9&lt;&gt;"",IF($F9&lt;= INDEX(v2pAirThresholds[Max],2,1),"No",IF($F9&lt;=INDEX(v2pAirThresholds[Max],2,1)*INDEX(v2pAirThresholds[Percent Tolerance],2,1),"Yes","Over")),"")</f>
        <v>No</v>
      </c>
      <c r="I9" s="190" t="s">
        <v>1456</v>
      </c>
      <c r="J9" s="233"/>
      <c r="K9" s="233"/>
      <c r="L9" s="233"/>
      <c r="M9" s="233"/>
      <c r="N9" s="233"/>
      <c r="O9" s="233"/>
      <c r="P9" s="234"/>
      <c r="Q9" s="4"/>
      <c r="R9" s="4"/>
      <c r="S9" s="3" t="str">
        <f>IF(C9&lt;&gt;"","Show","Hide")</f>
        <v>Show</v>
      </c>
      <c r="U9" s="904"/>
    </row>
    <row r="10" spans="1:21" s="232" customFormat="1" ht="20.100000000000001" customHeight="1">
      <c r="B10" s="927"/>
      <c r="C10" s="10">
        <v>2</v>
      </c>
      <c r="D10" s="6" t="s">
        <v>533</v>
      </c>
      <c r="E10" s="8">
        <v>2.9</v>
      </c>
      <c r="F10" s="8">
        <v>10</v>
      </c>
      <c r="G10" s="23" t="str">
        <f>IF($D10&lt;&gt;"",IF($E10&lt;= INDEX(v2pAirThresholds[Max],1,1),"No",IF($E10&lt;=INDEX(v2pAirThresholds[Max],1,1)*INDEX(v2pAirThresholds[Percent Tolerance],1,1),"Yes","Over")),"")</f>
        <v>No</v>
      </c>
      <c r="H10" s="23" t="str">
        <f>IF($D10&lt;&gt;"",IF($F10&lt;= INDEX(v2pAirThresholds[Max],2,1),"No",IF($F10&lt;=INDEX(v2pAirThresholds[Max],2,1)*INDEX(v2pAirThresholds[Percent Tolerance],2,1),"Yes","Over")),"")</f>
        <v>No</v>
      </c>
      <c r="I10" s="190" t="s">
        <v>1456</v>
      </c>
      <c r="J10" s="233"/>
      <c r="K10" s="233"/>
      <c r="L10" s="233"/>
      <c r="M10" s="233"/>
      <c r="N10" s="233"/>
      <c r="O10" s="233"/>
      <c r="P10" s="234"/>
      <c r="Q10" s="4"/>
      <c r="R10" s="4"/>
      <c r="S10" s="3" t="str">
        <f t="shared" ref="S10:S18" si="0">IF(C10&lt;&gt;"","Show","Hide")</f>
        <v>Show</v>
      </c>
      <c r="U10" s="904"/>
    </row>
    <row r="11" spans="1:21" s="232" customFormat="1" ht="20.100000000000001" customHeight="1">
      <c r="B11" s="927"/>
      <c r="C11" s="10">
        <v>3</v>
      </c>
      <c r="D11" s="6" t="s">
        <v>534</v>
      </c>
      <c r="E11" s="8">
        <v>2.1</v>
      </c>
      <c r="F11" s="8">
        <v>9.9</v>
      </c>
      <c r="G11" s="23" t="str">
        <f>IF($D11&lt;&gt;"",IF($E11&lt;= INDEX(v2pAirThresholds[Max],1,1),"No",IF($E11&lt;=INDEX(v2pAirThresholds[Max],1,1)*INDEX(v2pAirThresholds[Percent Tolerance],1,1),"Yes","Over")),"")</f>
        <v>No</v>
      </c>
      <c r="H11" s="23" t="str">
        <f>IF($D11&lt;&gt;"",IF($F11&lt;= INDEX(v2pAirThresholds[Max],2,1),"No",IF($F11&lt;=INDEX(v2pAirThresholds[Max],2,1)*INDEX(v2pAirThresholds[Percent Tolerance],2,1),"Yes","Over")),"")</f>
        <v>No</v>
      </c>
      <c r="I11" s="190" t="s">
        <v>1456</v>
      </c>
      <c r="J11" s="233"/>
      <c r="K11" s="233"/>
      <c r="L11" s="233"/>
      <c r="M11" s="233"/>
      <c r="N11" s="233"/>
      <c r="O11" s="233"/>
      <c r="P11" s="234"/>
      <c r="Q11" s="4"/>
      <c r="R11" s="4"/>
      <c r="S11" s="3" t="str">
        <f t="shared" si="0"/>
        <v>Show</v>
      </c>
      <c r="U11" s="904"/>
    </row>
    <row r="12" spans="1:21" s="232" customFormat="1" ht="20.100000000000001" customHeight="1">
      <c r="B12" s="927"/>
      <c r="C12" s="10">
        <v>4</v>
      </c>
      <c r="D12" s="6" t="s">
        <v>535</v>
      </c>
      <c r="E12" s="8">
        <v>1.2</v>
      </c>
      <c r="F12" s="8">
        <v>1.6</v>
      </c>
      <c r="G12" s="23" t="str">
        <f>IF($D12&lt;&gt;"",IF($E12&lt;= INDEX(v2pAirThresholds[Max],1,1),"No",IF($E12&lt;=INDEX(v2pAirThresholds[Max],1,1)*INDEX(v2pAirThresholds[Percent Tolerance],1,1),"Yes","Over")),"")</f>
        <v>No</v>
      </c>
      <c r="H12" s="23" t="str">
        <f>IF($D12&lt;&gt;"",IF($F12&lt;= INDEX(v2pAirThresholds[Max],2,1),"No",IF($F12&lt;=INDEX(v2pAirThresholds[Max],2,1)*INDEX(v2pAirThresholds[Percent Tolerance],2,1),"Yes","Over")),"")</f>
        <v>No</v>
      </c>
      <c r="I12" s="190" t="s">
        <v>1456</v>
      </c>
      <c r="J12" s="233"/>
      <c r="K12" s="233"/>
      <c r="L12" s="233"/>
      <c r="M12" s="233"/>
      <c r="N12" s="233"/>
      <c r="O12" s="233"/>
      <c r="P12" s="234"/>
      <c r="Q12" s="4"/>
      <c r="R12" s="4"/>
      <c r="S12" s="3" t="str">
        <f t="shared" si="0"/>
        <v>Show</v>
      </c>
      <c r="U12" s="904"/>
    </row>
    <row r="13" spans="1:21" s="232" customFormat="1" ht="20.100000000000001" customHeight="1">
      <c r="B13" s="927"/>
      <c r="C13" s="10">
        <v>5</v>
      </c>
      <c r="D13" s="6" t="s">
        <v>536</v>
      </c>
      <c r="E13" s="8">
        <v>0.9</v>
      </c>
      <c r="F13" s="8">
        <v>1.5</v>
      </c>
      <c r="G13" s="23" t="str">
        <f>IF($D13&lt;&gt;"",IF($E13&lt;= INDEX(v2pAirThresholds[Max],1,1),"No",IF($E13&lt;=INDEX(v2pAirThresholds[Max],1,1)*INDEX(v2pAirThresholds[Percent Tolerance],1,1),"Yes","Over")),"")</f>
        <v>No</v>
      </c>
      <c r="H13" s="23" t="str">
        <f>IF($D13&lt;&gt;"",IF($F13&lt;= INDEX(v2pAirThresholds[Max],2,1),"No",IF($F13&lt;=INDEX(v2pAirThresholds[Max],2,1)*INDEX(v2pAirThresholds[Percent Tolerance],2,1),"Yes","Over")),"")</f>
        <v>No</v>
      </c>
      <c r="I13" s="190" t="s">
        <v>1456</v>
      </c>
      <c r="J13" s="233"/>
      <c r="K13" s="233"/>
      <c r="L13" s="233"/>
      <c r="M13" s="233"/>
      <c r="N13" s="233"/>
      <c r="O13" s="233"/>
      <c r="P13" s="234"/>
      <c r="Q13" s="4"/>
      <c r="R13" s="4"/>
      <c r="S13" s="3" t="str">
        <f t="shared" si="0"/>
        <v>Show</v>
      </c>
      <c r="U13" s="904"/>
    </row>
    <row r="14" spans="1:21" s="232" customFormat="1" ht="20.100000000000001" customHeight="1">
      <c r="B14" s="927"/>
      <c r="C14" s="10">
        <v>6</v>
      </c>
      <c r="D14" s="6" t="s">
        <v>537</v>
      </c>
      <c r="E14" s="8">
        <v>0.9</v>
      </c>
      <c r="F14" s="8">
        <v>2.2000000000000002</v>
      </c>
      <c r="G14" s="23" t="str">
        <f>IF($D14&lt;&gt;"",IF($E14&lt;= INDEX(v2pAirThresholds[Max],1,1),"No",IF($E14&lt;=INDEX(v2pAirThresholds[Max],1,1)*INDEX(v2pAirThresholds[Percent Tolerance],1,1),"Yes","Over")),"")</f>
        <v>No</v>
      </c>
      <c r="H14" s="23" t="str">
        <f>IF($D14&lt;&gt;"",IF($F14&lt;= INDEX(v2pAirThresholds[Max],2,1),"No",IF($F14&lt;=INDEX(v2pAirThresholds[Max],2,1)*INDEX(v2pAirThresholds[Percent Tolerance],2,1),"Yes","Over")),"")</f>
        <v>No</v>
      </c>
      <c r="I14" s="190" t="s">
        <v>1456</v>
      </c>
      <c r="J14" s="233"/>
      <c r="K14" s="233"/>
      <c r="L14" s="233"/>
      <c r="M14" s="233"/>
      <c r="N14" s="233"/>
      <c r="O14" s="233"/>
      <c r="P14" s="234"/>
      <c r="Q14" s="4"/>
      <c r="R14" s="4"/>
      <c r="S14" s="3" t="str">
        <f t="shared" si="0"/>
        <v>Show</v>
      </c>
      <c r="U14" s="904"/>
    </row>
    <row r="15" spans="1:21" s="232" customFormat="1" ht="20.100000000000001" customHeight="1">
      <c r="B15" s="927"/>
      <c r="C15" s="10">
        <v>7</v>
      </c>
      <c r="D15" s="6" t="s">
        <v>538</v>
      </c>
      <c r="E15" s="8">
        <v>1</v>
      </c>
      <c r="F15" s="8">
        <v>2.1</v>
      </c>
      <c r="G15" s="23" t="str">
        <f>IF($D15&lt;&gt;"",IF($E15&lt;= INDEX(v2pAirThresholds[Max],1,1),"No",IF($E15&lt;=INDEX(v2pAirThresholds[Max],1,1)*INDEX(v2pAirThresholds[Percent Tolerance],1,1),"Yes","Over")),"")</f>
        <v>No</v>
      </c>
      <c r="H15" s="23" t="str">
        <f>IF($D15&lt;&gt;"",IF($F15&lt;= INDEX(v2pAirThresholds[Max],2,1),"No",IF($F15&lt;=INDEX(v2pAirThresholds[Max],2,1)*INDEX(v2pAirThresholds[Percent Tolerance],2,1),"Yes","Over")),"")</f>
        <v>No</v>
      </c>
      <c r="I15" s="190" t="s">
        <v>1456</v>
      </c>
      <c r="J15" s="235"/>
      <c r="K15" s="233"/>
      <c r="L15" s="233"/>
      <c r="M15" s="233"/>
      <c r="N15" s="233"/>
      <c r="O15" s="233"/>
      <c r="P15" s="234"/>
      <c r="Q15" s="4"/>
      <c r="R15" s="4"/>
      <c r="S15" s="3" t="str">
        <f t="shared" si="0"/>
        <v>Show</v>
      </c>
      <c r="U15" s="904"/>
    </row>
    <row r="16" spans="1:21" s="232" customFormat="1" ht="20.100000000000001" customHeight="1">
      <c r="B16" s="927"/>
      <c r="C16" s="10">
        <v>8</v>
      </c>
      <c r="D16" s="6" t="s">
        <v>539</v>
      </c>
      <c r="E16" s="8">
        <v>0.8</v>
      </c>
      <c r="F16" s="8">
        <v>0.9</v>
      </c>
      <c r="G16" s="23" t="str">
        <f>IF($D16&lt;&gt;"",IF($E16&lt;= INDEX(v2pAirThresholds[Max],1,1),"No",IF($E16&lt;=INDEX(v2pAirThresholds[Max],1,1)*INDEX(v2pAirThresholds[Percent Tolerance],1,1),"Yes","Over")),"")</f>
        <v>No</v>
      </c>
      <c r="H16" s="23" t="str">
        <f>IF($D16&lt;&gt;"",IF($F16&lt;= INDEX(v2pAirThresholds[Max],2,1),"No",IF($F16&lt;=INDEX(v2pAirThresholds[Max],2,1)*INDEX(v2pAirThresholds[Percent Tolerance],2,1),"Yes","Over")),"")</f>
        <v>No</v>
      </c>
      <c r="I16" s="190" t="s">
        <v>1456</v>
      </c>
      <c r="J16" s="235"/>
      <c r="K16" s="233"/>
      <c r="L16" s="233"/>
      <c r="M16" s="233"/>
      <c r="N16" s="233"/>
      <c r="O16" s="233"/>
      <c r="P16" s="234"/>
      <c r="Q16" s="4"/>
      <c r="R16" s="4"/>
      <c r="S16" s="3" t="str">
        <f t="shared" si="0"/>
        <v>Show</v>
      </c>
      <c r="U16" s="904"/>
    </row>
    <row r="17" spans="2:21" s="232" customFormat="1" ht="20.100000000000001" customHeight="1">
      <c r="B17" s="927"/>
      <c r="C17" s="10">
        <v>9</v>
      </c>
      <c r="D17" s="6" t="s">
        <v>540</v>
      </c>
      <c r="E17" s="8">
        <v>0.7</v>
      </c>
      <c r="F17" s="8">
        <v>1.1000000000000001</v>
      </c>
      <c r="G17" s="23" t="str">
        <f>IF($D17&lt;&gt;"",IF($E17&lt;= INDEX(v2pAirThresholds[Max],1,1),"No",IF($E17&lt;=INDEX(v2pAirThresholds[Max],1,1)*INDEX(v2pAirThresholds[Percent Tolerance],1,1),"Yes","Over")),"")</f>
        <v>No</v>
      </c>
      <c r="H17" s="23" t="str">
        <f>IF($D17&lt;&gt;"",IF($F17&lt;= INDEX(v2pAirThresholds[Max],2,1),"No",IF($F17&lt;=INDEX(v2pAirThresholds[Max],2,1)*INDEX(v2pAirThresholds[Percent Tolerance],2,1),"Yes","Over")),"")</f>
        <v>No</v>
      </c>
      <c r="I17" s="190" t="s">
        <v>1456</v>
      </c>
      <c r="J17" s="235"/>
      <c r="K17" s="233"/>
      <c r="L17" s="233"/>
      <c r="M17" s="233"/>
      <c r="N17" s="233"/>
      <c r="O17" s="233"/>
      <c r="P17" s="234"/>
      <c r="Q17" s="4"/>
      <c r="R17" s="4"/>
      <c r="S17" s="3" t="str">
        <f t="shared" si="0"/>
        <v>Show</v>
      </c>
      <c r="U17" s="904"/>
    </row>
    <row r="18" spans="2:21" s="232" customFormat="1" ht="20.100000000000001" customHeight="1">
      <c r="B18" s="927"/>
      <c r="C18" s="10">
        <v>10</v>
      </c>
      <c r="D18" s="6" t="s">
        <v>541</v>
      </c>
      <c r="E18" s="8">
        <v>0.7</v>
      </c>
      <c r="F18" s="8">
        <v>1.7</v>
      </c>
      <c r="G18" s="23" t="str">
        <f>IF($D18&lt;&gt;"",IF($E18&lt;= INDEX(v2pAirThresholds[Max],1,1),"No",IF($E18&lt;=INDEX(v2pAirThresholds[Max],1,1)*INDEX(v2pAirThresholds[Percent Tolerance],1,1),"Yes","Over")),"")</f>
        <v>No</v>
      </c>
      <c r="H18" s="23" t="str">
        <f>IF($D18&lt;&gt;"",IF($F18&lt;= INDEX(v2pAirThresholds[Max],2,1),"No",IF($F18&lt;=INDEX(v2pAirThresholds[Max],2,1)*INDEX(v2pAirThresholds[Percent Tolerance],2,1),"Yes","Over")),"")</f>
        <v>No</v>
      </c>
      <c r="I18" s="190" t="s">
        <v>1456</v>
      </c>
      <c r="J18" s="236"/>
      <c r="K18" s="237"/>
      <c r="L18" s="237"/>
      <c r="M18" s="237"/>
      <c r="N18" s="237"/>
      <c r="O18" s="237"/>
      <c r="P18" s="238"/>
      <c r="Q18" s="4"/>
      <c r="R18" s="4"/>
      <c r="S18" s="3" t="str">
        <f t="shared" si="0"/>
        <v>Show</v>
      </c>
      <c r="U18" s="904"/>
    </row>
    <row r="19" spans="2:21" s="232" customFormat="1" ht="20.100000000000001" hidden="1" customHeight="1">
      <c r="B19" s="927"/>
      <c r="C19" s="917" t="s">
        <v>50</v>
      </c>
      <c r="D19" s="917"/>
      <c r="E19" s="917"/>
      <c r="F19" s="917"/>
      <c r="G19" s="917"/>
      <c r="H19" s="917"/>
      <c r="I19" s="917"/>
      <c r="J19" s="917"/>
      <c r="K19" s="917"/>
      <c r="L19" s="917"/>
      <c r="M19" s="917"/>
      <c r="N19" s="917"/>
      <c r="O19" s="917"/>
      <c r="P19" s="918"/>
      <c r="Q19" s="4"/>
      <c r="R19" s="4"/>
      <c r="S19" s="3" t="str">
        <f>IF($C$23&lt;&gt;"","Show","Hide")</f>
        <v>Hide</v>
      </c>
      <c r="U19" s="904"/>
    </row>
    <row r="20" spans="2:21" s="232" customFormat="1" ht="20.100000000000001" hidden="1" customHeight="1">
      <c r="B20" s="927"/>
      <c r="C20" s="46"/>
      <c r="D20" s="45"/>
      <c r="E20" s="912" t="str">
        <f>C5</f>
        <v>A01 Fundamental Air Quality - Part 1</v>
      </c>
      <c r="F20" s="913"/>
      <c r="G20" s="913"/>
      <c r="H20" s="239"/>
      <c r="I20" s="914" t="str">
        <f>C27</f>
        <v xml:space="preserve">A01 Fundamental Air Quality - Part 2 </v>
      </c>
      <c r="J20" s="914"/>
      <c r="K20" s="914"/>
      <c r="L20" s="239"/>
      <c r="M20" s="914" t="str">
        <f>C60</f>
        <v>A01 Fundamental Air Quality - Part 3</v>
      </c>
      <c r="N20" s="914"/>
      <c r="O20" s="914"/>
      <c r="P20" s="240"/>
      <c r="Q20" s="4"/>
      <c r="R20" s="4"/>
      <c r="S20" s="3" t="str">
        <f>IF($C$23&lt;&gt;"","Show","Hide")</f>
        <v>Hide</v>
      </c>
      <c r="U20" s="904"/>
    </row>
    <row r="21" spans="2:21" s="232" customFormat="1" ht="32.1" hidden="1" customHeight="1">
      <c r="B21" s="927"/>
      <c r="C21" s="43"/>
      <c r="D21" s="205"/>
      <c r="E21" s="907" t="s">
        <v>21</v>
      </c>
      <c r="F21" s="916"/>
      <c r="G21" s="908"/>
      <c r="H21" s="233"/>
      <c r="I21" s="915" t="s">
        <v>14</v>
      </c>
      <c r="J21" s="915"/>
      <c r="K21" s="915"/>
      <c r="L21" s="233"/>
      <c r="M21" s="915" t="s">
        <v>4</v>
      </c>
      <c r="N21" s="915"/>
      <c r="O21" s="915"/>
      <c r="P21" s="234"/>
      <c r="S21" s="3" t="str">
        <f>IF($C$23&lt;&gt;"","Show","Hide")</f>
        <v>Hide</v>
      </c>
      <c r="U21" s="904"/>
    </row>
    <row r="22" spans="2:21" s="232" customFormat="1" ht="20.100000000000001" hidden="1" customHeight="1">
      <c r="B22" s="927"/>
      <c r="C22" s="12" t="s">
        <v>49</v>
      </c>
      <c r="D22" s="15" t="s">
        <v>37</v>
      </c>
      <c r="E22" s="42" t="str">
        <f>_xlfn.CONCAT(INDEX(v2pAirThresholds[Max],3,1)," (",INDEX(v2pAirThresholds[Max],3,1)*INDEX(v2pAirThresholds[Percent Tolerance],3,1),")")</f>
        <v>35 (42)</v>
      </c>
      <c r="F22" s="13" t="s">
        <v>0</v>
      </c>
      <c r="G22" s="12" t="s">
        <v>1</v>
      </c>
      <c r="H22" s="233"/>
      <c r="I22" s="42" t="str">
        <f>_xlfn.CONCAT(INDEX(v2pAirThresholds[Max],36,1)," (",INDEX(v2pAirThresholds[Max],36,1)*INDEX(v2pAirThresholds[Percent Tolerance],36,1),")")</f>
        <v>81 (97.2)</v>
      </c>
      <c r="J22" s="13" t="s">
        <v>0</v>
      </c>
      <c r="K22" s="12" t="s">
        <v>1</v>
      </c>
      <c r="L22" s="233"/>
      <c r="M22" s="14" t="str">
        <f>_xlfn.CONCAT(INDEX(v2pAirThresholds[Max],32,1))</f>
        <v>30</v>
      </c>
      <c r="N22" s="909"/>
      <c r="O22" s="12" t="s">
        <v>1</v>
      </c>
      <c r="P22" s="234"/>
      <c r="S22" s="3" t="str">
        <f>IF($C$23&lt;&gt;"","Show","Hide")</f>
        <v>Hide</v>
      </c>
      <c r="U22" s="904"/>
    </row>
    <row r="23" spans="2:21" s="232" customFormat="1" ht="20.100000000000001" hidden="1" customHeight="1">
      <c r="B23" s="927"/>
      <c r="C23" s="10"/>
      <c r="D23" s="6"/>
      <c r="E23" s="8"/>
      <c r="F23" s="23" t="str">
        <f>IF($D23&lt;&gt;"",IF(_xlfn.NUMBERVALUE(SUBSTITUTE($E23,"&lt;",""))&lt;= INDEX(v2pAirThresholds[Max],3,1),"No",IF(_xlfn.NUMBERVALUE(SUBSTITUTE($E23,"&lt;",""))&lt;= INDEX(v2pAirThresholds[Max],3,1)*INDEX(v2pAirThresholds[Percent Tolerance],3,1),"Yes",IF(ISNUMBER(_xlfn.NUMBERVALUE(SUBSTITUTE($E23,"&lt;",""))),"Over",""))),"")</f>
        <v/>
      </c>
      <c r="G23" s="226"/>
      <c r="H23" s="241"/>
      <c r="I23" s="8"/>
      <c r="J23" s="23" t="str">
        <f>IF($D23&lt;&gt;"",IF(_xlfn.NUMBERVALUE(SUBSTITUTE($I23,"&lt;",""))&lt;= INDEX(v2pAirThresholds[Max],36,1),"No",IF(_xlfn.NUMBERVALUE(SUBSTITUTE($I23,"&lt;",""))&lt;= INDEX(v2pAirThresholds[Max],36,1)*INDEX(v2pAirThresholds[Percent Tolerance],36,1),"Yes",IF(ISNUMBER(_xlfn.NUMBERVALUE(SUBSTITUTE($I23,"&lt;",""))),"Over",""))),"")</f>
        <v/>
      </c>
      <c r="K23" s="226"/>
      <c r="L23" s="241"/>
      <c r="M23" s="8"/>
      <c r="N23" s="910"/>
      <c r="O23" s="190"/>
      <c r="P23" s="234"/>
      <c r="S23" s="3" t="str">
        <f>IF(C23&lt;&gt;"","Show","Hide")</f>
        <v>Hide</v>
      </c>
      <c r="U23" s="904"/>
    </row>
    <row r="24" spans="2:21" s="232" customFormat="1" ht="20.100000000000001" hidden="1" customHeight="1">
      <c r="B24" s="927"/>
      <c r="C24" s="10"/>
      <c r="D24" s="6"/>
      <c r="E24" s="8"/>
      <c r="F24" s="23" t="str">
        <f>IF($D24&lt;&gt;"",IF(_xlfn.NUMBERVALUE(SUBSTITUTE($E24,"&lt;",""))&lt;= INDEX(v2pAirThresholds[Max],3,1),"No",IF(_xlfn.NUMBERVALUE(SUBSTITUTE($E24,"&lt;",""))&lt;= INDEX(v2pAirThresholds[Max],3,1)*INDEX(v2pAirThresholds[Percent Tolerance],3,1),"Yes",IF(ISNUMBER(_xlfn.NUMBERVALUE(SUBSTITUTE($E24,"&lt;",""))),"Over",""))),"")</f>
        <v/>
      </c>
      <c r="G24" s="226"/>
      <c r="H24" s="241"/>
      <c r="I24" s="8"/>
      <c r="J24" s="23" t="str">
        <f>IF($D24&lt;&gt;"",IF(_xlfn.NUMBERVALUE(SUBSTITUTE($I24,"&lt;",""))&lt;= INDEX(v2pAirThresholds[Max],36,1),"No",IF(_xlfn.NUMBERVALUE(SUBSTITUTE($I24,"&lt;",""))&lt;= INDEX(v2pAirThresholds[Max],36,1)*INDEX(v2pAirThresholds[Percent Tolerance],36,1),"Yes",IF(ISNUMBER(_xlfn.NUMBERVALUE(SUBSTITUTE($I24,"&lt;",""))),"Over",""))),"")</f>
        <v/>
      </c>
      <c r="K24" s="226"/>
      <c r="L24" s="241"/>
      <c r="M24" s="8"/>
      <c r="N24" s="910"/>
      <c r="O24" s="190"/>
      <c r="P24" s="234"/>
      <c r="S24" s="3" t="str">
        <f>IF(C24&lt;&gt;"","Show","Hide")</f>
        <v>Hide</v>
      </c>
      <c r="U24" s="904"/>
    </row>
    <row r="25" spans="2:21" s="232" customFormat="1" ht="20.100000000000001" hidden="1" customHeight="1">
      <c r="B25" s="927"/>
      <c r="C25" s="10"/>
      <c r="D25" s="6"/>
      <c r="E25" s="8"/>
      <c r="F25" s="23" t="str">
        <f>IF($D25&lt;&gt;"",IF(_xlfn.NUMBERVALUE(SUBSTITUTE($E25,"&lt;",""))&lt;= INDEX(v2pAirThresholds[Max],3,1),"No",IF(_xlfn.NUMBERVALUE(SUBSTITUTE($E25,"&lt;",""))&lt;= INDEX(v2pAirThresholds[Max],3,1)*INDEX(v2pAirThresholds[Percent Tolerance],3,1),"Yes",IF(ISNUMBER(_xlfn.NUMBERVALUE(SUBSTITUTE($E25,"&lt;",""))),"Over",""))),"")</f>
        <v/>
      </c>
      <c r="G25" s="226"/>
      <c r="H25" s="241"/>
      <c r="I25" s="8"/>
      <c r="J25" s="23" t="str">
        <f>IF($D25&lt;&gt;"",IF(_xlfn.NUMBERVALUE(SUBSTITUTE($I25,"&lt;",""))&lt;= INDEX(v2pAirThresholds[Max],36,1),"No",IF(_xlfn.NUMBERVALUE(SUBSTITUTE($I25,"&lt;",""))&lt;= INDEX(v2pAirThresholds[Max],36,1)*INDEX(v2pAirThresholds[Percent Tolerance],36,1),"Yes",IF(ISNUMBER(_xlfn.NUMBERVALUE(SUBSTITUTE($I25,"&lt;",""))),"Over",""))),"")</f>
        <v/>
      </c>
      <c r="K25" s="226"/>
      <c r="L25" s="241"/>
      <c r="M25" s="8"/>
      <c r="N25" s="910"/>
      <c r="O25" s="190"/>
      <c r="P25" s="234"/>
      <c r="S25" s="3" t="str">
        <f>IF(C25&lt;&gt;"","Show","Hide")</f>
        <v>Hide</v>
      </c>
      <c r="U25" s="904"/>
    </row>
    <row r="26" spans="2:21" s="232" customFormat="1" ht="20.100000000000001" hidden="1" customHeight="1">
      <c r="B26" s="927"/>
      <c r="C26" s="10"/>
      <c r="D26" s="6"/>
      <c r="E26" s="8"/>
      <c r="F26" s="23" t="str">
        <f>IF($D26&lt;&gt;"",IF(_xlfn.NUMBERVALUE(SUBSTITUTE($E26,"&lt;",""))&lt;= INDEX(v2pAirThresholds[Max],3,1),"No",IF(_xlfn.NUMBERVALUE(SUBSTITUTE($E26,"&lt;",""))&lt;= INDEX(v2pAirThresholds[Max],3,1)*INDEX(v2pAirThresholds[Percent Tolerance],3,1),"Yes",IF(ISNUMBER(_xlfn.NUMBERVALUE(SUBSTITUTE($E26,"&lt;",""))),"Over",""))),"")</f>
        <v/>
      </c>
      <c r="G26" s="226"/>
      <c r="H26" s="242"/>
      <c r="I26" s="8"/>
      <c r="J26" s="23" t="str">
        <f>IF($D26&lt;&gt;"",IF(_xlfn.NUMBERVALUE(SUBSTITUTE($I26,"&lt;",""))&lt;= INDEX(v2pAirThresholds[Max],36,1),"No",IF(_xlfn.NUMBERVALUE(SUBSTITUTE($I26,"&lt;",""))&lt;= INDEX(v2pAirThresholds[Max],36,1)*INDEX(v2pAirThresholds[Percent Tolerance],36,1),"Yes",IF(ISNUMBER(_xlfn.NUMBERVALUE(SUBSTITUTE($I26,"&lt;",""))),"Over",""))),"")</f>
        <v/>
      </c>
      <c r="K26" s="226"/>
      <c r="L26" s="242"/>
      <c r="M26" s="8"/>
      <c r="N26" s="911"/>
      <c r="O26" s="190"/>
      <c r="P26" s="238"/>
      <c r="S26" s="3" t="str">
        <f>IF(C26&lt;&gt;"","Show","Hide")</f>
        <v>Hide</v>
      </c>
      <c r="U26" s="904"/>
    </row>
    <row r="27" spans="2:21" s="232" customFormat="1" ht="24" customHeight="1">
      <c r="B27" s="927"/>
      <c r="C27" s="905" t="s">
        <v>48</v>
      </c>
      <c r="D27" s="905"/>
      <c r="E27" s="905"/>
      <c r="F27" s="905"/>
      <c r="G27" s="905"/>
      <c r="H27" s="905"/>
      <c r="I27" s="905"/>
      <c r="J27" s="905"/>
      <c r="K27" s="905"/>
      <c r="L27" s="905"/>
      <c r="M27" s="905"/>
      <c r="N27" s="905"/>
      <c r="O27" s="905"/>
      <c r="P27" s="906"/>
      <c r="S27" s="3" t="str">
        <f>IF($C$30&lt;&gt;"","Show","Hide")</f>
        <v>Show</v>
      </c>
      <c r="U27" s="904"/>
    </row>
    <row r="28" spans="2:21" s="232" customFormat="1" ht="64.5" customHeight="1">
      <c r="B28" s="927"/>
      <c r="C28" s="41"/>
      <c r="D28" s="40"/>
      <c r="E28" s="907" t="s">
        <v>14</v>
      </c>
      <c r="F28" s="908"/>
      <c r="G28" s="12" t="s">
        <v>47</v>
      </c>
      <c r="H28" s="12" t="s">
        <v>46</v>
      </c>
      <c r="I28" s="12" t="s">
        <v>45</v>
      </c>
      <c r="J28" s="12" t="s">
        <v>44</v>
      </c>
      <c r="K28" s="12" t="s">
        <v>43</v>
      </c>
      <c r="L28" s="12" t="s">
        <v>42</v>
      </c>
      <c r="M28" s="12" t="s">
        <v>41</v>
      </c>
      <c r="N28" s="12" t="s">
        <v>40</v>
      </c>
      <c r="O28" s="12" t="s">
        <v>39</v>
      </c>
      <c r="P28" s="12" t="s">
        <v>38</v>
      </c>
      <c r="S28" s="3" t="str">
        <f>IF($C$30&lt;&gt;"","Show","Hide")</f>
        <v>Show</v>
      </c>
      <c r="U28" s="904"/>
    </row>
    <row r="29" spans="2:21" s="232" customFormat="1" ht="24" customHeight="1">
      <c r="B29" s="927"/>
      <c r="C29" s="12" t="str">
        <f>C$8</f>
        <v>Measurement</v>
      </c>
      <c r="D29" s="12" t="s">
        <v>37</v>
      </c>
      <c r="E29" s="13" t="str">
        <f>_xlfn.CONCAT( INDEX(v2pAirThresholds[Max],8,1)," (", INDEX(v2pAirThresholds[Max],8,1)*INDEX(v2pAirThresholds[Percent Tolerance],8,1),")")</f>
        <v>27 (32.4)</v>
      </c>
      <c r="F29" s="12" t="s">
        <v>0</v>
      </c>
      <c r="G29" s="13" t="str">
        <f>_xlfn.CONCAT( INDEX(v2pAirThresholds[Max],9,1)," (", INDEX(v2pAirThresholds[Max],9,1)*INDEX(v2pAirThresholds[Percent Tolerance],9,1),")")</f>
        <v>30 (31.5)</v>
      </c>
      <c r="H29" s="13" t="str">
        <f>_xlfn.CONCAT( INDEX(v2pAirThresholds[Max],10,1)," (", INDEX(v2pAirThresholds[Max],10,1)*INDEX(v2pAirThresholds[Percent Tolerance],10,1),")")</f>
        <v>400 (420)</v>
      </c>
      <c r="I29" s="13" t="str">
        <f>_xlfn.CONCAT( INDEX(v2pAirThresholds[Max],11,1)," (", INDEX(v2pAirThresholds[Max],11,1)*INDEX(v2pAirThresholds[Percent Tolerance],11,1),")")</f>
        <v>20 (21)</v>
      </c>
      <c r="J29" s="13" t="str">
        <f>_xlfn.CONCAT( INDEX(v2pAirThresholds[Max],12,1)," (", INDEX(v2pAirThresholds[Max],12,1)*INDEX(v2pAirThresholds[Percent Tolerance],12,1),")")</f>
        <v>500 (525)</v>
      </c>
      <c r="K29" s="13" t="str">
        <f>_xlfn.CONCAT( INDEX(v2pAirThresholds[Max],13,1)," (", INDEX(v2pAirThresholds[Max],13,1)*INDEX(v2pAirThresholds[Percent Tolerance],13,1),")")</f>
        <v>150 (157.5)</v>
      </c>
      <c r="L29" s="13" t="str">
        <f>_xlfn.CONCAT( INDEX(v2pAirThresholds[Max],14,1)," (", INDEX(v2pAirThresholds[Max],14,1)*INDEX(v2pAirThresholds[Percent Tolerance],14,1),")")</f>
        <v>400 (420)</v>
      </c>
      <c r="M29" s="13" t="str">
        <f>_xlfn.CONCAT( INDEX(v2pAirThresholds[Max],15,1)," (", INDEX(v2pAirThresholds[Max],15,1)*INDEX(v2pAirThresholds[Percent Tolerance],15,1),")")</f>
        <v>35 (36.75)</v>
      </c>
      <c r="N29" s="13" t="str">
        <f>_xlfn.CONCAT( INDEX(v2pAirThresholds[Max],16,1)," (", INDEX(v2pAirThresholds[Max],16,1)*INDEX(v2pAirThresholds[Percent Tolerance],16,1),")")</f>
        <v>1000 (1050)</v>
      </c>
      <c r="O29" s="13" t="str">
        <f>_xlfn.CONCAT( INDEX(v2pAirThresholds[Max],17,1)," (", INDEX(v2pAirThresholds[Max],17,1)*INDEX(v2pAirThresholds[Percent Tolerance],17,1),")")</f>
        <v>3500 (3675)</v>
      </c>
      <c r="P29" s="13" t="str">
        <f>_xlfn.CONCAT( INDEX(v2pAirThresholds[Max],18,1)," (", INDEX(v2pAirThresholds[Max],18,1)*INDEX(v2pAirThresholds[Percent Tolerance],18,1),")")</f>
        <v>3500 (3675)</v>
      </c>
      <c r="S29" s="3" t="str">
        <f>IF($C$30&lt;&gt;"","Show","Hide")</f>
        <v>Show</v>
      </c>
      <c r="U29" s="904"/>
    </row>
    <row r="30" spans="2:21" s="232" customFormat="1" ht="20.100000000000001" customHeight="1">
      <c r="B30" s="927"/>
      <c r="C30" s="10">
        <v>1</v>
      </c>
      <c r="D30" s="6" t="s">
        <v>532</v>
      </c>
      <c r="E30" s="8">
        <v>3.2587812753488068</v>
      </c>
      <c r="F30" s="223" t="str">
        <f>IF($D30&lt;&gt;"",IF(_xlfn.NUMBERVALUE(SUBSTITUTE($E30,"&lt;",""))&lt;= INDEX(v2pAirThresholds[Max],8,1),"No",IF(_xlfn.NUMBERVALUE(SUBSTITUTE($E30,"&lt;",""))&lt;= INDEX(v2pAirThresholds[Max],8,1)*INDEX(v2pAirThresholds[Percent Tolerance],8,1),"Yes",IF(ISNUMBER(_xlfn.NUMBERVALUE(SUBSTITUTE($E30,"&lt;",""))),"Over",""))),"")</f>
        <v>No</v>
      </c>
      <c r="G30" s="8" t="s">
        <v>1454</v>
      </c>
      <c r="H30" s="8" t="s">
        <v>1454</v>
      </c>
      <c r="I30" s="8" t="s">
        <v>1454</v>
      </c>
      <c r="J30" s="8" t="s">
        <v>1454</v>
      </c>
      <c r="K30" s="8" t="s">
        <v>1454</v>
      </c>
      <c r="L30" s="8" t="s">
        <v>1454</v>
      </c>
      <c r="M30" s="8" t="s">
        <v>1454</v>
      </c>
      <c r="N30" s="8" t="s">
        <v>1454</v>
      </c>
      <c r="O30" s="8" t="s">
        <v>1454</v>
      </c>
      <c r="P30" s="8" t="s">
        <v>1454</v>
      </c>
      <c r="Q30" s="243"/>
      <c r="R30" s="243"/>
      <c r="S30" s="3" t="str">
        <f>IF(C30&lt;&gt;"","Show","Hide")</f>
        <v>Show</v>
      </c>
      <c r="T30" s="244" t="s">
        <v>24</v>
      </c>
      <c r="U30" s="904"/>
    </row>
    <row r="31" spans="2:21" s="232" customFormat="1" ht="20.100000000000001" customHeight="1">
      <c r="B31" s="927"/>
      <c r="C31" s="10">
        <v>2</v>
      </c>
      <c r="D31" s="6" t="s">
        <v>533</v>
      </c>
      <c r="E31" s="8" t="s">
        <v>1454</v>
      </c>
      <c r="F31" s="223" t="str">
        <f>IF($D31&lt;&gt;"",IF(_xlfn.NUMBERVALUE(SUBSTITUTE($E31,"&lt;",""))&lt;= INDEX(v2pAirThresholds[Max],8,1),"No",IF(_xlfn.NUMBERVALUE(SUBSTITUTE($E31,"&lt;",""))&lt;= INDEX(v2pAirThresholds[Max],8,1)*INDEX(v2pAirThresholds[Percent Tolerance],8,1),"Yes",IF(ISNUMBER(_xlfn.NUMBERVALUE(SUBSTITUTE($E31,"&lt;",""))),"Over",""))),"")</f>
        <v>No</v>
      </c>
      <c r="G31" s="8" t="s">
        <v>1454</v>
      </c>
      <c r="H31" s="8" t="s">
        <v>1454</v>
      </c>
      <c r="I31" s="8" t="s">
        <v>1454</v>
      </c>
      <c r="J31" s="8" t="s">
        <v>1454</v>
      </c>
      <c r="K31" s="8" t="s">
        <v>1454</v>
      </c>
      <c r="L31" s="8" t="s">
        <v>1454</v>
      </c>
      <c r="M31" s="8" t="s">
        <v>1454</v>
      </c>
      <c r="N31" s="8" t="s">
        <v>1454</v>
      </c>
      <c r="O31" s="8" t="s">
        <v>1454</v>
      </c>
      <c r="P31" s="8" t="s">
        <v>1454</v>
      </c>
      <c r="Q31" s="243"/>
      <c r="R31" s="243"/>
      <c r="S31" s="3" t="str">
        <f t="shared" ref="S31:S39" si="1">IF(C31&lt;&gt;"","Show","Hide")</f>
        <v>Show</v>
      </c>
      <c r="T31" s="244" t="s">
        <v>24</v>
      </c>
      <c r="U31" s="904"/>
    </row>
    <row r="32" spans="2:21" s="232" customFormat="1" ht="20.100000000000001" customHeight="1">
      <c r="B32" s="927"/>
      <c r="C32" s="10">
        <v>3</v>
      </c>
      <c r="D32" s="6" t="s">
        <v>534</v>
      </c>
      <c r="E32" s="8" t="s">
        <v>1454</v>
      </c>
      <c r="F32" s="223" t="str">
        <f>IF($D32&lt;&gt;"",IF(_xlfn.NUMBERVALUE(SUBSTITUTE($E32,"&lt;",""))&lt;= INDEX(v2pAirThresholds[Max],8,1),"No",IF(_xlfn.NUMBERVALUE(SUBSTITUTE($E32,"&lt;",""))&lt;= INDEX(v2pAirThresholds[Max],8,1)*INDEX(v2pAirThresholds[Percent Tolerance],8,1),"Yes",IF(ISNUMBER(_xlfn.NUMBERVALUE(SUBSTITUTE($E32,"&lt;",""))),"Over",""))),"")</f>
        <v>No</v>
      </c>
      <c r="G32" s="8" t="s">
        <v>1454</v>
      </c>
      <c r="H32" s="8" t="s">
        <v>1454</v>
      </c>
      <c r="I32" s="8" t="s">
        <v>1454</v>
      </c>
      <c r="J32" s="8" t="s">
        <v>1454</v>
      </c>
      <c r="K32" s="8" t="s">
        <v>1454</v>
      </c>
      <c r="L32" s="8" t="s">
        <v>1454</v>
      </c>
      <c r="M32" s="8" t="s">
        <v>1454</v>
      </c>
      <c r="N32" s="8" t="s">
        <v>1454</v>
      </c>
      <c r="O32" s="8" t="s">
        <v>1454</v>
      </c>
      <c r="P32" s="8" t="s">
        <v>1454</v>
      </c>
      <c r="Q32" s="243"/>
      <c r="R32" s="243"/>
      <c r="S32" s="3" t="str">
        <f t="shared" si="1"/>
        <v>Show</v>
      </c>
      <c r="T32" s="244" t="s">
        <v>24</v>
      </c>
      <c r="U32" s="904"/>
    </row>
    <row r="33" spans="2:21" s="232" customFormat="1" ht="20.100000000000001" customHeight="1">
      <c r="B33" s="927"/>
      <c r="C33" s="10">
        <v>4</v>
      </c>
      <c r="D33" s="6" t="s">
        <v>535</v>
      </c>
      <c r="E33" s="8">
        <v>4.8881719130232097</v>
      </c>
      <c r="F33" s="223" t="str">
        <f>IF($D33&lt;&gt;"",IF(_xlfn.NUMBERVALUE(SUBSTITUTE($E33,"&lt;",""))&lt;= INDEX(v2pAirThresholds[Max],8,1),"No",IF(_xlfn.NUMBERVALUE(SUBSTITUTE($E33,"&lt;",""))&lt;= INDEX(v2pAirThresholds[Max],8,1)*INDEX(v2pAirThresholds[Percent Tolerance],8,1),"Yes",IF(ISNUMBER(_xlfn.NUMBERVALUE(SUBSTITUTE($E33,"&lt;",""))),"Over",""))),"")</f>
        <v>No</v>
      </c>
      <c r="G33" s="8" t="s">
        <v>1454</v>
      </c>
      <c r="H33" s="8" t="s">
        <v>1454</v>
      </c>
      <c r="I33" s="8" t="s">
        <v>1454</v>
      </c>
      <c r="J33" s="8" t="s">
        <v>1454</v>
      </c>
      <c r="K33" s="8" t="s">
        <v>1454</v>
      </c>
      <c r="L33" s="8" t="s">
        <v>1454</v>
      </c>
      <c r="M33" s="8" t="s">
        <v>1454</v>
      </c>
      <c r="N33" s="8" t="s">
        <v>1454</v>
      </c>
      <c r="O33" s="8" t="s">
        <v>1454</v>
      </c>
      <c r="P33" s="8" t="s">
        <v>1454</v>
      </c>
      <c r="Q33" s="243"/>
      <c r="R33" s="243"/>
      <c r="S33" s="3" t="str">
        <f t="shared" si="1"/>
        <v>Show</v>
      </c>
      <c r="T33" s="244" t="s">
        <v>24</v>
      </c>
      <c r="U33" s="904"/>
    </row>
    <row r="34" spans="2:21" s="232" customFormat="1" ht="20.100000000000001" customHeight="1">
      <c r="B34" s="927"/>
      <c r="C34" s="10">
        <v>5</v>
      </c>
      <c r="D34" s="6" t="s">
        <v>536</v>
      </c>
      <c r="E34" s="8" t="s">
        <v>1454</v>
      </c>
      <c r="F34" s="223" t="str">
        <f>IF($D34&lt;&gt;"",IF(_xlfn.NUMBERVALUE(SUBSTITUTE($E34,"&lt;",""))&lt;= INDEX(v2pAirThresholds[Max],8,1),"No",IF(_xlfn.NUMBERVALUE(SUBSTITUTE($E34,"&lt;",""))&lt;= INDEX(v2pAirThresholds[Max],8,1)*INDEX(v2pAirThresholds[Percent Tolerance],8,1),"Yes",IF(ISNUMBER(_xlfn.NUMBERVALUE(SUBSTITUTE($E34,"&lt;",""))),"Over",""))),"")</f>
        <v>No</v>
      </c>
      <c r="G34" s="8" t="s">
        <v>1454</v>
      </c>
      <c r="H34" s="8" t="s">
        <v>1454</v>
      </c>
      <c r="I34" s="8" t="s">
        <v>1454</v>
      </c>
      <c r="J34" s="8" t="s">
        <v>1454</v>
      </c>
      <c r="K34" s="8" t="s">
        <v>1454</v>
      </c>
      <c r="L34" s="8" t="s">
        <v>1454</v>
      </c>
      <c r="M34" s="8" t="s">
        <v>1454</v>
      </c>
      <c r="N34" s="8" t="s">
        <v>1454</v>
      </c>
      <c r="O34" s="8" t="s">
        <v>1454</v>
      </c>
      <c r="P34" s="8" t="s">
        <v>1454</v>
      </c>
      <c r="Q34" s="243"/>
      <c r="R34" s="243"/>
      <c r="S34" s="3" t="str">
        <f t="shared" si="1"/>
        <v>Show</v>
      </c>
      <c r="T34" s="244" t="s">
        <v>24</v>
      </c>
      <c r="U34" s="904"/>
    </row>
    <row r="35" spans="2:21" s="232" customFormat="1" ht="20.100000000000001" customHeight="1">
      <c r="B35" s="927"/>
      <c r="C35" s="10">
        <v>6</v>
      </c>
      <c r="D35" s="6" t="s">
        <v>537</v>
      </c>
      <c r="E35" s="8" t="s">
        <v>1454</v>
      </c>
      <c r="F35" s="223" t="str">
        <f>IF($D35&lt;&gt;"",IF(_xlfn.NUMBERVALUE(SUBSTITUTE($E35,"&lt;",""))&lt;= INDEX(v2pAirThresholds[Max],8,1),"No",IF(_xlfn.NUMBERVALUE(SUBSTITUTE($E35,"&lt;",""))&lt;= INDEX(v2pAirThresholds[Max],8,1)*INDEX(v2pAirThresholds[Percent Tolerance],8,1),"Yes",IF(ISNUMBER(_xlfn.NUMBERVALUE(SUBSTITUTE($E35,"&lt;",""))),"Over",""))),"")</f>
        <v>No</v>
      </c>
      <c r="G35" s="8" t="s">
        <v>1454</v>
      </c>
      <c r="H35" s="8" t="s">
        <v>1454</v>
      </c>
      <c r="I35" s="8" t="s">
        <v>1454</v>
      </c>
      <c r="J35" s="8" t="s">
        <v>1454</v>
      </c>
      <c r="K35" s="8" t="s">
        <v>1454</v>
      </c>
      <c r="L35" s="8" t="s">
        <v>1454</v>
      </c>
      <c r="M35" s="8" t="s">
        <v>1454</v>
      </c>
      <c r="N35" s="8" t="s">
        <v>1454</v>
      </c>
      <c r="O35" s="8" t="s">
        <v>1454</v>
      </c>
      <c r="P35" s="8" t="s">
        <v>1454</v>
      </c>
      <c r="Q35" s="243"/>
      <c r="R35" s="243"/>
      <c r="S35" s="3" t="str">
        <f t="shared" si="1"/>
        <v>Show</v>
      </c>
      <c r="T35" s="244" t="s">
        <v>24</v>
      </c>
      <c r="U35" s="904"/>
    </row>
    <row r="36" spans="2:21" s="232" customFormat="1" ht="20.100000000000001" customHeight="1">
      <c r="B36" s="927"/>
      <c r="C36" s="10">
        <v>7</v>
      </c>
      <c r="D36" s="6" t="s">
        <v>538</v>
      </c>
      <c r="E36" s="8" t="s">
        <v>1454</v>
      </c>
      <c r="F36" s="223" t="str">
        <f>IF($D36&lt;&gt;"",IF(_xlfn.NUMBERVALUE(SUBSTITUTE($E36,"&lt;",""))&lt;= INDEX(v2pAirThresholds[Max],8,1),"No",IF(_xlfn.NUMBERVALUE(SUBSTITUTE($E36,"&lt;",""))&lt;= INDEX(v2pAirThresholds[Max],8,1)*INDEX(v2pAirThresholds[Percent Tolerance],8,1),"Yes",IF(ISNUMBER(_xlfn.NUMBERVALUE(SUBSTITUTE($E36,"&lt;",""))),"Over",""))),"")</f>
        <v>No</v>
      </c>
      <c r="G36" s="8" t="s">
        <v>1454</v>
      </c>
      <c r="H36" s="8" t="s">
        <v>1454</v>
      </c>
      <c r="I36" s="8" t="s">
        <v>1454</v>
      </c>
      <c r="J36" s="8" t="s">
        <v>1454</v>
      </c>
      <c r="K36" s="8" t="s">
        <v>1454</v>
      </c>
      <c r="L36" s="8" t="s">
        <v>1454</v>
      </c>
      <c r="M36" s="8" t="s">
        <v>1454</v>
      </c>
      <c r="N36" s="8" t="s">
        <v>1454</v>
      </c>
      <c r="O36" s="8" t="s">
        <v>1454</v>
      </c>
      <c r="P36" s="8" t="s">
        <v>1454</v>
      </c>
      <c r="Q36" s="243"/>
      <c r="R36" s="243"/>
      <c r="S36" s="3" t="str">
        <f t="shared" si="1"/>
        <v>Show</v>
      </c>
      <c r="T36" s="244" t="s">
        <v>24</v>
      </c>
      <c r="U36" s="904"/>
    </row>
    <row r="37" spans="2:21" s="232" customFormat="1" ht="20.100000000000001" customHeight="1">
      <c r="B37" s="927"/>
      <c r="C37" s="10">
        <v>8</v>
      </c>
      <c r="D37" s="6" t="s">
        <v>539</v>
      </c>
      <c r="E37" s="8">
        <v>3.2587812753488068</v>
      </c>
      <c r="F37" s="223" t="str">
        <f>IF($D37&lt;&gt;"",IF(_xlfn.NUMBERVALUE(SUBSTITUTE($E37,"&lt;",""))&lt;= INDEX(v2pAirThresholds[Max],8,1),"No",IF(_xlfn.NUMBERVALUE(SUBSTITUTE($E37,"&lt;",""))&lt;= INDEX(v2pAirThresholds[Max],8,1)*INDEX(v2pAirThresholds[Percent Tolerance],8,1),"Yes",IF(ISNUMBER(_xlfn.NUMBERVALUE(SUBSTITUTE($E37,"&lt;",""))),"Over",""))),"")</f>
        <v>No</v>
      </c>
      <c r="G37" s="8" t="s">
        <v>1454</v>
      </c>
      <c r="H37" s="8" t="s">
        <v>1454</v>
      </c>
      <c r="I37" s="8" t="s">
        <v>1454</v>
      </c>
      <c r="J37" s="8" t="s">
        <v>1454</v>
      </c>
      <c r="K37" s="8" t="s">
        <v>1454</v>
      </c>
      <c r="L37" s="8" t="s">
        <v>1454</v>
      </c>
      <c r="M37" s="8" t="s">
        <v>1454</v>
      </c>
      <c r="N37" s="8" t="s">
        <v>1454</v>
      </c>
      <c r="O37" s="8" t="s">
        <v>1454</v>
      </c>
      <c r="P37" s="8" t="s">
        <v>1454</v>
      </c>
      <c r="Q37" s="243"/>
      <c r="R37" s="243"/>
      <c r="S37" s="3" t="str">
        <f t="shared" si="1"/>
        <v>Show</v>
      </c>
      <c r="T37" s="244" t="s">
        <v>24</v>
      </c>
      <c r="U37" s="904"/>
    </row>
    <row r="38" spans="2:21" s="232" customFormat="1" ht="20.100000000000001" customHeight="1">
      <c r="B38" s="927"/>
      <c r="C38" s="10">
        <v>9</v>
      </c>
      <c r="D38" s="6" t="s">
        <v>540</v>
      </c>
      <c r="E38" s="8">
        <v>4.0734765941860092</v>
      </c>
      <c r="F38" s="223" t="str">
        <f>IF($D38&lt;&gt;"",IF(_xlfn.NUMBERVALUE(SUBSTITUTE($E38,"&lt;",""))&lt;= INDEX(v2pAirThresholds[Max],8,1),"No",IF(_xlfn.NUMBERVALUE(SUBSTITUTE($E38,"&lt;",""))&lt;= INDEX(v2pAirThresholds[Max],8,1)*INDEX(v2pAirThresholds[Percent Tolerance],8,1),"Yes",IF(ISNUMBER(_xlfn.NUMBERVALUE(SUBSTITUTE($E38,"&lt;",""))),"Over",""))),"")</f>
        <v>No</v>
      </c>
      <c r="G38" s="8" t="s">
        <v>1454</v>
      </c>
      <c r="H38" s="8" t="s">
        <v>1454</v>
      </c>
      <c r="I38" s="8" t="s">
        <v>1454</v>
      </c>
      <c r="J38" s="8" t="s">
        <v>1454</v>
      </c>
      <c r="K38" s="8" t="s">
        <v>1454</v>
      </c>
      <c r="L38" s="8" t="s">
        <v>1454</v>
      </c>
      <c r="M38" s="8" t="s">
        <v>1454</v>
      </c>
      <c r="N38" s="8" t="s">
        <v>1454</v>
      </c>
      <c r="O38" s="8" t="s">
        <v>1454</v>
      </c>
      <c r="P38" s="8" t="s">
        <v>1454</v>
      </c>
      <c r="Q38" s="243"/>
      <c r="R38" s="243"/>
      <c r="S38" s="3" t="str">
        <f t="shared" si="1"/>
        <v>Show</v>
      </c>
      <c r="T38" s="244" t="s">
        <v>24</v>
      </c>
      <c r="U38" s="904"/>
    </row>
    <row r="39" spans="2:21" s="232" customFormat="1" ht="20.100000000000001" customHeight="1">
      <c r="B39" s="927"/>
      <c r="C39" s="10">
        <v>10</v>
      </c>
      <c r="D39" s="6" t="s">
        <v>541</v>
      </c>
      <c r="E39" s="8">
        <v>4.0734765941860092</v>
      </c>
      <c r="F39" s="223" t="str">
        <f>IF($D39&lt;&gt;"",IF(_xlfn.NUMBERVALUE(SUBSTITUTE($E39,"&lt;",""))&lt;= INDEX(v2pAirThresholds[Max],8,1),"No",IF(_xlfn.NUMBERVALUE(SUBSTITUTE($E39,"&lt;",""))&lt;= INDEX(v2pAirThresholds[Max],8,1)*INDEX(v2pAirThresholds[Percent Tolerance],8,1),"Yes",IF(ISNUMBER(_xlfn.NUMBERVALUE(SUBSTITUTE($E39,"&lt;",""))),"Over",""))),"")</f>
        <v>No</v>
      </c>
      <c r="G39" s="8" t="s">
        <v>1454</v>
      </c>
      <c r="H39" s="8" t="s">
        <v>1454</v>
      </c>
      <c r="I39" s="8" t="s">
        <v>1454</v>
      </c>
      <c r="J39" s="8" t="s">
        <v>1454</v>
      </c>
      <c r="K39" s="8" t="s">
        <v>1454</v>
      </c>
      <c r="L39" s="8" t="s">
        <v>1454</v>
      </c>
      <c r="M39" s="8" t="s">
        <v>1454</v>
      </c>
      <c r="N39" s="8" t="s">
        <v>1454</v>
      </c>
      <c r="O39" s="8" t="s">
        <v>1454</v>
      </c>
      <c r="P39" s="8" t="s">
        <v>1454</v>
      </c>
      <c r="Q39" s="243"/>
      <c r="R39" s="243"/>
      <c r="S39" s="3" t="str">
        <f t="shared" si="1"/>
        <v>Show</v>
      </c>
      <c r="T39" s="244" t="s">
        <v>24</v>
      </c>
      <c r="U39" s="24"/>
    </row>
    <row r="40" spans="2:21" s="232" customFormat="1" ht="20.100000000000001" customHeight="1">
      <c r="B40" s="927"/>
      <c r="C40" s="38" t="s">
        <v>8</v>
      </c>
      <c r="D40" s="37" t="s">
        <v>36</v>
      </c>
      <c r="E40" s="36" t="s">
        <v>1455</v>
      </c>
      <c r="F40" s="218" t="s">
        <v>6</v>
      </c>
      <c r="G40" s="281" t="s">
        <v>1454</v>
      </c>
      <c r="H40" s="281" t="s">
        <v>1454</v>
      </c>
      <c r="I40" s="281" t="s">
        <v>1454</v>
      </c>
      <c r="J40" s="281" t="s">
        <v>1454</v>
      </c>
      <c r="K40" s="281" t="s">
        <v>1454</v>
      </c>
      <c r="L40" s="281" t="s">
        <v>1454</v>
      </c>
      <c r="M40" s="281" t="s">
        <v>1454</v>
      </c>
      <c r="N40" s="281" t="s">
        <v>1454</v>
      </c>
      <c r="O40" s="281" t="s">
        <v>1454</v>
      </c>
      <c r="P40" s="281" t="s">
        <v>1454</v>
      </c>
      <c r="Q40" s="245"/>
      <c r="R40" s="245"/>
      <c r="S40" s="3" t="str">
        <f>IF($C$30&lt;&gt;"","Show","Hide")</f>
        <v>Show</v>
      </c>
      <c r="T40" s="245"/>
      <c r="U40" s="24"/>
    </row>
    <row r="41" spans="2:21" s="232" customFormat="1" ht="20.100000000000001" hidden="1" customHeight="1">
      <c r="B41" s="927"/>
      <c r="C41" s="38" t="s">
        <v>8</v>
      </c>
      <c r="D41" s="209"/>
      <c r="E41" s="210"/>
      <c r="F41" s="218" t="s">
        <v>6</v>
      </c>
      <c r="G41" s="33"/>
      <c r="H41" s="33"/>
      <c r="I41" s="33"/>
      <c r="J41" s="33"/>
      <c r="K41" s="33"/>
      <c r="L41" s="33"/>
      <c r="M41" s="33"/>
      <c r="N41" s="33"/>
      <c r="O41" s="33"/>
      <c r="P41" s="33"/>
      <c r="Q41" s="245"/>
      <c r="R41" s="245"/>
      <c r="S41" s="3" t="str">
        <f>IF(D41&lt;&gt;"","Show","Hide")</f>
        <v>Hide</v>
      </c>
      <c r="T41" s="245"/>
      <c r="U41" s="24"/>
    </row>
    <row r="42" spans="2:21" s="232" customFormat="1" ht="20.100000000000001" hidden="1" customHeight="1">
      <c r="B42" s="927"/>
      <c r="C42" s="38" t="s">
        <v>8</v>
      </c>
      <c r="D42" s="37" t="str">
        <f>IF(E42&lt;&gt;"","Field Blank 3", "")</f>
        <v/>
      </c>
      <c r="E42" s="33"/>
      <c r="F42" s="218" t="s">
        <v>6</v>
      </c>
      <c r="G42" s="33"/>
      <c r="H42" s="33"/>
      <c r="I42" s="33"/>
      <c r="J42" s="33"/>
      <c r="K42" s="33"/>
      <c r="L42" s="33"/>
      <c r="M42" s="33"/>
      <c r="N42" s="33"/>
      <c r="O42" s="33"/>
      <c r="P42" s="33"/>
      <c r="Q42" s="245"/>
      <c r="R42" s="245"/>
      <c r="S42" s="3" t="str">
        <f>IF(D42&lt;&gt;"","Show","Hide")</f>
        <v>Hide</v>
      </c>
      <c r="T42" s="245"/>
      <c r="U42" s="24"/>
    </row>
    <row r="43" spans="2:21" s="232" customFormat="1" ht="20.100000000000001" hidden="1" customHeight="1">
      <c r="B43" s="927"/>
      <c r="C43" s="38" t="s">
        <v>7</v>
      </c>
      <c r="D43" s="37" t="str">
        <f>IF(E43&lt;&gt;"","Trip Blank 1", "")</f>
        <v/>
      </c>
      <c r="E43" s="33"/>
      <c r="F43" s="218" t="s">
        <v>6</v>
      </c>
      <c r="G43" s="33"/>
      <c r="H43" s="33"/>
      <c r="I43" s="33"/>
      <c r="J43" s="33"/>
      <c r="K43" s="33"/>
      <c r="L43" s="33"/>
      <c r="M43" s="33"/>
      <c r="N43" s="33"/>
      <c r="O43" s="33"/>
      <c r="P43" s="33"/>
      <c r="Q43" s="245"/>
      <c r="R43" s="245"/>
      <c r="S43" s="3" t="str">
        <f>IF(D43&lt;&gt;"","Show","Hide")</f>
        <v>Hide</v>
      </c>
      <c r="T43" s="245"/>
      <c r="U43" s="24"/>
    </row>
    <row r="44" spans="2:21" s="232" customFormat="1" ht="75" customHeight="1">
      <c r="B44" s="927"/>
      <c r="C44" s="930"/>
      <c r="D44" s="931"/>
      <c r="E44" s="12" t="s">
        <v>35</v>
      </c>
      <c r="F44" s="12" t="s">
        <v>34</v>
      </c>
      <c r="G44" s="12" t="s">
        <v>33</v>
      </c>
      <c r="H44" s="12" t="s">
        <v>32</v>
      </c>
      <c r="I44" s="12" t="s">
        <v>31</v>
      </c>
      <c r="J44" s="12" t="s">
        <v>30</v>
      </c>
      <c r="K44" s="12" t="s">
        <v>29</v>
      </c>
      <c r="L44" s="12" t="s">
        <v>28</v>
      </c>
      <c r="M44" s="12" t="s">
        <v>27</v>
      </c>
      <c r="N44" s="915" t="s">
        <v>26</v>
      </c>
      <c r="O44" s="915" t="s">
        <v>1</v>
      </c>
      <c r="P44" s="932"/>
      <c r="S44" s="3" t="str">
        <f>IF($C$46&lt;&gt;"","Show","Hide")</f>
        <v>Show</v>
      </c>
      <c r="U44" s="24"/>
    </row>
    <row r="45" spans="2:21" s="232" customFormat="1" ht="24" customHeight="1">
      <c r="B45" s="927"/>
      <c r="C45" s="12" t="str">
        <f>C$8</f>
        <v>Measurement</v>
      </c>
      <c r="D45" s="15" t="str">
        <f>D$8</f>
        <v>Location Name</v>
      </c>
      <c r="E45" s="13" t="str">
        <f>_xlfn.CONCAT( INDEX(v2pAirThresholds[Max],19,1)," (", INDEX(v2pAirThresholds[Max],19,1)*INDEX(v2pAirThresholds[Percent Tolerance],19,1),")")</f>
        <v>500 (525)</v>
      </c>
      <c r="F45" s="13" t="str">
        <f>_xlfn.CONCAT( INDEX(v2pAirThresholds[Max],20,1)," (", INDEX(v2pAirThresholds[Max],20,1)*INDEX(v2pAirThresholds[Percent Tolerance],20,1),")")</f>
        <v>200 (210)</v>
      </c>
      <c r="G45" s="13" t="str">
        <f>_xlfn.CONCAT( INDEX(v2pAirThresholds[Max],21,1)," (", INDEX(v2pAirThresholds[Max],21,1)*INDEX(v2pAirThresholds[Percent Tolerance],21,1),")")</f>
        <v>4000 (4200)</v>
      </c>
      <c r="H45" s="13" t="str">
        <f>_xlfn.CONCAT( INDEX(v2pAirThresholds[Max],22,1)," (", INDEX(v2pAirThresholds[Max],22,1)*INDEX(v2pAirThresholds[Percent Tolerance],22,1),")")</f>
        <v>450 (472.5)</v>
      </c>
      <c r="I45" s="13" t="str">
        <f>_xlfn.CONCAT( INDEX(v2pAirThresholds[Max],23,1)," (", INDEX(v2pAirThresholds[Max],23,1)*INDEX(v2pAirThresholds[Percent Tolerance],23,1),")")</f>
        <v>17.5 (18.375)</v>
      </c>
      <c r="J45" s="13" t="str">
        <f>_xlfn.CONCAT( INDEX(v2pAirThresholds[Max],24,1)," (", INDEX(v2pAirThresholds[Max],24,1)*INDEX(v2pAirThresholds[Percent Tolerance],24,1),")")</f>
        <v>150 (157.5)</v>
      </c>
      <c r="K45" s="13" t="str">
        <f>_xlfn.CONCAT( INDEX(v2pAirThresholds[Max],25,1)," (", INDEX(v2pAirThresholds[Max],25,1)*INDEX(v2pAirThresholds[Percent Tolerance],25,1),")")</f>
        <v>100 (105)</v>
      </c>
      <c r="L45" s="13" t="str">
        <f>_xlfn.CONCAT( INDEX(v2pAirThresholds[Max],26,1)," (", INDEX(v2pAirThresholds[Max],26,1)*INDEX(v2pAirThresholds[Percent Tolerance],26,1),")")</f>
        <v>300 (315)</v>
      </c>
      <c r="M45" s="13" t="str">
        <f>_xlfn.CONCAT( INDEX(v2pAirThresholds[Max],27,1)," (", INDEX(v2pAirThresholds[Max],27,1)*INDEX(v2pAirThresholds[Percent Tolerance],27,1),")")</f>
        <v>350 (367.5)</v>
      </c>
      <c r="N45" s="915"/>
      <c r="O45" s="915"/>
      <c r="P45" s="933"/>
      <c r="S45" s="3" t="str">
        <f>IF($C$46&lt;&gt;"","Show","Hide")</f>
        <v>Show</v>
      </c>
      <c r="U45" s="24"/>
    </row>
    <row r="46" spans="2:21" s="232" customFormat="1" ht="20.100000000000001" customHeight="1">
      <c r="B46" s="927"/>
      <c r="C46" s="10">
        <v>1</v>
      </c>
      <c r="D46" s="6" t="s">
        <v>532</v>
      </c>
      <c r="E46" s="8" t="s">
        <v>1454</v>
      </c>
      <c r="F46" s="227" t="s">
        <v>1454</v>
      </c>
      <c r="G46" s="227" t="s">
        <v>1454</v>
      </c>
      <c r="H46" s="227" t="s">
        <v>1454</v>
      </c>
      <c r="I46" s="227" t="s">
        <v>1454</v>
      </c>
      <c r="J46" s="227" t="s">
        <v>1454</v>
      </c>
      <c r="K46" s="227" t="s">
        <v>1454</v>
      </c>
      <c r="L46" s="227" t="s">
        <v>1454</v>
      </c>
      <c r="M46" s="227" t="s">
        <v>1454</v>
      </c>
      <c r="N46" s="36" t="s">
        <v>25</v>
      </c>
      <c r="O46" s="190" t="s">
        <v>1456</v>
      </c>
      <c r="P46" s="933"/>
      <c r="Q46" s="243"/>
      <c r="R46" s="243"/>
      <c r="S46" s="3" t="str">
        <f>IF(C46&lt;&gt;"","Show","Hide")</f>
        <v>Show</v>
      </c>
      <c r="T46" s="244" t="s">
        <v>24</v>
      </c>
      <c r="U46" s="24"/>
    </row>
    <row r="47" spans="2:21" s="232" customFormat="1" ht="20.399999999999999" customHeight="1">
      <c r="B47" s="927"/>
      <c r="C47" s="10">
        <v>2</v>
      </c>
      <c r="D47" s="6" t="s">
        <v>533</v>
      </c>
      <c r="E47" s="8" t="s">
        <v>1454</v>
      </c>
      <c r="F47" s="227" t="s">
        <v>1454</v>
      </c>
      <c r="G47" s="227" t="s">
        <v>1454</v>
      </c>
      <c r="H47" s="227" t="s">
        <v>1454</v>
      </c>
      <c r="I47" s="227" t="s">
        <v>1454</v>
      </c>
      <c r="J47" s="227" t="s">
        <v>1454</v>
      </c>
      <c r="K47" s="227" t="s">
        <v>1454</v>
      </c>
      <c r="L47" s="227" t="s">
        <v>1454</v>
      </c>
      <c r="M47" s="227" t="s">
        <v>1454</v>
      </c>
      <c r="N47" s="23" t="s">
        <v>25</v>
      </c>
      <c r="O47" s="190" t="s">
        <v>1456</v>
      </c>
      <c r="P47" s="933"/>
      <c r="Q47" s="243"/>
      <c r="R47" s="243"/>
      <c r="S47" s="3" t="str">
        <f t="shared" ref="S47:S55" si="2">IF(C47&lt;&gt;"","Show","Hide")</f>
        <v>Show</v>
      </c>
      <c r="T47" s="244" t="s">
        <v>24</v>
      </c>
      <c r="U47" s="35"/>
    </row>
    <row r="48" spans="2:21" s="232" customFormat="1" ht="20.100000000000001" customHeight="1">
      <c r="B48" s="927"/>
      <c r="C48" s="10">
        <v>3</v>
      </c>
      <c r="D48" s="6" t="s">
        <v>534</v>
      </c>
      <c r="E48" s="8" t="s">
        <v>1454</v>
      </c>
      <c r="F48" s="227" t="s">
        <v>1454</v>
      </c>
      <c r="G48" s="227" t="s">
        <v>1454</v>
      </c>
      <c r="H48" s="227" t="s">
        <v>1454</v>
      </c>
      <c r="I48" s="227" t="s">
        <v>1454</v>
      </c>
      <c r="J48" s="227" t="s">
        <v>1454</v>
      </c>
      <c r="K48" s="227" t="s">
        <v>1454</v>
      </c>
      <c r="L48" s="227" t="s">
        <v>1454</v>
      </c>
      <c r="M48" s="227" t="s">
        <v>1454</v>
      </c>
      <c r="N48" s="23" t="s">
        <v>25</v>
      </c>
      <c r="O48" s="190" t="s">
        <v>1456</v>
      </c>
      <c r="P48" s="933"/>
      <c r="Q48" s="243"/>
      <c r="R48" s="243"/>
      <c r="S48" s="3" t="str">
        <f t="shared" si="2"/>
        <v>Show</v>
      </c>
      <c r="T48" s="244" t="s">
        <v>24</v>
      </c>
      <c r="U48" s="2"/>
    </row>
    <row r="49" spans="2:21" s="232" customFormat="1" ht="20.100000000000001" customHeight="1">
      <c r="B49" s="927"/>
      <c r="C49" s="10">
        <v>4</v>
      </c>
      <c r="D49" s="6" t="s">
        <v>535</v>
      </c>
      <c r="E49" s="8" t="s">
        <v>1454</v>
      </c>
      <c r="F49" s="227" t="s">
        <v>1454</v>
      </c>
      <c r="G49" s="227" t="s">
        <v>1454</v>
      </c>
      <c r="H49" s="227" t="s">
        <v>1454</v>
      </c>
      <c r="I49" s="227" t="s">
        <v>1454</v>
      </c>
      <c r="J49" s="227" t="s">
        <v>1454</v>
      </c>
      <c r="K49" s="227" t="s">
        <v>1454</v>
      </c>
      <c r="L49" s="227" t="s">
        <v>1454</v>
      </c>
      <c r="M49" s="227" t="s">
        <v>1454</v>
      </c>
      <c r="N49" s="23" t="s">
        <v>25</v>
      </c>
      <c r="O49" s="190" t="s">
        <v>1456</v>
      </c>
      <c r="P49" s="933"/>
      <c r="Q49" s="243"/>
      <c r="R49" s="243"/>
      <c r="S49" s="3" t="str">
        <f t="shared" si="2"/>
        <v>Show</v>
      </c>
      <c r="T49" s="244" t="s">
        <v>24</v>
      </c>
      <c r="U49" s="2"/>
    </row>
    <row r="50" spans="2:21" s="232" customFormat="1" ht="20.100000000000001" customHeight="1">
      <c r="B50" s="927"/>
      <c r="C50" s="10">
        <v>5</v>
      </c>
      <c r="D50" s="6" t="s">
        <v>536</v>
      </c>
      <c r="E50" s="8" t="s">
        <v>1454</v>
      </c>
      <c r="F50" s="227" t="s">
        <v>1454</v>
      </c>
      <c r="G50" s="227" t="s">
        <v>1454</v>
      </c>
      <c r="H50" s="227" t="s">
        <v>1454</v>
      </c>
      <c r="I50" s="227" t="s">
        <v>1454</v>
      </c>
      <c r="J50" s="227" t="s">
        <v>1454</v>
      </c>
      <c r="K50" s="227" t="s">
        <v>1454</v>
      </c>
      <c r="L50" s="227" t="s">
        <v>1454</v>
      </c>
      <c r="M50" s="227" t="s">
        <v>1454</v>
      </c>
      <c r="N50" s="23" t="s">
        <v>25</v>
      </c>
      <c r="O50" s="190" t="s">
        <v>1456</v>
      </c>
      <c r="P50" s="933"/>
      <c r="Q50" s="243"/>
      <c r="R50" s="243"/>
      <c r="S50" s="3" t="str">
        <f t="shared" si="2"/>
        <v>Show</v>
      </c>
      <c r="T50" s="244" t="s">
        <v>24</v>
      </c>
      <c r="U50" s="2"/>
    </row>
    <row r="51" spans="2:21" s="232" customFormat="1" ht="20.100000000000001" customHeight="1">
      <c r="B51" s="927"/>
      <c r="C51" s="10">
        <v>6</v>
      </c>
      <c r="D51" s="6" t="s">
        <v>537</v>
      </c>
      <c r="E51" s="8" t="s">
        <v>1454</v>
      </c>
      <c r="F51" s="227" t="s">
        <v>1454</v>
      </c>
      <c r="G51" s="227" t="s">
        <v>1454</v>
      </c>
      <c r="H51" s="227" t="s">
        <v>1454</v>
      </c>
      <c r="I51" s="227" t="s">
        <v>1454</v>
      </c>
      <c r="J51" s="227" t="s">
        <v>1454</v>
      </c>
      <c r="K51" s="227" t="s">
        <v>1454</v>
      </c>
      <c r="L51" s="227" t="s">
        <v>1454</v>
      </c>
      <c r="M51" s="227" t="s">
        <v>1454</v>
      </c>
      <c r="N51" s="23" t="s">
        <v>25</v>
      </c>
      <c r="O51" s="190" t="s">
        <v>1456</v>
      </c>
      <c r="P51" s="933"/>
      <c r="Q51" s="243"/>
      <c r="R51" s="243"/>
      <c r="S51" s="3" t="str">
        <f t="shared" si="2"/>
        <v>Show</v>
      </c>
      <c r="T51" s="244" t="s">
        <v>24</v>
      </c>
      <c r="U51" s="2"/>
    </row>
    <row r="52" spans="2:21" s="232" customFormat="1" ht="21" customHeight="1">
      <c r="B52" s="927"/>
      <c r="C52" s="10">
        <v>7</v>
      </c>
      <c r="D52" s="6" t="s">
        <v>538</v>
      </c>
      <c r="E52" s="8" t="s">
        <v>1454</v>
      </c>
      <c r="F52" s="227" t="s">
        <v>1454</v>
      </c>
      <c r="G52" s="227" t="s">
        <v>1454</v>
      </c>
      <c r="H52" s="227" t="s">
        <v>1454</v>
      </c>
      <c r="I52" s="227" t="s">
        <v>1454</v>
      </c>
      <c r="J52" s="227" t="s">
        <v>1454</v>
      </c>
      <c r="K52" s="227" t="s">
        <v>1454</v>
      </c>
      <c r="L52" s="227" t="s">
        <v>1454</v>
      </c>
      <c r="M52" s="227" t="s">
        <v>1454</v>
      </c>
      <c r="N52" s="23" t="s">
        <v>25</v>
      </c>
      <c r="O52" s="190" t="s">
        <v>1456</v>
      </c>
      <c r="P52" s="933"/>
      <c r="Q52" s="243"/>
      <c r="R52" s="243"/>
      <c r="S52" s="3" t="str">
        <f t="shared" si="2"/>
        <v>Show</v>
      </c>
      <c r="T52" s="244" t="s">
        <v>24</v>
      </c>
      <c r="U52" s="2"/>
    </row>
    <row r="53" spans="2:21" s="232" customFormat="1" ht="20.100000000000001" customHeight="1">
      <c r="B53" s="927"/>
      <c r="C53" s="10">
        <v>8</v>
      </c>
      <c r="D53" s="6" t="s">
        <v>539</v>
      </c>
      <c r="E53" s="8" t="s">
        <v>1454</v>
      </c>
      <c r="F53" s="227" t="s">
        <v>1454</v>
      </c>
      <c r="G53" s="227" t="s">
        <v>1454</v>
      </c>
      <c r="H53" s="227" t="s">
        <v>1454</v>
      </c>
      <c r="I53" s="227" t="s">
        <v>1454</v>
      </c>
      <c r="J53" s="227" t="s">
        <v>1454</v>
      </c>
      <c r="K53" s="227" t="s">
        <v>1454</v>
      </c>
      <c r="L53" s="227" t="s">
        <v>1454</v>
      </c>
      <c r="M53" s="227" t="s">
        <v>1454</v>
      </c>
      <c r="N53" s="23" t="s">
        <v>25</v>
      </c>
      <c r="O53" s="190" t="s">
        <v>1456</v>
      </c>
      <c r="P53" s="933"/>
      <c r="Q53" s="243"/>
      <c r="R53" s="243"/>
      <c r="S53" s="3" t="str">
        <f t="shared" si="2"/>
        <v>Show</v>
      </c>
      <c r="T53" s="244" t="s">
        <v>24</v>
      </c>
      <c r="U53" s="2"/>
    </row>
    <row r="54" spans="2:21" s="232" customFormat="1" ht="20.100000000000001" customHeight="1">
      <c r="B54" s="927"/>
      <c r="C54" s="10">
        <v>9</v>
      </c>
      <c r="D54" s="6" t="s">
        <v>540</v>
      </c>
      <c r="E54" s="8" t="s">
        <v>1454</v>
      </c>
      <c r="F54" s="227" t="s">
        <v>1454</v>
      </c>
      <c r="G54" s="227" t="s">
        <v>1454</v>
      </c>
      <c r="H54" s="227" t="s">
        <v>1454</v>
      </c>
      <c r="I54" s="227" t="s">
        <v>1454</v>
      </c>
      <c r="J54" s="227" t="s">
        <v>1454</v>
      </c>
      <c r="K54" s="227" t="s">
        <v>1454</v>
      </c>
      <c r="L54" s="227" t="s">
        <v>1454</v>
      </c>
      <c r="M54" s="227" t="s">
        <v>1454</v>
      </c>
      <c r="N54" s="23" t="s">
        <v>25</v>
      </c>
      <c r="O54" s="190" t="s">
        <v>1456</v>
      </c>
      <c r="P54" s="933"/>
      <c r="Q54" s="243"/>
      <c r="R54" s="243"/>
      <c r="S54" s="3" t="str">
        <f t="shared" si="2"/>
        <v>Show</v>
      </c>
      <c r="T54" s="244" t="s">
        <v>24</v>
      </c>
      <c r="U54" s="2"/>
    </row>
    <row r="55" spans="2:21" s="232" customFormat="1" ht="20.100000000000001" customHeight="1">
      <c r="B55" s="927"/>
      <c r="C55" s="10">
        <v>10</v>
      </c>
      <c r="D55" s="6" t="s">
        <v>541</v>
      </c>
      <c r="E55" s="8" t="s">
        <v>1454</v>
      </c>
      <c r="F55" s="227" t="s">
        <v>1454</v>
      </c>
      <c r="G55" s="227" t="s">
        <v>1454</v>
      </c>
      <c r="H55" s="227" t="s">
        <v>1454</v>
      </c>
      <c r="I55" s="227" t="s">
        <v>1454</v>
      </c>
      <c r="J55" s="227" t="s">
        <v>1454</v>
      </c>
      <c r="K55" s="227" t="s">
        <v>1454</v>
      </c>
      <c r="L55" s="227" t="s">
        <v>1454</v>
      </c>
      <c r="M55" s="227" t="s">
        <v>1454</v>
      </c>
      <c r="N55" s="23" t="s">
        <v>25</v>
      </c>
      <c r="O55" s="190" t="s">
        <v>1456</v>
      </c>
      <c r="P55" s="933"/>
      <c r="Q55" s="243"/>
      <c r="R55" s="243"/>
      <c r="S55" s="3" t="str">
        <f t="shared" si="2"/>
        <v>Show</v>
      </c>
      <c r="T55" s="244" t="s">
        <v>24</v>
      </c>
      <c r="U55" s="2"/>
    </row>
    <row r="56" spans="2:21" s="232" customFormat="1" ht="20.100000000000001" customHeight="1">
      <c r="B56" s="927"/>
      <c r="C56" s="38" t="s">
        <v>8</v>
      </c>
      <c r="D56" s="37" t="s">
        <v>36</v>
      </c>
      <c r="E56" s="281" t="s">
        <v>1454</v>
      </c>
      <c r="F56" s="281" t="s">
        <v>1454</v>
      </c>
      <c r="G56" s="281" t="s">
        <v>1454</v>
      </c>
      <c r="H56" s="281" t="s">
        <v>1454</v>
      </c>
      <c r="I56" s="281" t="s">
        <v>1454</v>
      </c>
      <c r="J56" s="281" t="s">
        <v>1454</v>
      </c>
      <c r="K56" s="281" t="s">
        <v>1454</v>
      </c>
      <c r="L56" s="281" t="s">
        <v>1454</v>
      </c>
      <c r="M56" s="281" t="s">
        <v>1454</v>
      </c>
      <c r="N56" s="934"/>
      <c r="O56" s="935"/>
      <c r="P56" s="936"/>
      <c r="Q56" s="245"/>
      <c r="R56" s="245"/>
      <c r="S56" s="3" t="str">
        <f>IF($C$46&lt;&gt;"","Show","Hide")</f>
        <v>Show</v>
      </c>
      <c r="T56" s="245"/>
      <c r="U56" s="940"/>
    </row>
    <row r="57" spans="2:21" s="232" customFormat="1" ht="20.100000000000001" hidden="1" customHeight="1">
      <c r="B57" s="927"/>
      <c r="C57" s="38" t="s">
        <v>8</v>
      </c>
      <c r="D57" s="209"/>
      <c r="E57" s="210"/>
      <c r="F57" s="33"/>
      <c r="G57" s="33"/>
      <c r="H57" s="33"/>
      <c r="I57" s="33"/>
      <c r="J57" s="33"/>
      <c r="K57" s="33"/>
      <c r="L57" s="33"/>
      <c r="M57" s="33"/>
      <c r="N57" s="934"/>
      <c r="O57" s="935"/>
      <c r="P57" s="936"/>
      <c r="Q57" s="245"/>
      <c r="R57" s="245"/>
      <c r="S57" s="3" t="str">
        <f>IF(D57&lt;&gt;"","Show","Hide")</f>
        <v>Hide</v>
      </c>
      <c r="T57" s="245"/>
      <c r="U57" s="940"/>
    </row>
    <row r="58" spans="2:21" s="232" customFormat="1" ht="20.100000000000001" hidden="1" customHeight="1">
      <c r="B58" s="927"/>
      <c r="C58" s="10" t="s">
        <v>8</v>
      </c>
      <c r="D58" s="34" t="str">
        <f>IF(E58&lt;&gt;"","Field Blank 3", "")</f>
        <v/>
      </c>
      <c r="E58" s="33"/>
      <c r="F58" s="33"/>
      <c r="G58" s="33"/>
      <c r="H58" s="33"/>
      <c r="I58" s="33"/>
      <c r="J58" s="33"/>
      <c r="K58" s="33"/>
      <c r="L58" s="33"/>
      <c r="M58" s="33"/>
      <c r="N58" s="934"/>
      <c r="O58" s="935"/>
      <c r="P58" s="936"/>
      <c r="Q58" s="245"/>
      <c r="R58" s="245"/>
      <c r="S58" s="3" t="str">
        <f>IF(D58&lt;&gt;"","Show","Hide")</f>
        <v>Hide</v>
      </c>
      <c r="T58" s="245"/>
      <c r="U58" s="940"/>
    </row>
    <row r="59" spans="2:21" s="232" customFormat="1" ht="20.100000000000001" hidden="1" customHeight="1">
      <c r="B59" s="927"/>
      <c r="C59" s="10" t="s">
        <v>7</v>
      </c>
      <c r="D59" s="34" t="str">
        <f>IF(E59&lt;&gt;"","Trip Blank 1", "")</f>
        <v/>
      </c>
      <c r="E59" s="33"/>
      <c r="F59" s="33"/>
      <c r="G59" s="33"/>
      <c r="H59" s="33"/>
      <c r="I59" s="33"/>
      <c r="J59" s="33"/>
      <c r="K59" s="33"/>
      <c r="L59" s="33"/>
      <c r="M59" s="33"/>
      <c r="N59" s="937"/>
      <c r="O59" s="938"/>
      <c r="P59" s="939"/>
      <c r="Q59" s="245"/>
      <c r="R59" s="245"/>
      <c r="S59" s="3" t="str">
        <f>IF(D59&lt;&gt;"","Show","Hide")</f>
        <v>Hide</v>
      </c>
      <c r="T59" s="245"/>
      <c r="U59" s="940"/>
    </row>
    <row r="60" spans="2:21" s="232" customFormat="1" ht="24" customHeight="1">
      <c r="B60" s="927"/>
      <c r="C60" s="905" t="s">
        <v>23</v>
      </c>
      <c r="D60" s="905"/>
      <c r="E60" s="905"/>
      <c r="F60" s="905"/>
      <c r="G60" s="905"/>
      <c r="H60" s="905"/>
      <c r="I60" s="905"/>
      <c r="J60" s="905"/>
      <c r="K60" s="905"/>
      <c r="L60" s="905"/>
      <c r="M60" s="905"/>
      <c r="N60" s="905"/>
      <c r="O60" s="905"/>
      <c r="P60" s="906"/>
      <c r="S60" s="3" t="str">
        <f>IF($C$63&lt;&gt;"","Show","Hide")</f>
        <v>Show</v>
      </c>
      <c r="U60" s="20" t="s">
        <v>501</v>
      </c>
    </row>
    <row r="61" spans="2:21" s="232" customFormat="1" ht="50.1" customHeight="1">
      <c r="B61" s="927"/>
      <c r="C61" s="32"/>
      <c r="D61" s="31"/>
      <c r="E61" s="27" t="s">
        <v>4</v>
      </c>
      <c r="F61" s="941" t="s">
        <v>3</v>
      </c>
      <c r="G61" s="915"/>
      <c r="H61" s="915" t="s">
        <v>1</v>
      </c>
      <c r="I61" s="239"/>
      <c r="J61" s="239"/>
      <c r="K61" s="239"/>
      <c r="L61" s="239"/>
      <c r="M61" s="239"/>
      <c r="N61" s="239"/>
      <c r="O61" s="239"/>
      <c r="P61" s="240"/>
      <c r="S61" s="3" t="str">
        <f t="shared" ref="S61:S62" si="3">IF($C$63&lt;&gt;"","Show","Hide")</f>
        <v>Show</v>
      </c>
      <c r="U61" s="2"/>
    </row>
    <row r="62" spans="2:21" s="232" customFormat="1" ht="28.8">
      <c r="B62" s="927"/>
      <c r="C62" s="12" t="str">
        <f>C$8</f>
        <v>Measurement</v>
      </c>
      <c r="D62" s="13" t="str">
        <f>D$8</f>
        <v>Location Name</v>
      </c>
      <c r="E62" s="14" t="str">
        <f>_xlfn.CONCAT(INDEX(v2pAirThresholds[Max],30,1))</f>
        <v>9</v>
      </c>
      <c r="F62" s="14" t="str">
        <f>_xlfn.CONCAT(INDEX(v2pAirThresholds[Max],31,1)," (",INDEX(v2pAirThresholds[Max],31,1)*INDEX(v2pAirThresholds[Percent Tolerance],31,1),")")</f>
        <v>51 (53.55)</v>
      </c>
      <c r="G62" s="12" t="s">
        <v>10</v>
      </c>
      <c r="H62" s="915"/>
      <c r="I62" s="233"/>
      <c r="J62" s="233"/>
      <c r="K62" s="233"/>
      <c r="L62" s="233"/>
      <c r="M62" s="233"/>
      <c r="N62" s="233"/>
      <c r="O62" s="233"/>
      <c r="P62" s="234"/>
      <c r="S62" s="3" t="str">
        <f t="shared" si="3"/>
        <v>Show</v>
      </c>
      <c r="U62" s="2"/>
    </row>
    <row r="63" spans="2:21" s="232" customFormat="1" ht="20.100000000000001" customHeight="1">
      <c r="B63" s="927"/>
      <c r="C63" s="10">
        <v>1</v>
      </c>
      <c r="D63" s="6" t="s">
        <v>532</v>
      </c>
      <c r="E63" s="8" t="s">
        <v>542</v>
      </c>
      <c r="F63" s="8">
        <v>1.3</v>
      </c>
      <c r="G63" s="9" t="str">
        <f>IF($D63&lt;&gt;"",IF(_xlfn.NUMBERVALUE(SUBSTITUTE($F63,"&lt;",""))&lt;= INDEX(v2pAirThresholds[Max],31,1),"No",IF(_xlfn.NUMBERVALUE(SUBSTITUTE($F63,"&lt;",""))&lt;= INDEX(v2pAirThresholds[Max],31,1)*INDEX(v2pAirThresholds[Percent Tolerance],31,1),"Yes",IF(ISNUMBER(_xlfn.NUMBERVALUE(SUBSTITUTE($F63,"&lt;",""))),"Over",""))),"")</f>
        <v>No</v>
      </c>
      <c r="H63" s="190" t="s">
        <v>1456</v>
      </c>
      <c r="I63" s="233"/>
      <c r="J63" s="233"/>
      <c r="K63" s="233"/>
      <c r="L63" s="233"/>
      <c r="M63" s="233"/>
      <c r="N63" s="233"/>
      <c r="O63" s="233"/>
      <c r="P63" s="234"/>
      <c r="S63" s="3" t="str">
        <f>IF(C63&lt;&gt;"","Show","Hide")</f>
        <v>Show</v>
      </c>
      <c r="U63" s="2"/>
    </row>
    <row r="64" spans="2:21" s="232" customFormat="1" ht="20.100000000000001" customHeight="1">
      <c r="B64" s="927"/>
      <c r="C64" s="10">
        <v>2</v>
      </c>
      <c r="D64" s="6" t="s">
        <v>533</v>
      </c>
      <c r="E64" s="8" t="s">
        <v>542</v>
      </c>
      <c r="F64" s="8">
        <v>1.5</v>
      </c>
      <c r="G64" s="9" t="str">
        <f>IF($D64&lt;&gt;"",IF(_xlfn.NUMBERVALUE(SUBSTITUTE($F64,"&lt;",""))&lt;= INDEX(v2pAirThresholds[Max],31,1),"No",IF(_xlfn.NUMBERVALUE(SUBSTITUTE($F64,"&lt;",""))&lt;= INDEX(v2pAirThresholds[Max],31,1)*INDEX(v2pAirThresholds[Percent Tolerance],31,1),"Yes",IF(ISNUMBER(_xlfn.NUMBERVALUE(SUBSTITUTE($F64,"&lt;",""))),"Over",""))),"")</f>
        <v>No</v>
      </c>
      <c r="H64" s="190" t="s">
        <v>1456</v>
      </c>
      <c r="I64" s="233"/>
      <c r="J64" s="233"/>
      <c r="K64" s="233"/>
      <c r="L64" s="233"/>
      <c r="M64" s="233"/>
      <c r="N64" s="233"/>
      <c r="O64" s="233"/>
      <c r="P64" s="234"/>
      <c r="S64" s="3" t="str">
        <f t="shared" ref="S64:S72" si="4">IF(C64&lt;&gt;"","Show","Hide")</f>
        <v>Show</v>
      </c>
      <c r="U64" s="2"/>
    </row>
    <row r="65" spans="1:21" s="232" customFormat="1" ht="20.100000000000001" customHeight="1">
      <c r="B65" s="927"/>
      <c r="C65" s="10">
        <v>3</v>
      </c>
      <c r="D65" s="6" t="s">
        <v>534</v>
      </c>
      <c r="E65" s="8" t="s">
        <v>542</v>
      </c>
      <c r="F65" s="8">
        <v>1.4</v>
      </c>
      <c r="G65" s="9" t="str">
        <f>IF($D65&lt;&gt;"",IF(_xlfn.NUMBERVALUE(SUBSTITUTE($F65,"&lt;",""))&lt;= INDEX(v2pAirThresholds[Max],31,1),"No",IF(_xlfn.NUMBERVALUE(SUBSTITUTE($F65,"&lt;",""))&lt;= INDEX(v2pAirThresholds[Max],31,1)*INDEX(v2pAirThresholds[Percent Tolerance],31,1),"Yes",IF(ISNUMBER(_xlfn.NUMBERVALUE(SUBSTITUTE($F65,"&lt;",""))),"Over",""))),"")</f>
        <v>No</v>
      </c>
      <c r="H65" s="190" t="s">
        <v>1456</v>
      </c>
      <c r="I65" s="233"/>
      <c r="J65" s="233"/>
      <c r="K65" s="233"/>
      <c r="L65" s="233"/>
      <c r="M65" s="233"/>
      <c r="N65" s="233"/>
      <c r="O65" s="233"/>
      <c r="P65" s="234"/>
      <c r="S65" s="3" t="str">
        <f t="shared" si="4"/>
        <v>Show</v>
      </c>
      <c r="U65" s="2"/>
    </row>
    <row r="66" spans="1:21" s="232" customFormat="1" ht="20.100000000000001" customHeight="1">
      <c r="B66" s="927"/>
      <c r="C66" s="10">
        <v>4</v>
      </c>
      <c r="D66" s="6" t="s">
        <v>535</v>
      </c>
      <c r="E66" s="8" t="s">
        <v>542</v>
      </c>
      <c r="F66" s="8">
        <v>1.2</v>
      </c>
      <c r="G66" s="9" t="str">
        <f>IF($D66&lt;&gt;"",IF(_xlfn.NUMBERVALUE(SUBSTITUTE($F66,"&lt;",""))&lt;= INDEX(v2pAirThresholds[Max],31,1),"No",IF(_xlfn.NUMBERVALUE(SUBSTITUTE($F66,"&lt;",""))&lt;= INDEX(v2pAirThresholds[Max],31,1)*INDEX(v2pAirThresholds[Percent Tolerance],31,1),"Yes",IF(ISNUMBER(_xlfn.NUMBERVALUE(SUBSTITUTE($F66,"&lt;",""))),"Over",""))),"")</f>
        <v>No</v>
      </c>
      <c r="H66" s="190" t="s">
        <v>1456</v>
      </c>
      <c r="I66" s="233"/>
      <c r="J66" s="233"/>
      <c r="K66" s="233"/>
      <c r="L66" s="233"/>
      <c r="M66" s="233"/>
      <c r="N66" s="233"/>
      <c r="O66" s="233"/>
      <c r="P66" s="234"/>
      <c r="S66" s="3" t="str">
        <f t="shared" si="4"/>
        <v>Show</v>
      </c>
      <c r="U66" s="2"/>
    </row>
    <row r="67" spans="1:21" s="232" customFormat="1" ht="20.100000000000001" customHeight="1">
      <c r="B67" s="927"/>
      <c r="C67" s="10">
        <v>5</v>
      </c>
      <c r="D67" s="6" t="s">
        <v>536</v>
      </c>
      <c r="E67" s="8" t="s">
        <v>542</v>
      </c>
      <c r="F67" s="8">
        <v>5.9</v>
      </c>
      <c r="G67" s="9" t="str">
        <f>IF($D67&lt;&gt;"",IF(_xlfn.NUMBERVALUE(SUBSTITUTE($F67,"&lt;",""))&lt;= INDEX(v2pAirThresholds[Max],31,1),"No",IF(_xlfn.NUMBERVALUE(SUBSTITUTE($F67,"&lt;",""))&lt;= INDEX(v2pAirThresholds[Max],31,1)*INDEX(v2pAirThresholds[Percent Tolerance],31,1),"Yes",IF(ISNUMBER(_xlfn.NUMBERVALUE(SUBSTITUTE($F67,"&lt;",""))),"Over",""))),"")</f>
        <v>No</v>
      </c>
      <c r="H67" s="190" t="s">
        <v>1456</v>
      </c>
      <c r="I67" s="233"/>
      <c r="J67" s="233"/>
      <c r="K67" s="233"/>
      <c r="L67" s="233"/>
      <c r="M67" s="233"/>
      <c r="N67" s="233"/>
      <c r="O67" s="233"/>
      <c r="P67" s="234"/>
      <c r="S67" s="3" t="str">
        <f t="shared" si="4"/>
        <v>Show</v>
      </c>
      <c r="U67" s="2"/>
    </row>
    <row r="68" spans="1:21" s="232" customFormat="1" ht="20.100000000000001" customHeight="1">
      <c r="B68" s="927"/>
      <c r="C68" s="10">
        <v>6</v>
      </c>
      <c r="D68" s="6" t="s">
        <v>537</v>
      </c>
      <c r="E68" s="8" t="s">
        <v>542</v>
      </c>
      <c r="F68" s="8">
        <v>2.9</v>
      </c>
      <c r="G68" s="9" t="str">
        <f>IF($D68&lt;&gt;"",IF(_xlfn.NUMBERVALUE(SUBSTITUTE($F68,"&lt;",""))&lt;= INDEX(v2pAirThresholds[Max],31,1),"No",IF(_xlfn.NUMBERVALUE(SUBSTITUTE($F68,"&lt;",""))&lt;= INDEX(v2pAirThresholds[Max],31,1)*INDEX(v2pAirThresholds[Percent Tolerance],31,1),"Yes",IF(ISNUMBER(_xlfn.NUMBERVALUE(SUBSTITUTE($F68,"&lt;",""))),"Over",""))),"")</f>
        <v>No</v>
      </c>
      <c r="H68" s="190" t="s">
        <v>1456</v>
      </c>
      <c r="I68" s="233"/>
      <c r="J68" s="233"/>
      <c r="K68" s="233"/>
      <c r="L68" s="233"/>
      <c r="M68" s="233"/>
      <c r="N68" s="233"/>
      <c r="O68" s="233"/>
      <c r="P68" s="234"/>
      <c r="S68" s="3" t="str">
        <f t="shared" si="4"/>
        <v>Show</v>
      </c>
      <c r="U68" s="2"/>
    </row>
    <row r="69" spans="1:21" s="232" customFormat="1" ht="20.100000000000001" customHeight="1">
      <c r="B69" s="927"/>
      <c r="C69" s="10">
        <v>7</v>
      </c>
      <c r="D69" s="6" t="s">
        <v>538</v>
      </c>
      <c r="E69" s="8" t="s">
        <v>542</v>
      </c>
      <c r="F69" s="8">
        <v>1.7</v>
      </c>
      <c r="G69" s="9" t="str">
        <f>IF($D69&lt;&gt;"",IF(_xlfn.NUMBERVALUE(SUBSTITUTE($F69,"&lt;",""))&lt;= INDEX(v2pAirThresholds[Max],31,1),"No",IF(_xlfn.NUMBERVALUE(SUBSTITUTE($F69,"&lt;",""))&lt;= INDEX(v2pAirThresholds[Max],31,1)*INDEX(v2pAirThresholds[Percent Tolerance],31,1),"Yes",IF(ISNUMBER(_xlfn.NUMBERVALUE(SUBSTITUTE($F69,"&lt;",""))),"Over",""))),"")</f>
        <v>No</v>
      </c>
      <c r="H69" s="190" t="s">
        <v>1456</v>
      </c>
      <c r="I69" s="233"/>
      <c r="J69" s="233"/>
      <c r="K69" s="233"/>
      <c r="L69" s="233"/>
      <c r="M69" s="233"/>
      <c r="N69" s="233"/>
      <c r="O69" s="233"/>
      <c r="P69" s="234"/>
      <c r="S69" s="3" t="str">
        <f t="shared" si="4"/>
        <v>Show</v>
      </c>
      <c r="U69" s="2"/>
    </row>
    <row r="70" spans="1:21" s="232" customFormat="1" ht="20.100000000000001" customHeight="1">
      <c r="B70" s="927"/>
      <c r="C70" s="10">
        <v>8</v>
      </c>
      <c r="D70" s="6" t="s">
        <v>539</v>
      </c>
      <c r="E70" s="8" t="s">
        <v>542</v>
      </c>
      <c r="F70" s="8">
        <v>1.4</v>
      </c>
      <c r="G70" s="9" t="str">
        <f>IF($D70&lt;&gt;"",IF(_xlfn.NUMBERVALUE(SUBSTITUTE($F70,"&lt;",""))&lt;= INDEX(v2pAirThresholds[Max],31,1),"No",IF(_xlfn.NUMBERVALUE(SUBSTITUTE($F70,"&lt;",""))&lt;= INDEX(v2pAirThresholds[Max],31,1)*INDEX(v2pAirThresholds[Percent Tolerance],31,1),"Yes",IF(ISNUMBER(_xlfn.NUMBERVALUE(SUBSTITUTE($F70,"&lt;",""))),"Over",""))),"")</f>
        <v>No</v>
      </c>
      <c r="H70" s="190" t="s">
        <v>1456</v>
      </c>
      <c r="I70" s="233"/>
      <c r="J70" s="233"/>
      <c r="K70" s="233"/>
      <c r="L70" s="233"/>
      <c r="M70" s="233"/>
      <c r="N70" s="233"/>
      <c r="O70" s="233"/>
      <c r="P70" s="234"/>
      <c r="S70" s="3" t="str">
        <f t="shared" si="4"/>
        <v>Show</v>
      </c>
      <c r="U70" s="2"/>
    </row>
    <row r="71" spans="1:21" s="232" customFormat="1" ht="20.100000000000001" customHeight="1">
      <c r="B71" s="927"/>
      <c r="C71" s="10">
        <v>9</v>
      </c>
      <c r="D71" s="6" t="s">
        <v>540</v>
      </c>
      <c r="E71" s="8" t="s">
        <v>542</v>
      </c>
      <c r="F71" s="8">
        <v>1.2</v>
      </c>
      <c r="G71" s="9" t="str">
        <f>IF($D71&lt;&gt;"",IF(_xlfn.NUMBERVALUE(SUBSTITUTE($F71,"&lt;",""))&lt;= INDEX(v2pAirThresholds[Max],31,1),"No",IF(_xlfn.NUMBERVALUE(SUBSTITUTE($F71,"&lt;",""))&lt;= INDEX(v2pAirThresholds[Max],31,1)*INDEX(v2pAirThresholds[Percent Tolerance],31,1),"Yes",IF(ISNUMBER(_xlfn.NUMBERVALUE(SUBSTITUTE($F71,"&lt;",""))),"Over",""))),"")</f>
        <v>No</v>
      </c>
      <c r="H71" s="190" t="s">
        <v>1456</v>
      </c>
      <c r="I71" s="233"/>
      <c r="J71" s="233"/>
      <c r="K71" s="233"/>
      <c r="L71" s="233"/>
      <c r="M71" s="233"/>
      <c r="N71" s="233"/>
      <c r="O71" s="233"/>
      <c r="P71" s="234"/>
      <c r="S71" s="3" t="str">
        <f t="shared" si="4"/>
        <v>Show</v>
      </c>
      <c r="U71" s="940"/>
    </row>
    <row r="72" spans="1:21" s="232" customFormat="1" ht="20.100000000000001" customHeight="1">
      <c r="B72" s="927"/>
      <c r="C72" s="10">
        <v>10</v>
      </c>
      <c r="D72" s="6" t="s">
        <v>541</v>
      </c>
      <c r="E72" s="8" t="s">
        <v>542</v>
      </c>
      <c r="F72" s="8">
        <v>0.9</v>
      </c>
      <c r="G72" s="9" t="str">
        <f>IF($D72&lt;&gt;"",IF(_xlfn.NUMBERVALUE(SUBSTITUTE($F72,"&lt;",""))&lt;= INDEX(v2pAirThresholds[Max],31,1),"No",IF(_xlfn.NUMBERVALUE(SUBSTITUTE($F72,"&lt;",""))&lt;= INDEX(v2pAirThresholds[Max],31,1)*INDEX(v2pAirThresholds[Percent Tolerance],31,1),"Yes",IF(ISNUMBER(_xlfn.NUMBERVALUE(SUBSTITUTE($F72,"&lt;",""))),"Over",""))),"")</f>
        <v>No</v>
      </c>
      <c r="H72" s="190" t="s">
        <v>1456</v>
      </c>
      <c r="I72" s="237"/>
      <c r="J72" s="237"/>
      <c r="K72" s="237"/>
      <c r="L72" s="237"/>
      <c r="M72" s="237"/>
      <c r="N72" s="237"/>
      <c r="O72" s="237"/>
      <c r="P72" s="238"/>
      <c r="S72" s="3" t="str">
        <f t="shared" si="4"/>
        <v>Show</v>
      </c>
      <c r="U72" s="940"/>
    </row>
    <row r="73" spans="1:21" s="232" customFormat="1" ht="24" customHeight="1">
      <c r="A73" s="246"/>
      <c r="B73" s="927"/>
      <c r="C73" s="905" t="s">
        <v>22</v>
      </c>
      <c r="D73" s="905"/>
      <c r="E73" s="905"/>
      <c r="F73" s="905"/>
      <c r="G73" s="905"/>
      <c r="H73" s="905"/>
      <c r="I73" s="905"/>
      <c r="J73" s="905"/>
      <c r="K73" s="905"/>
      <c r="L73" s="905"/>
      <c r="M73" s="905"/>
      <c r="N73" s="905"/>
      <c r="O73" s="905"/>
      <c r="P73" s="906"/>
      <c r="S73" s="3" t="str">
        <f>IF($C$76&lt;&gt;"","Show","Hide")</f>
        <v>Show</v>
      </c>
      <c r="U73" s="2"/>
    </row>
    <row r="74" spans="1:21" s="232" customFormat="1" ht="28.8">
      <c r="A74" s="246"/>
      <c r="B74" s="927"/>
      <c r="C74" s="929"/>
      <c r="D74" s="929"/>
      <c r="E74" s="12" t="s">
        <v>21</v>
      </c>
      <c r="F74" s="12" t="s">
        <v>20</v>
      </c>
      <c r="G74" s="907" t="s">
        <v>10</v>
      </c>
      <c r="H74" s="908"/>
      <c r="I74" s="941" t="s">
        <v>1</v>
      </c>
      <c r="J74" s="12" t="s">
        <v>19</v>
      </c>
      <c r="K74" s="247"/>
      <c r="L74" s="247"/>
      <c r="M74" s="247"/>
      <c r="N74" s="247"/>
      <c r="O74" s="247"/>
      <c r="P74" s="248"/>
      <c r="S74" s="3" t="str">
        <f t="shared" ref="S74:S75" si="5">IF($C$76&lt;&gt;"","Show","Hide")</f>
        <v>Show</v>
      </c>
      <c r="U74" s="940"/>
    </row>
    <row r="75" spans="1:21" s="232" customFormat="1" ht="43.2">
      <c r="A75" s="246"/>
      <c r="B75" s="927"/>
      <c r="C75" s="26" t="str">
        <f>C$8</f>
        <v>Measurement</v>
      </c>
      <c r="D75" s="15" t="str">
        <f>D$8</f>
        <v>Location Name</v>
      </c>
      <c r="E75" s="12" t="str">
        <f>_xlfn.CONCAT("Tier 1: ",INDEX(v2pA05PM_Tiers[PM2_5Tier1],1)," (",INDEX(v2pA05PM_Tiers[PM2_5Tier1],2),")",CHAR(10),"Tier 2: ",INDEX(v2pA05PM_Tiers[PM2_5Tier2],1)," (",INDEX(v2pA05PM_Tiers[PM2_5Tier2],2),")")</f>
        <v>Tier 1: 12 (14.4)
Tier 2: 10 (12)</v>
      </c>
      <c r="F75" s="12" t="str">
        <f>_xlfn.CONCAT("Tier 1: ",INDEX(v2pA05PM_Tiers[PM10Tier1],1)," (",INDEX(v2pA05PM_Tiers[PM10Tier1],2),")",CHAR(10),"Tier 2: ",INDEX(v2pA05PM_Tiers[PM10Tier2],1)," (",INDEX(v2pA05PM_Tiers[PM10Tier2],2),")")</f>
        <v>Tier 1: 30 (36)
Tier 2: 20 (24)</v>
      </c>
      <c r="G75" s="25" t="s">
        <v>18</v>
      </c>
      <c r="H75" s="12" t="s">
        <v>17</v>
      </c>
      <c r="I75" s="942"/>
      <c r="J75" s="12" t="s">
        <v>16</v>
      </c>
      <c r="K75" s="249"/>
      <c r="L75" s="249"/>
      <c r="M75" s="249"/>
      <c r="N75" s="249"/>
      <c r="O75" s="249"/>
      <c r="P75" s="250"/>
      <c r="S75" s="3" t="str">
        <f t="shared" si="5"/>
        <v>Show</v>
      </c>
      <c r="U75" s="940"/>
    </row>
    <row r="76" spans="1:21" s="232" customFormat="1" ht="20.100000000000001" customHeight="1">
      <c r="A76" s="246"/>
      <c r="B76" s="927"/>
      <c r="C76" s="10">
        <v>1</v>
      </c>
      <c r="D76" s="6" t="s">
        <v>532</v>
      </c>
      <c r="E76" s="8">
        <v>3</v>
      </c>
      <c r="F76" s="8">
        <v>10.3</v>
      </c>
      <c r="G76" s="23" t="str">
        <f>IF(D76&lt;&gt;"",_xlfn.CONCAT(IF(AND(E76&gt;INDEX(v2pA05PM_Tiers[PM2_5Tier1],1),E76&lt;=INDEX(v2pA05PM_Tiers[PM2_5Tier1],2)),"Yes",IF(E76&gt;INDEX(v2pA05PM_Tiers[PM2_5Tier1],2),"Over","No")),"/",IF(AND(E76&gt;INDEX(v2pA05PM_Tiers[PM2_5Tier2],1),E76&lt;=INDEX(v2pA05PM_Tiers[PM2_5Tier2],2)),"Yes",IF(E76&gt;INDEX(v2pA05PM_Tiers[PM2_5Tier2],2),"Over","No"))),"")</f>
        <v>No/No</v>
      </c>
      <c r="H76" s="23" t="str">
        <f>IF(D76&lt;&gt;"",_xlfn.CONCAT(IF(AND(F76&gt;INDEX(v2pA05PM_Tiers[PM10Tier1],1),F76&lt;=INDEX(v2pA05PM_Tiers[PM10Tier1],2)),"Yes",IF(F76&gt;INDEX(v2pA05PM_Tiers[PM10Tier1],2),"Over","No")),"/",IF(AND(F76&gt;INDEX(v2pA05PM_Tiers[PM10Tier2],1),F76&lt;=INDEX(v2pA05PM_Tiers[PM10Tier2],2)),"Yes",IF(F76&gt;INDEX(v2pA05PM_Tiers[PM10Tier2],2),"Over","No"))),"")</f>
        <v>No/No</v>
      </c>
      <c r="I76" s="190" t="s">
        <v>1456</v>
      </c>
      <c r="J76" s="22">
        <f>IF(D76&lt;&gt;"",LookUpData!$Q$119,"")</f>
        <v>2</v>
      </c>
      <c r="K76" s="249"/>
      <c r="L76" s="249"/>
      <c r="M76" s="249"/>
      <c r="N76" s="249"/>
      <c r="O76" s="249"/>
      <c r="P76" s="250"/>
      <c r="S76" s="3" t="str">
        <f>IF(C76&lt;&gt;"","Show","Hide")</f>
        <v>Show</v>
      </c>
      <c r="U76" s="2" t="s">
        <v>9</v>
      </c>
    </row>
    <row r="77" spans="1:21" s="232" customFormat="1" ht="20.100000000000001" customHeight="1">
      <c r="A77" s="246"/>
      <c r="B77" s="927"/>
      <c r="C77" s="10">
        <v>2</v>
      </c>
      <c r="D77" s="6" t="s">
        <v>533</v>
      </c>
      <c r="E77" s="8">
        <v>2.9</v>
      </c>
      <c r="F77" s="8">
        <v>10</v>
      </c>
      <c r="G77" s="23" t="str">
        <f>IF(D77&lt;&gt;"",_xlfn.CONCAT(IF(AND(E77&gt;INDEX(v2pA05PM_Tiers[PM2_5Tier1],1),E77&lt;=INDEX(v2pA05PM_Tiers[PM2_5Tier1],2)),"Yes",IF(E77&gt;INDEX(v2pA05PM_Tiers[PM2_5Tier1],2),"Over","No")),"/",IF(AND(E77&gt;INDEX(v2pA05PM_Tiers[PM2_5Tier2],1),E77&lt;=INDEX(v2pA05PM_Tiers[PM2_5Tier2],2)),"Yes",IF(E77&gt;INDEX(v2pA05PM_Tiers[PM2_5Tier2],2),"Over","No"))),"")</f>
        <v>No/No</v>
      </c>
      <c r="H77" s="23" t="str">
        <f>IF(D77&lt;&gt;"",_xlfn.CONCAT(IF(AND(F77&gt;INDEX(v2pA05PM_Tiers[PM10Tier1],1),F77&lt;=INDEX(v2pA05PM_Tiers[PM10Tier1],2)),"Yes",IF(F77&gt;INDEX(v2pA05PM_Tiers[PM10Tier1],2),"Over","No")),"/",IF(AND(F77&gt;INDEX(v2pA05PM_Tiers[PM10Tier2],1),F77&lt;=INDEX(v2pA05PM_Tiers[PM10Tier2],2)),"Yes",IF(F77&gt;INDEX(v2pA05PM_Tiers[PM10Tier2],2),"Over","No"))),"")</f>
        <v>No/No</v>
      </c>
      <c r="I77" s="190" t="s">
        <v>1456</v>
      </c>
      <c r="J77" s="22">
        <f>IF(D77&lt;&gt;"",LookUpData!$Q$119,"")</f>
        <v>2</v>
      </c>
      <c r="K77" s="249"/>
      <c r="L77" s="249"/>
      <c r="M77" s="249"/>
      <c r="N77" s="249"/>
      <c r="O77" s="249"/>
      <c r="P77" s="250"/>
      <c r="S77" s="3" t="str">
        <f t="shared" ref="S77:S85" si="6">IF(C77&lt;&gt;"","Show","Hide")</f>
        <v>Show</v>
      </c>
      <c r="U77" s="2"/>
    </row>
    <row r="78" spans="1:21" s="232" customFormat="1" ht="20.100000000000001" customHeight="1">
      <c r="A78" s="246"/>
      <c r="B78" s="927"/>
      <c r="C78" s="10">
        <v>3</v>
      </c>
      <c r="D78" s="6" t="s">
        <v>534</v>
      </c>
      <c r="E78" s="8">
        <v>2.1</v>
      </c>
      <c r="F78" s="8">
        <v>9.9</v>
      </c>
      <c r="G78" s="23" t="str">
        <f>IF(D78&lt;&gt;"",_xlfn.CONCAT(IF(AND(E78&gt;INDEX(v2pA05PM_Tiers[PM2_5Tier1],1),E78&lt;=INDEX(v2pA05PM_Tiers[PM2_5Tier1],2)),"Yes",IF(E78&gt;INDEX(v2pA05PM_Tiers[PM2_5Tier1],2),"Over","No")),"/",IF(AND(E78&gt;INDEX(v2pA05PM_Tiers[PM2_5Tier2],1),E78&lt;=INDEX(v2pA05PM_Tiers[PM2_5Tier2],2)),"Yes",IF(E78&gt;INDEX(v2pA05PM_Tiers[PM2_5Tier2],2),"Over","No"))),"")</f>
        <v>No/No</v>
      </c>
      <c r="H78" s="23" t="str">
        <f>IF(D78&lt;&gt;"",_xlfn.CONCAT(IF(AND(F78&gt;INDEX(v2pA05PM_Tiers[PM10Tier1],1),F78&lt;=INDEX(v2pA05PM_Tiers[PM10Tier1],2)),"Yes",IF(F78&gt;INDEX(v2pA05PM_Tiers[PM10Tier1],2),"Over","No")),"/",IF(AND(F78&gt;INDEX(v2pA05PM_Tiers[PM10Tier2],1),F78&lt;=INDEX(v2pA05PM_Tiers[PM10Tier2],2)),"Yes",IF(F78&gt;INDEX(v2pA05PM_Tiers[PM10Tier2],2),"Over","No"))),"")</f>
        <v>No/No</v>
      </c>
      <c r="I78" s="190" t="s">
        <v>1456</v>
      </c>
      <c r="J78" s="22">
        <f>IF(D78&lt;&gt;"",LookUpData!$Q$119,"")</f>
        <v>2</v>
      </c>
      <c r="K78" s="249"/>
      <c r="L78" s="249"/>
      <c r="M78" s="249"/>
      <c r="N78" s="249"/>
      <c r="O78" s="249"/>
      <c r="P78" s="250"/>
      <c r="S78" s="3" t="str">
        <f t="shared" si="6"/>
        <v>Show</v>
      </c>
      <c r="U78" s="2"/>
    </row>
    <row r="79" spans="1:21" s="232" customFormat="1" ht="20.100000000000001" customHeight="1">
      <c r="A79" s="246"/>
      <c r="B79" s="927"/>
      <c r="C79" s="10">
        <v>4</v>
      </c>
      <c r="D79" s="6" t="s">
        <v>535</v>
      </c>
      <c r="E79" s="8">
        <v>1.2</v>
      </c>
      <c r="F79" s="8">
        <v>1.6</v>
      </c>
      <c r="G79" s="23" t="str">
        <f>IF(D79&lt;&gt;"",_xlfn.CONCAT(IF(AND(E79&gt;INDEX(v2pA05PM_Tiers[PM2_5Tier1],1),E79&lt;=INDEX(v2pA05PM_Tiers[PM2_5Tier1],2)),"Yes",IF(E79&gt;INDEX(v2pA05PM_Tiers[PM2_5Tier1],2),"Over","No")),"/",IF(AND(E79&gt;INDEX(v2pA05PM_Tiers[PM2_5Tier2],1),E79&lt;=INDEX(v2pA05PM_Tiers[PM2_5Tier2],2)),"Yes",IF(E79&gt;INDEX(v2pA05PM_Tiers[PM2_5Tier2],2),"Over","No"))),"")</f>
        <v>No/No</v>
      </c>
      <c r="H79" s="23" t="str">
        <f>IF(D79&lt;&gt;"",_xlfn.CONCAT(IF(AND(F79&gt;INDEX(v2pA05PM_Tiers[PM10Tier1],1),F79&lt;=INDEX(v2pA05PM_Tiers[PM10Tier1],2)),"Yes",IF(F79&gt;INDEX(v2pA05PM_Tiers[PM10Tier1],2),"Over","No")),"/",IF(AND(F79&gt;INDEX(v2pA05PM_Tiers[PM10Tier2],1),F79&lt;=INDEX(v2pA05PM_Tiers[PM10Tier2],2)),"Yes",IF(F79&gt;INDEX(v2pA05PM_Tiers[PM10Tier2],2),"Over","No"))),"")</f>
        <v>No/No</v>
      </c>
      <c r="I79" s="190" t="s">
        <v>1456</v>
      </c>
      <c r="J79" s="22">
        <f>IF(D79&lt;&gt;"",LookUpData!$Q$119,"")</f>
        <v>2</v>
      </c>
      <c r="K79" s="249"/>
      <c r="L79" s="249"/>
      <c r="M79" s="249"/>
      <c r="N79" s="249"/>
      <c r="O79" s="249"/>
      <c r="P79" s="250"/>
      <c r="S79" s="3" t="str">
        <f t="shared" si="6"/>
        <v>Show</v>
      </c>
      <c r="U79" s="2"/>
    </row>
    <row r="80" spans="1:21" s="232" customFormat="1" ht="20.100000000000001" customHeight="1">
      <c r="A80" s="246"/>
      <c r="B80" s="927"/>
      <c r="C80" s="10">
        <v>5</v>
      </c>
      <c r="D80" s="6" t="s">
        <v>536</v>
      </c>
      <c r="E80" s="8">
        <v>0.9</v>
      </c>
      <c r="F80" s="8">
        <v>1.5</v>
      </c>
      <c r="G80" s="23" t="str">
        <f>IF(D80&lt;&gt;"",_xlfn.CONCAT(IF(AND(E80&gt;INDEX(v2pA05PM_Tiers[PM2_5Tier1],1),E80&lt;=INDEX(v2pA05PM_Tiers[PM2_5Tier1],2)),"Yes",IF(E80&gt;INDEX(v2pA05PM_Tiers[PM2_5Tier1],2),"Over","No")),"/",IF(AND(E80&gt;INDEX(v2pA05PM_Tiers[PM2_5Tier2],1),E80&lt;=INDEX(v2pA05PM_Tiers[PM2_5Tier2],2)),"Yes",IF(E80&gt;INDEX(v2pA05PM_Tiers[PM2_5Tier2],2),"Over","No"))),"")</f>
        <v>No/No</v>
      </c>
      <c r="H80" s="23" t="str">
        <f>IF(D80&lt;&gt;"",_xlfn.CONCAT(IF(AND(F80&gt;INDEX(v2pA05PM_Tiers[PM10Tier1],1),F80&lt;=INDEX(v2pA05PM_Tiers[PM10Tier1],2)),"Yes",IF(F80&gt;INDEX(v2pA05PM_Tiers[PM10Tier1],2),"Over","No")),"/",IF(AND(F80&gt;INDEX(v2pA05PM_Tiers[PM10Tier2],1),F80&lt;=INDEX(v2pA05PM_Tiers[PM10Tier2],2)),"Yes",IF(F80&gt;INDEX(v2pA05PM_Tiers[PM10Tier2],2),"Over","No"))),"")</f>
        <v>No/No</v>
      </c>
      <c r="I80" s="190" t="s">
        <v>1456</v>
      </c>
      <c r="J80" s="22">
        <f>IF(D80&lt;&gt;"",LookUpData!$Q$119,"")</f>
        <v>2</v>
      </c>
      <c r="K80" s="249"/>
      <c r="L80" s="249"/>
      <c r="M80" s="249"/>
      <c r="N80" s="249"/>
      <c r="O80" s="249"/>
      <c r="P80" s="250"/>
      <c r="S80" s="3" t="str">
        <f t="shared" si="6"/>
        <v>Show</v>
      </c>
      <c r="U80" s="2"/>
    </row>
    <row r="81" spans="1:21" s="232" customFormat="1" ht="20.100000000000001" customHeight="1">
      <c r="A81" s="246"/>
      <c r="B81" s="927"/>
      <c r="C81" s="10">
        <v>6</v>
      </c>
      <c r="D81" s="6" t="s">
        <v>537</v>
      </c>
      <c r="E81" s="8">
        <v>0.9</v>
      </c>
      <c r="F81" s="8">
        <v>2.2000000000000002</v>
      </c>
      <c r="G81" s="23" t="str">
        <f>IF(D81&lt;&gt;"",_xlfn.CONCAT(IF(AND(E81&gt;INDEX(v2pA05PM_Tiers[PM2_5Tier1],1),E81&lt;=INDEX(v2pA05PM_Tiers[PM2_5Tier1],2)),"Yes",IF(E81&gt;INDEX(v2pA05PM_Tiers[PM2_5Tier1],2),"Over","No")),"/",IF(AND(E81&gt;INDEX(v2pA05PM_Tiers[PM2_5Tier2],1),E81&lt;=INDEX(v2pA05PM_Tiers[PM2_5Tier2],2)),"Yes",IF(E81&gt;INDEX(v2pA05PM_Tiers[PM2_5Tier2],2),"Over","No"))),"")</f>
        <v>No/No</v>
      </c>
      <c r="H81" s="23" t="str">
        <f>IF(D81&lt;&gt;"",_xlfn.CONCAT(IF(AND(F81&gt;INDEX(v2pA05PM_Tiers[PM10Tier1],1),F81&lt;=INDEX(v2pA05PM_Tiers[PM10Tier1],2)),"Yes",IF(F81&gt;INDEX(v2pA05PM_Tiers[PM10Tier1],2),"Over","No")),"/",IF(AND(F81&gt;INDEX(v2pA05PM_Tiers[PM10Tier2],1),F81&lt;=INDEX(v2pA05PM_Tiers[PM10Tier2],2)),"Yes",IF(F81&gt;INDEX(v2pA05PM_Tiers[PM10Tier2],2),"Over","No"))),"")</f>
        <v>No/No</v>
      </c>
      <c r="I81" s="190" t="s">
        <v>1456</v>
      </c>
      <c r="J81" s="22">
        <f>IF(D81&lt;&gt;"",LookUpData!$Q$119,"")</f>
        <v>2</v>
      </c>
      <c r="K81" s="249"/>
      <c r="L81" s="249"/>
      <c r="M81" s="249"/>
      <c r="N81" s="249"/>
      <c r="O81" s="249"/>
      <c r="P81" s="250"/>
      <c r="S81" s="3" t="str">
        <f t="shared" si="6"/>
        <v>Show</v>
      </c>
      <c r="U81" s="2"/>
    </row>
    <row r="82" spans="1:21" s="232" customFormat="1" ht="20.100000000000001" customHeight="1">
      <c r="A82" s="246"/>
      <c r="B82" s="927"/>
      <c r="C82" s="10">
        <v>7</v>
      </c>
      <c r="D82" s="6" t="s">
        <v>538</v>
      </c>
      <c r="E82" s="8">
        <v>1</v>
      </c>
      <c r="F82" s="8">
        <v>2.1</v>
      </c>
      <c r="G82" s="23" t="str">
        <f>IF(D82&lt;&gt;"",_xlfn.CONCAT(IF(AND(E82&gt;INDEX(v2pA05PM_Tiers[PM2_5Tier1],1),E82&lt;=INDEX(v2pA05PM_Tiers[PM2_5Tier1],2)),"Yes",IF(E82&gt;INDEX(v2pA05PM_Tiers[PM2_5Tier1],2),"Over","No")),"/",IF(AND(E82&gt;INDEX(v2pA05PM_Tiers[PM2_5Tier2],1),E82&lt;=INDEX(v2pA05PM_Tiers[PM2_5Tier2],2)),"Yes",IF(E82&gt;INDEX(v2pA05PM_Tiers[PM2_5Tier2],2),"Over","No"))),"")</f>
        <v>No/No</v>
      </c>
      <c r="H82" s="23" t="str">
        <f>IF(D82&lt;&gt;"",_xlfn.CONCAT(IF(AND(F82&gt;INDEX(v2pA05PM_Tiers[PM10Tier1],1),F82&lt;=INDEX(v2pA05PM_Tiers[PM10Tier1],2)),"Yes",IF(F82&gt;INDEX(v2pA05PM_Tiers[PM10Tier1],2),"Over","No")),"/",IF(AND(F82&gt;INDEX(v2pA05PM_Tiers[PM10Tier2],1),F82&lt;=INDEX(v2pA05PM_Tiers[PM10Tier2],2)),"Yes",IF(F82&gt;INDEX(v2pA05PM_Tiers[PM10Tier2],2),"Over","No"))),"")</f>
        <v>No/No</v>
      </c>
      <c r="I82" s="190" t="s">
        <v>1456</v>
      </c>
      <c r="J82" s="22">
        <f>IF(D82&lt;&gt;"",LookUpData!$Q$119,"")</f>
        <v>2</v>
      </c>
      <c r="K82" s="249"/>
      <c r="L82" s="249"/>
      <c r="M82" s="249"/>
      <c r="N82" s="249"/>
      <c r="O82" s="249"/>
      <c r="P82" s="250"/>
      <c r="S82" s="3" t="str">
        <f t="shared" si="6"/>
        <v>Show</v>
      </c>
      <c r="U82" s="24"/>
    </row>
    <row r="83" spans="1:21" s="232" customFormat="1" ht="20.100000000000001" customHeight="1">
      <c r="A83" s="246"/>
      <c r="B83" s="927"/>
      <c r="C83" s="10">
        <v>8</v>
      </c>
      <c r="D83" s="6" t="s">
        <v>539</v>
      </c>
      <c r="E83" s="8">
        <v>0.8</v>
      </c>
      <c r="F83" s="8">
        <v>0.9</v>
      </c>
      <c r="G83" s="23" t="str">
        <f>IF(D83&lt;&gt;"",_xlfn.CONCAT(IF(AND(E83&gt;INDEX(v2pA05PM_Tiers[PM2_5Tier1],1),E83&lt;=INDEX(v2pA05PM_Tiers[PM2_5Tier1],2)),"Yes",IF(E83&gt;INDEX(v2pA05PM_Tiers[PM2_5Tier1],2),"Over","No")),"/",IF(AND(E83&gt;INDEX(v2pA05PM_Tiers[PM2_5Tier2],1),E83&lt;=INDEX(v2pA05PM_Tiers[PM2_5Tier2],2)),"Yes",IF(E83&gt;INDEX(v2pA05PM_Tiers[PM2_5Tier2],2),"Over","No"))),"")</f>
        <v>No/No</v>
      </c>
      <c r="H83" s="23" t="str">
        <f>IF(D83&lt;&gt;"",_xlfn.CONCAT(IF(AND(F83&gt;INDEX(v2pA05PM_Tiers[PM10Tier1],1),F83&lt;=INDEX(v2pA05PM_Tiers[PM10Tier1],2)),"Yes",IF(F83&gt;INDEX(v2pA05PM_Tiers[PM10Tier1],2),"Over","No")),"/",IF(AND(F83&gt;INDEX(v2pA05PM_Tiers[PM10Tier2],1),F83&lt;=INDEX(v2pA05PM_Tiers[PM10Tier2],2)),"Yes",IF(F83&gt;INDEX(v2pA05PM_Tiers[PM10Tier2],2),"Over","No"))),"")</f>
        <v>No/No</v>
      </c>
      <c r="I83" s="190" t="s">
        <v>1456</v>
      </c>
      <c r="J83" s="22">
        <f>IF(D83&lt;&gt;"",LookUpData!$Q$119,"")</f>
        <v>2</v>
      </c>
      <c r="K83" s="249"/>
      <c r="L83" s="249"/>
      <c r="M83" s="249"/>
      <c r="N83" s="249"/>
      <c r="O83" s="249"/>
      <c r="P83" s="250"/>
      <c r="S83" s="3" t="str">
        <f t="shared" si="6"/>
        <v>Show</v>
      </c>
      <c r="U83" s="2"/>
    </row>
    <row r="84" spans="1:21" s="232" customFormat="1" ht="20.100000000000001" customHeight="1">
      <c r="A84" s="246"/>
      <c r="B84" s="927"/>
      <c r="C84" s="10">
        <v>9</v>
      </c>
      <c r="D84" s="6" t="s">
        <v>540</v>
      </c>
      <c r="E84" s="8">
        <v>0.7</v>
      </c>
      <c r="F84" s="8">
        <v>1.1000000000000001</v>
      </c>
      <c r="G84" s="23" t="str">
        <f>IF(D84&lt;&gt;"",_xlfn.CONCAT(IF(AND(E84&gt;INDEX(v2pA05PM_Tiers[PM2_5Tier1],1),E84&lt;=INDEX(v2pA05PM_Tiers[PM2_5Tier1],2)),"Yes",IF(E84&gt;INDEX(v2pA05PM_Tiers[PM2_5Tier1],2),"Over","No")),"/",IF(AND(E84&gt;INDEX(v2pA05PM_Tiers[PM2_5Tier2],1),E84&lt;=INDEX(v2pA05PM_Tiers[PM2_5Tier2],2)),"Yes",IF(E84&gt;INDEX(v2pA05PM_Tiers[PM2_5Tier2],2),"Over","No"))),"")</f>
        <v>No/No</v>
      </c>
      <c r="H84" s="23" t="str">
        <f>IF(D84&lt;&gt;"",_xlfn.CONCAT(IF(AND(F84&gt;INDEX(v2pA05PM_Tiers[PM10Tier1],1),F84&lt;=INDEX(v2pA05PM_Tiers[PM10Tier1],2)),"Yes",IF(F84&gt;INDEX(v2pA05PM_Tiers[PM10Tier1],2),"Over","No")),"/",IF(AND(F84&gt;INDEX(v2pA05PM_Tiers[PM10Tier2],1),F84&lt;=INDEX(v2pA05PM_Tiers[PM10Tier2],2)),"Yes",IF(F84&gt;INDEX(v2pA05PM_Tiers[PM10Tier2],2),"Over","No"))),"")</f>
        <v>No/No</v>
      </c>
      <c r="I84" s="190" t="s">
        <v>1456</v>
      </c>
      <c r="J84" s="22">
        <f>IF(D84&lt;&gt;"",LookUpData!$Q$119,"")</f>
        <v>2</v>
      </c>
      <c r="K84" s="249"/>
      <c r="L84" s="249"/>
      <c r="M84" s="249"/>
      <c r="N84" s="249"/>
      <c r="O84" s="249"/>
      <c r="P84" s="250"/>
      <c r="S84" s="3" t="str">
        <f t="shared" si="6"/>
        <v>Show</v>
      </c>
      <c r="U84" s="2"/>
    </row>
    <row r="85" spans="1:21" s="232" customFormat="1" ht="24" customHeight="1">
      <c r="B85" s="927"/>
      <c r="C85" s="10">
        <v>10</v>
      </c>
      <c r="D85" s="6" t="s">
        <v>541</v>
      </c>
      <c r="E85" s="8">
        <v>0.7</v>
      </c>
      <c r="F85" s="8">
        <v>1.7</v>
      </c>
      <c r="G85" s="23" t="str">
        <f>IF(D85&lt;&gt;"",_xlfn.CONCAT(IF(AND(E85&gt;INDEX(v2pA05PM_Tiers[PM2_5Tier1],1),E85&lt;=INDEX(v2pA05PM_Tiers[PM2_5Tier1],2)),"Yes",IF(E85&gt;INDEX(v2pA05PM_Tiers[PM2_5Tier1],2),"Over","No")),"/",IF(AND(E85&gt;INDEX(v2pA05PM_Tiers[PM2_5Tier2],1),E85&lt;=INDEX(v2pA05PM_Tiers[PM2_5Tier2],2)),"Yes",IF(E85&gt;INDEX(v2pA05PM_Tiers[PM2_5Tier2],2),"Over","No"))),"")</f>
        <v>No/No</v>
      </c>
      <c r="H85" s="23" t="str">
        <f>IF(D85&lt;&gt;"",_xlfn.CONCAT(IF(AND(F85&gt;INDEX(v2pA05PM_Tiers[PM10Tier1],1),F85&lt;=INDEX(v2pA05PM_Tiers[PM10Tier1],2)),"Yes",IF(F85&gt;INDEX(v2pA05PM_Tiers[PM10Tier1],2),"Over","No")),"/",IF(AND(F85&gt;INDEX(v2pA05PM_Tiers[PM10Tier2],1),F85&lt;=INDEX(v2pA05PM_Tiers[PM10Tier2],2)),"Yes",IF(F85&gt;INDEX(v2pA05PM_Tiers[PM10Tier2],2),"Over","No"))),"")</f>
        <v>No/No</v>
      </c>
      <c r="I85" s="190" t="s">
        <v>1456</v>
      </c>
      <c r="J85" s="22">
        <f>IF(D85&lt;&gt;"",LookUpData!$Q$119,"")</f>
        <v>2</v>
      </c>
      <c r="K85" s="251"/>
      <c r="L85" s="251"/>
      <c r="M85" s="251"/>
      <c r="N85" s="251"/>
      <c r="O85" s="251"/>
      <c r="P85" s="252"/>
      <c r="S85" s="3" t="str">
        <f t="shared" si="6"/>
        <v>Show</v>
      </c>
      <c r="U85" s="940"/>
    </row>
    <row r="86" spans="1:21" s="232" customFormat="1" ht="50.1" customHeight="1">
      <c r="B86" s="927"/>
      <c r="C86" s="943" t="s">
        <v>15</v>
      </c>
      <c r="D86" s="943"/>
      <c r="E86" s="943"/>
      <c r="F86" s="943"/>
      <c r="G86" s="943"/>
      <c r="H86" s="943"/>
      <c r="I86" s="943"/>
      <c r="J86" s="943"/>
      <c r="K86" s="943"/>
      <c r="L86" s="943"/>
      <c r="M86" s="943"/>
      <c r="N86" s="943"/>
      <c r="O86" s="943"/>
      <c r="P86" s="944"/>
      <c r="S86" s="3" t="str">
        <f>IF($C$89&lt;&gt;"","Show","Hide")</f>
        <v>Show</v>
      </c>
      <c r="U86" s="940"/>
    </row>
    <row r="87" spans="1:21" s="232" customFormat="1" ht="45" customHeight="1">
      <c r="B87" s="927"/>
      <c r="C87" s="16"/>
      <c r="D87" s="15"/>
      <c r="E87" s="915" t="s">
        <v>14</v>
      </c>
      <c r="F87" s="915"/>
      <c r="G87" s="12" t="s">
        <v>13</v>
      </c>
      <c r="H87" s="12" t="s">
        <v>12</v>
      </c>
      <c r="I87" s="915" t="s">
        <v>1</v>
      </c>
      <c r="J87" s="253"/>
      <c r="K87" s="253"/>
      <c r="L87" s="253"/>
      <c r="M87" s="253"/>
      <c r="N87" s="253"/>
      <c r="O87" s="253"/>
      <c r="P87" s="254"/>
      <c r="S87" s="3" t="str">
        <f t="shared" ref="S87:S88" si="7">IF($C$89&lt;&gt;"","Show","Hide")</f>
        <v>Show</v>
      </c>
      <c r="U87" s="2"/>
    </row>
    <row r="88" spans="1:21" s="232" customFormat="1" ht="32.1" customHeight="1">
      <c r="B88" s="927"/>
      <c r="C88" s="12" t="str">
        <f>C$8</f>
        <v>Measurement</v>
      </c>
      <c r="D88" s="15" t="str">
        <f>D$8</f>
        <v>Location Name</v>
      </c>
      <c r="E88" s="21" t="str">
        <f>_xlfn.CONCAT( INDEX(v2pAirThresholds[Max],28,1)," (", INDEX(v2pAirThresholds[Max],28,1)*INDEX(v2pAirThresholds[Percent Tolerance],28,1),")")</f>
        <v>13.4 (16.08)</v>
      </c>
      <c r="F88" s="12" t="s">
        <v>11</v>
      </c>
      <c r="G88" s="21" t="str">
        <f>_xlfn.CONCAT( INDEX(v2pAirThresholds[Max],29,1)," (", INDEX(v2pAirThresholds[Max],29,1)*INDEX(v2pAirThresholds[Percent Tolerance],29,1),")")</f>
        <v>3 (3.15)</v>
      </c>
      <c r="H88" s="12" t="s">
        <v>10</v>
      </c>
      <c r="I88" s="915"/>
      <c r="J88" s="255"/>
      <c r="K88" s="255"/>
      <c r="L88" s="255"/>
      <c r="M88" s="255"/>
      <c r="N88" s="255"/>
      <c r="O88" s="255"/>
      <c r="P88" s="256"/>
      <c r="S88" s="3" t="str">
        <f t="shared" si="7"/>
        <v>Show</v>
      </c>
      <c r="U88" s="940"/>
    </row>
    <row r="89" spans="1:21" s="232" customFormat="1" ht="20.100000000000001" customHeight="1">
      <c r="B89" s="927"/>
      <c r="C89" s="10">
        <v>1</v>
      </c>
      <c r="D89" s="6" t="s">
        <v>532</v>
      </c>
      <c r="E89" s="8">
        <v>3.2587812753488068</v>
      </c>
      <c r="F89" s="7" t="str">
        <f>IF($D89&lt;&gt;"",IF(_xlfn.NUMBERVALUE(SUBSTITUTE($E89,"&lt;",""))&lt;= INDEX(v2pAirThresholds[Max],28,1),"No",IF(_xlfn.NUMBERVALUE(SUBSTITUTE($E89,"&lt;",""))&lt;= INDEX(v2pAirThresholds[Max],28,1)*INDEX(v2pAirThresholds[Percent Tolerance],28,1),"Yes",IF(ISNUMBER(_xlfn.NUMBERVALUE(SUBSTITUTE($E89,"&lt;",""))),"Over",""))),"")</f>
        <v>No</v>
      </c>
      <c r="G89" s="8">
        <v>2</v>
      </c>
      <c r="H89" s="7" t="str">
        <f>IF($D89&lt;&gt;"",IF(_xlfn.NUMBERVALUE(SUBSTITUTE($G89,"&lt;",""))&lt;= INDEX(v2pAirThresholds[Max],29,1),"No",IF(_xlfn.NUMBERVALUE(SUBSTITUTE($G89,"&lt;",""))&lt;= INDEX(v2pAirThresholds[Max],29,1)*INDEX(v2pAirThresholds[Percent Tolerance],29,1),"Yes",IF(ISNUMBER(_xlfn.NUMBERVALUE(SUBSTITUTE($G89,"&lt;",""))),"Over",""))),"")</f>
        <v>No</v>
      </c>
      <c r="I89" s="190" t="s">
        <v>1456</v>
      </c>
      <c r="J89" s="255"/>
      <c r="K89" s="255"/>
      <c r="L89" s="255"/>
      <c r="M89" s="255"/>
      <c r="N89" s="255"/>
      <c r="O89" s="255"/>
      <c r="P89" s="256"/>
      <c r="S89" s="3" t="str">
        <f>IF(C89&lt;&gt;"","Show","Hide")</f>
        <v>Show</v>
      </c>
      <c r="U89" s="940"/>
    </row>
    <row r="90" spans="1:21" s="232" customFormat="1" ht="20.100000000000001" customHeight="1">
      <c r="B90" s="927"/>
      <c r="C90" s="10">
        <v>2</v>
      </c>
      <c r="D90" s="6" t="s">
        <v>533</v>
      </c>
      <c r="E90" s="8">
        <v>2.0367382970930046</v>
      </c>
      <c r="F90" s="7" t="str">
        <f>IF($D90&lt;&gt;"",IF(_xlfn.NUMBERVALUE(SUBSTITUTE($E90,"&lt;",""))&lt;= INDEX(v2pAirThresholds[Max],28,1),"No",IF(_xlfn.NUMBERVALUE(SUBSTITUTE($E90,"&lt;",""))&lt;= INDEX(v2pAirThresholds[Max],28,1)*INDEX(v2pAirThresholds[Percent Tolerance],28,1),"Yes",IF(ISNUMBER(_xlfn.NUMBERVALUE(SUBSTITUTE($E90,"&lt;",""))),"Over",""))),"")</f>
        <v>No</v>
      </c>
      <c r="G90" s="8">
        <v>2</v>
      </c>
      <c r="H90" s="7" t="str">
        <f>IF($D90&lt;&gt;"",IF(_xlfn.NUMBERVALUE(SUBSTITUTE($G90,"&lt;",""))&lt;= INDEX(v2pAirThresholds[Max],29,1),"No",IF(_xlfn.NUMBERVALUE(SUBSTITUTE($G90,"&lt;",""))&lt;= INDEX(v2pAirThresholds[Max],29,1)*INDEX(v2pAirThresholds[Percent Tolerance],29,1),"Yes",IF(ISNUMBER(_xlfn.NUMBERVALUE(SUBSTITUTE($G90,"&lt;",""))),"Over",""))),"")</f>
        <v>No</v>
      </c>
      <c r="I90" s="190" t="s">
        <v>1456</v>
      </c>
      <c r="J90" s="255"/>
      <c r="K90" s="255"/>
      <c r="L90" s="255"/>
      <c r="M90" s="255"/>
      <c r="N90" s="255"/>
      <c r="O90" s="255"/>
      <c r="P90" s="256"/>
      <c r="S90" s="3" t="str">
        <f t="shared" ref="S90:S98" si="8">IF(C90&lt;&gt;"","Show","Hide")</f>
        <v>Show</v>
      </c>
      <c r="U90" s="2" t="s">
        <v>9</v>
      </c>
    </row>
    <row r="91" spans="1:21" s="232" customFormat="1" ht="20.100000000000001" customHeight="1">
      <c r="B91" s="927"/>
      <c r="C91" s="10">
        <v>3</v>
      </c>
      <c r="D91" s="6" t="s">
        <v>534</v>
      </c>
      <c r="E91" s="8">
        <v>2.0367382970930046</v>
      </c>
      <c r="F91" s="7" t="str">
        <f>IF($D91&lt;&gt;"",IF(_xlfn.NUMBERVALUE(SUBSTITUTE($E91,"&lt;",""))&lt;= INDEX(v2pAirThresholds[Max],28,1),"No",IF(_xlfn.NUMBERVALUE(SUBSTITUTE($E91,"&lt;",""))&lt;= INDEX(v2pAirThresholds[Max],28,1)*INDEX(v2pAirThresholds[Percent Tolerance],28,1),"Yes",IF(ISNUMBER(_xlfn.NUMBERVALUE(SUBSTITUTE($E91,"&lt;",""))),"Over",""))),"")</f>
        <v>No</v>
      </c>
      <c r="G91" s="8">
        <v>2</v>
      </c>
      <c r="H91" s="7" t="str">
        <f>IF($D91&lt;&gt;"",IF(_xlfn.NUMBERVALUE(SUBSTITUTE($G91,"&lt;",""))&lt;= INDEX(v2pAirThresholds[Max],29,1),"No",IF(_xlfn.NUMBERVALUE(SUBSTITUTE($G91,"&lt;",""))&lt;= INDEX(v2pAirThresholds[Max],29,1)*INDEX(v2pAirThresholds[Percent Tolerance],29,1),"Yes",IF(ISNUMBER(_xlfn.NUMBERVALUE(SUBSTITUTE($G91,"&lt;",""))),"Over",""))),"")</f>
        <v>No</v>
      </c>
      <c r="I91" s="190" t="s">
        <v>1456</v>
      </c>
      <c r="J91" s="255"/>
      <c r="K91" s="255"/>
      <c r="L91" s="255"/>
      <c r="M91" s="255"/>
      <c r="N91" s="255"/>
      <c r="O91" s="255"/>
      <c r="P91" s="256"/>
      <c r="S91" s="3" t="str">
        <f t="shared" si="8"/>
        <v>Show</v>
      </c>
      <c r="U91" s="2"/>
    </row>
    <row r="92" spans="1:21" s="232" customFormat="1" ht="20.100000000000001" customHeight="1">
      <c r="B92" s="927"/>
      <c r="C92" s="10">
        <v>4</v>
      </c>
      <c r="D92" s="6" t="s">
        <v>535</v>
      </c>
      <c r="E92" s="8">
        <v>4.8881719130232097</v>
      </c>
      <c r="F92" s="7" t="str">
        <f>IF($D92&lt;&gt;"",IF(_xlfn.NUMBERVALUE(SUBSTITUTE($E92,"&lt;",""))&lt;= INDEX(v2pAirThresholds[Max],28,1),"No",IF(_xlfn.NUMBERVALUE(SUBSTITUTE($E92,"&lt;",""))&lt;= INDEX(v2pAirThresholds[Max],28,1)*INDEX(v2pAirThresholds[Percent Tolerance],28,1),"Yes",IF(ISNUMBER(_xlfn.NUMBERVALUE(SUBSTITUTE($E92,"&lt;",""))),"Over",""))),"")</f>
        <v>No</v>
      </c>
      <c r="G92" s="8">
        <v>2</v>
      </c>
      <c r="H92" s="7" t="str">
        <f>IF($D92&lt;&gt;"",IF(_xlfn.NUMBERVALUE(SUBSTITUTE($G92,"&lt;",""))&lt;= INDEX(v2pAirThresholds[Max],29,1),"No",IF(_xlfn.NUMBERVALUE(SUBSTITUTE($G92,"&lt;",""))&lt;= INDEX(v2pAirThresholds[Max],29,1)*INDEX(v2pAirThresholds[Percent Tolerance],29,1),"Yes",IF(ISNUMBER(_xlfn.NUMBERVALUE(SUBSTITUTE($G92,"&lt;",""))),"Over",""))),"")</f>
        <v>No</v>
      </c>
      <c r="I92" s="190" t="s">
        <v>1456</v>
      </c>
      <c r="J92" s="255"/>
      <c r="K92" s="255"/>
      <c r="L92" s="255"/>
      <c r="M92" s="255"/>
      <c r="N92" s="255"/>
      <c r="O92" s="255"/>
      <c r="P92" s="256"/>
      <c r="S92" s="3" t="str">
        <f t="shared" si="8"/>
        <v>Show</v>
      </c>
      <c r="U92" s="2"/>
    </row>
    <row r="93" spans="1:21" s="232" customFormat="1" ht="20.100000000000001" customHeight="1">
      <c r="B93" s="927"/>
      <c r="C93" s="10">
        <v>5</v>
      </c>
      <c r="D93" s="6" t="s">
        <v>536</v>
      </c>
      <c r="E93" s="8">
        <v>2.0367382970930046</v>
      </c>
      <c r="F93" s="7" t="str">
        <f>IF($D93&lt;&gt;"",IF(_xlfn.NUMBERVALUE(SUBSTITUTE($E93,"&lt;",""))&lt;= INDEX(v2pAirThresholds[Max],28,1),"No",IF(_xlfn.NUMBERVALUE(SUBSTITUTE($E93,"&lt;",""))&lt;= INDEX(v2pAirThresholds[Max],28,1)*INDEX(v2pAirThresholds[Percent Tolerance],28,1),"Yes",IF(ISNUMBER(_xlfn.NUMBERVALUE(SUBSTITUTE($E93,"&lt;",""))),"Over",""))),"")</f>
        <v>No</v>
      </c>
      <c r="G93" s="8">
        <v>2</v>
      </c>
      <c r="H93" s="7" t="str">
        <f>IF($D93&lt;&gt;"",IF(_xlfn.NUMBERVALUE(SUBSTITUTE($G93,"&lt;",""))&lt;= INDEX(v2pAirThresholds[Max],29,1),"No",IF(_xlfn.NUMBERVALUE(SUBSTITUTE($G93,"&lt;",""))&lt;= INDEX(v2pAirThresholds[Max],29,1)*INDEX(v2pAirThresholds[Percent Tolerance],29,1),"Yes",IF(ISNUMBER(_xlfn.NUMBERVALUE(SUBSTITUTE($G93,"&lt;",""))),"Over",""))),"")</f>
        <v>No</v>
      </c>
      <c r="I93" s="190" t="s">
        <v>1456</v>
      </c>
      <c r="J93" s="255"/>
      <c r="K93" s="255"/>
      <c r="L93" s="255"/>
      <c r="M93" s="255"/>
      <c r="N93" s="255"/>
      <c r="O93" s="255"/>
      <c r="P93" s="256"/>
      <c r="S93" s="3" t="str">
        <f t="shared" si="8"/>
        <v>Show</v>
      </c>
      <c r="U93" s="2"/>
    </row>
    <row r="94" spans="1:21" s="232" customFormat="1" ht="20.100000000000001" customHeight="1">
      <c r="B94" s="927"/>
      <c r="C94" s="10">
        <v>6</v>
      </c>
      <c r="D94" s="6" t="s">
        <v>537</v>
      </c>
      <c r="E94" s="8">
        <v>2.0367382970930046</v>
      </c>
      <c r="F94" s="7" t="str">
        <f>IF($D94&lt;&gt;"",IF(_xlfn.NUMBERVALUE(SUBSTITUTE($E94,"&lt;",""))&lt;= INDEX(v2pAirThresholds[Max],28,1),"No",IF(_xlfn.NUMBERVALUE(SUBSTITUTE($E94,"&lt;",""))&lt;= INDEX(v2pAirThresholds[Max],28,1)*INDEX(v2pAirThresholds[Percent Tolerance],28,1),"Yes",IF(ISNUMBER(_xlfn.NUMBERVALUE(SUBSTITUTE($E94,"&lt;",""))),"Over",""))),"")</f>
        <v>No</v>
      </c>
      <c r="G94" s="8">
        <v>2</v>
      </c>
      <c r="H94" s="7" t="str">
        <f>IF($D94&lt;&gt;"",IF(_xlfn.NUMBERVALUE(SUBSTITUTE($G94,"&lt;",""))&lt;= INDEX(v2pAirThresholds[Max],29,1),"No",IF(_xlfn.NUMBERVALUE(SUBSTITUTE($G94,"&lt;",""))&lt;= INDEX(v2pAirThresholds[Max],29,1)*INDEX(v2pAirThresholds[Percent Tolerance],29,1),"Yes",IF(ISNUMBER(_xlfn.NUMBERVALUE(SUBSTITUTE($G94,"&lt;",""))),"Over",""))),"")</f>
        <v>No</v>
      </c>
      <c r="I94" s="190" t="s">
        <v>1456</v>
      </c>
      <c r="J94" s="255"/>
      <c r="K94" s="255"/>
      <c r="L94" s="255"/>
      <c r="M94" s="255"/>
      <c r="N94" s="255"/>
      <c r="O94" s="255"/>
      <c r="P94" s="256"/>
      <c r="S94" s="3" t="str">
        <f t="shared" si="8"/>
        <v>Show</v>
      </c>
      <c r="U94" s="2"/>
    </row>
    <row r="95" spans="1:21" s="232" customFormat="1" ht="20.100000000000001" customHeight="1">
      <c r="B95" s="927"/>
      <c r="C95" s="10">
        <v>7</v>
      </c>
      <c r="D95" s="6" t="s">
        <v>538</v>
      </c>
      <c r="E95" s="8">
        <v>2.0367382970930046</v>
      </c>
      <c r="F95" s="7" t="str">
        <f>IF($D95&lt;&gt;"",IF(_xlfn.NUMBERVALUE(SUBSTITUTE($E95,"&lt;",""))&lt;= INDEX(v2pAirThresholds[Max],28,1),"No",IF(_xlfn.NUMBERVALUE(SUBSTITUTE($E95,"&lt;",""))&lt;= INDEX(v2pAirThresholds[Max],28,1)*INDEX(v2pAirThresholds[Percent Tolerance],28,1),"Yes",IF(ISNUMBER(_xlfn.NUMBERVALUE(SUBSTITUTE($E95,"&lt;",""))),"Over",""))),"")</f>
        <v>No</v>
      </c>
      <c r="G95" s="8">
        <v>2</v>
      </c>
      <c r="H95" s="7" t="str">
        <f>IF($D95&lt;&gt;"",IF(_xlfn.NUMBERVALUE(SUBSTITUTE($G95,"&lt;",""))&lt;= INDEX(v2pAirThresholds[Max],29,1),"No",IF(_xlfn.NUMBERVALUE(SUBSTITUTE($G95,"&lt;",""))&lt;= INDEX(v2pAirThresholds[Max],29,1)*INDEX(v2pAirThresholds[Percent Tolerance],29,1),"Yes",IF(ISNUMBER(_xlfn.NUMBERVALUE(SUBSTITUTE($G95,"&lt;",""))),"Over",""))),"")</f>
        <v>No</v>
      </c>
      <c r="I95" s="190" t="s">
        <v>1456</v>
      </c>
      <c r="J95" s="255"/>
      <c r="K95" s="255"/>
      <c r="L95" s="255"/>
      <c r="M95" s="255"/>
      <c r="N95" s="255"/>
      <c r="O95" s="255"/>
      <c r="P95" s="256"/>
      <c r="S95" s="3" t="str">
        <f t="shared" si="8"/>
        <v>Show</v>
      </c>
      <c r="U95" s="2"/>
    </row>
    <row r="96" spans="1:21" s="232" customFormat="1" ht="20.100000000000001" customHeight="1">
      <c r="B96" s="927"/>
      <c r="C96" s="10">
        <v>8</v>
      </c>
      <c r="D96" s="6" t="s">
        <v>539</v>
      </c>
      <c r="E96" s="8">
        <v>3.2587812753488068</v>
      </c>
      <c r="F96" s="7" t="str">
        <f>IF($D96&lt;&gt;"",IF(_xlfn.NUMBERVALUE(SUBSTITUTE($E96,"&lt;",""))&lt;= INDEX(v2pAirThresholds[Max],28,1),"No",IF(_xlfn.NUMBERVALUE(SUBSTITUTE($E96,"&lt;",""))&lt;= INDEX(v2pAirThresholds[Max],28,1)*INDEX(v2pAirThresholds[Percent Tolerance],28,1),"Yes",IF(ISNUMBER(_xlfn.NUMBERVALUE(SUBSTITUTE($E96,"&lt;",""))),"Over",""))),"")</f>
        <v>No</v>
      </c>
      <c r="G96" s="8">
        <v>2</v>
      </c>
      <c r="H96" s="7" t="str">
        <f>IF($D96&lt;&gt;"",IF(_xlfn.NUMBERVALUE(SUBSTITUTE($G96,"&lt;",""))&lt;= INDEX(v2pAirThresholds[Max],29,1),"No",IF(_xlfn.NUMBERVALUE(SUBSTITUTE($G96,"&lt;",""))&lt;= INDEX(v2pAirThresholds[Max],29,1)*INDEX(v2pAirThresholds[Percent Tolerance],29,1),"Yes",IF(ISNUMBER(_xlfn.NUMBERVALUE(SUBSTITUTE($G96,"&lt;",""))),"Over",""))),"")</f>
        <v>No</v>
      </c>
      <c r="I96" s="190" t="s">
        <v>1456</v>
      </c>
      <c r="J96" s="255"/>
      <c r="K96" s="255"/>
      <c r="L96" s="255"/>
      <c r="M96" s="255"/>
      <c r="N96" s="255"/>
      <c r="O96" s="255"/>
      <c r="P96" s="256"/>
      <c r="S96" s="3" t="str">
        <f t="shared" si="8"/>
        <v>Show</v>
      </c>
      <c r="U96" s="2"/>
    </row>
    <row r="97" spans="1:21" s="232" customFormat="1" ht="20.100000000000001" customHeight="1">
      <c r="B97" s="927"/>
      <c r="C97" s="10">
        <v>9</v>
      </c>
      <c r="D97" s="6" t="s">
        <v>540</v>
      </c>
      <c r="E97" s="8">
        <v>4.0734765941860092</v>
      </c>
      <c r="F97" s="7" t="str">
        <f>IF($D97&lt;&gt;"",IF(_xlfn.NUMBERVALUE(SUBSTITUTE($E97,"&lt;",""))&lt;= INDEX(v2pAirThresholds[Max],28,1),"No",IF(_xlfn.NUMBERVALUE(SUBSTITUTE($E97,"&lt;",""))&lt;= INDEX(v2pAirThresholds[Max],28,1)*INDEX(v2pAirThresholds[Percent Tolerance],28,1),"Yes",IF(ISNUMBER(_xlfn.NUMBERVALUE(SUBSTITUTE($E97,"&lt;",""))),"Over",""))),"")</f>
        <v>No</v>
      </c>
      <c r="G97" s="8">
        <v>2</v>
      </c>
      <c r="H97" s="7" t="str">
        <f>IF($D97&lt;&gt;"",IF(_xlfn.NUMBERVALUE(SUBSTITUTE($G97,"&lt;",""))&lt;= INDEX(v2pAirThresholds[Max],29,1),"No",IF(_xlfn.NUMBERVALUE(SUBSTITUTE($G97,"&lt;",""))&lt;= INDEX(v2pAirThresholds[Max],29,1)*INDEX(v2pAirThresholds[Percent Tolerance],29,1),"Yes",IF(ISNUMBER(_xlfn.NUMBERVALUE(SUBSTITUTE($G97,"&lt;",""))),"Over",""))),"")</f>
        <v>No</v>
      </c>
      <c r="I97" s="190" t="s">
        <v>1456</v>
      </c>
      <c r="J97" s="255"/>
      <c r="K97" s="255"/>
      <c r="L97" s="255"/>
      <c r="M97" s="255"/>
      <c r="N97" s="255"/>
      <c r="O97" s="255"/>
      <c r="P97" s="256"/>
      <c r="S97" s="3" t="str">
        <f t="shared" si="8"/>
        <v>Show</v>
      </c>
      <c r="U97" s="2"/>
    </row>
    <row r="98" spans="1:21" s="232" customFormat="1" ht="20.100000000000001" customHeight="1">
      <c r="B98" s="927"/>
      <c r="C98" s="10">
        <v>10</v>
      </c>
      <c r="D98" s="6" t="s">
        <v>541</v>
      </c>
      <c r="E98" s="8">
        <v>4.0734765941860092</v>
      </c>
      <c r="F98" s="7" t="str">
        <f>IF($D98&lt;&gt;"",IF(_xlfn.NUMBERVALUE(SUBSTITUTE($E98,"&lt;",""))&lt;= INDEX(v2pAirThresholds[Max],28,1),"No",IF(_xlfn.NUMBERVALUE(SUBSTITUTE($E98,"&lt;",""))&lt;= INDEX(v2pAirThresholds[Max],28,1)*INDEX(v2pAirThresholds[Percent Tolerance],28,1),"Yes",IF(ISNUMBER(_xlfn.NUMBERVALUE(SUBSTITUTE($E98,"&lt;",""))),"Over",""))),"")</f>
        <v>No</v>
      </c>
      <c r="G98" s="8">
        <v>2</v>
      </c>
      <c r="H98" s="7" t="str">
        <f>IF($D98&lt;&gt;"",IF(_xlfn.NUMBERVALUE(SUBSTITUTE($G98,"&lt;",""))&lt;= INDEX(v2pAirThresholds[Max],29,1),"No",IF(_xlfn.NUMBERVALUE(SUBSTITUTE($G98,"&lt;",""))&lt;= INDEX(v2pAirThresholds[Max],29,1)*INDEX(v2pAirThresholds[Percent Tolerance],29,1),"Yes",IF(ISNUMBER(_xlfn.NUMBERVALUE(SUBSTITUTE($G98,"&lt;",""))),"Over",""))),"")</f>
        <v>No</v>
      </c>
      <c r="I98" s="190" t="s">
        <v>1456</v>
      </c>
      <c r="J98" s="255"/>
      <c r="K98" s="255"/>
      <c r="L98" s="255"/>
      <c r="M98" s="255"/>
      <c r="N98" s="255"/>
      <c r="O98" s="255"/>
      <c r="P98" s="256"/>
      <c r="S98" s="3" t="str">
        <f t="shared" si="8"/>
        <v>Show</v>
      </c>
      <c r="U98" s="2"/>
    </row>
    <row r="99" spans="1:21" s="232" customFormat="1" ht="20.100000000000001" customHeight="1">
      <c r="B99" s="927"/>
      <c r="C99" s="16" t="s">
        <v>8</v>
      </c>
      <c r="D99" s="19" t="s">
        <v>36</v>
      </c>
      <c r="E99" s="228">
        <v>1.63</v>
      </c>
      <c r="F99" s="218" t="s">
        <v>6</v>
      </c>
      <c r="G99" s="228" t="s">
        <v>1454</v>
      </c>
      <c r="H99" s="218" t="s">
        <v>6</v>
      </c>
      <c r="I99" s="17"/>
      <c r="J99" s="255"/>
      <c r="K99" s="255"/>
      <c r="L99" s="255"/>
      <c r="M99" s="255"/>
      <c r="N99" s="255"/>
      <c r="O99" s="255"/>
      <c r="P99" s="256"/>
      <c r="Q99" s="245"/>
      <c r="R99" s="245"/>
      <c r="S99" s="3" t="str">
        <f t="shared" ref="S99" si="9">IF($C$89&lt;&gt;"","Show","Hide")</f>
        <v>Show</v>
      </c>
      <c r="T99" s="245"/>
      <c r="U99" s="2"/>
    </row>
    <row r="100" spans="1:21" s="232" customFormat="1" ht="20.100000000000001" hidden="1" customHeight="1">
      <c r="B100" s="927"/>
      <c r="C100" s="16" t="s">
        <v>8</v>
      </c>
      <c r="D100" s="19"/>
      <c r="E100" s="18"/>
      <c r="F100" s="218" t="s">
        <v>6</v>
      </c>
      <c r="G100" s="18"/>
      <c r="H100" s="218" t="s">
        <v>6</v>
      </c>
      <c r="I100" s="17"/>
      <c r="J100" s="255"/>
      <c r="K100" s="255"/>
      <c r="L100" s="255"/>
      <c r="M100" s="255"/>
      <c r="N100" s="255"/>
      <c r="O100" s="255"/>
      <c r="P100" s="256"/>
      <c r="Q100" s="245"/>
      <c r="R100" s="245"/>
      <c r="S100" s="3" t="str">
        <f>IF(D100&lt;&gt;"","Show","Hide")</f>
        <v>Hide</v>
      </c>
      <c r="T100" s="245"/>
      <c r="U100" s="2"/>
    </row>
    <row r="101" spans="1:21" s="232" customFormat="1" ht="20.100000000000001" hidden="1" customHeight="1">
      <c r="B101" s="927"/>
      <c r="C101" s="16" t="s">
        <v>8</v>
      </c>
      <c r="D101" s="19"/>
      <c r="E101" s="18"/>
      <c r="F101" s="218" t="s">
        <v>6</v>
      </c>
      <c r="G101" s="18"/>
      <c r="H101" s="218" t="s">
        <v>6</v>
      </c>
      <c r="I101" s="17"/>
      <c r="J101" s="255"/>
      <c r="K101" s="255"/>
      <c r="L101" s="255"/>
      <c r="M101" s="255"/>
      <c r="N101" s="255"/>
      <c r="O101" s="255"/>
      <c r="P101" s="256"/>
      <c r="Q101" s="245"/>
      <c r="R101" s="245"/>
      <c r="S101" s="3" t="str">
        <f t="shared" ref="S101:S102" si="10">IF(D101&lt;&gt;"","Show","Hide")</f>
        <v>Hide</v>
      </c>
      <c r="T101" s="245"/>
      <c r="U101" s="2"/>
    </row>
    <row r="102" spans="1:21" s="232" customFormat="1" ht="20.100000000000001" hidden="1" customHeight="1">
      <c r="A102" s="246"/>
      <c r="B102" s="927"/>
      <c r="C102" s="16" t="s">
        <v>7</v>
      </c>
      <c r="D102" s="19"/>
      <c r="E102" s="18"/>
      <c r="F102" s="218" t="s">
        <v>6</v>
      </c>
      <c r="G102" s="18"/>
      <c r="H102" s="218" t="s">
        <v>6</v>
      </c>
      <c r="I102" s="17"/>
      <c r="J102" s="257"/>
      <c r="K102" s="257"/>
      <c r="L102" s="257"/>
      <c r="M102" s="257"/>
      <c r="N102" s="257"/>
      <c r="O102" s="257"/>
      <c r="P102" s="258"/>
      <c r="Q102" s="245"/>
      <c r="R102" s="245"/>
      <c r="S102" s="3" t="str">
        <f t="shared" si="10"/>
        <v>Hide</v>
      </c>
      <c r="T102" s="245"/>
      <c r="U102" s="2"/>
    </row>
    <row r="103" spans="1:21" s="232" customFormat="1" ht="50.1" hidden="1" customHeight="1">
      <c r="A103" s="246"/>
      <c r="B103" s="927"/>
      <c r="C103" s="905" t="s">
        <v>5</v>
      </c>
      <c r="D103" s="905"/>
      <c r="E103" s="905"/>
      <c r="F103" s="905"/>
      <c r="G103" s="905"/>
      <c r="H103" s="905"/>
      <c r="I103" s="905"/>
      <c r="J103" s="905"/>
      <c r="K103" s="905"/>
      <c r="L103" s="905"/>
      <c r="M103" s="905"/>
      <c r="N103" s="905"/>
      <c r="O103" s="905"/>
      <c r="P103" s="906"/>
      <c r="S103" s="3" t="str">
        <f>IF($C$106&lt;&gt;"","Show","Hide")</f>
        <v>Hide</v>
      </c>
      <c r="U103" s="940"/>
    </row>
    <row r="104" spans="1:21" s="232" customFormat="1" ht="43.2" hidden="1">
      <c r="A104" s="246"/>
      <c r="B104" s="927"/>
      <c r="C104" s="16"/>
      <c r="D104" s="15"/>
      <c r="E104" s="12" t="s">
        <v>4</v>
      </c>
      <c r="F104" s="915" t="s">
        <v>3</v>
      </c>
      <c r="G104" s="915"/>
      <c r="H104" s="915" t="s">
        <v>2</v>
      </c>
      <c r="I104" s="915"/>
      <c r="J104" s="915" t="s">
        <v>1</v>
      </c>
      <c r="K104" s="247"/>
      <c r="L104" s="247"/>
      <c r="M104" s="247"/>
      <c r="N104" s="247"/>
      <c r="O104" s="247"/>
      <c r="P104" s="248"/>
      <c r="S104" s="3" t="str">
        <f>IF($C$106&lt;&gt;"","Show","Hide")</f>
        <v>Hide</v>
      </c>
      <c r="U104" s="940"/>
    </row>
    <row r="105" spans="1:21" s="232" customFormat="1" ht="20.100000000000001" hidden="1" customHeight="1">
      <c r="A105" s="246"/>
      <c r="B105" s="927"/>
      <c r="C105" s="12" t="str">
        <f>C$8</f>
        <v>Measurement</v>
      </c>
      <c r="D105" s="15" t="str">
        <f>D$8</f>
        <v>Location Name</v>
      </c>
      <c r="E105" s="14" t="str">
        <f>_xlfn.CONCAT(INDEX(v2pAirThresholds[Max],33,1))</f>
        <v>6</v>
      </c>
      <c r="F105" s="14" t="str">
        <f>_xlfn.CONCAT(INDEX(v2pAirThresholds[Max],34,1))</f>
        <v>25</v>
      </c>
      <c r="G105" s="13" t="s">
        <v>0</v>
      </c>
      <c r="H105" s="13" t="str">
        <f>_xlfn.CONCAT(INDEX(v2pAirThresholds[Max],35,1))</f>
        <v>21</v>
      </c>
      <c r="I105" s="13" t="s">
        <v>0</v>
      </c>
      <c r="J105" s="915"/>
      <c r="K105" s="249"/>
      <c r="L105" s="249"/>
      <c r="M105" s="249"/>
      <c r="N105" s="249"/>
      <c r="O105" s="249"/>
      <c r="P105" s="250"/>
      <c r="S105" s="3" t="str">
        <f>IF($C$106&lt;&gt;"","Show","Hide")</f>
        <v>Hide</v>
      </c>
      <c r="U105" s="2" t="s">
        <v>9</v>
      </c>
    </row>
    <row r="106" spans="1:21" s="232" customFormat="1" ht="20.100000000000001" hidden="1" customHeight="1">
      <c r="A106" s="246"/>
      <c r="B106" s="927"/>
      <c r="C106" s="10"/>
      <c r="D106" s="6"/>
      <c r="E106" s="8"/>
      <c r="F106" s="8"/>
      <c r="G106" s="9" t="str">
        <f>IF($D106&lt;&gt;"",IF(_xlfn.NUMBERVALUE(SUBSTITUTE($F106,"&lt;",""))&lt;= INDEX(v2pAirThresholds[Max],34,1),"No",IF(_xlfn.NUMBERVALUE(SUBSTITUTE($F106,"&lt;",""))&lt;= INDEX(v2pAirThresholds[Max],34,1)*INDEX(v2pAirThresholds[Percent Tolerance],34,1),"Yes",IF(ISNUMBER(_xlfn.NUMBERVALUE(SUBSTITUTE($F106,"&lt;",""))),"Over",""))),"")</f>
        <v/>
      </c>
      <c r="H106" s="8"/>
      <c r="I106" s="7" t="str">
        <f>IF($D106&lt;&gt;"",IF(_xlfn.NUMBERVALUE(SUBSTITUTE($H106,"&lt;",""))&lt;= INDEX(v2pAirThresholds[Max],35,1),"No",IF(_xlfn.NUMBERVALUE(SUBSTITUTE($H106,"&lt;",""))&lt;= INDEX(v2pAirThresholds[Max],35,1)*INDEX(v2pAirThresholds[Percent Tolerance],35,1),"Yes",IF(ISNUMBER(_xlfn.NUMBERVALUE(SUBSTITUTE($H106,"&lt;",""))),"Over",""))),"")</f>
        <v/>
      </c>
      <c r="J106" s="190"/>
      <c r="K106" s="249"/>
      <c r="L106" s="249"/>
      <c r="M106" s="249"/>
      <c r="N106" s="249"/>
      <c r="O106" s="249"/>
      <c r="P106" s="250"/>
      <c r="S106" s="3" t="str">
        <f>IF($C106&lt;&gt;"","Show","Hide")</f>
        <v>Hide</v>
      </c>
      <c r="U106" s="2"/>
    </row>
    <row r="107" spans="1:21" s="232" customFormat="1" ht="20.100000000000001" hidden="1" customHeight="1">
      <c r="B107" s="927"/>
      <c r="C107" s="10"/>
      <c r="D107" s="6"/>
      <c r="E107" s="8"/>
      <c r="F107" s="8"/>
      <c r="G107" s="9" t="str">
        <f>IF($D107&lt;&gt;"",IF(_xlfn.NUMBERVALUE(SUBSTITUTE($F107,"&lt;",""))&lt;= INDEX(v2pAirThresholds[Max],34,1),"No",IF(_xlfn.NUMBERVALUE(SUBSTITUTE($F107,"&lt;",""))&lt;= INDEX(v2pAirThresholds[Max],34,1)*INDEX(v2pAirThresholds[Percent Tolerance],34,1),"Yes",IF(ISNUMBER(_xlfn.NUMBERVALUE(SUBSTITUTE($F107,"&lt;",""))),"Over",""))),"")</f>
        <v/>
      </c>
      <c r="H107" s="8"/>
      <c r="I107" s="7" t="str">
        <f>IF($D107&lt;&gt;"",IF(_xlfn.NUMBERVALUE(SUBSTITUTE($H107,"&lt;",""))&lt;= INDEX(v2pAirThresholds[Max],35,1),"No",IF(_xlfn.NUMBERVALUE(SUBSTITUTE($H107,"&lt;",""))&lt;= INDEX(v2pAirThresholds[Max],35,1)*INDEX(v2pAirThresholds[Percent Tolerance],35,1),"Yes",IF(ISNUMBER(_xlfn.NUMBERVALUE(SUBSTITUTE($H107,"&lt;",""))),"Over",""))),"")</f>
        <v/>
      </c>
      <c r="J107" s="190"/>
      <c r="K107" s="249"/>
      <c r="L107" s="249"/>
      <c r="M107" s="249"/>
      <c r="N107" s="249"/>
      <c r="O107" s="249"/>
      <c r="P107" s="250"/>
      <c r="S107" s="3" t="str">
        <f t="shared" ref="S107:S115" si="11">IF($C107&lt;&gt;"","Show","Hide")</f>
        <v>Hide</v>
      </c>
      <c r="U107" s="2"/>
    </row>
    <row r="108" spans="1:21" s="232" customFormat="1" ht="20.100000000000001" hidden="1" customHeight="1">
      <c r="B108" s="927"/>
      <c r="C108" s="10"/>
      <c r="D108" s="6"/>
      <c r="E108" s="8"/>
      <c r="F108" s="8"/>
      <c r="G108" s="9" t="str">
        <f>IF($D108&lt;&gt;"",IF(_xlfn.NUMBERVALUE(SUBSTITUTE($F108,"&lt;",""))&lt;= INDEX(v2pAirThresholds[Max],34,1),"No",IF(_xlfn.NUMBERVALUE(SUBSTITUTE($F108,"&lt;",""))&lt;= INDEX(v2pAirThresholds[Max],34,1)*INDEX(v2pAirThresholds[Percent Tolerance],34,1),"Yes",IF(ISNUMBER(_xlfn.NUMBERVALUE(SUBSTITUTE($F108,"&lt;",""))),"Over",""))),"")</f>
        <v/>
      </c>
      <c r="H108" s="8"/>
      <c r="I108" s="7" t="str">
        <f>IF($D108&lt;&gt;"",IF(_xlfn.NUMBERVALUE(SUBSTITUTE($H108,"&lt;",""))&lt;= INDEX(v2pAirThresholds[Max],35,1),"No",IF(_xlfn.NUMBERVALUE(SUBSTITUTE($H108,"&lt;",""))&lt;= INDEX(v2pAirThresholds[Max],35,1)*INDEX(v2pAirThresholds[Percent Tolerance],35,1),"Yes",IF(ISNUMBER(_xlfn.NUMBERVALUE(SUBSTITUTE($H108,"&lt;",""))),"Over",""))),"")</f>
        <v/>
      </c>
      <c r="J108" s="190"/>
      <c r="K108" s="249"/>
      <c r="L108" s="249"/>
      <c r="M108" s="249"/>
      <c r="N108" s="249"/>
      <c r="O108" s="249"/>
      <c r="P108" s="250"/>
      <c r="S108" s="3" t="str">
        <f t="shared" si="11"/>
        <v>Hide</v>
      </c>
      <c r="U108" s="2"/>
    </row>
    <row r="109" spans="1:21" s="232" customFormat="1" ht="20.100000000000001" hidden="1" customHeight="1">
      <c r="B109" s="927"/>
      <c r="C109" s="10"/>
      <c r="D109" s="6"/>
      <c r="E109" s="8"/>
      <c r="F109" s="8"/>
      <c r="G109" s="9" t="str">
        <f>IF($D109&lt;&gt;"",IF(_xlfn.NUMBERVALUE(SUBSTITUTE($F109,"&lt;",""))&lt;= INDEX(v2pAirThresholds[Max],34,1),"No",IF(_xlfn.NUMBERVALUE(SUBSTITUTE($F109,"&lt;",""))&lt;= INDEX(v2pAirThresholds[Max],34,1)*INDEX(v2pAirThresholds[Percent Tolerance],34,1),"Yes",IF(ISNUMBER(_xlfn.NUMBERVALUE(SUBSTITUTE($F109,"&lt;",""))),"Over",""))),"")</f>
        <v/>
      </c>
      <c r="H109" s="8"/>
      <c r="I109" s="7" t="str">
        <f>IF($D109&lt;&gt;"",IF(_xlfn.NUMBERVALUE(SUBSTITUTE($H109,"&lt;",""))&lt;= INDEX(v2pAirThresholds[Max],35,1),"No",IF(_xlfn.NUMBERVALUE(SUBSTITUTE($H109,"&lt;",""))&lt;= INDEX(v2pAirThresholds[Max],35,1)*INDEX(v2pAirThresholds[Percent Tolerance],35,1),"Yes",IF(ISNUMBER(_xlfn.NUMBERVALUE(SUBSTITUTE($H109,"&lt;",""))),"Over",""))),"")</f>
        <v/>
      </c>
      <c r="J109" s="190"/>
      <c r="K109" s="249"/>
      <c r="L109" s="249"/>
      <c r="M109" s="249"/>
      <c r="N109" s="249"/>
      <c r="O109" s="249"/>
      <c r="P109" s="250"/>
      <c r="S109" s="3" t="str">
        <f t="shared" si="11"/>
        <v>Hide</v>
      </c>
      <c r="U109" s="2"/>
    </row>
    <row r="110" spans="1:21" s="232" customFormat="1" ht="20.100000000000001" hidden="1" customHeight="1">
      <c r="B110" s="927"/>
      <c r="C110" s="10"/>
      <c r="D110" s="6"/>
      <c r="E110" s="8"/>
      <c r="F110" s="8"/>
      <c r="G110" s="9" t="str">
        <f>IF($D110&lt;&gt;"",IF(_xlfn.NUMBERVALUE(SUBSTITUTE($F110,"&lt;",""))&lt;= INDEX(v2pAirThresholds[Max],34,1),"No",IF(_xlfn.NUMBERVALUE(SUBSTITUTE($F110,"&lt;",""))&lt;= INDEX(v2pAirThresholds[Max],34,1)*INDEX(v2pAirThresholds[Percent Tolerance],34,1),"Yes",IF(ISNUMBER(_xlfn.NUMBERVALUE(SUBSTITUTE($F110,"&lt;",""))),"Over",""))),"")</f>
        <v/>
      </c>
      <c r="H110" s="8"/>
      <c r="I110" s="7" t="str">
        <f>IF($D110&lt;&gt;"",IF(_xlfn.NUMBERVALUE(SUBSTITUTE($H110,"&lt;",""))&lt;= INDEX(v2pAirThresholds[Max],35,1),"No",IF(_xlfn.NUMBERVALUE(SUBSTITUTE($H110,"&lt;",""))&lt;= INDEX(v2pAirThresholds[Max],35,1)*INDEX(v2pAirThresholds[Percent Tolerance],35,1),"Yes",IF(ISNUMBER(_xlfn.NUMBERVALUE(SUBSTITUTE($H110,"&lt;",""))),"Over",""))),"")</f>
        <v/>
      </c>
      <c r="J110" s="190"/>
      <c r="K110" s="249"/>
      <c r="L110" s="249"/>
      <c r="M110" s="249"/>
      <c r="N110" s="249"/>
      <c r="O110" s="249"/>
      <c r="P110" s="250"/>
      <c r="S110" s="3" t="str">
        <f t="shared" si="11"/>
        <v>Hide</v>
      </c>
      <c r="U110" s="2"/>
    </row>
    <row r="111" spans="1:21" s="232" customFormat="1" ht="20.100000000000001" hidden="1" customHeight="1">
      <c r="B111" s="927"/>
      <c r="C111" s="10"/>
      <c r="D111" s="6"/>
      <c r="E111" s="8"/>
      <c r="F111" s="8"/>
      <c r="G111" s="9" t="str">
        <f>IF($D111&lt;&gt;"",IF(_xlfn.NUMBERVALUE(SUBSTITUTE($F111,"&lt;",""))&lt;= INDEX(v2pAirThresholds[Max],34,1),"No",IF(_xlfn.NUMBERVALUE(SUBSTITUTE($F111,"&lt;",""))&lt;= INDEX(v2pAirThresholds[Max],34,1)*INDEX(v2pAirThresholds[Percent Tolerance],34,1),"Yes",IF(ISNUMBER(_xlfn.NUMBERVALUE(SUBSTITUTE($F111,"&lt;",""))),"Over",""))),"")</f>
        <v/>
      </c>
      <c r="H111" s="8"/>
      <c r="I111" s="7" t="str">
        <f>IF($D111&lt;&gt;"",IF(_xlfn.NUMBERVALUE(SUBSTITUTE($H111,"&lt;",""))&lt;= INDEX(v2pAirThresholds[Max],35,1),"No",IF(_xlfn.NUMBERVALUE(SUBSTITUTE($H111,"&lt;",""))&lt;= INDEX(v2pAirThresholds[Max],35,1)*INDEX(v2pAirThresholds[Percent Tolerance],35,1),"Yes",IF(ISNUMBER(_xlfn.NUMBERVALUE(SUBSTITUTE($H111,"&lt;",""))),"Over",""))),"")</f>
        <v/>
      </c>
      <c r="J111" s="190"/>
      <c r="K111" s="249"/>
      <c r="L111" s="249"/>
      <c r="M111" s="249"/>
      <c r="N111" s="249"/>
      <c r="O111" s="249"/>
      <c r="P111" s="250"/>
      <c r="S111" s="3" t="str">
        <f t="shared" si="11"/>
        <v>Hide</v>
      </c>
      <c r="U111" s="2"/>
    </row>
    <row r="112" spans="1:21" s="232" customFormat="1" ht="20.100000000000001" hidden="1" customHeight="1">
      <c r="B112" s="927"/>
      <c r="C112" s="10"/>
      <c r="D112" s="6"/>
      <c r="E112" s="8"/>
      <c r="F112" s="8"/>
      <c r="G112" s="9" t="str">
        <f>IF($D112&lt;&gt;"",IF(_xlfn.NUMBERVALUE(SUBSTITUTE($F112,"&lt;",""))&lt;= INDEX(v2pAirThresholds[Max],34,1),"No",IF(_xlfn.NUMBERVALUE(SUBSTITUTE($F112,"&lt;",""))&lt;= INDEX(v2pAirThresholds[Max],34,1)*INDEX(v2pAirThresholds[Percent Tolerance],34,1),"Yes",IF(ISNUMBER(_xlfn.NUMBERVALUE(SUBSTITUTE($F112,"&lt;",""))),"Over",""))),"")</f>
        <v/>
      </c>
      <c r="H112" s="8"/>
      <c r="I112" s="7" t="str">
        <f>IF($D112&lt;&gt;"",IF(_xlfn.NUMBERVALUE(SUBSTITUTE($H112,"&lt;",""))&lt;= INDEX(v2pAirThresholds[Max],35,1),"No",IF(_xlfn.NUMBERVALUE(SUBSTITUTE($H112,"&lt;",""))&lt;= INDEX(v2pAirThresholds[Max],35,1)*INDEX(v2pAirThresholds[Percent Tolerance],35,1),"Yes",IF(ISNUMBER(_xlfn.NUMBERVALUE(SUBSTITUTE($H112,"&lt;",""))),"Over",""))),"")</f>
        <v/>
      </c>
      <c r="J112" s="190"/>
      <c r="K112" s="249"/>
      <c r="L112" s="249"/>
      <c r="M112" s="249"/>
      <c r="N112" s="249"/>
      <c r="O112" s="249"/>
      <c r="P112" s="250"/>
      <c r="S112" s="3" t="str">
        <f t="shared" si="11"/>
        <v>Hide</v>
      </c>
      <c r="U112" s="2"/>
    </row>
    <row r="113" spans="2:21" s="232" customFormat="1" ht="20.100000000000001" hidden="1" customHeight="1">
      <c r="B113" s="927"/>
      <c r="C113" s="10"/>
      <c r="D113" s="6"/>
      <c r="E113" s="8"/>
      <c r="F113" s="8"/>
      <c r="G113" s="9" t="str">
        <f>IF($D113&lt;&gt;"",IF(_xlfn.NUMBERVALUE(SUBSTITUTE($F113,"&lt;",""))&lt;= INDEX(v2pAirThresholds[Max],34,1),"No",IF(_xlfn.NUMBERVALUE(SUBSTITUTE($F113,"&lt;",""))&lt;= INDEX(v2pAirThresholds[Max],34,1)*INDEX(v2pAirThresholds[Percent Tolerance],34,1),"Yes",IF(ISNUMBER(_xlfn.NUMBERVALUE(SUBSTITUTE($F113,"&lt;",""))),"Over",""))),"")</f>
        <v/>
      </c>
      <c r="H113" s="8"/>
      <c r="I113" s="7" t="str">
        <f>IF($D113&lt;&gt;"",IF(_xlfn.NUMBERVALUE(SUBSTITUTE($H113,"&lt;",""))&lt;= INDEX(v2pAirThresholds[Max],35,1),"No",IF(_xlfn.NUMBERVALUE(SUBSTITUTE($H113,"&lt;",""))&lt;= INDEX(v2pAirThresholds[Max],35,1)*INDEX(v2pAirThresholds[Percent Tolerance],35,1),"Yes",IF(ISNUMBER(_xlfn.NUMBERVALUE(SUBSTITUTE($H113,"&lt;",""))),"Over",""))),"")</f>
        <v/>
      </c>
      <c r="J113" s="190"/>
      <c r="K113" s="249"/>
      <c r="L113" s="249"/>
      <c r="M113" s="249"/>
      <c r="N113" s="249"/>
      <c r="O113" s="249"/>
      <c r="P113" s="250"/>
      <c r="S113" s="3" t="str">
        <f t="shared" si="11"/>
        <v>Hide</v>
      </c>
      <c r="U113" s="2"/>
    </row>
    <row r="114" spans="2:21" s="232" customFormat="1" ht="20.100000000000001" hidden="1" customHeight="1">
      <c r="B114" s="927"/>
      <c r="C114" s="10"/>
      <c r="D114" s="6"/>
      <c r="E114" s="8"/>
      <c r="F114" s="8"/>
      <c r="G114" s="9" t="str">
        <f>IF($D114&lt;&gt;"",IF(_xlfn.NUMBERVALUE(SUBSTITUTE($F114,"&lt;",""))&lt;= INDEX(v2pAirThresholds[Max],34,1),"No",IF(_xlfn.NUMBERVALUE(SUBSTITUTE($F114,"&lt;",""))&lt;= INDEX(v2pAirThresholds[Max],34,1)*INDEX(v2pAirThresholds[Percent Tolerance],34,1),"Yes",IF(ISNUMBER(_xlfn.NUMBERVALUE(SUBSTITUTE($F114,"&lt;",""))),"Over",""))),"")</f>
        <v/>
      </c>
      <c r="H114" s="8"/>
      <c r="I114" s="7" t="str">
        <f>IF($D114&lt;&gt;"",IF(_xlfn.NUMBERVALUE(SUBSTITUTE($H114,"&lt;",""))&lt;= INDEX(v2pAirThresholds[Max],35,1),"No",IF(_xlfn.NUMBERVALUE(SUBSTITUTE($H114,"&lt;",""))&lt;= INDEX(v2pAirThresholds[Max],35,1)*INDEX(v2pAirThresholds[Percent Tolerance],35,1),"Yes",IF(ISNUMBER(_xlfn.NUMBERVALUE(SUBSTITUTE($H114,"&lt;",""))),"Over",""))),"")</f>
        <v/>
      </c>
      <c r="J114" s="190"/>
      <c r="K114" s="249"/>
      <c r="L114" s="249"/>
      <c r="M114" s="249"/>
      <c r="N114" s="249"/>
      <c r="O114" s="249"/>
      <c r="P114" s="250"/>
      <c r="S114" s="3" t="str">
        <f t="shared" si="11"/>
        <v>Hide</v>
      </c>
      <c r="U114" s="2"/>
    </row>
    <row r="115" spans="2:21" s="232" customFormat="1" ht="20.100000000000001" hidden="1" customHeight="1">
      <c r="B115" s="928"/>
      <c r="C115" s="10"/>
      <c r="D115" s="6"/>
      <c r="E115" s="8"/>
      <c r="F115" s="8"/>
      <c r="G115" s="9" t="str">
        <f>IF($D115&lt;&gt;"",IF(_xlfn.NUMBERVALUE(SUBSTITUTE($F115,"&lt;",""))&lt;= INDEX(v2pAirThresholds[Max],34,1),"No",IF(_xlfn.NUMBERVALUE(SUBSTITUTE($F115,"&lt;",""))&lt;= INDEX(v2pAirThresholds[Max],34,1)*INDEX(v2pAirThresholds[Percent Tolerance],34,1),"Yes",IF(ISNUMBER(_xlfn.NUMBERVALUE(SUBSTITUTE($F115,"&lt;",""))),"Over",""))),"")</f>
        <v/>
      </c>
      <c r="H115" s="8"/>
      <c r="I115" s="7" t="str">
        <f>IF($D115&lt;&gt;"",IF(_xlfn.NUMBERVALUE(SUBSTITUTE($H115,"&lt;",""))&lt;= INDEX(v2pAirThresholds[Max],35,1),"No",IF(_xlfn.NUMBERVALUE(SUBSTITUTE($H115,"&lt;",""))&lt;= INDEX(v2pAirThresholds[Max],35,1)*INDEX(v2pAirThresholds[Percent Tolerance],35,1),"Yes",IF(ISNUMBER(_xlfn.NUMBERVALUE(SUBSTITUTE($H115,"&lt;",""))),"Over",""))),"")</f>
        <v/>
      </c>
      <c r="J115" s="190"/>
      <c r="K115" s="251"/>
      <c r="L115" s="251"/>
      <c r="M115" s="251"/>
      <c r="N115" s="251"/>
      <c r="O115" s="251"/>
      <c r="P115" s="252"/>
      <c r="S115" s="3" t="str">
        <f t="shared" si="11"/>
        <v>Hide</v>
      </c>
      <c r="U115" s="2"/>
    </row>
    <row r="116" spans="2:21" ht="12" customHeight="1">
      <c r="B116" s="211"/>
      <c r="C116" s="212"/>
      <c r="D116" s="213"/>
      <c r="E116" s="212"/>
      <c r="F116" s="212"/>
      <c r="G116" s="212"/>
      <c r="H116" s="212"/>
      <c r="I116" s="212"/>
      <c r="J116" s="211"/>
      <c r="K116" s="211"/>
      <c r="L116" s="211"/>
      <c r="M116" s="211"/>
      <c r="N116" s="211"/>
      <c r="O116" s="211"/>
      <c r="P116" s="211"/>
      <c r="S116" s="3" t="s">
        <v>500</v>
      </c>
    </row>
    <row r="118" spans="2:21">
      <c r="D118" s="5"/>
    </row>
  </sheetData>
  <autoFilter ref="S3:T116" xr:uid="{C5C5C1B4-6A0A-4113-B7A9-66FD625F5D22}">
    <filterColumn colId="0">
      <filters>
        <filter val="Show"/>
      </filters>
    </filterColumn>
  </autoFilter>
  <mergeCells count="43">
    <mergeCell ref="J104:J105"/>
    <mergeCell ref="C103:P103"/>
    <mergeCell ref="U74:U75"/>
    <mergeCell ref="U88:U89"/>
    <mergeCell ref="I74:I75"/>
    <mergeCell ref="U85:U86"/>
    <mergeCell ref="E87:F87"/>
    <mergeCell ref="I87:I88"/>
    <mergeCell ref="C86:P86"/>
    <mergeCell ref="U103:U104"/>
    <mergeCell ref="U56:U59"/>
    <mergeCell ref="U71:U72"/>
    <mergeCell ref="C60:P60"/>
    <mergeCell ref="H61:H62"/>
    <mergeCell ref="F61:G61"/>
    <mergeCell ref="A2:P2"/>
    <mergeCell ref="B4:P4"/>
    <mergeCell ref="A1:P1"/>
    <mergeCell ref="C5:P5"/>
    <mergeCell ref="E6:H6"/>
    <mergeCell ref="B6:B115"/>
    <mergeCell ref="C73:P73"/>
    <mergeCell ref="C74:D74"/>
    <mergeCell ref="G74:H74"/>
    <mergeCell ref="O44:O45"/>
    <mergeCell ref="N44:N45"/>
    <mergeCell ref="C44:D44"/>
    <mergeCell ref="P44:P55"/>
    <mergeCell ref="N56:P59"/>
    <mergeCell ref="F104:G104"/>
    <mergeCell ref="H104:I104"/>
    <mergeCell ref="U5:U38"/>
    <mergeCell ref="C27:P27"/>
    <mergeCell ref="E28:F28"/>
    <mergeCell ref="N22:N26"/>
    <mergeCell ref="E20:G20"/>
    <mergeCell ref="I20:K20"/>
    <mergeCell ref="M20:O20"/>
    <mergeCell ref="I21:K21"/>
    <mergeCell ref="M21:O21"/>
    <mergeCell ref="E21:G21"/>
    <mergeCell ref="G7:H7"/>
    <mergeCell ref="C19:P19"/>
  </mergeCells>
  <conditionalFormatting sqref="A2">
    <cfRule type="containsBlanks" dxfId="51" priority="62">
      <formula>LEN(TRIM(A2))=0</formula>
    </cfRule>
  </conditionalFormatting>
  <conditionalFormatting sqref="C23:E26">
    <cfRule type="containsBlanks" dxfId="50" priority="39">
      <formula>LEN(TRIM(C23))=0</formula>
    </cfRule>
  </conditionalFormatting>
  <conditionalFormatting sqref="C30:E39">
    <cfRule type="containsBlanks" dxfId="49" priority="31">
      <formula>LEN(TRIM(C30))=0</formula>
    </cfRule>
  </conditionalFormatting>
  <conditionalFormatting sqref="C89:E98">
    <cfRule type="containsBlanks" dxfId="48" priority="33">
      <formula>LEN(TRIM(C89))=0</formula>
    </cfRule>
  </conditionalFormatting>
  <conditionalFormatting sqref="C9:F18">
    <cfRule type="containsBlanks" dxfId="47" priority="60">
      <formula>LEN(TRIM(C9))=0</formula>
    </cfRule>
  </conditionalFormatting>
  <conditionalFormatting sqref="C63:F72">
    <cfRule type="containsBlanks" dxfId="46" priority="35">
      <formula>LEN(TRIM(C63))=0</formula>
    </cfRule>
  </conditionalFormatting>
  <conditionalFormatting sqref="C76:F85">
    <cfRule type="containsBlanks" dxfId="45" priority="34">
      <formula>LEN(TRIM(C76))=0</formula>
    </cfRule>
  </conditionalFormatting>
  <conditionalFormatting sqref="C106:F115">
    <cfRule type="containsBlanks" dxfId="44" priority="32">
      <formula>LEN(TRIM(C106))=0</formula>
    </cfRule>
  </conditionalFormatting>
  <conditionalFormatting sqref="C46:M55">
    <cfRule type="containsBlanks" dxfId="43" priority="36">
      <formula>LEN(TRIM(C46))=0</formula>
    </cfRule>
  </conditionalFormatting>
  <conditionalFormatting sqref="E40">
    <cfRule type="containsBlanks" dxfId="42" priority="48">
      <formula>LEN(TRIM(E40))=0</formula>
    </cfRule>
  </conditionalFormatting>
  <conditionalFormatting sqref="E56:M56">
    <cfRule type="containsBlanks" dxfId="41" priority="1" stopIfTrue="1">
      <formula>LEN(TRIM(E56))=0</formula>
    </cfRule>
    <cfRule type="cellIs" dxfId="40" priority="2" operator="equal">
      <formula>0</formula>
    </cfRule>
    <cfRule type="cellIs" dxfId="39" priority="3" operator="equal">
      <formula>"ND"</formula>
    </cfRule>
  </conditionalFormatting>
  <conditionalFormatting sqref="G23:G26">
    <cfRule type="containsBlanks" dxfId="38" priority="58">
      <formula>LEN(TRIM(G23))=0</formula>
    </cfRule>
  </conditionalFormatting>
  <conditionalFormatting sqref="G89:G99 E99">
    <cfRule type="containsBlanks" dxfId="37" priority="41">
      <formula>LEN(TRIM(E89))=0</formula>
    </cfRule>
  </conditionalFormatting>
  <conditionalFormatting sqref="G30:P39">
    <cfRule type="containsBlanks" dxfId="36" priority="47">
      <formula>LEN(TRIM(G30))=0</formula>
    </cfRule>
  </conditionalFormatting>
  <conditionalFormatting sqref="G40:P40">
    <cfRule type="containsBlanks" dxfId="35" priority="28" stopIfTrue="1">
      <formula>LEN(TRIM(G40))=0</formula>
    </cfRule>
    <cfRule type="cellIs" dxfId="34" priority="29" operator="equal">
      <formula>0</formula>
    </cfRule>
    <cfRule type="cellIs" dxfId="33" priority="30" operator="equal">
      <formula>"ND"</formula>
    </cfRule>
  </conditionalFormatting>
  <conditionalFormatting sqref="H63:H72">
    <cfRule type="containsBlanks" dxfId="32" priority="54">
      <formula>LEN(TRIM(H63))=0</formula>
    </cfRule>
  </conditionalFormatting>
  <conditionalFormatting sqref="H106:H115">
    <cfRule type="containsBlanks" dxfId="31" priority="40">
      <formula>LEN(TRIM(H106))=0</formula>
    </cfRule>
  </conditionalFormatting>
  <conditionalFormatting sqref="I9:I18">
    <cfRule type="containsBlanks" dxfId="30" priority="59">
      <formula>LEN(TRIM(I9))=0</formula>
    </cfRule>
  </conditionalFormatting>
  <conditionalFormatting sqref="I23:I26 M23:M26">
    <cfRule type="containsBlanks" dxfId="29" priority="50">
      <formula>LEN(TRIM(I23))=0</formula>
    </cfRule>
  </conditionalFormatting>
  <conditionalFormatting sqref="I76:I85">
    <cfRule type="containsBlanks" dxfId="28" priority="53">
      <formula>LEN(TRIM(I76))=0</formula>
    </cfRule>
  </conditionalFormatting>
  <conditionalFormatting sqref="I89:I98">
    <cfRule type="containsBlanks" dxfId="27" priority="52">
      <formula>LEN(TRIM(I89))=0</formula>
    </cfRule>
  </conditionalFormatting>
  <conditionalFormatting sqref="J106:J115">
    <cfRule type="containsBlanks" dxfId="26" priority="51">
      <formula>LEN(TRIM(J106))=0</formula>
    </cfRule>
  </conditionalFormatting>
  <conditionalFormatting sqref="K23:K26">
    <cfRule type="containsBlanks" dxfId="25" priority="57">
      <formula>LEN(TRIM(K23))=0</formula>
    </cfRule>
  </conditionalFormatting>
  <conditionalFormatting sqref="O23:O26">
    <cfRule type="containsBlanks" dxfId="24" priority="56">
      <formula>LEN(TRIM(O23))=0</formula>
    </cfRule>
  </conditionalFormatting>
  <conditionalFormatting sqref="O46:O55">
    <cfRule type="containsBlanks" dxfId="23" priority="55">
      <formula>LEN(TRIM(O46))=0</formula>
    </cfRule>
  </conditionalFormatting>
  <dataValidations count="2">
    <dataValidation type="list" allowBlank="1" showInputMessage="1" showErrorMessage="1" sqref="N46:N55" xr:uid="{4D2C3D17-3711-4DEB-8A26-304C8DA8D799}">
      <formula1>"No,Yes,Over"</formula1>
    </dataValidation>
    <dataValidation type="list" allowBlank="1" showInputMessage="1" showErrorMessage="1" sqref="K23:K26 O46:O55 J106:J115 G23:G26 O23:O26 H63:H72 I76:I85 I89:I98 I9:I18" xr:uid="{F6F7EAF7-13F8-4C2E-BB07-71C802562143}">
      <formula1>"MET,NOT MET,TBD"</formula1>
    </dataValidation>
  </dataValidations>
  <pageMargins left="0.7" right="0.7" top="0.75" bottom="0.75" header="0.3" footer="0.3"/>
  <pageSetup scale="39" fitToHeight="11" orientation="portrait" r:id="rId1"/>
  <rowBreaks count="1" manualBreakCount="1">
    <brk id="85" max="1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BE1A0-F609-4236-93E1-1A44716046F2}">
  <sheetPr codeName="Sheet18" filterMode="1">
    <tabColor rgb="FF7030A0"/>
    <pageSetUpPr fitToPage="1"/>
  </sheetPr>
  <dimension ref="A1:T218"/>
  <sheetViews>
    <sheetView view="pageBreakPreview" topLeftCell="A11" zoomScale="85" zoomScaleNormal="85" zoomScaleSheetLayoutView="85" workbookViewId="0">
      <selection activeCell="L186" sqref="L186"/>
    </sheetView>
  </sheetViews>
  <sheetFormatPr defaultColWidth="8.88671875" defaultRowHeight="18"/>
  <cols>
    <col min="1" max="1" width="4.44140625" customWidth="1"/>
    <col min="2" max="2" width="5.33203125" customWidth="1"/>
    <col min="3" max="3" width="24.6640625" customWidth="1"/>
    <col min="4" max="6" width="15.6640625" style="188" customWidth="1"/>
    <col min="7" max="12" width="18.6640625" style="188" customWidth="1"/>
    <col min="13" max="13" width="20.88671875" style="188" customWidth="1"/>
    <col min="14" max="15" width="18.6640625" style="188" customWidth="1"/>
    <col min="16" max="16" width="18.6640625" customWidth="1"/>
    <col min="17" max="18" width="2.44140625" customWidth="1"/>
    <col min="19" max="19" width="40.44140625" style="3" customWidth="1"/>
    <col min="20" max="20" width="47.6640625" style="56" customWidth="1"/>
    <col min="21" max="21" width="24.109375" customWidth="1"/>
  </cols>
  <sheetData>
    <row r="1" spans="1:20" ht="56.4" customHeight="1">
      <c r="A1" s="960"/>
      <c r="B1" s="960"/>
      <c r="C1" s="960"/>
      <c r="D1" s="960"/>
      <c r="E1" s="960"/>
      <c r="F1" s="960"/>
      <c r="G1" s="960"/>
      <c r="H1" s="960"/>
      <c r="I1" s="960"/>
      <c r="J1" s="960"/>
      <c r="K1" s="960"/>
      <c r="L1" s="960"/>
      <c r="M1" s="960"/>
      <c r="N1" s="960"/>
      <c r="O1" s="960"/>
      <c r="P1" s="960"/>
      <c r="S1" s="55"/>
    </row>
    <row r="2" spans="1:20" ht="39.9" customHeight="1">
      <c r="A2" s="961" t="str">
        <f>IF(v2p_Air!A2="","",v2p_Air!A2)</f>
        <v>2202025410 - Accenture - Assago Milanofiori U1</v>
      </c>
      <c r="B2" s="961"/>
      <c r="C2" s="961"/>
      <c r="D2" s="962"/>
      <c r="E2" s="962"/>
      <c r="F2" s="962"/>
      <c r="G2" s="962"/>
      <c r="H2" s="962"/>
      <c r="I2" s="962"/>
      <c r="J2" s="962"/>
      <c r="K2" s="962"/>
      <c r="L2" s="962"/>
      <c r="M2" s="962"/>
      <c r="N2" s="962"/>
      <c r="O2" s="962"/>
      <c r="P2" s="961"/>
      <c r="Q2" s="78"/>
      <c r="R2" s="78"/>
      <c r="T2" s="77"/>
    </row>
    <row r="3" spans="1:20" ht="30" customHeight="1">
      <c r="A3" s="76"/>
      <c r="S3" s="203" t="s">
        <v>56</v>
      </c>
    </row>
    <row r="4" spans="1:20" ht="24" customHeight="1">
      <c r="B4" s="963" t="s">
        <v>104</v>
      </c>
      <c r="C4" s="963"/>
      <c r="D4" s="963"/>
      <c r="E4" s="963"/>
      <c r="F4" s="963"/>
      <c r="G4" s="963"/>
      <c r="H4" s="963"/>
      <c r="I4" s="963"/>
      <c r="J4" s="963"/>
      <c r="K4" s="963"/>
      <c r="L4" s="963"/>
      <c r="M4" s="963"/>
      <c r="N4" s="963"/>
      <c r="O4" s="963"/>
      <c r="P4" s="963"/>
      <c r="S4" s="3" t="s">
        <v>500</v>
      </c>
      <c r="T4" s="75" t="s">
        <v>107</v>
      </c>
    </row>
    <row r="5" spans="1:20" ht="21" customHeight="1">
      <c r="B5" s="60"/>
      <c r="C5" s="957" t="s">
        <v>103</v>
      </c>
      <c r="D5" s="958"/>
      <c r="E5" s="958"/>
      <c r="F5" s="958"/>
      <c r="G5" s="958"/>
      <c r="H5" s="958"/>
      <c r="I5" s="958"/>
      <c r="J5" s="958"/>
      <c r="K5" s="958"/>
      <c r="L5" s="958"/>
      <c r="M5" s="958"/>
      <c r="N5" s="958"/>
      <c r="O5" s="958"/>
      <c r="P5" s="957"/>
      <c r="S5" s="3" t="s">
        <v>500</v>
      </c>
      <c r="T5" s="951" t="s">
        <v>503</v>
      </c>
    </row>
    <row r="6" spans="1:20" s="70" customFormat="1" ht="28.8">
      <c r="B6" s="959"/>
      <c r="C6" s="952"/>
      <c r="D6" s="215"/>
      <c r="E6" s="215"/>
      <c r="F6" s="216"/>
      <c r="G6" s="26" t="s">
        <v>512</v>
      </c>
      <c r="H6" s="26" t="s">
        <v>102</v>
      </c>
      <c r="I6" s="953" t="s">
        <v>1</v>
      </c>
      <c r="J6" s="259"/>
      <c r="K6" s="259"/>
      <c r="L6" s="259"/>
      <c r="M6" s="259"/>
      <c r="N6" s="259"/>
      <c r="O6" s="259"/>
      <c r="P6" s="260"/>
      <c r="S6" s="3" t="s">
        <v>500</v>
      </c>
      <c r="T6" s="951"/>
    </row>
    <row r="7" spans="1:20" s="70" customFormat="1" ht="28.8">
      <c r="B7" s="959"/>
      <c r="C7" s="946"/>
      <c r="D7" s="62" t="s">
        <v>60</v>
      </c>
      <c r="E7" s="62" t="s">
        <v>59</v>
      </c>
      <c r="F7" s="62" t="s">
        <v>58</v>
      </c>
      <c r="G7" s="26" t="s">
        <v>101</v>
      </c>
      <c r="H7" s="26" t="s">
        <v>100</v>
      </c>
      <c r="I7" s="954"/>
      <c r="J7" s="261"/>
      <c r="K7" s="261"/>
      <c r="L7" s="261"/>
      <c r="M7" s="261"/>
      <c r="N7" s="261"/>
      <c r="O7" s="261"/>
      <c r="P7" s="262"/>
      <c r="S7" s="3" t="s">
        <v>500</v>
      </c>
      <c r="T7" s="951"/>
    </row>
    <row r="8" spans="1:20" s="70" customFormat="1" ht="18" customHeight="1">
      <c r="B8" s="959"/>
      <c r="C8" s="67">
        <v>1</v>
      </c>
      <c r="D8" s="74" t="s">
        <v>543</v>
      </c>
      <c r="E8" s="74" t="s">
        <v>544</v>
      </c>
      <c r="F8" s="74" t="s">
        <v>545</v>
      </c>
      <c r="G8" s="282">
        <v>0.18333333333333335</v>
      </c>
      <c r="H8" s="74" t="s">
        <v>546</v>
      </c>
      <c r="I8" s="214" t="s">
        <v>1456</v>
      </c>
      <c r="J8" s="261"/>
      <c r="K8" s="261"/>
      <c r="L8" s="261"/>
      <c r="M8" s="261"/>
      <c r="N8" s="261"/>
      <c r="O8" s="261"/>
      <c r="P8" s="262"/>
      <c r="S8" s="3" t="str">
        <f>IF(C8&lt;&gt;"","Show","Hide")</f>
        <v>Show</v>
      </c>
      <c r="T8" s="951"/>
    </row>
    <row r="9" spans="1:20" s="70" customFormat="1" ht="18" customHeight="1">
      <c r="B9" s="959"/>
      <c r="C9" s="67">
        <v>2</v>
      </c>
      <c r="D9" s="74" t="s">
        <v>547</v>
      </c>
      <c r="E9" s="74" t="s">
        <v>548</v>
      </c>
      <c r="F9" s="74" t="s">
        <v>549</v>
      </c>
      <c r="G9" s="282">
        <v>0.13333333333333333</v>
      </c>
      <c r="H9" s="74" t="s">
        <v>546</v>
      </c>
      <c r="I9" s="214" t="s">
        <v>1456</v>
      </c>
      <c r="J9" s="261"/>
      <c r="K9" s="261"/>
      <c r="L9" s="261"/>
      <c r="M9" s="261"/>
      <c r="N9" s="261"/>
      <c r="O9" s="261"/>
      <c r="P9" s="262"/>
      <c r="S9" s="3" t="str">
        <f t="shared" ref="S9:S47" si="0">IF(C9&lt;&gt;"","Show","Hide")</f>
        <v>Show</v>
      </c>
      <c r="T9" s="951"/>
    </row>
    <row r="10" spans="1:20" s="70" customFormat="1" ht="18" customHeight="1">
      <c r="B10" s="959"/>
      <c r="C10" s="67">
        <v>3</v>
      </c>
      <c r="D10" s="74" t="s">
        <v>550</v>
      </c>
      <c r="E10" s="74" t="s">
        <v>551</v>
      </c>
      <c r="F10" s="74" t="s">
        <v>545</v>
      </c>
      <c r="G10" s="282">
        <v>0.10666666666666667</v>
      </c>
      <c r="H10" s="74" t="s">
        <v>546</v>
      </c>
      <c r="I10" s="214" t="s">
        <v>1456</v>
      </c>
      <c r="J10" s="261"/>
      <c r="K10" s="261"/>
      <c r="L10" s="261"/>
      <c r="M10" s="261"/>
      <c r="N10" s="261"/>
      <c r="O10" s="261"/>
      <c r="P10" s="262"/>
      <c r="S10" s="3" t="str">
        <f t="shared" si="0"/>
        <v>Show</v>
      </c>
      <c r="T10" s="951"/>
    </row>
    <row r="11" spans="1:20" s="70" customFormat="1" ht="18" customHeight="1">
      <c r="B11" s="959"/>
      <c r="C11" s="67">
        <v>5</v>
      </c>
      <c r="D11" s="74" t="s">
        <v>552</v>
      </c>
      <c r="E11" s="74" t="s">
        <v>551</v>
      </c>
      <c r="F11" s="74" t="s">
        <v>545</v>
      </c>
      <c r="G11" s="282">
        <v>0.28333333333333333</v>
      </c>
      <c r="H11" s="74" t="s">
        <v>546</v>
      </c>
      <c r="I11" s="214" t="s">
        <v>1456</v>
      </c>
      <c r="J11" s="261"/>
      <c r="K11" s="261"/>
      <c r="L11" s="261"/>
      <c r="M11" s="261"/>
      <c r="N11" s="261"/>
      <c r="O11" s="261"/>
      <c r="P11" s="262"/>
      <c r="S11" s="3" t="str">
        <f t="shared" si="0"/>
        <v>Show</v>
      </c>
      <c r="T11" s="951"/>
    </row>
    <row r="12" spans="1:20" s="70" customFormat="1" ht="30" customHeight="1">
      <c r="B12" s="959"/>
      <c r="C12" s="67">
        <v>6</v>
      </c>
      <c r="D12" s="74" t="s">
        <v>547</v>
      </c>
      <c r="E12" s="74" t="s">
        <v>553</v>
      </c>
      <c r="F12" s="74" t="s">
        <v>545</v>
      </c>
      <c r="G12" s="282">
        <v>0.45</v>
      </c>
      <c r="H12" s="74" t="s">
        <v>546</v>
      </c>
      <c r="I12" s="214" t="s">
        <v>1456</v>
      </c>
      <c r="J12" s="261"/>
      <c r="K12" s="261"/>
      <c r="L12" s="261"/>
      <c r="M12" s="261"/>
      <c r="N12" s="261"/>
      <c r="O12" s="261"/>
      <c r="P12" s="262"/>
      <c r="S12" s="3" t="str">
        <f t="shared" si="0"/>
        <v>Show</v>
      </c>
      <c r="T12" s="951"/>
    </row>
    <row r="13" spans="1:20" s="70" customFormat="1" ht="18" customHeight="1">
      <c r="B13" s="959"/>
      <c r="C13" s="67">
        <v>7</v>
      </c>
      <c r="D13" s="74" t="s">
        <v>554</v>
      </c>
      <c r="E13" s="74" t="s">
        <v>555</v>
      </c>
      <c r="F13" s="74" t="s">
        <v>545</v>
      </c>
      <c r="G13" s="282">
        <v>0.27333333333333332</v>
      </c>
      <c r="H13" s="74" t="s">
        <v>546</v>
      </c>
      <c r="I13" s="214" t="s">
        <v>1456</v>
      </c>
      <c r="J13" s="261"/>
      <c r="K13" s="261"/>
      <c r="L13" s="261"/>
      <c r="M13" s="261"/>
      <c r="N13" s="261"/>
      <c r="O13" s="261"/>
      <c r="P13" s="262"/>
      <c r="S13" s="3" t="str">
        <f t="shared" si="0"/>
        <v>Show</v>
      </c>
      <c r="T13" s="951"/>
    </row>
    <row r="14" spans="1:20" s="70" customFormat="1" ht="18" hidden="1" customHeight="1">
      <c r="B14" s="959"/>
      <c r="C14" s="67"/>
      <c r="D14" s="74"/>
      <c r="E14" s="74"/>
      <c r="F14" s="74"/>
      <c r="G14" s="74"/>
      <c r="H14" s="74"/>
      <c r="I14" s="214"/>
      <c r="J14" s="261"/>
      <c r="K14" s="261"/>
      <c r="L14" s="261"/>
      <c r="M14" s="261"/>
      <c r="N14" s="261"/>
      <c r="O14" s="261"/>
      <c r="P14" s="262"/>
      <c r="S14" s="3" t="str">
        <f t="shared" si="0"/>
        <v>Hide</v>
      </c>
      <c r="T14" s="951"/>
    </row>
    <row r="15" spans="1:20" s="70" customFormat="1" ht="18" hidden="1" customHeight="1">
      <c r="B15" s="959"/>
      <c r="C15" s="67"/>
      <c r="D15" s="74"/>
      <c r="E15" s="74"/>
      <c r="F15" s="74"/>
      <c r="G15" s="74"/>
      <c r="H15" s="74"/>
      <c r="I15" s="214"/>
      <c r="J15" s="261"/>
      <c r="K15" s="261"/>
      <c r="L15" s="261"/>
      <c r="M15" s="261"/>
      <c r="N15" s="261"/>
      <c r="O15" s="261"/>
      <c r="P15" s="262"/>
      <c r="S15" s="3" t="str">
        <f t="shared" si="0"/>
        <v>Hide</v>
      </c>
      <c r="T15" s="951"/>
    </row>
    <row r="16" spans="1:20" s="70" customFormat="1" ht="18" hidden="1" customHeight="1">
      <c r="B16" s="959"/>
      <c r="C16" s="67"/>
      <c r="D16" s="74"/>
      <c r="E16" s="74"/>
      <c r="F16" s="74"/>
      <c r="G16" s="74"/>
      <c r="H16" s="74"/>
      <c r="I16" s="214"/>
      <c r="J16" s="261"/>
      <c r="K16" s="261"/>
      <c r="L16" s="261"/>
      <c r="M16" s="261"/>
      <c r="N16" s="261"/>
      <c r="O16" s="261"/>
      <c r="P16" s="262"/>
      <c r="S16" s="3" t="str">
        <f t="shared" si="0"/>
        <v>Hide</v>
      </c>
      <c r="T16" s="951"/>
    </row>
    <row r="17" spans="2:20" s="70" customFormat="1" ht="18" hidden="1" customHeight="1">
      <c r="B17" s="959"/>
      <c r="C17" s="67"/>
      <c r="D17" s="74"/>
      <c r="E17" s="74"/>
      <c r="F17" s="74"/>
      <c r="G17" s="74"/>
      <c r="H17" s="74"/>
      <c r="I17" s="214"/>
      <c r="J17" s="261"/>
      <c r="K17" s="261"/>
      <c r="L17" s="261"/>
      <c r="M17" s="261"/>
      <c r="N17" s="261"/>
      <c r="O17" s="261"/>
      <c r="P17" s="262"/>
      <c r="S17" s="3" t="str">
        <f t="shared" si="0"/>
        <v>Hide</v>
      </c>
      <c r="T17" s="951"/>
    </row>
    <row r="18" spans="2:20" s="70" customFormat="1" ht="18" hidden="1" customHeight="1">
      <c r="B18" s="959"/>
      <c r="C18" s="67"/>
      <c r="D18" s="74"/>
      <c r="E18" s="74"/>
      <c r="F18" s="74"/>
      <c r="G18" s="74"/>
      <c r="H18" s="74"/>
      <c r="I18" s="214"/>
      <c r="J18" s="261"/>
      <c r="K18" s="261"/>
      <c r="L18" s="261"/>
      <c r="M18" s="261"/>
      <c r="N18" s="261"/>
      <c r="O18" s="261"/>
      <c r="P18" s="262"/>
      <c r="S18" s="3" t="str">
        <f t="shared" si="0"/>
        <v>Hide</v>
      </c>
      <c r="T18" s="951"/>
    </row>
    <row r="19" spans="2:20" s="70" customFormat="1" ht="18" hidden="1" customHeight="1">
      <c r="B19" s="959"/>
      <c r="C19" s="67"/>
      <c r="D19" s="74"/>
      <c r="E19" s="74"/>
      <c r="F19" s="74"/>
      <c r="G19" s="74"/>
      <c r="H19" s="74"/>
      <c r="I19" s="214"/>
      <c r="J19" s="261"/>
      <c r="K19" s="261"/>
      <c r="L19" s="261"/>
      <c r="M19" s="261"/>
      <c r="N19" s="261"/>
      <c r="O19" s="261"/>
      <c r="P19" s="262"/>
      <c r="S19" s="3" t="str">
        <f t="shared" si="0"/>
        <v>Hide</v>
      </c>
      <c r="T19" s="951"/>
    </row>
    <row r="20" spans="2:20" s="70" customFormat="1" ht="18" hidden="1" customHeight="1">
      <c r="B20" s="959"/>
      <c r="C20" s="67"/>
      <c r="D20" s="74"/>
      <c r="E20" s="74"/>
      <c r="F20" s="74"/>
      <c r="G20" s="74"/>
      <c r="H20" s="74"/>
      <c r="I20" s="214"/>
      <c r="J20" s="261"/>
      <c r="K20" s="261"/>
      <c r="L20" s="261"/>
      <c r="M20" s="261"/>
      <c r="N20" s="261"/>
      <c r="O20" s="261"/>
      <c r="P20" s="262"/>
      <c r="S20" s="3" t="str">
        <f t="shared" si="0"/>
        <v>Hide</v>
      </c>
      <c r="T20" s="951"/>
    </row>
    <row r="21" spans="2:20" s="70" customFormat="1" ht="18" hidden="1" customHeight="1">
      <c r="B21" s="959"/>
      <c r="C21" s="67"/>
      <c r="D21" s="74"/>
      <c r="E21" s="74"/>
      <c r="F21" s="74"/>
      <c r="G21" s="74"/>
      <c r="H21" s="74"/>
      <c r="I21" s="214"/>
      <c r="J21" s="261"/>
      <c r="K21" s="261"/>
      <c r="L21" s="261"/>
      <c r="M21" s="261"/>
      <c r="N21" s="261"/>
      <c r="O21" s="261"/>
      <c r="P21" s="262"/>
      <c r="S21" s="3" t="str">
        <f t="shared" si="0"/>
        <v>Hide</v>
      </c>
      <c r="T21" s="951"/>
    </row>
    <row r="22" spans="2:20" s="70" customFormat="1" ht="18" hidden="1" customHeight="1">
      <c r="B22" s="959"/>
      <c r="C22" s="67"/>
      <c r="D22" s="74"/>
      <c r="E22" s="74"/>
      <c r="F22" s="74"/>
      <c r="G22" s="74"/>
      <c r="H22" s="74"/>
      <c r="I22" s="214"/>
      <c r="J22" s="261"/>
      <c r="K22" s="261"/>
      <c r="L22" s="261"/>
      <c r="M22" s="261"/>
      <c r="N22" s="261"/>
      <c r="O22" s="261"/>
      <c r="P22" s="262"/>
      <c r="S22" s="3" t="str">
        <f t="shared" si="0"/>
        <v>Hide</v>
      </c>
      <c r="T22" s="951"/>
    </row>
    <row r="23" spans="2:20" s="70" customFormat="1" ht="18" hidden="1" customHeight="1">
      <c r="B23" s="959"/>
      <c r="C23" s="67"/>
      <c r="D23" s="74"/>
      <c r="E23" s="74"/>
      <c r="F23" s="74"/>
      <c r="G23" s="74"/>
      <c r="H23" s="74"/>
      <c r="I23" s="214"/>
      <c r="J23" s="261"/>
      <c r="K23" s="261"/>
      <c r="L23" s="261"/>
      <c r="M23" s="261"/>
      <c r="N23" s="261"/>
      <c r="O23" s="261"/>
      <c r="P23" s="262"/>
      <c r="S23" s="3" t="str">
        <f t="shared" si="0"/>
        <v>Hide</v>
      </c>
      <c r="T23" s="951"/>
    </row>
    <row r="24" spans="2:20" s="70" customFormat="1" ht="18" hidden="1" customHeight="1">
      <c r="B24" s="959"/>
      <c r="C24" s="67"/>
      <c r="D24" s="74"/>
      <c r="E24" s="74"/>
      <c r="F24" s="74"/>
      <c r="G24" s="74"/>
      <c r="H24" s="74"/>
      <c r="I24" s="214"/>
      <c r="J24" s="261"/>
      <c r="K24" s="261"/>
      <c r="L24" s="261"/>
      <c r="M24" s="261"/>
      <c r="N24" s="261"/>
      <c r="O24" s="261"/>
      <c r="P24" s="262"/>
      <c r="S24" s="3" t="str">
        <f t="shared" si="0"/>
        <v>Hide</v>
      </c>
      <c r="T24" s="951"/>
    </row>
    <row r="25" spans="2:20" s="70" customFormat="1" ht="18" hidden="1" customHeight="1">
      <c r="B25" s="959"/>
      <c r="C25" s="67"/>
      <c r="D25" s="74"/>
      <c r="E25" s="74"/>
      <c r="F25" s="74"/>
      <c r="G25" s="74"/>
      <c r="H25" s="74"/>
      <c r="I25" s="214"/>
      <c r="J25" s="261"/>
      <c r="K25" s="261"/>
      <c r="L25" s="261"/>
      <c r="M25" s="261"/>
      <c r="N25" s="261"/>
      <c r="O25" s="261"/>
      <c r="P25" s="262"/>
      <c r="S25" s="3" t="str">
        <f t="shared" si="0"/>
        <v>Hide</v>
      </c>
      <c r="T25" s="951"/>
    </row>
    <row r="26" spans="2:20" s="70" customFormat="1" ht="18" hidden="1" customHeight="1">
      <c r="B26" s="959"/>
      <c r="C26" s="67"/>
      <c r="D26" s="74"/>
      <c r="E26" s="74"/>
      <c r="F26" s="74"/>
      <c r="G26" s="74"/>
      <c r="H26" s="74"/>
      <c r="I26" s="214"/>
      <c r="J26" s="261"/>
      <c r="K26" s="261"/>
      <c r="L26" s="261"/>
      <c r="M26" s="261"/>
      <c r="N26" s="261"/>
      <c r="O26" s="261"/>
      <c r="P26" s="262"/>
      <c r="S26" s="3" t="str">
        <f t="shared" si="0"/>
        <v>Hide</v>
      </c>
      <c r="T26" s="951"/>
    </row>
    <row r="27" spans="2:20" s="70" customFormat="1" ht="18" hidden="1" customHeight="1">
      <c r="B27" s="959"/>
      <c r="C27" s="67"/>
      <c r="D27" s="74"/>
      <c r="E27" s="74"/>
      <c r="F27" s="74"/>
      <c r="G27" s="74"/>
      <c r="H27" s="74"/>
      <c r="I27" s="214"/>
      <c r="J27" s="261"/>
      <c r="K27" s="261"/>
      <c r="L27" s="261"/>
      <c r="M27" s="261"/>
      <c r="N27" s="261"/>
      <c r="O27" s="261"/>
      <c r="P27" s="262"/>
      <c r="S27" s="3" t="str">
        <f t="shared" si="0"/>
        <v>Hide</v>
      </c>
      <c r="T27" s="951"/>
    </row>
    <row r="28" spans="2:20" s="70" customFormat="1" ht="18" hidden="1" customHeight="1">
      <c r="B28" s="959"/>
      <c r="C28" s="67"/>
      <c r="D28" s="74"/>
      <c r="E28" s="74"/>
      <c r="F28" s="74"/>
      <c r="G28" s="74"/>
      <c r="H28" s="74"/>
      <c r="I28" s="214"/>
      <c r="J28" s="261"/>
      <c r="K28" s="261"/>
      <c r="L28" s="261"/>
      <c r="M28" s="261"/>
      <c r="N28" s="261"/>
      <c r="O28" s="261"/>
      <c r="P28" s="262"/>
      <c r="S28" s="3" t="str">
        <f t="shared" si="0"/>
        <v>Hide</v>
      </c>
      <c r="T28" s="951"/>
    </row>
    <row r="29" spans="2:20" s="70" customFormat="1" ht="18" hidden="1" customHeight="1">
      <c r="B29" s="959"/>
      <c r="C29" s="67"/>
      <c r="D29" s="74"/>
      <c r="E29" s="74"/>
      <c r="F29" s="74"/>
      <c r="G29" s="74"/>
      <c r="H29" s="74"/>
      <c r="I29" s="214"/>
      <c r="J29" s="261"/>
      <c r="K29" s="261"/>
      <c r="L29" s="261"/>
      <c r="M29" s="261"/>
      <c r="N29" s="261"/>
      <c r="O29" s="261"/>
      <c r="P29" s="262"/>
      <c r="S29" s="3" t="str">
        <f t="shared" si="0"/>
        <v>Hide</v>
      </c>
      <c r="T29" s="951"/>
    </row>
    <row r="30" spans="2:20" s="70" customFormat="1" ht="18" hidden="1" customHeight="1">
      <c r="B30" s="959"/>
      <c r="C30" s="67"/>
      <c r="D30" s="74"/>
      <c r="E30" s="74"/>
      <c r="F30" s="74"/>
      <c r="G30" s="74"/>
      <c r="H30" s="74"/>
      <c r="I30" s="214"/>
      <c r="J30" s="261"/>
      <c r="K30" s="261"/>
      <c r="L30" s="261"/>
      <c r="M30" s="261"/>
      <c r="N30" s="261"/>
      <c r="O30" s="261"/>
      <c r="P30" s="262"/>
      <c r="S30" s="3" t="str">
        <f t="shared" si="0"/>
        <v>Hide</v>
      </c>
      <c r="T30" s="951"/>
    </row>
    <row r="31" spans="2:20" s="70" customFormat="1" ht="18" hidden="1" customHeight="1">
      <c r="B31" s="959"/>
      <c r="C31" s="67"/>
      <c r="D31" s="74"/>
      <c r="E31" s="74"/>
      <c r="F31" s="74"/>
      <c r="G31" s="74"/>
      <c r="H31" s="74"/>
      <c r="I31" s="214"/>
      <c r="J31" s="261"/>
      <c r="K31" s="261"/>
      <c r="L31" s="261"/>
      <c r="M31" s="261"/>
      <c r="N31" s="261"/>
      <c r="O31" s="261"/>
      <c r="P31" s="262"/>
      <c r="S31" s="3" t="str">
        <f t="shared" si="0"/>
        <v>Hide</v>
      </c>
      <c r="T31" s="951"/>
    </row>
    <row r="32" spans="2:20" s="70" customFormat="1" ht="18" hidden="1" customHeight="1">
      <c r="B32" s="959"/>
      <c r="C32" s="67"/>
      <c r="D32" s="74"/>
      <c r="E32" s="74"/>
      <c r="F32" s="74"/>
      <c r="G32" s="74"/>
      <c r="H32" s="74"/>
      <c r="I32" s="214"/>
      <c r="J32" s="261"/>
      <c r="K32" s="261"/>
      <c r="L32" s="261"/>
      <c r="M32" s="261"/>
      <c r="N32" s="261"/>
      <c r="O32" s="261"/>
      <c r="P32" s="262"/>
      <c r="S32" s="3" t="str">
        <f t="shared" si="0"/>
        <v>Hide</v>
      </c>
      <c r="T32" s="951"/>
    </row>
    <row r="33" spans="2:20" s="70" customFormat="1" ht="18" hidden="1" customHeight="1">
      <c r="B33" s="959"/>
      <c r="C33" s="67"/>
      <c r="D33" s="74"/>
      <c r="E33" s="74"/>
      <c r="F33" s="74"/>
      <c r="G33" s="74"/>
      <c r="H33" s="74"/>
      <c r="I33" s="214"/>
      <c r="J33" s="261"/>
      <c r="K33" s="261"/>
      <c r="L33" s="261"/>
      <c r="M33" s="261"/>
      <c r="N33" s="261"/>
      <c r="O33" s="261"/>
      <c r="P33" s="262"/>
      <c r="S33" s="3" t="str">
        <f t="shared" si="0"/>
        <v>Hide</v>
      </c>
      <c r="T33" s="951"/>
    </row>
    <row r="34" spans="2:20" s="70" customFormat="1" ht="18" hidden="1" customHeight="1">
      <c r="B34" s="959"/>
      <c r="C34" s="67"/>
      <c r="D34" s="74"/>
      <c r="E34" s="74"/>
      <c r="F34" s="74"/>
      <c r="G34" s="74"/>
      <c r="H34" s="74"/>
      <c r="I34" s="214"/>
      <c r="J34" s="261"/>
      <c r="K34" s="261"/>
      <c r="L34" s="261"/>
      <c r="M34" s="261"/>
      <c r="N34" s="261"/>
      <c r="O34" s="261"/>
      <c r="P34" s="262"/>
      <c r="S34" s="3" t="str">
        <f t="shared" si="0"/>
        <v>Hide</v>
      </c>
      <c r="T34" s="88"/>
    </row>
    <row r="35" spans="2:20" s="70" customFormat="1" ht="18" hidden="1" customHeight="1">
      <c r="B35" s="959"/>
      <c r="C35" s="67"/>
      <c r="D35" s="74"/>
      <c r="E35" s="74"/>
      <c r="F35" s="74"/>
      <c r="G35" s="74"/>
      <c r="H35" s="74"/>
      <c r="I35" s="214"/>
      <c r="J35" s="261"/>
      <c r="K35" s="261"/>
      <c r="L35" s="261"/>
      <c r="M35" s="261"/>
      <c r="N35" s="261"/>
      <c r="O35" s="261"/>
      <c r="P35" s="262"/>
      <c r="S35" s="3" t="str">
        <f t="shared" si="0"/>
        <v>Hide</v>
      </c>
      <c r="T35" s="88"/>
    </row>
    <row r="36" spans="2:20" s="70" customFormat="1" ht="18" hidden="1" customHeight="1">
      <c r="B36" s="959"/>
      <c r="C36" s="67"/>
      <c r="D36" s="74"/>
      <c r="E36" s="74"/>
      <c r="F36" s="74"/>
      <c r="G36" s="74"/>
      <c r="H36" s="74"/>
      <c r="I36" s="214"/>
      <c r="J36" s="261"/>
      <c r="K36" s="261"/>
      <c r="L36" s="261"/>
      <c r="M36" s="261"/>
      <c r="N36" s="261"/>
      <c r="O36" s="261"/>
      <c r="P36" s="262"/>
      <c r="S36" s="3" t="str">
        <f t="shared" si="0"/>
        <v>Hide</v>
      </c>
      <c r="T36" s="88"/>
    </row>
    <row r="37" spans="2:20" s="70" customFormat="1" ht="18" hidden="1" customHeight="1">
      <c r="B37" s="959"/>
      <c r="C37" s="67"/>
      <c r="D37" s="74"/>
      <c r="E37" s="74"/>
      <c r="F37" s="74"/>
      <c r="G37" s="74"/>
      <c r="H37" s="74"/>
      <c r="I37" s="214"/>
      <c r="J37" s="261"/>
      <c r="K37" s="261"/>
      <c r="L37" s="261"/>
      <c r="M37" s="261"/>
      <c r="N37" s="261"/>
      <c r="O37" s="261"/>
      <c r="P37" s="262"/>
      <c r="S37" s="3" t="str">
        <f t="shared" si="0"/>
        <v>Hide</v>
      </c>
      <c r="T37" s="88"/>
    </row>
    <row r="38" spans="2:20" s="70" customFormat="1" ht="18" hidden="1" customHeight="1">
      <c r="B38" s="959"/>
      <c r="C38" s="67"/>
      <c r="D38" s="74"/>
      <c r="E38" s="74"/>
      <c r="F38" s="74"/>
      <c r="G38" s="74"/>
      <c r="H38" s="74"/>
      <c r="I38" s="214"/>
      <c r="J38" s="261"/>
      <c r="K38" s="261"/>
      <c r="L38" s="261"/>
      <c r="M38" s="261"/>
      <c r="N38" s="261"/>
      <c r="O38" s="261"/>
      <c r="P38" s="262"/>
      <c r="S38" s="3" t="str">
        <f t="shared" si="0"/>
        <v>Hide</v>
      </c>
      <c r="T38" s="88"/>
    </row>
    <row r="39" spans="2:20" s="70" customFormat="1" ht="18" hidden="1" customHeight="1">
      <c r="B39" s="959"/>
      <c r="C39" s="67"/>
      <c r="D39" s="74"/>
      <c r="E39" s="74"/>
      <c r="F39" s="74"/>
      <c r="G39" s="74"/>
      <c r="H39" s="74"/>
      <c r="I39" s="214"/>
      <c r="J39" s="261"/>
      <c r="K39" s="261"/>
      <c r="L39" s="261"/>
      <c r="M39" s="261"/>
      <c r="N39" s="261"/>
      <c r="O39" s="261"/>
      <c r="P39" s="262"/>
      <c r="S39" s="3" t="str">
        <f t="shared" si="0"/>
        <v>Hide</v>
      </c>
      <c r="T39" s="88"/>
    </row>
    <row r="40" spans="2:20" s="70" customFormat="1" ht="18" hidden="1" customHeight="1">
      <c r="B40" s="959"/>
      <c r="C40" s="67"/>
      <c r="D40" s="74"/>
      <c r="E40" s="74"/>
      <c r="F40" s="74"/>
      <c r="G40" s="74"/>
      <c r="H40" s="74"/>
      <c r="I40" s="214"/>
      <c r="J40" s="261"/>
      <c r="K40" s="261"/>
      <c r="L40" s="261"/>
      <c r="M40" s="261"/>
      <c r="N40" s="261"/>
      <c r="O40" s="261"/>
      <c r="P40" s="262"/>
      <c r="S40" s="3" t="str">
        <f t="shared" si="0"/>
        <v>Hide</v>
      </c>
      <c r="T40" s="88"/>
    </row>
    <row r="41" spans="2:20" s="70" customFormat="1" ht="18" hidden="1" customHeight="1">
      <c r="B41" s="959"/>
      <c r="C41" s="67"/>
      <c r="D41" s="74"/>
      <c r="E41" s="74"/>
      <c r="F41" s="74"/>
      <c r="G41" s="74"/>
      <c r="H41" s="74"/>
      <c r="I41" s="214"/>
      <c r="J41" s="261"/>
      <c r="K41" s="261"/>
      <c r="L41" s="261"/>
      <c r="M41" s="261"/>
      <c r="N41" s="261"/>
      <c r="O41" s="261"/>
      <c r="P41" s="262"/>
      <c r="S41" s="3" t="str">
        <f t="shared" si="0"/>
        <v>Hide</v>
      </c>
      <c r="T41" s="88"/>
    </row>
    <row r="42" spans="2:20" s="70" customFormat="1" ht="18" hidden="1" customHeight="1">
      <c r="B42" s="959"/>
      <c r="C42" s="67"/>
      <c r="D42" s="74"/>
      <c r="E42" s="74"/>
      <c r="F42" s="74"/>
      <c r="G42" s="74"/>
      <c r="H42" s="74"/>
      <c r="I42" s="214"/>
      <c r="J42" s="261"/>
      <c r="K42" s="261"/>
      <c r="L42" s="261"/>
      <c r="M42" s="261"/>
      <c r="N42" s="261"/>
      <c r="O42" s="261"/>
      <c r="P42" s="262"/>
      <c r="S42" s="3" t="str">
        <f t="shared" si="0"/>
        <v>Hide</v>
      </c>
      <c r="T42" s="88"/>
    </row>
    <row r="43" spans="2:20" s="70" customFormat="1" ht="18" hidden="1" customHeight="1">
      <c r="B43" s="959"/>
      <c r="C43" s="67"/>
      <c r="D43" s="74"/>
      <c r="E43" s="74"/>
      <c r="F43" s="74"/>
      <c r="G43" s="74"/>
      <c r="H43" s="74"/>
      <c r="I43" s="214"/>
      <c r="J43" s="261"/>
      <c r="K43" s="261"/>
      <c r="L43" s="261"/>
      <c r="M43" s="261"/>
      <c r="N43" s="261"/>
      <c r="O43" s="261"/>
      <c r="P43" s="262"/>
      <c r="S43" s="3" t="str">
        <f t="shared" si="0"/>
        <v>Hide</v>
      </c>
      <c r="T43" s="88"/>
    </row>
    <row r="44" spans="2:20" s="70" customFormat="1" ht="18" hidden="1" customHeight="1">
      <c r="B44" s="959"/>
      <c r="C44" s="67"/>
      <c r="D44" s="74"/>
      <c r="E44" s="74"/>
      <c r="F44" s="74"/>
      <c r="G44" s="74"/>
      <c r="H44" s="74"/>
      <c r="I44" s="214"/>
      <c r="J44" s="261"/>
      <c r="K44" s="261"/>
      <c r="L44" s="261"/>
      <c r="M44" s="261"/>
      <c r="N44" s="261"/>
      <c r="O44" s="261"/>
      <c r="P44" s="262"/>
      <c r="S44" s="3" t="str">
        <f t="shared" si="0"/>
        <v>Hide</v>
      </c>
      <c r="T44" s="88"/>
    </row>
    <row r="45" spans="2:20" s="70" customFormat="1" ht="18" hidden="1" customHeight="1">
      <c r="B45" s="959"/>
      <c r="C45" s="67"/>
      <c r="D45" s="74"/>
      <c r="E45" s="74"/>
      <c r="F45" s="74"/>
      <c r="G45" s="74"/>
      <c r="H45" s="74"/>
      <c r="I45" s="214"/>
      <c r="J45" s="261"/>
      <c r="K45" s="261"/>
      <c r="L45" s="261"/>
      <c r="M45" s="261"/>
      <c r="N45" s="261"/>
      <c r="O45" s="261"/>
      <c r="P45" s="262"/>
      <c r="S45" s="3" t="str">
        <f t="shared" si="0"/>
        <v>Hide</v>
      </c>
      <c r="T45" s="88"/>
    </row>
    <row r="46" spans="2:20" s="70" customFormat="1" ht="18" hidden="1" customHeight="1">
      <c r="B46" s="959"/>
      <c r="C46" s="67"/>
      <c r="D46" s="74"/>
      <c r="E46" s="74"/>
      <c r="F46" s="74"/>
      <c r="G46" s="74"/>
      <c r="H46" s="74"/>
      <c r="I46" s="214"/>
      <c r="J46" s="261"/>
      <c r="K46" s="261"/>
      <c r="L46" s="261"/>
      <c r="M46" s="261"/>
      <c r="N46" s="261"/>
      <c r="O46" s="261"/>
      <c r="P46" s="262"/>
      <c r="S46" s="3" t="str">
        <f t="shared" si="0"/>
        <v>Hide</v>
      </c>
      <c r="T46" s="88"/>
    </row>
    <row r="47" spans="2:20" s="70" customFormat="1" ht="18" hidden="1" customHeight="1">
      <c r="B47" s="959"/>
      <c r="C47" s="67"/>
      <c r="D47" s="74"/>
      <c r="E47" s="74"/>
      <c r="F47" s="74"/>
      <c r="G47" s="74"/>
      <c r="H47" s="74"/>
      <c r="I47" s="214"/>
      <c r="J47" s="261"/>
      <c r="K47" s="261"/>
      <c r="L47" s="261"/>
      <c r="M47" s="261"/>
      <c r="N47" s="261"/>
      <c r="O47" s="263"/>
      <c r="P47" s="264"/>
      <c r="S47" s="3" t="str">
        <f t="shared" si="0"/>
        <v>Hide</v>
      </c>
      <c r="T47" s="88"/>
    </row>
    <row r="48" spans="2:20" s="70" customFormat="1" ht="21" customHeight="1">
      <c r="B48" s="959"/>
      <c r="C48" s="964" t="s">
        <v>99</v>
      </c>
      <c r="D48" s="949"/>
      <c r="E48" s="949"/>
      <c r="F48" s="949"/>
      <c r="G48" s="949"/>
      <c r="H48" s="949"/>
      <c r="I48" s="949"/>
      <c r="J48" s="949"/>
      <c r="K48" s="949"/>
      <c r="L48" s="949"/>
      <c r="M48" s="949"/>
      <c r="N48" s="949"/>
      <c r="O48" s="949"/>
      <c r="P48" s="965"/>
      <c r="S48" s="3" t="s">
        <v>500</v>
      </c>
      <c r="T48" s="88"/>
    </row>
    <row r="49" spans="2:20" s="70" customFormat="1" ht="37.5" customHeight="1">
      <c r="B49" s="959"/>
      <c r="C49" s="952"/>
      <c r="D49" s="947"/>
      <c r="E49" s="947"/>
      <c r="F49" s="948"/>
      <c r="G49" s="26" t="s">
        <v>98</v>
      </c>
      <c r="H49" s="26" t="s">
        <v>97</v>
      </c>
      <c r="I49" s="26" t="s">
        <v>96</v>
      </c>
      <c r="J49" s="26" t="s">
        <v>95</v>
      </c>
      <c r="K49" s="26" t="s">
        <v>94</v>
      </c>
      <c r="L49" s="26" t="s">
        <v>93</v>
      </c>
      <c r="M49" s="26" t="s">
        <v>92</v>
      </c>
      <c r="N49" s="26" t="s">
        <v>91</v>
      </c>
      <c r="O49" s="955" t="s">
        <v>1</v>
      </c>
      <c r="P49" s="262"/>
      <c r="S49" s="3" t="s">
        <v>500</v>
      </c>
      <c r="T49" s="88"/>
    </row>
    <row r="50" spans="2:20" s="70" customFormat="1" ht="28.35" customHeight="1">
      <c r="B50" s="959"/>
      <c r="C50" s="946"/>
      <c r="D50" s="62" t="s">
        <v>60</v>
      </c>
      <c r="E50" s="62" t="s">
        <v>59</v>
      </c>
      <c r="F50" s="62" t="s">
        <v>58</v>
      </c>
      <c r="G50" s="26">
        <v>0.01</v>
      </c>
      <c r="H50" s="26">
        <v>0.01</v>
      </c>
      <c r="I50" s="26">
        <v>6.0000000000000001E-3</v>
      </c>
      <c r="J50" s="26">
        <v>2E-3</v>
      </c>
      <c r="K50" s="26">
        <v>7.0000000000000007E-2</v>
      </c>
      <c r="L50" s="72">
        <v>1</v>
      </c>
      <c r="M50" s="73">
        <v>5.0000000000000001E-3</v>
      </c>
      <c r="N50" s="72">
        <v>0.1</v>
      </c>
      <c r="O50" s="956"/>
      <c r="P50" s="262"/>
      <c r="S50" s="3" t="s">
        <v>500</v>
      </c>
      <c r="T50" s="88"/>
    </row>
    <row r="51" spans="2:20" s="70" customFormat="1" ht="18" customHeight="1">
      <c r="B51" s="959"/>
      <c r="C51" s="67">
        <v>1</v>
      </c>
      <c r="D51" s="74" t="s">
        <v>543</v>
      </c>
      <c r="E51" s="74" t="s">
        <v>544</v>
      </c>
      <c r="F51" s="74" t="s">
        <v>545</v>
      </c>
      <c r="G51" s="61" t="s">
        <v>722</v>
      </c>
      <c r="H51" s="717">
        <v>1.4E-3</v>
      </c>
      <c r="I51" s="718">
        <v>2.9E-4</v>
      </c>
      <c r="J51" s="61" t="s">
        <v>723</v>
      </c>
      <c r="K51" s="717">
        <v>8.9999999999999998E-4</v>
      </c>
      <c r="L51" s="717">
        <v>1.6000000000000001E-3</v>
      </c>
      <c r="M51" s="61" t="s">
        <v>724</v>
      </c>
      <c r="N51" s="61" t="s">
        <v>725</v>
      </c>
      <c r="O51" s="265" t="s">
        <v>1456</v>
      </c>
      <c r="P51" s="262"/>
      <c r="S51" s="3" t="str">
        <f>IF(C51&lt;&gt;"","Show","Hide")</f>
        <v>Show</v>
      </c>
      <c r="T51" s="88"/>
    </row>
    <row r="52" spans="2:20" s="70" customFormat="1" ht="18" customHeight="1">
      <c r="B52" s="959"/>
      <c r="C52" s="67">
        <v>2</v>
      </c>
      <c r="D52" s="74" t="s">
        <v>547</v>
      </c>
      <c r="E52" s="74" t="s">
        <v>548</v>
      </c>
      <c r="F52" s="74" t="s">
        <v>549</v>
      </c>
      <c r="G52" s="231" t="s">
        <v>722</v>
      </c>
      <c r="H52" s="719">
        <v>1.4E-3</v>
      </c>
      <c r="I52" s="231" t="s">
        <v>724</v>
      </c>
      <c r="J52" s="231" t="s">
        <v>723</v>
      </c>
      <c r="K52" s="231" t="s">
        <v>722</v>
      </c>
      <c r="L52" s="231" t="s">
        <v>725</v>
      </c>
      <c r="M52" s="231" t="s">
        <v>724</v>
      </c>
      <c r="N52" s="231" t="s">
        <v>725</v>
      </c>
      <c r="O52" s="265" t="s">
        <v>1456</v>
      </c>
      <c r="P52" s="262"/>
      <c r="S52" s="3" t="str">
        <f t="shared" ref="S52:S90" si="1">IF(C52&lt;&gt;"","Show","Hide")</f>
        <v>Show</v>
      </c>
      <c r="T52" s="88"/>
    </row>
    <row r="53" spans="2:20" s="70" customFormat="1" ht="18" hidden="1" customHeight="1">
      <c r="B53" s="959"/>
      <c r="C53" s="67"/>
      <c r="D53" s="74"/>
      <c r="E53" s="74"/>
      <c r="F53" s="74"/>
      <c r="G53" s="231"/>
      <c r="H53" s="266" t="s">
        <v>71</v>
      </c>
      <c r="I53" s="266" t="s">
        <v>71</v>
      </c>
      <c r="J53" s="266" t="s">
        <v>71</v>
      </c>
      <c r="K53" s="266" t="s">
        <v>71</v>
      </c>
      <c r="L53" s="266" t="s">
        <v>71</v>
      </c>
      <c r="M53" s="266" t="s">
        <v>71</v>
      </c>
      <c r="N53" s="266" t="s">
        <v>71</v>
      </c>
      <c r="O53" s="265" t="s">
        <v>1456</v>
      </c>
      <c r="P53" s="262"/>
      <c r="S53" s="3" t="str">
        <f t="shared" si="1"/>
        <v>Hide</v>
      </c>
      <c r="T53" s="88"/>
    </row>
    <row r="54" spans="2:20" s="70" customFormat="1" ht="18" hidden="1" customHeight="1">
      <c r="B54" s="959"/>
      <c r="C54" s="67"/>
      <c r="D54" s="74"/>
      <c r="E54" s="74"/>
      <c r="F54" s="74"/>
      <c r="G54" s="231"/>
      <c r="H54" s="266" t="s">
        <v>71</v>
      </c>
      <c r="I54" s="266" t="s">
        <v>71</v>
      </c>
      <c r="J54" s="266" t="s">
        <v>71</v>
      </c>
      <c r="K54" s="266" t="s">
        <v>71</v>
      </c>
      <c r="L54" s="266" t="s">
        <v>71</v>
      </c>
      <c r="M54" s="266" t="s">
        <v>71</v>
      </c>
      <c r="N54" s="266" t="s">
        <v>71</v>
      </c>
      <c r="O54" s="265" t="s">
        <v>1456</v>
      </c>
      <c r="P54" s="262"/>
      <c r="S54" s="3" t="str">
        <f t="shared" si="1"/>
        <v>Hide</v>
      </c>
      <c r="T54" s="88"/>
    </row>
    <row r="55" spans="2:20" s="70" customFormat="1" ht="18" customHeight="1">
      <c r="B55" s="959"/>
      <c r="C55" s="67">
        <v>3</v>
      </c>
      <c r="D55" s="74" t="s">
        <v>550</v>
      </c>
      <c r="E55" s="74" t="s">
        <v>551</v>
      </c>
      <c r="F55" s="74" t="s">
        <v>545</v>
      </c>
      <c r="G55" s="719">
        <v>5.9999999999999995E-4</v>
      </c>
      <c r="H55" s="719">
        <v>1.2999999999999999E-3</v>
      </c>
      <c r="I55" s="231" t="s">
        <v>724</v>
      </c>
      <c r="J55" s="231" t="s">
        <v>723</v>
      </c>
      <c r="K55" s="719">
        <v>8.9999999999999998E-4</v>
      </c>
      <c r="L55" s="719">
        <v>1.6000000000000001E-3</v>
      </c>
      <c r="M55" s="231" t="s">
        <v>724</v>
      </c>
      <c r="N55" s="231" t="s">
        <v>725</v>
      </c>
      <c r="O55" s="265" t="s">
        <v>1456</v>
      </c>
      <c r="P55" s="262"/>
      <c r="S55" s="3" t="str">
        <f t="shared" si="1"/>
        <v>Show</v>
      </c>
      <c r="T55" s="88"/>
    </row>
    <row r="56" spans="2:20" s="70" customFormat="1" ht="18" customHeight="1">
      <c r="B56" s="959"/>
      <c r="C56" s="67">
        <v>4</v>
      </c>
      <c r="D56" s="74" t="s">
        <v>552</v>
      </c>
      <c r="E56" s="74" t="s">
        <v>551</v>
      </c>
      <c r="F56" s="74" t="s">
        <v>545</v>
      </c>
      <c r="G56" s="719">
        <v>8.0000000000000004E-4</v>
      </c>
      <c r="H56" s="719">
        <v>1.1000000000000001E-3</v>
      </c>
      <c r="I56" s="231" t="s">
        <v>724</v>
      </c>
      <c r="J56" s="231" t="s">
        <v>723</v>
      </c>
      <c r="K56" s="719">
        <v>1.4E-3</v>
      </c>
      <c r="L56" s="719" t="s">
        <v>725</v>
      </c>
      <c r="M56" s="231" t="s">
        <v>724</v>
      </c>
      <c r="N56" s="231" t="s">
        <v>725</v>
      </c>
      <c r="O56" s="265" t="s">
        <v>1456</v>
      </c>
      <c r="P56" s="262"/>
      <c r="S56" s="3" t="str">
        <f t="shared" si="1"/>
        <v>Show</v>
      </c>
      <c r="T56" s="88"/>
    </row>
    <row r="57" spans="2:20" s="70" customFormat="1" ht="18" hidden="1" customHeight="1">
      <c r="B57" s="959"/>
      <c r="C57" s="67"/>
      <c r="D57" s="74"/>
      <c r="E57" s="74"/>
      <c r="F57" s="74"/>
      <c r="G57" s="231"/>
      <c r="H57" s="266" t="s">
        <v>71</v>
      </c>
      <c r="I57" s="266" t="s">
        <v>71</v>
      </c>
      <c r="J57" s="266" t="s">
        <v>71</v>
      </c>
      <c r="K57" s="266" t="s">
        <v>71</v>
      </c>
      <c r="L57" s="266" t="s">
        <v>71</v>
      </c>
      <c r="M57" s="266" t="s">
        <v>71</v>
      </c>
      <c r="N57" s="266" t="s">
        <v>71</v>
      </c>
      <c r="O57" s="265"/>
      <c r="P57" s="262"/>
      <c r="S57" s="3" t="str">
        <f t="shared" si="1"/>
        <v>Hide</v>
      </c>
      <c r="T57" s="88"/>
    </row>
    <row r="58" spans="2:20" s="70" customFormat="1" ht="18" hidden="1" customHeight="1">
      <c r="B58" s="959"/>
      <c r="C58" s="67"/>
      <c r="D58" s="74"/>
      <c r="E58" s="74"/>
      <c r="F58" s="74"/>
      <c r="G58" s="231"/>
      <c r="H58" s="266" t="s">
        <v>71</v>
      </c>
      <c r="I58" s="266" t="s">
        <v>71</v>
      </c>
      <c r="J58" s="266" t="s">
        <v>71</v>
      </c>
      <c r="K58" s="266" t="s">
        <v>71</v>
      </c>
      <c r="L58" s="266" t="s">
        <v>71</v>
      </c>
      <c r="M58" s="266" t="s">
        <v>71</v>
      </c>
      <c r="N58" s="266" t="s">
        <v>71</v>
      </c>
      <c r="O58" s="265"/>
      <c r="P58" s="262"/>
      <c r="S58" s="3" t="str">
        <f t="shared" si="1"/>
        <v>Hide</v>
      </c>
      <c r="T58" s="88"/>
    </row>
    <row r="59" spans="2:20" s="70" customFormat="1" ht="18" hidden="1" customHeight="1">
      <c r="B59" s="959"/>
      <c r="C59" s="67"/>
      <c r="D59" s="74"/>
      <c r="E59" s="74"/>
      <c r="F59" s="74"/>
      <c r="G59" s="231"/>
      <c r="H59" s="231"/>
      <c r="I59" s="231"/>
      <c r="J59" s="231"/>
      <c r="K59" s="231"/>
      <c r="L59" s="231"/>
      <c r="M59" s="231"/>
      <c r="N59" s="231"/>
      <c r="O59" s="265"/>
      <c r="P59" s="262"/>
      <c r="S59" s="3" t="str">
        <f t="shared" si="1"/>
        <v>Hide</v>
      </c>
      <c r="T59" s="88"/>
    </row>
    <row r="60" spans="2:20" s="70" customFormat="1" ht="18" hidden="1" customHeight="1">
      <c r="B60" s="959"/>
      <c r="C60" s="67"/>
      <c r="D60" s="74"/>
      <c r="E60" s="74"/>
      <c r="F60" s="74"/>
      <c r="G60" s="231"/>
      <c r="H60" s="231"/>
      <c r="I60" s="231"/>
      <c r="J60" s="231"/>
      <c r="K60" s="231"/>
      <c r="L60" s="231"/>
      <c r="M60" s="231"/>
      <c r="N60" s="231"/>
      <c r="O60" s="265"/>
      <c r="P60" s="262"/>
      <c r="S60" s="3" t="str">
        <f t="shared" si="1"/>
        <v>Hide</v>
      </c>
      <c r="T60" s="88"/>
    </row>
    <row r="61" spans="2:20" s="70" customFormat="1" ht="18" hidden="1" customHeight="1">
      <c r="B61" s="959"/>
      <c r="C61" s="67"/>
      <c r="D61" s="74"/>
      <c r="E61" s="74"/>
      <c r="F61" s="74"/>
      <c r="G61" s="231"/>
      <c r="H61" s="266" t="s">
        <v>71</v>
      </c>
      <c r="I61" s="266" t="s">
        <v>71</v>
      </c>
      <c r="J61" s="266" t="s">
        <v>71</v>
      </c>
      <c r="K61" s="266" t="s">
        <v>71</v>
      </c>
      <c r="L61" s="266" t="s">
        <v>71</v>
      </c>
      <c r="M61" s="266" t="s">
        <v>71</v>
      </c>
      <c r="N61" s="266" t="s">
        <v>71</v>
      </c>
      <c r="O61" s="265"/>
      <c r="P61" s="262"/>
      <c r="S61" s="3" t="str">
        <f t="shared" si="1"/>
        <v>Hide</v>
      </c>
      <c r="T61" s="88"/>
    </row>
    <row r="62" spans="2:20" s="70" customFormat="1" ht="18" hidden="1" customHeight="1">
      <c r="B62" s="959"/>
      <c r="C62" s="67"/>
      <c r="D62" s="74"/>
      <c r="E62" s="74"/>
      <c r="F62" s="74"/>
      <c r="G62" s="231"/>
      <c r="H62" s="266" t="s">
        <v>71</v>
      </c>
      <c r="I62" s="266" t="s">
        <v>71</v>
      </c>
      <c r="J62" s="266" t="s">
        <v>71</v>
      </c>
      <c r="K62" s="266" t="s">
        <v>71</v>
      </c>
      <c r="L62" s="266" t="s">
        <v>71</v>
      </c>
      <c r="M62" s="266" t="s">
        <v>71</v>
      </c>
      <c r="N62" s="266" t="s">
        <v>71</v>
      </c>
      <c r="O62" s="265"/>
      <c r="P62" s="262"/>
      <c r="S62" s="3" t="str">
        <f t="shared" si="1"/>
        <v>Hide</v>
      </c>
      <c r="T62" s="88"/>
    </row>
    <row r="63" spans="2:20" s="70" customFormat="1" ht="18" hidden="1" customHeight="1">
      <c r="B63" s="959"/>
      <c r="C63" s="67"/>
      <c r="D63" s="74"/>
      <c r="E63" s="74"/>
      <c r="F63" s="74"/>
      <c r="G63" s="231"/>
      <c r="H63" s="231"/>
      <c r="I63" s="231"/>
      <c r="J63" s="231"/>
      <c r="K63" s="231"/>
      <c r="L63" s="231"/>
      <c r="M63" s="231"/>
      <c r="N63" s="231"/>
      <c r="O63" s="265"/>
      <c r="P63" s="262"/>
      <c r="S63" s="3" t="str">
        <f t="shared" si="1"/>
        <v>Hide</v>
      </c>
      <c r="T63" s="88"/>
    </row>
    <row r="64" spans="2:20" s="70" customFormat="1" ht="18" hidden="1" customHeight="1">
      <c r="B64" s="959"/>
      <c r="C64" s="67"/>
      <c r="D64" s="74"/>
      <c r="E64" s="74"/>
      <c r="F64" s="74"/>
      <c r="G64" s="231"/>
      <c r="H64" s="231"/>
      <c r="I64" s="231"/>
      <c r="J64" s="231"/>
      <c r="K64" s="231"/>
      <c r="L64" s="231"/>
      <c r="M64" s="231"/>
      <c r="N64" s="231"/>
      <c r="O64" s="265"/>
      <c r="P64" s="262"/>
      <c r="S64" s="3" t="str">
        <f t="shared" si="1"/>
        <v>Hide</v>
      </c>
      <c r="T64" s="88"/>
    </row>
    <row r="65" spans="2:20" s="70" customFormat="1" ht="18" hidden="1" customHeight="1">
      <c r="B65" s="959"/>
      <c r="C65" s="67"/>
      <c r="D65" s="74"/>
      <c r="E65" s="74"/>
      <c r="F65" s="74"/>
      <c r="G65" s="231"/>
      <c r="H65" s="266" t="s">
        <v>71</v>
      </c>
      <c r="I65" s="266" t="s">
        <v>71</v>
      </c>
      <c r="J65" s="266" t="s">
        <v>71</v>
      </c>
      <c r="K65" s="266" t="s">
        <v>71</v>
      </c>
      <c r="L65" s="266" t="s">
        <v>71</v>
      </c>
      <c r="M65" s="266" t="s">
        <v>71</v>
      </c>
      <c r="N65" s="266" t="s">
        <v>71</v>
      </c>
      <c r="O65" s="265"/>
      <c r="P65" s="262"/>
      <c r="S65" s="3" t="str">
        <f t="shared" si="1"/>
        <v>Hide</v>
      </c>
      <c r="T65" s="88"/>
    </row>
    <row r="66" spans="2:20" s="70" customFormat="1" ht="18" hidden="1" customHeight="1">
      <c r="B66" s="959"/>
      <c r="C66" s="67"/>
      <c r="D66" s="74"/>
      <c r="E66" s="74"/>
      <c r="F66" s="74"/>
      <c r="G66" s="231"/>
      <c r="H66" s="266" t="s">
        <v>71</v>
      </c>
      <c r="I66" s="266" t="s">
        <v>71</v>
      </c>
      <c r="J66" s="266" t="s">
        <v>71</v>
      </c>
      <c r="K66" s="266" t="s">
        <v>71</v>
      </c>
      <c r="L66" s="266" t="s">
        <v>71</v>
      </c>
      <c r="M66" s="266" t="s">
        <v>71</v>
      </c>
      <c r="N66" s="266" t="s">
        <v>71</v>
      </c>
      <c r="O66" s="265"/>
      <c r="P66" s="262"/>
      <c r="S66" s="3" t="str">
        <f t="shared" si="1"/>
        <v>Hide</v>
      </c>
      <c r="T66" s="88"/>
    </row>
    <row r="67" spans="2:20" s="70" customFormat="1" ht="18" hidden="1" customHeight="1">
      <c r="B67" s="959"/>
      <c r="C67" s="67"/>
      <c r="D67" s="74"/>
      <c r="E67" s="74"/>
      <c r="F67" s="74"/>
      <c r="G67" s="231"/>
      <c r="H67" s="231"/>
      <c r="I67" s="231"/>
      <c r="J67" s="231"/>
      <c r="K67" s="231"/>
      <c r="L67" s="231"/>
      <c r="M67" s="231"/>
      <c r="N67" s="231"/>
      <c r="O67" s="265"/>
      <c r="P67" s="262"/>
      <c r="S67" s="3" t="str">
        <f t="shared" si="1"/>
        <v>Hide</v>
      </c>
      <c r="T67" s="88"/>
    </row>
    <row r="68" spans="2:20" s="70" customFormat="1" ht="18" hidden="1" customHeight="1">
      <c r="B68" s="959"/>
      <c r="C68" s="67"/>
      <c r="D68" s="74"/>
      <c r="E68" s="74"/>
      <c r="F68" s="74"/>
      <c r="G68" s="231"/>
      <c r="H68" s="231"/>
      <c r="I68" s="231"/>
      <c r="J68" s="231"/>
      <c r="K68" s="231"/>
      <c r="L68" s="231"/>
      <c r="M68" s="231"/>
      <c r="N68" s="231"/>
      <c r="O68" s="265"/>
      <c r="P68" s="262"/>
      <c r="S68" s="3" t="str">
        <f t="shared" si="1"/>
        <v>Hide</v>
      </c>
      <c r="T68" s="88"/>
    </row>
    <row r="69" spans="2:20" s="70" customFormat="1" ht="18" hidden="1" customHeight="1">
      <c r="B69" s="959"/>
      <c r="C69" s="67"/>
      <c r="D69" s="74"/>
      <c r="E69" s="74"/>
      <c r="F69" s="74"/>
      <c r="G69" s="231"/>
      <c r="H69" s="266" t="s">
        <v>71</v>
      </c>
      <c r="I69" s="266" t="s">
        <v>71</v>
      </c>
      <c r="J69" s="266" t="s">
        <v>71</v>
      </c>
      <c r="K69" s="266" t="s">
        <v>71</v>
      </c>
      <c r="L69" s="266" t="s">
        <v>71</v>
      </c>
      <c r="M69" s="266" t="s">
        <v>71</v>
      </c>
      <c r="N69" s="266" t="s">
        <v>71</v>
      </c>
      <c r="O69" s="265"/>
      <c r="P69" s="262"/>
      <c r="S69" s="3" t="str">
        <f t="shared" si="1"/>
        <v>Hide</v>
      </c>
      <c r="T69" s="88"/>
    </row>
    <row r="70" spans="2:20" s="70" customFormat="1" ht="18" hidden="1" customHeight="1">
      <c r="B70" s="959"/>
      <c r="C70" s="67"/>
      <c r="D70" s="74"/>
      <c r="E70" s="74"/>
      <c r="F70" s="74"/>
      <c r="G70" s="231"/>
      <c r="H70" s="266" t="s">
        <v>71</v>
      </c>
      <c r="I70" s="266" t="s">
        <v>71</v>
      </c>
      <c r="J70" s="266" t="s">
        <v>71</v>
      </c>
      <c r="K70" s="266" t="s">
        <v>71</v>
      </c>
      <c r="L70" s="266" t="s">
        <v>71</v>
      </c>
      <c r="M70" s="266" t="s">
        <v>71</v>
      </c>
      <c r="N70" s="266" t="s">
        <v>71</v>
      </c>
      <c r="O70" s="265"/>
      <c r="P70" s="262"/>
      <c r="S70" s="3" t="str">
        <f t="shared" si="1"/>
        <v>Hide</v>
      </c>
      <c r="T70" s="88"/>
    </row>
    <row r="71" spans="2:20" s="70" customFormat="1" ht="18" hidden="1" customHeight="1">
      <c r="B71" s="959"/>
      <c r="C71" s="67"/>
      <c r="D71" s="74"/>
      <c r="E71" s="74"/>
      <c r="F71" s="74"/>
      <c r="G71" s="231"/>
      <c r="H71" s="231"/>
      <c r="I71" s="231"/>
      <c r="J71" s="231"/>
      <c r="K71" s="231"/>
      <c r="L71" s="231"/>
      <c r="M71" s="231"/>
      <c r="N71" s="231"/>
      <c r="O71" s="265"/>
      <c r="P71" s="262"/>
      <c r="S71" s="3" t="str">
        <f t="shared" si="1"/>
        <v>Hide</v>
      </c>
      <c r="T71" s="88"/>
    </row>
    <row r="72" spans="2:20" s="70" customFormat="1" ht="18" hidden="1" customHeight="1">
      <c r="B72" s="959"/>
      <c r="C72" s="67"/>
      <c r="D72" s="74"/>
      <c r="E72" s="74"/>
      <c r="F72" s="74"/>
      <c r="G72" s="231"/>
      <c r="H72" s="231"/>
      <c r="I72" s="231"/>
      <c r="J72" s="231"/>
      <c r="K72" s="231"/>
      <c r="L72" s="231"/>
      <c r="M72" s="231"/>
      <c r="N72" s="231"/>
      <c r="O72" s="265"/>
      <c r="P72" s="262"/>
      <c r="S72" s="3" t="str">
        <f t="shared" si="1"/>
        <v>Hide</v>
      </c>
      <c r="T72" s="88"/>
    </row>
    <row r="73" spans="2:20" s="70" customFormat="1" ht="18" hidden="1" customHeight="1">
      <c r="B73" s="959"/>
      <c r="C73" s="67"/>
      <c r="D73" s="74"/>
      <c r="E73" s="74"/>
      <c r="F73" s="74"/>
      <c r="G73" s="231"/>
      <c r="H73" s="266" t="s">
        <v>71</v>
      </c>
      <c r="I73" s="266" t="s">
        <v>71</v>
      </c>
      <c r="J73" s="266" t="s">
        <v>71</v>
      </c>
      <c r="K73" s="266" t="s">
        <v>71</v>
      </c>
      <c r="L73" s="266" t="s">
        <v>71</v>
      </c>
      <c r="M73" s="266" t="s">
        <v>71</v>
      </c>
      <c r="N73" s="266" t="s">
        <v>71</v>
      </c>
      <c r="O73" s="265"/>
      <c r="P73" s="262"/>
      <c r="S73" s="3" t="str">
        <f t="shared" si="1"/>
        <v>Hide</v>
      </c>
      <c r="T73" s="88"/>
    </row>
    <row r="74" spans="2:20" s="70" customFormat="1" ht="18" hidden="1" customHeight="1">
      <c r="B74" s="959"/>
      <c r="C74" s="67"/>
      <c r="D74" s="74"/>
      <c r="E74" s="74"/>
      <c r="F74" s="74"/>
      <c r="G74" s="231"/>
      <c r="H74" s="266" t="s">
        <v>71</v>
      </c>
      <c r="I74" s="266" t="s">
        <v>71</v>
      </c>
      <c r="J74" s="266" t="s">
        <v>71</v>
      </c>
      <c r="K74" s="266" t="s">
        <v>71</v>
      </c>
      <c r="L74" s="266" t="s">
        <v>71</v>
      </c>
      <c r="M74" s="266" t="s">
        <v>71</v>
      </c>
      <c r="N74" s="266" t="s">
        <v>71</v>
      </c>
      <c r="O74" s="265"/>
      <c r="P74" s="262"/>
      <c r="S74" s="3" t="str">
        <f t="shared" si="1"/>
        <v>Hide</v>
      </c>
      <c r="T74" s="88"/>
    </row>
    <row r="75" spans="2:20" s="70" customFormat="1" ht="18" hidden="1" customHeight="1">
      <c r="B75" s="959"/>
      <c r="C75" s="67"/>
      <c r="D75" s="74"/>
      <c r="E75" s="74"/>
      <c r="F75" s="74"/>
      <c r="G75" s="231"/>
      <c r="H75" s="231"/>
      <c r="I75" s="231"/>
      <c r="J75" s="231"/>
      <c r="K75" s="231"/>
      <c r="L75" s="231"/>
      <c r="M75" s="231"/>
      <c r="N75" s="231"/>
      <c r="O75" s="265"/>
      <c r="P75" s="262"/>
      <c r="S75" s="3" t="str">
        <f t="shared" si="1"/>
        <v>Hide</v>
      </c>
      <c r="T75" s="88"/>
    </row>
    <row r="76" spans="2:20" s="70" customFormat="1" ht="18" hidden="1" customHeight="1">
      <c r="B76" s="959"/>
      <c r="C76" s="67"/>
      <c r="D76" s="74"/>
      <c r="E76" s="74"/>
      <c r="F76" s="74"/>
      <c r="G76" s="231"/>
      <c r="H76" s="231"/>
      <c r="I76" s="231"/>
      <c r="J76" s="231"/>
      <c r="K76" s="231"/>
      <c r="L76" s="231"/>
      <c r="M76" s="231"/>
      <c r="N76" s="231"/>
      <c r="O76" s="265"/>
      <c r="P76" s="262"/>
      <c r="S76" s="3" t="str">
        <f t="shared" si="1"/>
        <v>Hide</v>
      </c>
      <c r="T76" s="88"/>
    </row>
    <row r="77" spans="2:20" s="70" customFormat="1" ht="18" hidden="1" customHeight="1">
      <c r="B77" s="959"/>
      <c r="C77" s="67"/>
      <c r="D77" s="74"/>
      <c r="E77" s="74"/>
      <c r="F77" s="74"/>
      <c r="G77" s="231"/>
      <c r="H77" s="266" t="s">
        <v>71</v>
      </c>
      <c r="I77" s="266" t="s">
        <v>71</v>
      </c>
      <c r="J77" s="266" t="s">
        <v>71</v>
      </c>
      <c r="K77" s="266" t="s">
        <v>71</v>
      </c>
      <c r="L77" s="266" t="s">
        <v>71</v>
      </c>
      <c r="M77" s="266" t="s">
        <v>71</v>
      </c>
      <c r="N77" s="266" t="s">
        <v>71</v>
      </c>
      <c r="O77" s="265"/>
      <c r="P77" s="262"/>
      <c r="S77" s="3" t="str">
        <f t="shared" si="1"/>
        <v>Hide</v>
      </c>
      <c r="T77" s="88"/>
    </row>
    <row r="78" spans="2:20" s="70" customFormat="1" ht="18" hidden="1" customHeight="1">
      <c r="B78" s="959"/>
      <c r="C78" s="67"/>
      <c r="D78" s="74"/>
      <c r="E78" s="74"/>
      <c r="F78" s="74"/>
      <c r="G78" s="231"/>
      <c r="H78" s="266" t="s">
        <v>71</v>
      </c>
      <c r="I78" s="266" t="s">
        <v>71</v>
      </c>
      <c r="J78" s="266" t="s">
        <v>71</v>
      </c>
      <c r="K78" s="266" t="s">
        <v>71</v>
      </c>
      <c r="L78" s="266" t="s">
        <v>71</v>
      </c>
      <c r="M78" s="266" t="s">
        <v>71</v>
      </c>
      <c r="N78" s="266" t="s">
        <v>71</v>
      </c>
      <c r="O78" s="265"/>
      <c r="P78" s="262"/>
      <c r="S78" s="3" t="str">
        <f t="shared" si="1"/>
        <v>Hide</v>
      </c>
      <c r="T78" s="88"/>
    </row>
    <row r="79" spans="2:20" s="70" customFormat="1" ht="18" hidden="1" customHeight="1">
      <c r="B79" s="959"/>
      <c r="C79" s="67"/>
      <c r="D79" s="74"/>
      <c r="E79" s="74"/>
      <c r="F79" s="74"/>
      <c r="G79" s="231"/>
      <c r="H79" s="231"/>
      <c r="I79" s="231"/>
      <c r="J79" s="231"/>
      <c r="K79" s="231"/>
      <c r="L79" s="231"/>
      <c r="M79" s="231"/>
      <c r="N79" s="231"/>
      <c r="O79" s="265"/>
      <c r="P79" s="262"/>
      <c r="S79" s="3" t="str">
        <f t="shared" si="1"/>
        <v>Hide</v>
      </c>
      <c r="T79" s="88"/>
    </row>
    <row r="80" spans="2:20" s="70" customFormat="1" ht="18" hidden="1" customHeight="1">
      <c r="B80" s="959"/>
      <c r="C80" s="67"/>
      <c r="D80" s="74"/>
      <c r="E80" s="74"/>
      <c r="F80" s="74"/>
      <c r="G80" s="231"/>
      <c r="H80" s="231"/>
      <c r="I80" s="231"/>
      <c r="J80" s="231"/>
      <c r="K80" s="231"/>
      <c r="L80" s="231"/>
      <c r="M80" s="231"/>
      <c r="N80" s="231"/>
      <c r="O80" s="265"/>
      <c r="P80" s="262"/>
      <c r="S80" s="3" t="str">
        <f t="shared" si="1"/>
        <v>Hide</v>
      </c>
      <c r="T80" s="88"/>
    </row>
    <row r="81" spans="2:20" s="70" customFormat="1" ht="18" hidden="1" customHeight="1">
      <c r="B81" s="959"/>
      <c r="C81" s="67"/>
      <c r="D81" s="74"/>
      <c r="E81" s="74"/>
      <c r="F81" s="74"/>
      <c r="G81" s="231"/>
      <c r="H81" s="266" t="s">
        <v>71</v>
      </c>
      <c r="I81" s="266" t="s">
        <v>71</v>
      </c>
      <c r="J81" s="266" t="s">
        <v>71</v>
      </c>
      <c r="K81" s="266" t="s">
        <v>71</v>
      </c>
      <c r="L81" s="266" t="s">
        <v>71</v>
      </c>
      <c r="M81" s="266" t="s">
        <v>71</v>
      </c>
      <c r="N81" s="266" t="s">
        <v>71</v>
      </c>
      <c r="O81" s="265"/>
      <c r="P81" s="262"/>
      <c r="S81" s="3" t="str">
        <f t="shared" si="1"/>
        <v>Hide</v>
      </c>
      <c r="T81" s="88"/>
    </row>
    <row r="82" spans="2:20" s="70" customFormat="1" ht="18" hidden="1" customHeight="1">
      <c r="B82" s="959"/>
      <c r="C82" s="67"/>
      <c r="D82" s="74"/>
      <c r="E82" s="74"/>
      <c r="F82" s="74"/>
      <c r="G82" s="231"/>
      <c r="H82" s="266" t="s">
        <v>71</v>
      </c>
      <c r="I82" s="266" t="s">
        <v>71</v>
      </c>
      <c r="J82" s="266" t="s">
        <v>71</v>
      </c>
      <c r="K82" s="266" t="s">
        <v>71</v>
      </c>
      <c r="L82" s="266" t="s">
        <v>71</v>
      </c>
      <c r="M82" s="266" t="s">
        <v>71</v>
      </c>
      <c r="N82" s="266" t="s">
        <v>71</v>
      </c>
      <c r="O82" s="265"/>
      <c r="P82" s="262"/>
      <c r="S82" s="3" t="str">
        <f t="shared" si="1"/>
        <v>Hide</v>
      </c>
      <c r="T82" s="88"/>
    </row>
    <row r="83" spans="2:20" s="70" customFormat="1" ht="18" hidden="1" customHeight="1">
      <c r="B83" s="959"/>
      <c r="C83" s="67"/>
      <c r="D83" s="74"/>
      <c r="E83" s="74"/>
      <c r="F83" s="74"/>
      <c r="G83" s="231"/>
      <c r="H83" s="231"/>
      <c r="I83" s="231"/>
      <c r="J83" s="231"/>
      <c r="K83" s="231"/>
      <c r="L83" s="231"/>
      <c r="M83" s="231"/>
      <c r="N83" s="231"/>
      <c r="O83" s="265"/>
      <c r="P83" s="262"/>
      <c r="S83" s="3" t="str">
        <f t="shared" si="1"/>
        <v>Hide</v>
      </c>
      <c r="T83" s="88"/>
    </row>
    <row r="84" spans="2:20" s="70" customFormat="1" ht="18" hidden="1" customHeight="1">
      <c r="B84" s="959"/>
      <c r="C84" s="67"/>
      <c r="D84" s="74"/>
      <c r="E84" s="74"/>
      <c r="F84" s="74"/>
      <c r="G84" s="231"/>
      <c r="H84" s="231"/>
      <c r="I84" s="231"/>
      <c r="J84" s="231"/>
      <c r="K84" s="231"/>
      <c r="L84" s="231"/>
      <c r="M84" s="231"/>
      <c r="N84" s="231"/>
      <c r="O84" s="265"/>
      <c r="P84" s="262"/>
      <c r="S84" s="3" t="str">
        <f t="shared" si="1"/>
        <v>Hide</v>
      </c>
      <c r="T84" s="88"/>
    </row>
    <row r="85" spans="2:20" s="70" customFormat="1" ht="18" hidden="1" customHeight="1">
      <c r="B85" s="959"/>
      <c r="C85" s="67"/>
      <c r="D85" s="74"/>
      <c r="E85" s="74"/>
      <c r="F85" s="74"/>
      <c r="G85" s="231"/>
      <c r="H85" s="266" t="s">
        <v>71</v>
      </c>
      <c r="I85" s="266" t="s">
        <v>71</v>
      </c>
      <c r="J85" s="266" t="s">
        <v>71</v>
      </c>
      <c r="K85" s="266" t="s">
        <v>71</v>
      </c>
      <c r="L85" s="266" t="s">
        <v>71</v>
      </c>
      <c r="M85" s="266" t="s">
        <v>71</v>
      </c>
      <c r="N85" s="266" t="s">
        <v>71</v>
      </c>
      <c r="O85" s="265"/>
      <c r="P85" s="262"/>
      <c r="S85" s="3" t="str">
        <f t="shared" si="1"/>
        <v>Hide</v>
      </c>
      <c r="T85" s="88"/>
    </row>
    <row r="86" spans="2:20" s="70" customFormat="1" ht="18" hidden="1" customHeight="1">
      <c r="B86" s="959"/>
      <c r="C86" s="67"/>
      <c r="D86" s="74"/>
      <c r="E86" s="74"/>
      <c r="F86" s="74"/>
      <c r="G86" s="231"/>
      <c r="H86" s="266" t="s">
        <v>71</v>
      </c>
      <c r="I86" s="266" t="s">
        <v>71</v>
      </c>
      <c r="J86" s="266" t="s">
        <v>71</v>
      </c>
      <c r="K86" s="266" t="s">
        <v>71</v>
      </c>
      <c r="L86" s="266" t="s">
        <v>71</v>
      </c>
      <c r="M86" s="266" t="s">
        <v>71</v>
      </c>
      <c r="N86" s="266" t="s">
        <v>71</v>
      </c>
      <c r="O86" s="265"/>
      <c r="P86" s="262"/>
      <c r="S86" s="3" t="str">
        <f t="shared" si="1"/>
        <v>Hide</v>
      </c>
      <c r="T86" s="88"/>
    </row>
    <row r="87" spans="2:20" s="70" customFormat="1" ht="18" hidden="1" customHeight="1">
      <c r="B87" s="959"/>
      <c r="C87" s="67"/>
      <c r="D87" s="74"/>
      <c r="E87" s="74"/>
      <c r="F87" s="74"/>
      <c r="G87" s="231"/>
      <c r="H87" s="231"/>
      <c r="I87" s="231"/>
      <c r="J87" s="231"/>
      <c r="K87" s="231"/>
      <c r="L87" s="231"/>
      <c r="M87" s="231"/>
      <c r="N87" s="231"/>
      <c r="O87" s="265"/>
      <c r="P87" s="262"/>
      <c r="S87" s="3" t="str">
        <f t="shared" si="1"/>
        <v>Hide</v>
      </c>
      <c r="T87" s="88"/>
    </row>
    <row r="88" spans="2:20" s="70" customFormat="1" ht="18" hidden="1" customHeight="1">
      <c r="B88" s="959"/>
      <c r="C88" s="67"/>
      <c r="D88" s="74"/>
      <c r="E88" s="74"/>
      <c r="F88" s="74"/>
      <c r="G88" s="231"/>
      <c r="H88" s="231"/>
      <c r="I88" s="231"/>
      <c r="J88" s="231"/>
      <c r="K88" s="231"/>
      <c r="L88" s="231"/>
      <c r="M88" s="231"/>
      <c r="N88" s="231"/>
      <c r="O88" s="265"/>
      <c r="P88" s="262"/>
      <c r="S88" s="3" t="str">
        <f t="shared" si="1"/>
        <v>Hide</v>
      </c>
      <c r="T88" s="88"/>
    </row>
    <row r="89" spans="2:20" s="70" customFormat="1" ht="18" hidden="1" customHeight="1">
      <c r="B89" s="959"/>
      <c r="C89" s="67"/>
      <c r="D89" s="74"/>
      <c r="E89" s="74"/>
      <c r="F89" s="74"/>
      <c r="G89" s="231"/>
      <c r="H89" s="266" t="s">
        <v>71</v>
      </c>
      <c r="I89" s="266" t="s">
        <v>71</v>
      </c>
      <c r="J89" s="266" t="s">
        <v>71</v>
      </c>
      <c r="K89" s="266" t="s">
        <v>71</v>
      </c>
      <c r="L89" s="266" t="s">
        <v>71</v>
      </c>
      <c r="M89" s="266" t="s">
        <v>71</v>
      </c>
      <c r="N89" s="266" t="s">
        <v>71</v>
      </c>
      <c r="O89" s="265"/>
      <c r="P89" s="262"/>
      <c r="S89" s="3" t="str">
        <f t="shared" si="1"/>
        <v>Hide</v>
      </c>
      <c r="T89" s="88"/>
    </row>
    <row r="90" spans="2:20" s="70" customFormat="1" ht="18" hidden="1" customHeight="1">
      <c r="B90" s="959"/>
      <c r="C90" s="67"/>
      <c r="D90" s="74"/>
      <c r="E90" s="74"/>
      <c r="F90" s="74"/>
      <c r="G90" s="231"/>
      <c r="H90" s="266" t="s">
        <v>71</v>
      </c>
      <c r="I90" s="266" t="s">
        <v>71</v>
      </c>
      <c r="J90" s="266" t="s">
        <v>71</v>
      </c>
      <c r="K90" s="266" t="s">
        <v>71</v>
      </c>
      <c r="L90" s="266" t="s">
        <v>71</v>
      </c>
      <c r="M90" s="266" t="s">
        <v>71</v>
      </c>
      <c r="N90" s="266" t="s">
        <v>71</v>
      </c>
      <c r="O90" s="265"/>
      <c r="P90" s="262"/>
      <c r="S90" s="3" t="str">
        <f t="shared" si="1"/>
        <v>Hide</v>
      </c>
      <c r="T90" s="88"/>
    </row>
    <row r="91" spans="2:20" s="70" customFormat="1" ht="21" customHeight="1">
      <c r="B91" s="959"/>
      <c r="C91" s="964" t="s">
        <v>90</v>
      </c>
      <c r="D91" s="949"/>
      <c r="E91" s="949"/>
      <c r="F91" s="949"/>
      <c r="G91" s="949"/>
      <c r="H91" s="949"/>
      <c r="I91" s="949"/>
      <c r="J91" s="949"/>
      <c r="K91" s="949"/>
      <c r="L91" s="949"/>
      <c r="M91" s="949"/>
      <c r="N91" s="949"/>
      <c r="O91" s="949"/>
      <c r="P91" s="965"/>
      <c r="S91" s="3" t="s">
        <v>500</v>
      </c>
      <c r="T91" s="88"/>
    </row>
    <row r="92" spans="2:20" s="70" customFormat="1" ht="28.8">
      <c r="B92" s="959"/>
      <c r="C92" s="952"/>
      <c r="D92" s="215"/>
      <c r="E92" s="215"/>
      <c r="F92" s="216"/>
      <c r="G92" s="26" t="s">
        <v>89</v>
      </c>
      <c r="H92" s="26" t="s">
        <v>88</v>
      </c>
      <c r="I92" s="26" t="s">
        <v>87</v>
      </c>
      <c r="J92" s="26" t="s">
        <v>86</v>
      </c>
      <c r="K92" s="26" t="s">
        <v>85</v>
      </c>
      <c r="L92" s="26" t="s">
        <v>513</v>
      </c>
      <c r="M92" s="26" t="s">
        <v>84</v>
      </c>
      <c r="N92" s="955" t="s">
        <v>1</v>
      </c>
      <c r="O92" s="267"/>
      <c r="P92" s="268"/>
      <c r="S92" s="3" t="s">
        <v>500</v>
      </c>
      <c r="T92" s="88"/>
    </row>
    <row r="93" spans="2:20" s="70" customFormat="1" ht="28.35" customHeight="1">
      <c r="B93" s="959"/>
      <c r="C93" s="946"/>
      <c r="D93" s="62" t="s">
        <v>60</v>
      </c>
      <c r="E93" s="62" t="s">
        <v>59</v>
      </c>
      <c r="F93" s="62" t="s">
        <v>58</v>
      </c>
      <c r="G93" s="26">
        <v>0.02</v>
      </c>
      <c r="H93" s="26">
        <v>5.0000000000000001E-3</v>
      </c>
      <c r="I93" s="26">
        <v>0.3</v>
      </c>
      <c r="J93" s="26">
        <v>2E-3</v>
      </c>
      <c r="K93" s="26">
        <v>0.7</v>
      </c>
      <c r="L93" s="26">
        <v>0.5</v>
      </c>
      <c r="M93" s="26">
        <v>5.0000000000000001E-3</v>
      </c>
      <c r="N93" s="956"/>
      <c r="O93" s="269"/>
      <c r="P93" s="270"/>
      <c r="S93" s="3" t="s">
        <v>500</v>
      </c>
      <c r="T93" s="88"/>
    </row>
    <row r="94" spans="2:20" s="70" customFormat="1" ht="18" customHeight="1">
      <c r="B94" s="959"/>
      <c r="C94" s="67">
        <v>1</v>
      </c>
      <c r="D94" s="74" t="s">
        <v>543</v>
      </c>
      <c r="E94" s="74" t="s">
        <v>544</v>
      </c>
      <c r="F94" s="74" t="s">
        <v>545</v>
      </c>
      <c r="G94" s="61" t="s">
        <v>724</v>
      </c>
      <c r="H94" s="61" t="s">
        <v>724</v>
      </c>
      <c r="I94" s="61" t="s">
        <v>724</v>
      </c>
      <c r="J94" s="61" t="s">
        <v>723</v>
      </c>
      <c r="K94" s="61" t="s">
        <v>724</v>
      </c>
      <c r="L94" s="61" t="s">
        <v>726</v>
      </c>
      <c r="M94" s="61" t="s">
        <v>723</v>
      </c>
      <c r="N94" s="271" t="s">
        <v>1456</v>
      </c>
      <c r="O94" s="269"/>
      <c r="P94" s="270"/>
      <c r="S94" s="3" t="str">
        <f t="shared" ref="S94:S113" si="2">IF(C94&lt;&gt;"","Show","Hide")</f>
        <v>Show</v>
      </c>
      <c r="T94" s="88"/>
    </row>
    <row r="95" spans="2:20" s="70" customFormat="1" ht="18" customHeight="1">
      <c r="B95" s="959"/>
      <c r="C95" s="67">
        <v>2</v>
      </c>
      <c r="D95" s="74" t="s">
        <v>547</v>
      </c>
      <c r="E95" s="74" t="s">
        <v>548</v>
      </c>
      <c r="F95" s="74" t="s">
        <v>549</v>
      </c>
      <c r="G95" s="87" t="s">
        <v>724</v>
      </c>
      <c r="H95" s="87" t="s">
        <v>724</v>
      </c>
      <c r="I95" s="87" t="s">
        <v>724</v>
      </c>
      <c r="J95" s="87" t="s">
        <v>723</v>
      </c>
      <c r="K95" s="87" t="s">
        <v>724</v>
      </c>
      <c r="L95" s="87" t="s">
        <v>724</v>
      </c>
      <c r="M95" s="87" t="s">
        <v>723</v>
      </c>
      <c r="N95" s="271" t="s">
        <v>1456</v>
      </c>
      <c r="O95" s="269"/>
      <c r="P95" s="270"/>
      <c r="S95" s="3" t="str">
        <f t="shared" si="2"/>
        <v>Show</v>
      </c>
      <c r="T95" s="88"/>
    </row>
    <row r="96" spans="2:20" s="70" customFormat="1" ht="18" customHeight="1">
      <c r="B96" s="959"/>
      <c r="C96" s="67">
        <v>3</v>
      </c>
      <c r="D96" s="74" t="s">
        <v>550</v>
      </c>
      <c r="E96" s="74" t="s">
        <v>551</v>
      </c>
      <c r="F96" s="74" t="s">
        <v>545</v>
      </c>
      <c r="G96" s="87" t="s">
        <v>724</v>
      </c>
      <c r="H96" s="87" t="s">
        <v>724</v>
      </c>
      <c r="I96" s="87" t="s">
        <v>724</v>
      </c>
      <c r="J96" s="87" t="s">
        <v>723</v>
      </c>
      <c r="K96" s="87" t="s">
        <v>724</v>
      </c>
      <c r="L96" s="87" t="s">
        <v>724</v>
      </c>
      <c r="M96" s="87" t="s">
        <v>723</v>
      </c>
      <c r="N96" s="271" t="s">
        <v>1456</v>
      </c>
      <c r="O96" s="269"/>
      <c r="P96" s="270"/>
      <c r="S96" s="3" t="str">
        <f t="shared" si="2"/>
        <v>Show</v>
      </c>
      <c r="T96" s="88"/>
    </row>
    <row r="97" spans="2:20" s="70" customFormat="1" ht="18" customHeight="1">
      <c r="B97" s="959"/>
      <c r="C97" s="67">
        <v>4</v>
      </c>
      <c r="D97" s="74" t="s">
        <v>552</v>
      </c>
      <c r="E97" s="74" t="s">
        <v>551</v>
      </c>
      <c r="F97" s="74" t="s">
        <v>545</v>
      </c>
      <c r="G97" s="87" t="s">
        <v>724</v>
      </c>
      <c r="H97" s="87" t="s">
        <v>724</v>
      </c>
      <c r="I97" s="87" t="s">
        <v>724</v>
      </c>
      <c r="J97" s="87" t="s">
        <v>723</v>
      </c>
      <c r="K97" s="87" t="s">
        <v>724</v>
      </c>
      <c r="L97" s="87" t="s">
        <v>724</v>
      </c>
      <c r="M97" s="87" t="s">
        <v>723</v>
      </c>
      <c r="N97" s="271" t="s">
        <v>1456</v>
      </c>
      <c r="O97" s="269"/>
      <c r="P97" s="270"/>
      <c r="S97" s="3" t="str">
        <f t="shared" si="2"/>
        <v>Show</v>
      </c>
      <c r="T97" s="88"/>
    </row>
    <row r="98" spans="2:20" s="70" customFormat="1" ht="18" hidden="1" customHeight="1">
      <c r="B98" s="959"/>
      <c r="C98" s="67"/>
      <c r="D98" s="74"/>
      <c r="E98" s="74"/>
      <c r="F98" s="74"/>
      <c r="G98" s="87"/>
      <c r="H98" s="87"/>
      <c r="I98" s="87"/>
      <c r="J98" s="87"/>
      <c r="K98" s="87"/>
      <c r="L98" s="87"/>
      <c r="M98" s="87"/>
      <c r="N98" s="271"/>
      <c r="O98" s="269"/>
      <c r="P98" s="270"/>
      <c r="S98" s="3" t="str">
        <f t="shared" si="2"/>
        <v>Hide</v>
      </c>
      <c r="T98" s="88"/>
    </row>
    <row r="99" spans="2:20" s="70" customFormat="1" ht="18" hidden="1" customHeight="1">
      <c r="B99" s="959"/>
      <c r="C99" s="67"/>
      <c r="D99" s="74"/>
      <c r="E99" s="74"/>
      <c r="F99" s="74"/>
      <c r="G99" s="87"/>
      <c r="H99" s="87"/>
      <c r="I99" s="87"/>
      <c r="J99" s="87"/>
      <c r="K99" s="87"/>
      <c r="L99" s="87"/>
      <c r="M99" s="87"/>
      <c r="N99" s="271"/>
      <c r="O99" s="269"/>
      <c r="P99" s="270"/>
      <c r="S99" s="3" t="str">
        <f t="shared" si="2"/>
        <v>Hide</v>
      </c>
      <c r="T99" s="88"/>
    </row>
    <row r="100" spans="2:20" s="70" customFormat="1" ht="18" hidden="1" customHeight="1">
      <c r="B100" s="959"/>
      <c r="C100" s="67"/>
      <c r="D100" s="74"/>
      <c r="E100" s="74"/>
      <c r="F100" s="74"/>
      <c r="G100" s="87"/>
      <c r="H100" s="87"/>
      <c r="I100" s="87"/>
      <c r="J100" s="87"/>
      <c r="K100" s="87"/>
      <c r="L100" s="87"/>
      <c r="M100" s="87"/>
      <c r="N100" s="271"/>
      <c r="O100" s="269"/>
      <c r="P100" s="270"/>
      <c r="S100" s="3" t="str">
        <f t="shared" si="2"/>
        <v>Hide</v>
      </c>
      <c r="T100" s="88"/>
    </row>
    <row r="101" spans="2:20" s="70" customFormat="1" ht="18" hidden="1" customHeight="1">
      <c r="B101" s="959"/>
      <c r="C101" s="67"/>
      <c r="D101" s="74"/>
      <c r="E101" s="74"/>
      <c r="F101" s="74"/>
      <c r="G101" s="87"/>
      <c r="H101" s="87"/>
      <c r="I101" s="87"/>
      <c r="J101" s="87"/>
      <c r="K101" s="87"/>
      <c r="L101" s="87"/>
      <c r="M101" s="87"/>
      <c r="N101" s="271"/>
      <c r="O101" s="269"/>
      <c r="P101" s="270"/>
      <c r="S101" s="3" t="str">
        <f t="shared" si="2"/>
        <v>Hide</v>
      </c>
      <c r="T101" s="88"/>
    </row>
    <row r="102" spans="2:20" s="70" customFormat="1" ht="18" hidden="1" customHeight="1">
      <c r="B102" s="959"/>
      <c r="C102" s="67"/>
      <c r="D102" s="74"/>
      <c r="E102" s="74"/>
      <c r="F102" s="74"/>
      <c r="G102" s="87"/>
      <c r="H102" s="87"/>
      <c r="I102" s="87"/>
      <c r="J102" s="87"/>
      <c r="K102" s="87"/>
      <c r="L102" s="87"/>
      <c r="M102" s="87"/>
      <c r="N102" s="271"/>
      <c r="O102" s="269"/>
      <c r="P102" s="270"/>
      <c r="S102" s="3" t="str">
        <f t="shared" si="2"/>
        <v>Hide</v>
      </c>
      <c r="T102" s="88"/>
    </row>
    <row r="103" spans="2:20" s="70" customFormat="1" ht="18" hidden="1" customHeight="1">
      <c r="B103" s="959"/>
      <c r="C103" s="67"/>
      <c r="D103" s="74"/>
      <c r="E103" s="74"/>
      <c r="F103" s="74"/>
      <c r="G103" s="87"/>
      <c r="H103" s="87"/>
      <c r="I103" s="87"/>
      <c r="J103" s="87"/>
      <c r="K103" s="87"/>
      <c r="L103" s="87"/>
      <c r="M103" s="87"/>
      <c r="N103" s="271"/>
      <c r="O103" s="269"/>
      <c r="P103" s="270"/>
      <c r="S103" s="3" t="str">
        <f t="shared" si="2"/>
        <v>Hide</v>
      </c>
      <c r="T103" s="88"/>
    </row>
    <row r="104" spans="2:20" s="70" customFormat="1" ht="18" hidden="1" customHeight="1">
      <c r="B104" s="959"/>
      <c r="C104" s="67"/>
      <c r="D104" s="74"/>
      <c r="E104" s="74"/>
      <c r="F104" s="74"/>
      <c r="G104" s="87"/>
      <c r="H104" s="87"/>
      <c r="I104" s="87"/>
      <c r="J104" s="87"/>
      <c r="K104" s="87"/>
      <c r="L104" s="87"/>
      <c r="M104" s="87"/>
      <c r="N104" s="271"/>
      <c r="O104" s="269"/>
      <c r="P104" s="270"/>
      <c r="S104" s="3" t="str">
        <f t="shared" si="2"/>
        <v>Hide</v>
      </c>
      <c r="T104" s="88"/>
    </row>
    <row r="105" spans="2:20" s="70" customFormat="1" ht="18" hidden="1" customHeight="1">
      <c r="B105" s="959"/>
      <c r="C105" s="67"/>
      <c r="D105" s="74"/>
      <c r="E105" s="74"/>
      <c r="F105" s="74"/>
      <c r="G105" s="87"/>
      <c r="H105" s="87"/>
      <c r="I105" s="87"/>
      <c r="J105" s="87"/>
      <c r="K105" s="87"/>
      <c r="L105" s="87"/>
      <c r="M105" s="87"/>
      <c r="N105" s="271"/>
      <c r="O105" s="269"/>
      <c r="P105" s="270"/>
      <c r="S105" s="3" t="str">
        <f t="shared" si="2"/>
        <v>Hide</v>
      </c>
      <c r="T105" s="88"/>
    </row>
    <row r="106" spans="2:20" s="70" customFormat="1" ht="18" hidden="1" customHeight="1">
      <c r="B106" s="959"/>
      <c r="C106" s="67"/>
      <c r="D106" s="74"/>
      <c r="E106" s="74"/>
      <c r="F106" s="74"/>
      <c r="G106" s="87"/>
      <c r="H106" s="87"/>
      <c r="I106" s="87"/>
      <c r="J106" s="87"/>
      <c r="K106" s="87"/>
      <c r="L106" s="87"/>
      <c r="M106" s="87"/>
      <c r="N106" s="271"/>
      <c r="O106" s="269"/>
      <c r="P106" s="270"/>
      <c r="S106" s="3" t="str">
        <f t="shared" si="2"/>
        <v>Hide</v>
      </c>
      <c r="T106" s="88"/>
    </row>
    <row r="107" spans="2:20" s="70" customFormat="1" ht="18" hidden="1" customHeight="1">
      <c r="B107" s="959"/>
      <c r="C107" s="67"/>
      <c r="D107" s="74"/>
      <c r="E107" s="74"/>
      <c r="F107" s="74"/>
      <c r="G107" s="87"/>
      <c r="H107" s="87"/>
      <c r="I107" s="87"/>
      <c r="J107" s="87"/>
      <c r="K107" s="87"/>
      <c r="L107" s="87"/>
      <c r="M107" s="87"/>
      <c r="N107" s="271"/>
      <c r="O107" s="269"/>
      <c r="P107" s="270"/>
      <c r="S107" s="3" t="str">
        <f t="shared" si="2"/>
        <v>Hide</v>
      </c>
      <c r="T107" s="88"/>
    </row>
    <row r="108" spans="2:20" s="70" customFormat="1" ht="18" hidden="1" customHeight="1">
      <c r="B108" s="959"/>
      <c r="C108" s="67"/>
      <c r="D108" s="74"/>
      <c r="E108" s="74"/>
      <c r="F108" s="74"/>
      <c r="G108" s="87"/>
      <c r="H108" s="87"/>
      <c r="I108" s="87"/>
      <c r="J108" s="87"/>
      <c r="K108" s="87"/>
      <c r="L108" s="87"/>
      <c r="M108" s="87"/>
      <c r="N108" s="271"/>
      <c r="O108" s="269"/>
      <c r="P108" s="270"/>
      <c r="S108" s="3" t="str">
        <f t="shared" si="2"/>
        <v>Hide</v>
      </c>
      <c r="T108" s="88"/>
    </row>
    <row r="109" spans="2:20" s="70" customFormat="1" ht="18" hidden="1" customHeight="1">
      <c r="B109" s="959"/>
      <c r="C109" s="67"/>
      <c r="D109" s="74"/>
      <c r="E109" s="74"/>
      <c r="F109" s="74"/>
      <c r="G109" s="87"/>
      <c r="H109" s="87"/>
      <c r="I109" s="87"/>
      <c r="J109" s="87"/>
      <c r="K109" s="87"/>
      <c r="L109" s="87"/>
      <c r="M109" s="87"/>
      <c r="N109" s="271"/>
      <c r="O109" s="269"/>
      <c r="P109" s="270"/>
      <c r="S109" s="3" t="str">
        <f t="shared" si="2"/>
        <v>Hide</v>
      </c>
      <c r="T109" s="88"/>
    </row>
    <row r="110" spans="2:20" s="70" customFormat="1" ht="18" hidden="1" customHeight="1">
      <c r="B110" s="959"/>
      <c r="C110" s="67"/>
      <c r="D110" s="74"/>
      <c r="E110" s="74"/>
      <c r="F110" s="74"/>
      <c r="G110" s="87"/>
      <c r="H110" s="87"/>
      <c r="I110" s="87"/>
      <c r="J110" s="87"/>
      <c r="K110" s="87"/>
      <c r="L110" s="87"/>
      <c r="M110" s="87"/>
      <c r="N110" s="271"/>
      <c r="O110" s="269"/>
      <c r="P110" s="270"/>
      <c r="S110" s="3" t="str">
        <f t="shared" si="2"/>
        <v>Hide</v>
      </c>
      <c r="T110" s="88"/>
    </row>
    <row r="111" spans="2:20" s="70" customFormat="1" ht="18" hidden="1" customHeight="1">
      <c r="B111" s="959"/>
      <c r="C111" s="67"/>
      <c r="D111" s="74"/>
      <c r="E111" s="74"/>
      <c r="F111" s="74"/>
      <c r="G111" s="87"/>
      <c r="H111" s="87"/>
      <c r="I111" s="87"/>
      <c r="J111" s="87"/>
      <c r="K111" s="87"/>
      <c r="L111" s="87"/>
      <c r="M111" s="87"/>
      <c r="N111" s="271"/>
      <c r="O111" s="269"/>
      <c r="P111" s="270"/>
      <c r="S111" s="3" t="str">
        <f t="shared" si="2"/>
        <v>Hide</v>
      </c>
      <c r="T111" s="88"/>
    </row>
    <row r="112" spans="2:20" s="70" customFormat="1" ht="18" hidden="1" customHeight="1">
      <c r="B112" s="959"/>
      <c r="C112" s="67"/>
      <c r="D112" s="74"/>
      <c r="E112" s="74"/>
      <c r="F112" s="74"/>
      <c r="G112" s="87"/>
      <c r="H112" s="87"/>
      <c r="I112" s="87"/>
      <c r="J112" s="87"/>
      <c r="K112" s="87"/>
      <c r="L112" s="87"/>
      <c r="M112" s="87"/>
      <c r="N112" s="271"/>
      <c r="O112" s="269"/>
      <c r="P112" s="270"/>
      <c r="S112" s="3" t="str">
        <f t="shared" si="2"/>
        <v>Hide</v>
      </c>
      <c r="T112" s="88"/>
    </row>
    <row r="113" spans="2:20" s="70" customFormat="1" ht="18" hidden="1" customHeight="1">
      <c r="B113" s="959"/>
      <c r="C113" s="67"/>
      <c r="D113" s="74"/>
      <c r="E113" s="74"/>
      <c r="F113" s="74"/>
      <c r="G113" s="87"/>
      <c r="H113" s="87"/>
      <c r="I113" s="87"/>
      <c r="J113" s="87"/>
      <c r="K113" s="87"/>
      <c r="L113" s="87"/>
      <c r="M113" s="87"/>
      <c r="N113" s="271"/>
      <c r="O113" s="272"/>
      <c r="P113" s="273"/>
      <c r="S113" s="3" t="str">
        <f t="shared" si="2"/>
        <v>Hide</v>
      </c>
      <c r="T113" s="88"/>
    </row>
    <row r="114" spans="2:20" s="70" customFormat="1" ht="21" customHeight="1">
      <c r="B114" s="959"/>
      <c r="C114" s="950" t="s">
        <v>83</v>
      </c>
      <c r="D114" s="949"/>
      <c r="E114" s="949"/>
      <c r="F114" s="949"/>
      <c r="G114" s="949"/>
      <c r="H114" s="949"/>
      <c r="I114" s="949"/>
      <c r="J114" s="217"/>
      <c r="K114" s="949" t="s">
        <v>82</v>
      </c>
      <c r="L114" s="949"/>
      <c r="M114" s="949"/>
      <c r="N114" s="949"/>
      <c r="O114" s="217"/>
      <c r="P114" s="65"/>
      <c r="S114" s="3" t="s">
        <v>500</v>
      </c>
      <c r="T114" s="88"/>
    </row>
    <row r="115" spans="2:20" s="70" customFormat="1" ht="43.2">
      <c r="B115" s="959"/>
      <c r="C115" s="945"/>
      <c r="D115" s="215"/>
      <c r="E115" s="215"/>
      <c r="F115" s="216"/>
      <c r="G115" s="69" t="s">
        <v>81</v>
      </c>
      <c r="H115" s="69" t="s">
        <v>80</v>
      </c>
      <c r="I115" s="969" t="s">
        <v>1</v>
      </c>
      <c r="J115" s="274"/>
      <c r="K115" s="64" t="s">
        <v>79</v>
      </c>
      <c r="L115" s="64" t="s">
        <v>78</v>
      </c>
      <c r="M115" s="64" t="s">
        <v>77</v>
      </c>
      <c r="N115" s="969" t="s">
        <v>1</v>
      </c>
      <c r="O115" s="267"/>
      <c r="P115" s="268"/>
      <c r="S115" s="3" t="s">
        <v>500</v>
      </c>
      <c r="T115" s="88"/>
    </row>
    <row r="116" spans="2:20" s="70" customFormat="1" ht="28.35" customHeight="1">
      <c r="B116" s="959"/>
      <c r="C116" s="946"/>
      <c r="D116" s="62" t="s">
        <v>60</v>
      </c>
      <c r="E116" s="62" t="s">
        <v>59</v>
      </c>
      <c r="F116" s="62" t="s">
        <v>58</v>
      </c>
      <c r="G116" s="68">
        <v>0.08</v>
      </c>
      <c r="H116" s="68">
        <v>0.06</v>
      </c>
      <c r="I116" s="954"/>
      <c r="J116" s="274"/>
      <c r="K116" s="26">
        <v>3.0000000000000001E-3</v>
      </c>
      <c r="L116" s="26">
        <v>2E-3</v>
      </c>
      <c r="M116" s="26">
        <v>7.0000000000000007E-2</v>
      </c>
      <c r="N116" s="954"/>
      <c r="O116" s="269"/>
      <c r="P116" s="270"/>
      <c r="S116" s="3" t="s">
        <v>500</v>
      </c>
      <c r="T116" s="88"/>
    </row>
    <row r="117" spans="2:20" s="70" customFormat="1" ht="18" customHeight="1">
      <c r="B117" s="959"/>
      <c r="C117" s="67">
        <v>1</v>
      </c>
      <c r="D117" s="66" t="s">
        <v>543</v>
      </c>
      <c r="E117" s="66" t="s">
        <v>544</v>
      </c>
      <c r="F117" s="66" t="s">
        <v>545</v>
      </c>
      <c r="G117" s="61" t="s">
        <v>724</v>
      </c>
      <c r="H117" s="61" t="s">
        <v>727</v>
      </c>
      <c r="I117" s="271" t="s">
        <v>1456</v>
      </c>
      <c r="J117" s="274"/>
      <c r="K117" s="61" t="s">
        <v>723</v>
      </c>
      <c r="L117" s="61" t="s">
        <v>723</v>
      </c>
      <c r="M117" s="61" t="s">
        <v>723</v>
      </c>
      <c r="N117" s="271" t="s">
        <v>1456</v>
      </c>
      <c r="O117" s="269"/>
      <c r="P117" s="270"/>
      <c r="S117" s="3" t="str">
        <f t="shared" ref="S117:S135" si="3">IF(C117&lt;&gt;"","Show","Hide")</f>
        <v>Show</v>
      </c>
      <c r="T117" s="88"/>
    </row>
    <row r="118" spans="2:20" s="70" customFormat="1" ht="18" customHeight="1">
      <c r="B118" s="959"/>
      <c r="C118" s="67">
        <v>2</v>
      </c>
      <c r="D118" s="66" t="s">
        <v>547</v>
      </c>
      <c r="E118" s="66" t="s">
        <v>548</v>
      </c>
      <c r="F118" s="66" t="s">
        <v>549</v>
      </c>
      <c r="G118" s="231" t="s">
        <v>724</v>
      </c>
      <c r="H118" s="231" t="s">
        <v>727</v>
      </c>
      <c r="I118" s="271" t="s">
        <v>1456</v>
      </c>
      <c r="J118" s="274"/>
      <c r="K118" s="231" t="s">
        <v>723</v>
      </c>
      <c r="L118" s="231" t="s">
        <v>723</v>
      </c>
      <c r="M118" s="231" t="s">
        <v>723</v>
      </c>
      <c r="N118" s="271" t="s">
        <v>1456</v>
      </c>
      <c r="O118" s="269"/>
      <c r="P118" s="270"/>
      <c r="S118" s="3" t="str">
        <f t="shared" si="3"/>
        <v>Show</v>
      </c>
      <c r="T118" s="88"/>
    </row>
    <row r="119" spans="2:20" s="70" customFormat="1" ht="18" customHeight="1">
      <c r="B119" s="959"/>
      <c r="C119" s="67">
        <v>3</v>
      </c>
      <c r="D119" s="66" t="s">
        <v>550</v>
      </c>
      <c r="E119" s="66" t="s">
        <v>551</v>
      </c>
      <c r="F119" s="66" t="s">
        <v>545</v>
      </c>
      <c r="G119" s="231" t="s">
        <v>724</v>
      </c>
      <c r="H119" s="231" t="s">
        <v>727</v>
      </c>
      <c r="I119" s="271" t="s">
        <v>1456</v>
      </c>
      <c r="J119" s="274"/>
      <c r="K119" s="231" t="s">
        <v>723</v>
      </c>
      <c r="L119" s="231" t="s">
        <v>723</v>
      </c>
      <c r="M119" s="231" t="s">
        <v>723</v>
      </c>
      <c r="N119" s="271" t="s">
        <v>1456</v>
      </c>
      <c r="O119" s="269"/>
      <c r="P119" s="270"/>
      <c r="S119" s="3" t="str">
        <f t="shared" si="3"/>
        <v>Show</v>
      </c>
      <c r="T119" s="88"/>
    </row>
    <row r="120" spans="2:20" s="70" customFormat="1" ht="18" customHeight="1">
      <c r="B120" s="959"/>
      <c r="C120" s="67">
        <v>4</v>
      </c>
      <c r="D120" s="66" t="s">
        <v>552</v>
      </c>
      <c r="E120" s="66" t="s">
        <v>551</v>
      </c>
      <c r="F120" s="66" t="s">
        <v>545</v>
      </c>
      <c r="G120" s="231" t="s">
        <v>724</v>
      </c>
      <c r="H120" s="231" t="s">
        <v>727</v>
      </c>
      <c r="I120" s="271" t="s">
        <v>1456</v>
      </c>
      <c r="J120" s="274"/>
      <c r="K120" s="231" t="s">
        <v>723</v>
      </c>
      <c r="L120" s="231" t="s">
        <v>723</v>
      </c>
      <c r="M120" s="231" t="s">
        <v>723</v>
      </c>
      <c r="N120" s="271" t="s">
        <v>1456</v>
      </c>
      <c r="O120" s="269"/>
      <c r="P120" s="270"/>
      <c r="S120" s="3" t="str">
        <f t="shared" si="3"/>
        <v>Show</v>
      </c>
      <c r="T120" s="88"/>
    </row>
    <row r="121" spans="2:20" s="70" customFormat="1" ht="18" hidden="1" customHeight="1">
      <c r="B121" s="959"/>
      <c r="C121" s="67"/>
      <c r="D121" s="66"/>
      <c r="E121" s="66"/>
      <c r="F121" s="66"/>
      <c r="G121" s="271"/>
      <c r="H121" s="271"/>
      <c r="I121" s="271"/>
      <c r="J121" s="275"/>
      <c r="K121" s="271"/>
      <c r="L121" s="271"/>
      <c r="M121" s="271"/>
      <c r="N121" s="271"/>
      <c r="O121" s="276"/>
      <c r="P121" s="270"/>
      <c r="S121" s="3" t="str">
        <f t="shared" si="3"/>
        <v>Hide</v>
      </c>
      <c r="T121" s="88"/>
    </row>
    <row r="122" spans="2:20" s="70" customFormat="1" ht="18" hidden="1" customHeight="1">
      <c r="B122" s="959"/>
      <c r="C122" s="67"/>
      <c r="D122" s="66"/>
      <c r="E122" s="66"/>
      <c r="F122" s="66"/>
      <c r="G122" s="271"/>
      <c r="H122" s="271"/>
      <c r="I122" s="271"/>
      <c r="J122" s="275"/>
      <c r="K122" s="271"/>
      <c r="L122" s="271"/>
      <c r="M122" s="271"/>
      <c r="N122" s="271"/>
      <c r="O122" s="276"/>
      <c r="P122" s="270"/>
      <c r="S122" s="3" t="str">
        <f t="shared" si="3"/>
        <v>Hide</v>
      </c>
      <c r="T122" s="88"/>
    </row>
    <row r="123" spans="2:20" s="70" customFormat="1" ht="18" hidden="1" customHeight="1">
      <c r="B123" s="959"/>
      <c r="C123" s="67"/>
      <c r="D123" s="66"/>
      <c r="E123" s="66"/>
      <c r="F123" s="66"/>
      <c r="G123" s="271"/>
      <c r="H123" s="271"/>
      <c r="I123" s="271"/>
      <c r="J123" s="275"/>
      <c r="K123" s="271"/>
      <c r="L123" s="271"/>
      <c r="M123" s="271"/>
      <c r="N123" s="271"/>
      <c r="O123" s="276"/>
      <c r="P123" s="270"/>
      <c r="S123" s="3" t="str">
        <f t="shared" si="3"/>
        <v>Hide</v>
      </c>
      <c r="T123" s="88"/>
    </row>
    <row r="124" spans="2:20" s="70" customFormat="1" ht="18" hidden="1" customHeight="1">
      <c r="B124" s="959"/>
      <c r="C124" s="67"/>
      <c r="D124" s="66"/>
      <c r="E124" s="66"/>
      <c r="F124" s="66"/>
      <c r="G124" s="271"/>
      <c r="H124" s="271"/>
      <c r="I124" s="271"/>
      <c r="J124" s="275"/>
      <c r="K124" s="271"/>
      <c r="L124" s="271"/>
      <c r="M124" s="271"/>
      <c r="N124" s="271"/>
      <c r="O124" s="276"/>
      <c r="P124" s="270"/>
      <c r="S124" s="3" t="str">
        <f t="shared" si="3"/>
        <v>Hide</v>
      </c>
      <c r="T124" s="88"/>
    </row>
    <row r="125" spans="2:20" s="70" customFormat="1" ht="18" hidden="1" customHeight="1">
      <c r="B125" s="959"/>
      <c r="C125" s="67"/>
      <c r="D125" s="66"/>
      <c r="E125" s="66"/>
      <c r="F125" s="66"/>
      <c r="G125" s="271"/>
      <c r="H125" s="271"/>
      <c r="I125" s="271"/>
      <c r="J125" s="275"/>
      <c r="K125" s="271"/>
      <c r="L125" s="271"/>
      <c r="M125" s="271"/>
      <c r="N125" s="271"/>
      <c r="O125" s="276"/>
      <c r="P125" s="270"/>
      <c r="S125" s="3" t="str">
        <f t="shared" si="3"/>
        <v>Hide</v>
      </c>
      <c r="T125" s="88"/>
    </row>
    <row r="126" spans="2:20" s="70" customFormat="1" ht="18" hidden="1" customHeight="1">
      <c r="B126" s="959"/>
      <c r="C126" s="67"/>
      <c r="D126" s="66"/>
      <c r="E126" s="66"/>
      <c r="F126" s="66"/>
      <c r="G126" s="271"/>
      <c r="H126" s="271"/>
      <c r="I126" s="271"/>
      <c r="J126" s="275"/>
      <c r="K126" s="271"/>
      <c r="L126" s="271"/>
      <c r="M126" s="271"/>
      <c r="N126" s="271"/>
      <c r="O126" s="276"/>
      <c r="P126" s="270"/>
      <c r="S126" s="3" t="str">
        <f t="shared" si="3"/>
        <v>Hide</v>
      </c>
      <c r="T126" s="88"/>
    </row>
    <row r="127" spans="2:20" s="70" customFormat="1" ht="18" hidden="1" customHeight="1">
      <c r="B127" s="959"/>
      <c r="C127" s="67"/>
      <c r="D127" s="66"/>
      <c r="E127" s="66"/>
      <c r="F127" s="66"/>
      <c r="G127" s="271"/>
      <c r="H127" s="271"/>
      <c r="I127" s="271"/>
      <c r="J127" s="275"/>
      <c r="K127" s="271"/>
      <c r="L127" s="271"/>
      <c r="M127" s="271"/>
      <c r="N127" s="271"/>
      <c r="O127" s="276"/>
      <c r="P127" s="270"/>
      <c r="S127" s="3" t="str">
        <f t="shared" si="3"/>
        <v>Hide</v>
      </c>
      <c r="T127" s="88"/>
    </row>
    <row r="128" spans="2:20" s="70" customFormat="1" ht="18" hidden="1" customHeight="1">
      <c r="B128" s="959"/>
      <c r="C128" s="67"/>
      <c r="D128" s="66"/>
      <c r="E128" s="66"/>
      <c r="F128" s="66"/>
      <c r="G128" s="271"/>
      <c r="H128" s="271"/>
      <c r="I128" s="271"/>
      <c r="J128" s="274"/>
      <c r="K128" s="271"/>
      <c r="L128" s="271"/>
      <c r="M128" s="271"/>
      <c r="N128" s="271"/>
      <c r="O128" s="269"/>
      <c r="P128" s="270"/>
      <c r="S128" s="3" t="str">
        <f t="shared" si="3"/>
        <v>Hide</v>
      </c>
      <c r="T128" s="88"/>
    </row>
    <row r="129" spans="2:20" s="70" customFormat="1" ht="18" hidden="1" customHeight="1">
      <c r="B129" s="959"/>
      <c r="C129" s="67"/>
      <c r="D129" s="66"/>
      <c r="E129" s="66"/>
      <c r="F129" s="66"/>
      <c r="G129" s="271"/>
      <c r="H129" s="271"/>
      <c r="I129" s="271"/>
      <c r="J129" s="274"/>
      <c r="K129" s="271"/>
      <c r="L129" s="271"/>
      <c r="M129" s="271"/>
      <c r="N129" s="271"/>
      <c r="O129" s="269"/>
      <c r="P129" s="270"/>
      <c r="S129" s="3" t="str">
        <f t="shared" si="3"/>
        <v>Hide</v>
      </c>
      <c r="T129" s="88"/>
    </row>
    <row r="130" spans="2:20" s="70" customFormat="1" ht="18" hidden="1" customHeight="1">
      <c r="B130" s="959"/>
      <c r="C130" s="67"/>
      <c r="D130" s="66"/>
      <c r="E130" s="66"/>
      <c r="F130" s="66"/>
      <c r="G130" s="271"/>
      <c r="H130" s="271"/>
      <c r="I130" s="271"/>
      <c r="J130" s="274"/>
      <c r="K130" s="271"/>
      <c r="L130" s="271"/>
      <c r="M130" s="271"/>
      <c r="N130" s="271"/>
      <c r="O130" s="269"/>
      <c r="P130" s="270"/>
      <c r="S130" s="3" t="str">
        <f t="shared" si="3"/>
        <v>Hide</v>
      </c>
      <c r="T130" s="88"/>
    </row>
    <row r="131" spans="2:20" s="70" customFormat="1" ht="18" hidden="1" customHeight="1">
      <c r="B131" s="959"/>
      <c r="C131" s="67"/>
      <c r="D131" s="66"/>
      <c r="E131" s="66"/>
      <c r="F131" s="66"/>
      <c r="G131" s="271"/>
      <c r="H131" s="271"/>
      <c r="I131" s="271"/>
      <c r="J131" s="274"/>
      <c r="K131" s="271"/>
      <c r="L131" s="271"/>
      <c r="M131" s="271"/>
      <c r="N131" s="271"/>
      <c r="O131" s="269"/>
      <c r="P131" s="270"/>
      <c r="S131" s="3" t="str">
        <f t="shared" si="3"/>
        <v>Hide</v>
      </c>
      <c r="T131" s="88"/>
    </row>
    <row r="132" spans="2:20" s="70" customFormat="1" ht="18" hidden="1" customHeight="1">
      <c r="B132" s="959"/>
      <c r="C132" s="67"/>
      <c r="D132" s="66"/>
      <c r="E132" s="66"/>
      <c r="F132" s="66"/>
      <c r="G132" s="271"/>
      <c r="H132" s="271"/>
      <c r="I132" s="271"/>
      <c r="J132" s="274"/>
      <c r="K132" s="271"/>
      <c r="L132" s="271"/>
      <c r="M132" s="271"/>
      <c r="N132" s="271"/>
      <c r="O132" s="269"/>
      <c r="P132" s="270"/>
      <c r="S132" s="3" t="str">
        <f t="shared" si="3"/>
        <v>Hide</v>
      </c>
      <c r="T132" s="88"/>
    </row>
    <row r="133" spans="2:20" s="70" customFormat="1" ht="18" hidden="1" customHeight="1">
      <c r="B133" s="959"/>
      <c r="C133" s="67"/>
      <c r="D133" s="66"/>
      <c r="E133" s="66"/>
      <c r="F133" s="66"/>
      <c r="G133" s="271"/>
      <c r="H133" s="271"/>
      <c r="I133" s="271"/>
      <c r="J133" s="274"/>
      <c r="K133" s="271"/>
      <c r="L133" s="271"/>
      <c r="M133" s="271"/>
      <c r="N133" s="271"/>
      <c r="O133" s="269"/>
      <c r="P133" s="270"/>
      <c r="S133" s="3" t="str">
        <f t="shared" si="3"/>
        <v>Hide</v>
      </c>
      <c r="T133" s="88"/>
    </row>
    <row r="134" spans="2:20" s="70" customFormat="1" ht="18" hidden="1" customHeight="1">
      <c r="B134" s="959"/>
      <c r="C134" s="67"/>
      <c r="D134" s="66"/>
      <c r="E134" s="66"/>
      <c r="F134" s="66"/>
      <c r="G134" s="271"/>
      <c r="H134" s="271"/>
      <c r="I134" s="271"/>
      <c r="J134" s="274"/>
      <c r="K134" s="271"/>
      <c r="L134" s="271"/>
      <c r="M134" s="271"/>
      <c r="N134" s="271"/>
      <c r="O134" s="269"/>
      <c r="P134" s="270"/>
      <c r="S134" s="3" t="str">
        <f t="shared" si="3"/>
        <v>Hide</v>
      </c>
      <c r="T134" s="88"/>
    </row>
    <row r="135" spans="2:20" s="70" customFormat="1" ht="18" hidden="1" customHeight="1">
      <c r="B135" s="959"/>
      <c r="C135" s="67"/>
      <c r="D135" s="66"/>
      <c r="E135" s="66"/>
      <c r="F135" s="66"/>
      <c r="G135" s="271"/>
      <c r="H135" s="271"/>
      <c r="I135" s="271"/>
      <c r="J135" s="274"/>
      <c r="K135" s="271"/>
      <c r="L135" s="271"/>
      <c r="M135" s="271"/>
      <c r="N135" s="271"/>
      <c r="O135" s="269"/>
      <c r="P135" s="270"/>
      <c r="S135" s="3" t="str">
        <f t="shared" si="3"/>
        <v>Hide</v>
      </c>
      <c r="T135" s="88"/>
    </row>
    <row r="136" spans="2:20" s="70" customFormat="1" ht="18" hidden="1" customHeight="1">
      <c r="B136" s="959"/>
      <c r="C136" s="67"/>
      <c r="D136" s="66"/>
      <c r="E136" s="66"/>
      <c r="F136" s="66"/>
      <c r="G136" s="271"/>
      <c r="H136" s="271"/>
      <c r="I136" s="271"/>
      <c r="J136" s="274"/>
      <c r="K136" s="271"/>
      <c r="L136" s="271"/>
      <c r="M136" s="271"/>
      <c r="N136" s="271"/>
      <c r="O136" s="272"/>
      <c r="P136" s="273"/>
      <c r="S136" s="3" t="str">
        <f>IF(C136&lt;&gt;"","Show","Hide")</f>
        <v>Hide</v>
      </c>
      <c r="T136" s="88"/>
    </row>
    <row r="137" spans="2:20" s="70" customFormat="1" ht="21" customHeight="1">
      <c r="B137" s="959"/>
      <c r="C137" s="966" t="s">
        <v>76</v>
      </c>
      <c r="D137" s="949"/>
      <c r="E137" s="949"/>
      <c r="F137" s="949"/>
      <c r="G137" s="949"/>
      <c r="H137" s="949"/>
      <c r="I137" s="949"/>
      <c r="J137" s="967"/>
      <c r="K137" s="968" t="s">
        <v>75</v>
      </c>
      <c r="L137" s="949"/>
      <c r="M137" s="949"/>
      <c r="N137" s="949"/>
      <c r="O137" s="949"/>
      <c r="P137" s="965"/>
      <c r="S137" s="3" t="s">
        <v>500</v>
      </c>
      <c r="T137" s="88"/>
    </row>
    <row r="138" spans="2:20" s="70" customFormat="1" ht="30.75" customHeight="1">
      <c r="B138" s="959"/>
      <c r="C138" s="945"/>
      <c r="D138" s="215"/>
      <c r="E138" s="215"/>
      <c r="F138" s="216"/>
      <c r="G138" s="26" t="s">
        <v>74</v>
      </c>
      <c r="H138" s="953" t="s">
        <v>1</v>
      </c>
      <c r="I138" s="267"/>
      <c r="J138" s="277"/>
      <c r="K138" s="26" t="s">
        <v>67</v>
      </c>
      <c r="L138" s="26" t="s">
        <v>73</v>
      </c>
      <c r="M138" s="26" t="s">
        <v>72</v>
      </c>
      <c r="N138" s="953" t="s">
        <v>1</v>
      </c>
      <c r="O138" s="267"/>
      <c r="P138" s="268"/>
      <c r="S138" s="3" t="s">
        <v>500</v>
      </c>
      <c r="T138" s="88"/>
    </row>
    <row r="139" spans="2:20" s="70" customFormat="1" ht="28.35" customHeight="1">
      <c r="B139" s="959"/>
      <c r="C139" s="946"/>
      <c r="D139" s="62" t="s">
        <v>60</v>
      </c>
      <c r="E139" s="62" t="s">
        <v>59</v>
      </c>
      <c r="F139" s="62" t="s">
        <v>58</v>
      </c>
      <c r="G139" s="26">
        <v>11</v>
      </c>
      <c r="H139" s="954"/>
      <c r="I139" s="269"/>
      <c r="J139" s="278"/>
      <c r="K139" s="26">
        <v>4</v>
      </c>
      <c r="L139" s="26">
        <v>4</v>
      </c>
      <c r="M139" s="26">
        <v>4</v>
      </c>
      <c r="N139" s="954"/>
      <c r="O139" s="269"/>
      <c r="P139" s="270"/>
      <c r="S139" s="3" t="s">
        <v>500</v>
      </c>
      <c r="T139" s="88"/>
    </row>
    <row r="140" spans="2:20" s="70" customFormat="1" ht="18" customHeight="1">
      <c r="B140" s="959"/>
      <c r="C140" s="67">
        <v>1</v>
      </c>
      <c r="D140" s="282" t="s">
        <v>543</v>
      </c>
      <c r="E140" s="282" t="s">
        <v>544</v>
      </c>
      <c r="F140" s="282" t="s">
        <v>545</v>
      </c>
      <c r="G140" s="61">
        <v>7</v>
      </c>
      <c r="H140" s="271" t="s">
        <v>1456</v>
      </c>
      <c r="I140" s="269"/>
      <c r="J140" s="278"/>
      <c r="K140" s="61" t="s">
        <v>556</v>
      </c>
      <c r="L140" s="63">
        <v>1.8</v>
      </c>
      <c r="M140" s="63">
        <v>1.7533333333333334</v>
      </c>
      <c r="N140" s="271" t="s">
        <v>1456</v>
      </c>
      <c r="O140" s="269"/>
      <c r="P140" s="270"/>
      <c r="S140" s="3" t="str">
        <f t="shared" ref="S140:S179" si="4">IF(C140&lt;&gt;"","Show","Hide")</f>
        <v>Show</v>
      </c>
      <c r="T140" s="88"/>
    </row>
    <row r="141" spans="2:20" s="70" customFormat="1" ht="18" customHeight="1">
      <c r="B141" s="959"/>
      <c r="C141" s="67">
        <v>2</v>
      </c>
      <c r="D141" s="282" t="s">
        <v>547</v>
      </c>
      <c r="E141" s="282" t="s">
        <v>548</v>
      </c>
      <c r="F141" s="282" t="s">
        <v>549</v>
      </c>
      <c r="G141" s="61">
        <v>7</v>
      </c>
      <c r="H141" s="271" t="s">
        <v>1456</v>
      </c>
      <c r="I141" s="269"/>
      <c r="J141" s="278"/>
      <c r="K141" s="87" t="s">
        <v>556</v>
      </c>
      <c r="L141" s="63">
        <v>0.80666666666666664</v>
      </c>
      <c r="M141" s="63">
        <v>0.77</v>
      </c>
      <c r="N141" s="271" t="s">
        <v>1456</v>
      </c>
      <c r="O141" s="269"/>
      <c r="P141" s="270"/>
      <c r="S141" s="3" t="str">
        <f t="shared" si="4"/>
        <v>Show</v>
      </c>
      <c r="T141" s="88"/>
    </row>
    <row r="142" spans="2:20" s="70" customFormat="1" ht="18" hidden="1" customHeight="1">
      <c r="B142" s="959"/>
      <c r="C142" s="67"/>
      <c r="D142" s="58"/>
      <c r="E142" s="58"/>
      <c r="F142" s="58"/>
      <c r="G142" s="266" t="s">
        <v>71</v>
      </c>
      <c r="H142" s="266" t="s">
        <v>1456</v>
      </c>
      <c r="I142" s="269"/>
      <c r="J142" s="278"/>
      <c r="K142" s="266" t="s">
        <v>71</v>
      </c>
      <c r="L142" s="63"/>
      <c r="M142" s="63"/>
      <c r="N142" s="271" t="s">
        <v>1456</v>
      </c>
      <c r="O142" s="269"/>
      <c r="P142" s="270"/>
      <c r="S142" s="3" t="str">
        <f t="shared" si="4"/>
        <v>Hide</v>
      </c>
      <c r="T142" s="88"/>
    </row>
    <row r="143" spans="2:20" s="70" customFormat="1" ht="18" hidden="1" customHeight="1">
      <c r="B143" s="959"/>
      <c r="C143" s="67"/>
      <c r="D143" s="58"/>
      <c r="E143" s="58"/>
      <c r="F143" s="58"/>
      <c r="G143" s="266" t="s">
        <v>71</v>
      </c>
      <c r="H143" s="266" t="s">
        <v>1456</v>
      </c>
      <c r="I143" s="269"/>
      <c r="J143" s="278"/>
      <c r="K143" s="266" t="s">
        <v>71</v>
      </c>
      <c r="L143" s="63"/>
      <c r="M143" s="63"/>
      <c r="N143" s="271" t="s">
        <v>1456</v>
      </c>
      <c r="O143" s="269"/>
      <c r="P143" s="270"/>
      <c r="S143" s="3" t="str">
        <f t="shared" si="4"/>
        <v>Hide</v>
      </c>
      <c r="T143" s="88"/>
    </row>
    <row r="144" spans="2:20" s="70" customFormat="1" ht="18" customHeight="1">
      <c r="B144" s="959"/>
      <c r="C144" s="67">
        <v>3</v>
      </c>
      <c r="D144" s="282" t="s">
        <v>550</v>
      </c>
      <c r="E144" s="282" t="s">
        <v>551</v>
      </c>
      <c r="F144" s="282" t="s">
        <v>545</v>
      </c>
      <c r="G144" s="61">
        <v>7</v>
      </c>
      <c r="H144" s="271" t="s">
        <v>1456</v>
      </c>
      <c r="I144" s="269"/>
      <c r="J144" s="278"/>
      <c r="K144" s="279" t="s">
        <v>556</v>
      </c>
      <c r="L144" s="63">
        <v>0.18666666666666665</v>
      </c>
      <c r="M144" s="63">
        <v>0.16666666666666666</v>
      </c>
      <c r="N144" s="271" t="s">
        <v>1456</v>
      </c>
      <c r="O144" s="269"/>
      <c r="P144" s="270"/>
      <c r="S144" s="3" t="str">
        <f t="shared" si="4"/>
        <v>Show</v>
      </c>
      <c r="T144" s="57"/>
    </row>
    <row r="145" spans="2:20" s="70" customFormat="1" ht="18" customHeight="1">
      <c r="B145" s="959"/>
      <c r="C145" s="67">
        <v>4</v>
      </c>
      <c r="D145" s="282" t="s">
        <v>552</v>
      </c>
      <c r="E145" s="282" t="s">
        <v>551</v>
      </c>
      <c r="F145" s="282" t="s">
        <v>545</v>
      </c>
      <c r="G145" s="87">
        <v>5.6</v>
      </c>
      <c r="H145" s="271" t="s">
        <v>1456</v>
      </c>
      <c r="I145" s="269"/>
      <c r="J145" s="278"/>
      <c r="K145" s="279" t="s">
        <v>556</v>
      </c>
      <c r="L145" s="63">
        <v>1.0166666666666666</v>
      </c>
      <c r="M145" s="63">
        <v>0.98333333333333328</v>
      </c>
      <c r="N145" s="271" t="s">
        <v>1456</v>
      </c>
      <c r="O145" s="269"/>
      <c r="P145" s="270"/>
      <c r="S145" s="3" t="str">
        <f t="shared" si="4"/>
        <v>Show</v>
      </c>
      <c r="T145" s="57"/>
    </row>
    <row r="146" spans="2:20" s="70" customFormat="1" ht="18" hidden="1" customHeight="1">
      <c r="B146" s="959"/>
      <c r="C146" s="67"/>
      <c r="D146" s="58"/>
      <c r="E146" s="58"/>
      <c r="F146" s="58"/>
      <c r="G146" s="266" t="s">
        <v>71</v>
      </c>
      <c r="H146" s="266" t="s">
        <v>71</v>
      </c>
      <c r="I146" s="269"/>
      <c r="J146" s="278"/>
      <c r="K146" s="266" t="s">
        <v>71</v>
      </c>
      <c r="L146" s="63"/>
      <c r="M146" s="63"/>
      <c r="N146" s="271"/>
      <c r="O146" s="269"/>
      <c r="P146" s="270"/>
      <c r="S146" s="3" t="str">
        <f t="shared" si="4"/>
        <v>Hide</v>
      </c>
      <c r="T146" s="57"/>
    </row>
    <row r="147" spans="2:20" s="70" customFormat="1" ht="18" hidden="1" customHeight="1">
      <c r="B147" s="959"/>
      <c r="C147" s="67"/>
      <c r="D147" s="58"/>
      <c r="E147" s="58"/>
      <c r="F147" s="58"/>
      <c r="G147" s="266" t="s">
        <v>71</v>
      </c>
      <c r="H147" s="266" t="s">
        <v>71</v>
      </c>
      <c r="I147" s="269"/>
      <c r="J147" s="278"/>
      <c r="K147" s="266" t="s">
        <v>71</v>
      </c>
      <c r="L147" s="63"/>
      <c r="M147" s="63"/>
      <c r="N147" s="271"/>
      <c r="O147" s="269"/>
      <c r="P147" s="270"/>
      <c r="S147" s="3" t="str">
        <f t="shared" si="4"/>
        <v>Hide</v>
      </c>
      <c r="T147" s="57"/>
    </row>
    <row r="148" spans="2:20" s="70" customFormat="1" ht="18" hidden="1" customHeight="1">
      <c r="B148" s="959"/>
      <c r="C148" s="67"/>
      <c r="D148" s="58"/>
      <c r="E148" s="58"/>
      <c r="F148" s="58"/>
      <c r="G148" s="87"/>
      <c r="H148" s="271"/>
      <c r="I148" s="269"/>
      <c r="J148" s="278"/>
      <c r="K148" s="279"/>
      <c r="L148" s="63"/>
      <c r="M148" s="63"/>
      <c r="N148" s="271"/>
      <c r="O148" s="269"/>
      <c r="P148" s="270"/>
      <c r="S148" s="3" t="str">
        <f t="shared" si="4"/>
        <v>Hide</v>
      </c>
      <c r="T148" s="57"/>
    </row>
    <row r="149" spans="2:20" s="70" customFormat="1" ht="18" hidden="1" customHeight="1">
      <c r="B149" s="959"/>
      <c r="C149" s="67"/>
      <c r="D149" s="58"/>
      <c r="E149" s="58"/>
      <c r="F149" s="58"/>
      <c r="G149" s="87"/>
      <c r="H149" s="271"/>
      <c r="I149" s="269"/>
      <c r="J149" s="278"/>
      <c r="K149" s="279"/>
      <c r="L149" s="63"/>
      <c r="M149" s="63"/>
      <c r="N149" s="271"/>
      <c r="O149" s="269"/>
      <c r="P149" s="270"/>
      <c r="S149" s="3" t="str">
        <f t="shared" si="4"/>
        <v>Hide</v>
      </c>
      <c r="T149" s="57"/>
    </row>
    <row r="150" spans="2:20" s="70" customFormat="1" ht="18" hidden="1" customHeight="1">
      <c r="B150" s="959"/>
      <c r="C150" s="67"/>
      <c r="D150" s="58"/>
      <c r="E150" s="58"/>
      <c r="F150" s="58"/>
      <c r="G150" s="266" t="s">
        <v>71</v>
      </c>
      <c r="H150" s="266" t="s">
        <v>71</v>
      </c>
      <c r="I150" s="269"/>
      <c r="J150" s="278"/>
      <c r="K150" s="266" t="s">
        <v>71</v>
      </c>
      <c r="L150" s="63"/>
      <c r="M150" s="63"/>
      <c r="N150" s="271"/>
      <c r="O150" s="269"/>
      <c r="P150" s="270"/>
      <c r="S150" s="3" t="str">
        <f t="shared" si="4"/>
        <v>Hide</v>
      </c>
      <c r="T150" s="57"/>
    </row>
    <row r="151" spans="2:20" s="70" customFormat="1" ht="18" hidden="1" customHeight="1">
      <c r="B151" s="959"/>
      <c r="C151" s="67"/>
      <c r="D151" s="58"/>
      <c r="E151" s="58"/>
      <c r="F151" s="58"/>
      <c r="G151" s="266" t="s">
        <v>71</v>
      </c>
      <c r="H151" s="266" t="s">
        <v>71</v>
      </c>
      <c r="I151" s="269"/>
      <c r="J151" s="278"/>
      <c r="K151" s="266" t="s">
        <v>71</v>
      </c>
      <c r="L151" s="63"/>
      <c r="M151" s="63"/>
      <c r="N151" s="271"/>
      <c r="O151" s="269"/>
      <c r="P151" s="270"/>
      <c r="S151" s="3" t="str">
        <f t="shared" si="4"/>
        <v>Hide</v>
      </c>
      <c r="T151" s="57"/>
    </row>
    <row r="152" spans="2:20" s="70" customFormat="1" ht="18" hidden="1" customHeight="1">
      <c r="B152" s="959"/>
      <c r="C152" s="67"/>
      <c r="D152" s="58"/>
      <c r="E152" s="58"/>
      <c r="F152" s="58"/>
      <c r="G152" s="87"/>
      <c r="H152" s="271"/>
      <c r="I152" s="269"/>
      <c r="J152" s="278"/>
      <c r="K152" s="279"/>
      <c r="L152" s="63"/>
      <c r="M152" s="63"/>
      <c r="N152" s="271"/>
      <c r="O152" s="269"/>
      <c r="P152" s="270"/>
      <c r="S152" s="3" t="str">
        <f t="shared" si="4"/>
        <v>Hide</v>
      </c>
      <c r="T152" s="57"/>
    </row>
    <row r="153" spans="2:20" s="70" customFormat="1" ht="18" hidden="1" customHeight="1">
      <c r="B153" s="959"/>
      <c r="C153" s="67"/>
      <c r="D153" s="58"/>
      <c r="E153" s="58"/>
      <c r="F153" s="58"/>
      <c r="G153" s="87"/>
      <c r="H153" s="271"/>
      <c r="I153" s="276"/>
      <c r="J153" s="270"/>
      <c r="K153" s="279"/>
      <c r="L153" s="63"/>
      <c r="M153" s="63"/>
      <c r="N153" s="271"/>
      <c r="O153" s="276"/>
      <c r="P153" s="270"/>
      <c r="S153" s="3" t="str">
        <f t="shared" si="4"/>
        <v>Hide</v>
      </c>
      <c r="T153" s="57"/>
    </row>
    <row r="154" spans="2:20" s="70" customFormat="1" ht="18" hidden="1" customHeight="1">
      <c r="B154" s="959"/>
      <c r="C154" s="67"/>
      <c r="D154" s="58"/>
      <c r="E154" s="58"/>
      <c r="F154" s="58"/>
      <c r="G154" s="266" t="s">
        <v>71</v>
      </c>
      <c r="H154" s="266" t="s">
        <v>71</v>
      </c>
      <c r="I154" s="276"/>
      <c r="J154" s="270"/>
      <c r="K154" s="266" t="s">
        <v>71</v>
      </c>
      <c r="L154" s="63"/>
      <c r="M154" s="63"/>
      <c r="N154" s="271"/>
      <c r="O154" s="276"/>
      <c r="P154" s="270"/>
      <c r="S154" s="3" t="str">
        <f t="shared" si="4"/>
        <v>Hide</v>
      </c>
      <c r="T154" s="57"/>
    </row>
    <row r="155" spans="2:20" s="70" customFormat="1" ht="18" hidden="1" customHeight="1">
      <c r="B155" s="959"/>
      <c r="C155" s="67"/>
      <c r="D155" s="58"/>
      <c r="E155" s="58"/>
      <c r="F155" s="58"/>
      <c r="G155" s="266" t="s">
        <v>71</v>
      </c>
      <c r="H155" s="266" t="s">
        <v>71</v>
      </c>
      <c r="I155" s="276"/>
      <c r="J155" s="270"/>
      <c r="K155" s="266" t="s">
        <v>71</v>
      </c>
      <c r="L155" s="63"/>
      <c r="M155" s="63"/>
      <c r="N155" s="271"/>
      <c r="O155" s="276"/>
      <c r="P155" s="270"/>
      <c r="S155" s="3" t="str">
        <f t="shared" si="4"/>
        <v>Hide</v>
      </c>
      <c r="T155" s="57"/>
    </row>
    <row r="156" spans="2:20" s="70" customFormat="1" ht="18" hidden="1" customHeight="1">
      <c r="B156" s="959"/>
      <c r="C156" s="67"/>
      <c r="D156" s="58"/>
      <c r="E156" s="58"/>
      <c r="F156" s="58"/>
      <c r="G156" s="87"/>
      <c r="H156" s="271"/>
      <c r="I156" s="276"/>
      <c r="J156" s="270"/>
      <c r="K156" s="61"/>
      <c r="L156" s="63"/>
      <c r="M156" s="63"/>
      <c r="N156" s="271"/>
      <c r="O156" s="276"/>
      <c r="P156" s="270"/>
      <c r="S156" s="3" t="str">
        <f t="shared" si="4"/>
        <v>Hide</v>
      </c>
      <c r="T156" s="88"/>
    </row>
    <row r="157" spans="2:20" s="70" customFormat="1" ht="18" hidden="1" customHeight="1">
      <c r="B157" s="959"/>
      <c r="C157" s="67"/>
      <c r="D157" s="58"/>
      <c r="E157" s="58"/>
      <c r="F157" s="58"/>
      <c r="G157" s="87"/>
      <c r="H157" s="271"/>
      <c r="I157" s="276"/>
      <c r="J157" s="270"/>
      <c r="K157" s="279"/>
      <c r="L157" s="63"/>
      <c r="M157" s="63"/>
      <c r="N157" s="271"/>
      <c r="O157" s="276"/>
      <c r="P157" s="270"/>
      <c r="S157" s="3" t="str">
        <f t="shared" si="4"/>
        <v>Hide</v>
      </c>
      <c r="T157" s="88"/>
    </row>
    <row r="158" spans="2:20" s="70" customFormat="1" ht="18" hidden="1" customHeight="1">
      <c r="B158" s="959"/>
      <c r="C158" s="67"/>
      <c r="D158" s="58"/>
      <c r="E158" s="58"/>
      <c r="F158" s="58"/>
      <c r="G158" s="266" t="s">
        <v>71</v>
      </c>
      <c r="H158" s="266" t="s">
        <v>71</v>
      </c>
      <c r="I158" s="269"/>
      <c r="J158" s="278"/>
      <c r="K158" s="266" t="s">
        <v>71</v>
      </c>
      <c r="L158" s="63"/>
      <c r="M158" s="63"/>
      <c r="N158" s="271"/>
      <c r="O158" s="269"/>
      <c r="P158" s="270"/>
      <c r="S158" s="3" t="str">
        <f t="shared" si="4"/>
        <v>Hide</v>
      </c>
      <c r="T158" s="88"/>
    </row>
    <row r="159" spans="2:20" s="70" customFormat="1" ht="18" hidden="1" customHeight="1">
      <c r="B159" s="959"/>
      <c r="C159" s="67"/>
      <c r="D159" s="58"/>
      <c r="E159" s="58"/>
      <c r="F159" s="58"/>
      <c r="G159" s="266" t="s">
        <v>71</v>
      </c>
      <c r="H159" s="266" t="s">
        <v>71</v>
      </c>
      <c r="I159" s="269"/>
      <c r="J159" s="278"/>
      <c r="K159" s="266" t="s">
        <v>71</v>
      </c>
      <c r="L159" s="63"/>
      <c r="M159" s="63"/>
      <c r="N159" s="271"/>
      <c r="O159" s="269"/>
      <c r="P159" s="270"/>
      <c r="S159" s="3" t="str">
        <f t="shared" si="4"/>
        <v>Hide</v>
      </c>
      <c r="T159" s="88"/>
    </row>
    <row r="160" spans="2:20" s="70" customFormat="1" ht="18" hidden="1" customHeight="1">
      <c r="B160" s="959"/>
      <c r="C160" s="67"/>
      <c r="D160" s="58"/>
      <c r="E160" s="58"/>
      <c r="F160" s="58"/>
      <c r="G160" s="87"/>
      <c r="H160" s="271"/>
      <c r="I160" s="269"/>
      <c r="J160" s="278"/>
      <c r="K160" s="279"/>
      <c r="L160" s="63"/>
      <c r="M160" s="63"/>
      <c r="N160" s="271"/>
      <c r="O160" s="269"/>
      <c r="P160" s="270"/>
      <c r="S160" s="3" t="str">
        <f t="shared" si="4"/>
        <v>Hide</v>
      </c>
      <c r="T160" s="57"/>
    </row>
    <row r="161" spans="2:20" s="70" customFormat="1" ht="18" hidden="1" customHeight="1">
      <c r="B161" s="959"/>
      <c r="C161" s="67"/>
      <c r="D161" s="58"/>
      <c r="E161" s="58"/>
      <c r="F161" s="58"/>
      <c r="G161" s="87"/>
      <c r="H161" s="271"/>
      <c r="I161" s="269"/>
      <c r="J161" s="278"/>
      <c r="K161" s="279"/>
      <c r="L161" s="63"/>
      <c r="M161" s="63"/>
      <c r="N161" s="271"/>
      <c r="O161" s="269"/>
      <c r="P161" s="270"/>
      <c r="S161" s="3" t="str">
        <f t="shared" si="4"/>
        <v>Hide</v>
      </c>
      <c r="T161" s="57"/>
    </row>
    <row r="162" spans="2:20" s="70" customFormat="1" ht="18" hidden="1" customHeight="1">
      <c r="B162" s="959"/>
      <c r="C162" s="67"/>
      <c r="D162" s="58"/>
      <c r="E162" s="58"/>
      <c r="F162" s="58"/>
      <c r="G162" s="266" t="s">
        <v>71</v>
      </c>
      <c r="H162" s="266" t="s">
        <v>71</v>
      </c>
      <c r="I162" s="269"/>
      <c r="J162" s="278"/>
      <c r="K162" s="266" t="s">
        <v>71</v>
      </c>
      <c r="L162" s="63"/>
      <c r="M162" s="63"/>
      <c r="N162" s="271"/>
      <c r="O162" s="269"/>
      <c r="P162" s="270"/>
      <c r="S162" s="3" t="str">
        <f t="shared" si="4"/>
        <v>Hide</v>
      </c>
      <c r="T162" s="57"/>
    </row>
    <row r="163" spans="2:20" s="70" customFormat="1" ht="18" hidden="1" customHeight="1">
      <c r="B163" s="959"/>
      <c r="C163" s="67"/>
      <c r="D163" s="58"/>
      <c r="E163" s="58"/>
      <c r="F163" s="58"/>
      <c r="G163" s="266" t="s">
        <v>71</v>
      </c>
      <c r="H163" s="266" t="s">
        <v>71</v>
      </c>
      <c r="I163" s="269"/>
      <c r="J163" s="278"/>
      <c r="K163" s="266" t="s">
        <v>71</v>
      </c>
      <c r="L163" s="63"/>
      <c r="M163" s="63"/>
      <c r="N163" s="271"/>
      <c r="O163" s="269"/>
      <c r="P163" s="270"/>
      <c r="S163" s="3" t="str">
        <f t="shared" si="4"/>
        <v>Hide</v>
      </c>
      <c r="T163" s="57"/>
    </row>
    <row r="164" spans="2:20" s="70" customFormat="1" ht="18" hidden="1" customHeight="1">
      <c r="B164" s="959"/>
      <c r="C164" s="67"/>
      <c r="D164" s="58"/>
      <c r="E164" s="58"/>
      <c r="F164" s="58"/>
      <c r="G164" s="87"/>
      <c r="H164" s="271"/>
      <c r="I164" s="269"/>
      <c r="J164" s="278"/>
      <c r="K164" s="279"/>
      <c r="L164" s="63"/>
      <c r="M164" s="63"/>
      <c r="N164" s="271"/>
      <c r="O164" s="269"/>
      <c r="P164" s="270"/>
      <c r="S164" s="3" t="str">
        <f t="shared" si="4"/>
        <v>Hide</v>
      </c>
      <c r="T164" s="57"/>
    </row>
    <row r="165" spans="2:20" s="70" customFormat="1" ht="18" hidden="1" customHeight="1">
      <c r="B165" s="959"/>
      <c r="C165" s="67"/>
      <c r="D165" s="58"/>
      <c r="E165" s="58"/>
      <c r="F165" s="58"/>
      <c r="G165" s="87"/>
      <c r="H165" s="271"/>
      <c r="I165" s="269"/>
      <c r="J165" s="278"/>
      <c r="K165" s="279"/>
      <c r="L165" s="63"/>
      <c r="M165" s="63"/>
      <c r="N165" s="271"/>
      <c r="O165" s="269"/>
      <c r="P165" s="270"/>
      <c r="S165" s="3" t="str">
        <f t="shared" si="4"/>
        <v>Hide</v>
      </c>
      <c r="T165" s="57"/>
    </row>
    <row r="166" spans="2:20" s="70" customFormat="1" ht="18" hidden="1" customHeight="1">
      <c r="B166" s="959"/>
      <c r="C166" s="67"/>
      <c r="D166" s="58"/>
      <c r="E166" s="58"/>
      <c r="F166" s="58"/>
      <c r="G166" s="266" t="s">
        <v>71</v>
      </c>
      <c r="H166" s="266" t="s">
        <v>71</v>
      </c>
      <c r="I166" s="269"/>
      <c r="J166" s="278"/>
      <c r="K166" s="266" t="s">
        <v>71</v>
      </c>
      <c r="L166" s="63"/>
      <c r="M166" s="63"/>
      <c r="N166" s="271"/>
      <c r="O166" s="269"/>
      <c r="P166" s="270"/>
      <c r="S166" s="3" t="str">
        <f t="shared" si="4"/>
        <v>Hide</v>
      </c>
      <c r="T166" s="57"/>
    </row>
    <row r="167" spans="2:20" s="70" customFormat="1" ht="18" hidden="1" customHeight="1">
      <c r="B167" s="959"/>
      <c r="C167" s="67"/>
      <c r="D167" s="58"/>
      <c r="E167" s="58"/>
      <c r="F167" s="58"/>
      <c r="G167" s="266" t="s">
        <v>71</v>
      </c>
      <c r="H167" s="266" t="s">
        <v>71</v>
      </c>
      <c r="I167" s="269"/>
      <c r="J167" s="278"/>
      <c r="K167" s="266" t="s">
        <v>71</v>
      </c>
      <c r="L167" s="63"/>
      <c r="M167" s="63"/>
      <c r="N167" s="271"/>
      <c r="O167" s="269"/>
      <c r="P167" s="270"/>
      <c r="S167" s="3" t="str">
        <f t="shared" si="4"/>
        <v>Hide</v>
      </c>
      <c r="T167" s="57"/>
    </row>
    <row r="168" spans="2:20" s="70" customFormat="1" ht="18" hidden="1" customHeight="1">
      <c r="B168" s="959"/>
      <c r="C168" s="67"/>
      <c r="D168" s="58"/>
      <c r="E168" s="58"/>
      <c r="F168" s="58"/>
      <c r="G168" s="87"/>
      <c r="H168" s="271"/>
      <c r="I168" s="269"/>
      <c r="J168" s="278"/>
      <c r="K168" s="279"/>
      <c r="L168" s="63"/>
      <c r="M168" s="63"/>
      <c r="N168" s="271"/>
      <c r="O168" s="269"/>
      <c r="P168" s="270"/>
      <c r="S168" s="3" t="str">
        <f t="shared" si="4"/>
        <v>Hide</v>
      </c>
      <c r="T168" s="57"/>
    </row>
    <row r="169" spans="2:20" s="70" customFormat="1" ht="18" hidden="1" customHeight="1">
      <c r="B169" s="959"/>
      <c r="C169" s="67"/>
      <c r="D169" s="58"/>
      <c r="E169" s="58"/>
      <c r="F169" s="58"/>
      <c r="G169" s="87"/>
      <c r="H169" s="271"/>
      <c r="I169" s="269"/>
      <c r="J169" s="278"/>
      <c r="K169" s="279"/>
      <c r="L169" s="63"/>
      <c r="M169" s="63"/>
      <c r="N169" s="271"/>
      <c r="O169" s="269"/>
      <c r="P169" s="270"/>
      <c r="S169" s="3" t="str">
        <f t="shared" si="4"/>
        <v>Hide</v>
      </c>
      <c r="T169" s="57"/>
    </row>
    <row r="170" spans="2:20" s="70" customFormat="1" ht="18" hidden="1" customHeight="1">
      <c r="B170" s="959"/>
      <c r="C170" s="67"/>
      <c r="D170" s="58"/>
      <c r="E170" s="58"/>
      <c r="F170" s="58"/>
      <c r="G170" s="266" t="s">
        <v>71</v>
      </c>
      <c r="H170" s="266" t="s">
        <v>71</v>
      </c>
      <c r="I170" s="269"/>
      <c r="J170" s="278"/>
      <c r="K170" s="266" t="s">
        <v>71</v>
      </c>
      <c r="L170" s="63"/>
      <c r="M170" s="63"/>
      <c r="N170" s="271"/>
      <c r="O170" s="269"/>
      <c r="P170" s="270"/>
      <c r="S170" s="3" t="str">
        <f t="shared" si="4"/>
        <v>Hide</v>
      </c>
      <c r="T170" s="57"/>
    </row>
    <row r="171" spans="2:20" s="70" customFormat="1" ht="18" hidden="1" customHeight="1">
      <c r="B171" s="959"/>
      <c r="C171" s="67"/>
      <c r="D171" s="58"/>
      <c r="E171" s="58"/>
      <c r="F171" s="58"/>
      <c r="G171" s="266" t="s">
        <v>71</v>
      </c>
      <c r="H171" s="266" t="s">
        <v>71</v>
      </c>
      <c r="I171" s="269"/>
      <c r="J171" s="278"/>
      <c r="K171" s="266" t="s">
        <v>71</v>
      </c>
      <c r="L171" s="63"/>
      <c r="M171" s="63"/>
      <c r="N171" s="271"/>
      <c r="O171" s="269"/>
      <c r="P171" s="270"/>
      <c r="S171" s="3" t="str">
        <f t="shared" si="4"/>
        <v>Hide</v>
      </c>
      <c r="T171" s="57"/>
    </row>
    <row r="172" spans="2:20" s="70" customFormat="1" ht="18" hidden="1" customHeight="1">
      <c r="B172" s="959"/>
      <c r="C172" s="67"/>
      <c r="D172" s="58"/>
      <c r="E172" s="58"/>
      <c r="F172" s="58"/>
      <c r="G172" s="87"/>
      <c r="H172" s="271"/>
      <c r="I172" s="269"/>
      <c r="J172" s="278"/>
      <c r="K172" s="279"/>
      <c r="L172" s="63"/>
      <c r="M172" s="63"/>
      <c r="N172" s="271"/>
      <c r="O172" s="269"/>
      <c r="P172" s="270"/>
      <c r="S172" s="3" t="str">
        <f t="shared" si="4"/>
        <v>Hide</v>
      </c>
      <c r="T172" s="57"/>
    </row>
    <row r="173" spans="2:20" s="70" customFormat="1" ht="18" hidden="1" customHeight="1">
      <c r="B173" s="959"/>
      <c r="C173" s="67"/>
      <c r="D173" s="58"/>
      <c r="E173" s="58"/>
      <c r="F173" s="58"/>
      <c r="G173" s="87"/>
      <c r="H173" s="271"/>
      <c r="I173" s="269"/>
      <c r="J173" s="278"/>
      <c r="K173" s="279"/>
      <c r="L173" s="63"/>
      <c r="M173" s="63"/>
      <c r="N173" s="271"/>
      <c r="O173" s="269"/>
      <c r="P173" s="270"/>
      <c r="S173" s="3" t="str">
        <f t="shared" si="4"/>
        <v>Hide</v>
      </c>
      <c r="T173" s="57"/>
    </row>
    <row r="174" spans="2:20" s="70" customFormat="1" ht="18" hidden="1" customHeight="1">
      <c r="B174" s="959"/>
      <c r="C174" s="67"/>
      <c r="D174" s="58"/>
      <c r="E174" s="58"/>
      <c r="F174" s="58"/>
      <c r="G174" s="266" t="s">
        <v>71</v>
      </c>
      <c r="H174" s="266" t="s">
        <v>71</v>
      </c>
      <c r="I174" s="269"/>
      <c r="J174" s="278"/>
      <c r="K174" s="266" t="s">
        <v>71</v>
      </c>
      <c r="L174" s="63"/>
      <c r="M174" s="63"/>
      <c r="N174" s="271"/>
      <c r="O174" s="269"/>
      <c r="P174" s="270"/>
      <c r="S174" s="3" t="str">
        <f t="shared" si="4"/>
        <v>Hide</v>
      </c>
      <c r="T174" s="57"/>
    </row>
    <row r="175" spans="2:20" s="70" customFormat="1" ht="18" hidden="1" customHeight="1">
      <c r="B175" s="959"/>
      <c r="C175" s="67"/>
      <c r="D175" s="58"/>
      <c r="E175" s="58"/>
      <c r="F175" s="58"/>
      <c r="G175" s="266" t="s">
        <v>71</v>
      </c>
      <c r="H175" s="266" t="s">
        <v>71</v>
      </c>
      <c r="I175" s="269"/>
      <c r="J175" s="278"/>
      <c r="K175" s="266" t="s">
        <v>71</v>
      </c>
      <c r="L175" s="63"/>
      <c r="M175" s="63"/>
      <c r="N175" s="271"/>
      <c r="O175" s="269"/>
      <c r="P175" s="270"/>
      <c r="S175" s="3" t="str">
        <f t="shared" si="4"/>
        <v>Hide</v>
      </c>
      <c r="T175" s="57"/>
    </row>
    <row r="176" spans="2:20" s="70" customFormat="1" ht="18" hidden="1" customHeight="1">
      <c r="B176" s="959"/>
      <c r="C176" s="67"/>
      <c r="D176" s="58"/>
      <c r="E176" s="58"/>
      <c r="F176" s="58"/>
      <c r="G176" s="87"/>
      <c r="H176" s="271"/>
      <c r="I176" s="269"/>
      <c r="J176" s="278"/>
      <c r="K176" s="279"/>
      <c r="L176" s="63"/>
      <c r="M176" s="63"/>
      <c r="N176" s="271"/>
      <c r="O176" s="269"/>
      <c r="P176" s="270"/>
      <c r="S176" s="3" t="str">
        <f t="shared" si="4"/>
        <v>Hide</v>
      </c>
      <c r="T176" s="57"/>
    </row>
    <row r="177" spans="2:20" s="70" customFormat="1" ht="18" hidden="1" customHeight="1">
      <c r="B177" s="959"/>
      <c r="C177" s="67"/>
      <c r="D177" s="58"/>
      <c r="E177" s="58"/>
      <c r="F177" s="58"/>
      <c r="G177" s="87"/>
      <c r="H177" s="271"/>
      <c r="I177" s="269"/>
      <c r="J177" s="278"/>
      <c r="K177" s="279"/>
      <c r="L177" s="63"/>
      <c r="M177" s="63"/>
      <c r="N177" s="271"/>
      <c r="O177" s="269"/>
      <c r="P177" s="270"/>
      <c r="S177" s="3" t="str">
        <f t="shared" si="4"/>
        <v>Hide</v>
      </c>
      <c r="T177" s="57"/>
    </row>
    <row r="178" spans="2:20" s="70" customFormat="1" ht="18" hidden="1" customHeight="1">
      <c r="B178" s="959"/>
      <c r="C178" s="67"/>
      <c r="D178" s="58"/>
      <c r="E178" s="58"/>
      <c r="F178" s="58"/>
      <c r="G178" s="266" t="s">
        <v>71</v>
      </c>
      <c r="H178" s="266" t="s">
        <v>71</v>
      </c>
      <c r="I178" s="269"/>
      <c r="J178" s="278"/>
      <c r="K178" s="266" t="s">
        <v>71</v>
      </c>
      <c r="L178" s="63"/>
      <c r="M178" s="63"/>
      <c r="N178" s="271"/>
      <c r="O178" s="269"/>
      <c r="P178" s="270"/>
      <c r="S178" s="3" t="str">
        <f t="shared" si="4"/>
        <v>Hide</v>
      </c>
      <c r="T178" s="57"/>
    </row>
    <row r="179" spans="2:20" s="70" customFormat="1" ht="18" hidden="1" customHeight="1">
      <c r="B179" s="959"/>
      <c r="C179" s="67"/>
      <c r="D179" s="58"/>
      <c r="E179" s="58"/>
      <c r="F179" s="58"/>
      <c r="G179" s="266" t="s">
        <v>71</v>
      </c>
      <c r="H179" s="266" t="s">
        <v>71</v>
      </c>
      <c r="I179" s="272"/>
      <c r="J179" s="280"/>
      <c r="K179" s="266" t="s">
        <v>71</v>
      </c>
      <c r="L179" s="63"/>
      <c r="M179" s="63"/>
      <c r="N179" s="271"/>
      <c r="O179" s="272"/>
      <c r="P179" s="273"/>
      <c r="S179" s="3" t="str">
        <f t="shared" si="4"/>
        <v>Hide</v>
      </c>
      <c r="T179" s="57"/>
    </row>
    <row r="180" spans="2:20" s="70" customFormat="1" ht="21" customHeight="1">
      <c r="B180" s="959"/>
      <c r="C180" s="964" t="s">
        <v>70</v>
      </c>
      <c r="D180" s="949"/>
      <c r="E180" s="949"/>
      <c r="F180" s="949"/>
      <c r="G180" s="949"/>
      <c r="H180" s="949"/>
      <c r="I180" s="949"/>
      <c r="J180" s="949"/>
      <c r="K180" s="949"/>
      <c r="L180" s="949"/>
      <c r="M180" s="949"/>
      <c r="N180" s="949"/>
      <c r="O180" s="949"/>
      <c r="P180" s="964"/>
      <c r="S180" s="3" t="str">
        <f>IF(C$183&lt;&gt;"","Show","Hide")</f>
        <v>Show</v>
      </c>
      <c r="T180" s="57"/>
    </row>
    <row r="181" spans="2:20" s="70" customFormat="1" ht="43.2">
      <c r="B181" s="959"/>
      <c r="C181" s="945"/>
      <c r="D181" s="215"/>
      <c r="E181" s="215"/>
      <c r="F181" s="216"/>
      <c r="G181" s="26" t="s">
        <v>69</v>
      </c>
      <c r="H181" s="26" t="s">
        <v>68</v>
      </c>
      <c r="I181" s="26" t="s">
        <v>67</v>
      </c>
      <c r="J181" s="26" t="s">
        <v>66</v>
      </c>
      <c r="K181" s="26" t="s">
        <v>65</v>
      </c>
      <c r="L181" s="26" t="s">
        <v>64</v>
      </c>
      <c r="M181" s="26" t="s">
        <v>63</v>
      </c>
      <c r="N181" s="26" t="s">
        <v>62</v>
      </c>
      <c r="O181" s="26" t="s">
        <v>61</v>
      </c>
      <c r="P181" s="955" t="s">
        <v>1</v>
      </c>
      <c r="S181" s="3" t="str">
        <f>IF(C$183&lt;&gt;"","Show","Hide")</f>
        <v>Show</v>
      </c>
      <c r="T181" s="57"/>
    </row>
    <row r="182" spans="2:20" s="70" customFormat="1" ht="28.35" customHeight="1">
      <c r="B182" s="959"/>
      <c r="C182" s="946"/>
      <c r="D182" s="62" t="s">
        <v>60</v>
      </c>
      <c r="E182" s="62" t="s">
        <v>59</v>
      </c>
      <c r="F182" s="62" t="s">
        <v>58</v>
      </c>
      <c r="G182" s="26">
        <v>0.2</v>
      </c>
      <c r="H182" s="26">
        <v>250</v>
      </c>
      <c r="I182" s="26">
        <v>2</v>
      </c>
      <c r="J182" s="26">
        <v>0.05</v>
      </c>
      <c r="K182" s="26">
        <v>270</v>
      </c>
      <c r="L182" s="26">
        <v>250</v>
      </c>
      <c r="M182" s="26">
        <v>0.3</v>
      </c>
      <c r="N182" s="26">
        <v>5</v>
      </c>
      <c r="O182" s="26">
        <v>500</v>
      </c>
      <c r="P182" s="956"/>
      <c r="S182" s="3" t="str">
        <f>IF(C$183&lt;&gt;"","Show","Hide")</f>
        <v>Show</v>
      </c>
      <c r="T182" s="57"/>
    </row>
    <row r="183" spans="2:20" s="70" customFormat="1" ht="18" customHeight="1">
      <c r="B183" s="959"/>
      <c r="C183" s="284">
        <v>1</v>
      </c>
      <c r="D183" s="282" t="s">
        <v>543</v>
      </c>
      <c r="E183" s="282" t="s">
        <v>544</v>
      </c>
      <c r="F183" s="282" t="s">
        <v>545</v>
      </c>
      <c r="G183" s="61" t="s">
        <v>727</v>
      </c>
      <c r="H183" s="61">
        <v>8</v>
      </c>
      <c r="I183" s="61" t="s">
        <v>728</v>
      </c>
      <c r="J183" s="717">
        <v>5.0000000000000001E-4</v>
      </c>
      <c r="K183" s="61">
        <v>8</v>
      </c>
      <c r="L183" s="716">
        <v>21</v>
      </c>
      <c r="M183" s="61" t="s">
        <v>729</v>
      </c>
      <c r="N183" s="716">
        <v>1.7</v>
      </c>
      <c r="O183" s="61">
        <v>210</v>
      </c>
      <c r="P183" s="271" t="s">
        <v>1456</v>
      </c>
      <c r="S183" s="3" t="str">
        <f t="shared" ref="S183:S202" si="5">IF(C183&lt;&gt;"","Show","Hide")</f>
        <v>Show</v>
      </c>
      <c r="T183" s="57"/>
    </row>
    <row r="184" spans="2:20" s="70" customFormat="1" ht="18" customHeight="1">
      <c r="B184" s="60"/>
      <c r="C184" s="284">
        <v>2</v>
      </c>
      <c r="D184" s="282" t="s">
        <v>547</v>
      </c>
      <c r="E184" s="282" t="s">
        <v>548</v>
      </c>
      <c r="F184" s="282" t="s">
        <v>549</v>
      </c>
      <c r="G184" s="85" t="s">
        <v>727</v>
      </c>
      <c r="H184" s="85">
        <v>7</v>
      </c>
      <c r="I184" s="85" t="s">
        <v>728</v>
      </c>
      <c r="J184" s="87">
        <v>5.0000000000000001E-4</v>
      </c>
      <c r="K184" s="720">
        <v>8</v>
      </c>
      <c r="L184" s="85">
        <v>21.2</v>
      </c>
      <c r="M184" s="85" t="s">
        <v>729</v>
      </c>
      <c r="N184" s="85">
        <v>0.9</v>
      </c>
      <c r="O184" s="720">
        <v>214</v>
      </c>
      <c r="P184" s="271" t="s">
        <v>1456</v>
      </c>
      <c r="S184" s="3" t="str">
        <f t="shared" si="5"/>
        <v>Show</v>
      </c>
      <c r="T184" s="57"/>
    </row>
    <row r="185" spans="2:20" s="70" customFormat="1" ht="18" customHeight="1">
      <c r="B185" s="60"/>
      <c r="C185" s="284">
        <v>3</v>
      </c>
      <c r="D185" s="282" t="s">
        <v>550</v>
      </c>
      <c r="E185" s="282" t="s">
        <v>551</v>
      </c>
      <c r="F185" s="282" t="s">
        <v>545</v>
      </c>
      <c r="G185" s="85" t="s">
        <v>727</v>
      </c>
      <c r="H185" s="85">
        <v>7</v>
      </c>
      <c r="I185" s="85" t="s">
        <v>728</v>
      </c>
      <c r="J185" s="87">
        <v>5.9999999999999995E-4</v>
      </c>
      <c r="K185" s="720">
        <v>23</v>
      </c>
      <c r="L185" s="85">
        <v>21.2</v>
      </c>
      <c r="M185" s="85" t="s">
        <v>729</v>
      </c>
      <c r="N185" s="85">
        <v>1.4</v>
      </c>
      <c r="O185" s="720">
        <v>212</v>
      </c>
      <c r="P185" s="271" t="s">
        <v>1456</v>
      </c>
      <c r="S185" s="3" t="str">
        <f t="shared" si="5"/>
        <v>Show</v>
      </c>
      <c r="T185" s="57"/>
    </row>
    <row r="186" spans="2:20" s="70" customFormat="1" ht="18" customHeight="1">
      <c r="B186" s="60"/>
      <c r="C186" s="284">
        <v>4</v>
      </c>
      <c r="D186" s="282" t="s">
        <v>552</v>
      </c>
      <c r="E186" s="282" t="s">
        <v>551</v>
      </c>
      <c r="F186" s="282" t="s">
        <v>545</v>
      </c>
      <c r="G186" s="85" t="s">
        <v>727</v>
      </c>
      <c r="H186" s="85">
        <v>8</v>
      </c>
      <c r="I186" s="85" t="s">
        <v>728</v>
      </c>
      <c r="J186" s="87">
        <v>1.6000000000000001E-3</v>
      </c>
      <c r="K186" s="720">
        <v>31</v>
      </c>
      <c r="L186" s="85">
        <v>21.4</v>
      </c>
      <c r="M186" s="85" t="s">
        <v>729</v>
      </c>
      <c r="N186" s="85">
        <v>1.9</v>
      </c>
      <c r="O186" s="720">
        <v>205</v>
      </c>
      <c r="P186" s="271" t="s">
        <v>1456</v>
      </c>
      <c r="S186" s="3" t="str">
        <f t="shared" si="5"/>
        <v>Show</v>
      </c>
      <c r="T186" s="57"/>
    </row>
    <row r="187" spans="2:20" s="70" customFormat="1" ht="18" hidden="1" customHeight="1">
      <c r="B187" s="60"/>
      <c r="C187" s="59"/>
      <c r="D187" s="58"/>
      <c r="E187" s="58"/>
      <c r="F187" s="58"/>
      <c r="G187" s="85"/>
      <c r="H187" s="85"/>
      <c r="I187" s="85"/>
      <c r="J187" s="87"/>
      <c r="K187" s="85"/>
      <c r="L187" s="85"/>
      <c r="M187" s="85"/>
      <c r="N187" s="85"/>
      <c r="O187" s="271"/>
      <c r="P187" s="271"/>
      <c r="S187" s="3" t="str">
        <f t="shared" si="5"/>
        <v>Hide</v>
      </c>
      <c r="T187" s="57"/>
    </row>
    <row r="188" spans="2:20" s="70" customFormat="1" ht="18" hidden="1" customHeight="1">
      <c r="B188" s="60"/>
      <c r="C188" s="59"/>
      <c r="D188" s="58"/>
      <c r="E188" s="58"/>
      <c r="F188" s="58"/>
      <c r="G188" s="85"/>
      <c r="H188" s="85"/>
      <c r="I188" s="85"/>
      <c r="J188" s="87"/>
      <c r="K188" s="85"/>
      <c r="L188" s="85"/>
      <c r="M188" s="85"/>
      <c r="N188" s="85"/>
      <c r="O188" s="271"/>
      <c r="P188" s="271"/>
      <c r="S188" s="3" t="str">
        <f t="shared" si="5"/>
        <v>Hide</v>
      </c>
      <c r="T188" s="57"/>
    </row>
    <row r="189" spans="2:20" s="70" customFormat="1" ht="18" hidden="1" customHeight="1">
      <c r="B189" s="60"/>
      <c r="C189" s="59"/>
      <c r="D189" s="58"/>
      <c r="E189" s="58"/>
      <c r="F189" s="58"/>
      <c r="G189" s="85"/>
      <c r="H189" s="85"/>
      <c r="I189" s="85"/>
      <c r="J189" s="87"/>
      <c r="K189" s="85"/>
      <c r="L189" s="85"/>
      <c r="M189" s="85"/>
      <c r="N189" s="85"/>
      <c r="O189" s="271"/>
      <c r="P189" s="271"/>
      <c r="S189" s="3" t="str">
        <f t="shared" si="5"/>
        <v>Hide</v>
      </c>
      <c r="T189" s="57"/>
    </row>
    <row r="190" spans="2:20" s="70" customFormat="1" ht="18" hidden="1" customHeight="1">
      <c r="B190" s="60"/>
      <c r="C190" s="59"/>
      <c r="D190" s="58"/>
      <c r="E190" s="58"/>
      <c r="F190" s="58"/>
      <c r="G190" s="85"/>
      <c r="H190" s="85"/>
      <c r="I190" s="85"/>
      <c r="J190" s="87"/>
      <c r="K190" s="85"/>
      <c r="L190" s="85"/>
      <c r="M190" s="85"/>
      <c r="N190" s="85"/>
      <c r="O190" s="271"/>
      <c r="P190" s="271"/>
      <c r="S190" s="3" t="str">
        <f t="shared" si="5"/>
        <v>Hide</v>
      </c>
      <c r="T190" s="57"/>
    </row>
    <row r="191" spans="2:20" s="70" customFormat="1" ht="18" hidden="1" customHeight="1">
      <c r="B191" s="60"/>
      <c r="C191" s="59"/>
      <c r="D191" s="58"/>
      <c r="E191" s="58"/>
      <c r="F191" s="58"/>
      <c r="G191" s="85"/>
      <c r="H191" s="85"/>
      <c r="I191" s="85"/>
      <c r="J191" s="87"/>
      <c r="K191" s="85"/>
      <c r="L191" s="85"/>
      <c r="M191" s="85"/>
      <c r="N191" s="85"/>
      <c r="O191" s="271"/>
      <c r="P191" s="271"/>
      <c r="S191" s="3" t="str">
        <f t="shared" si="5"/>
        <v>Hide</v>
      </c>
      <c r="T191" s="57"/>
    </row>
    <row r="192" spans="2:20" s="70" customFormat="1" ht="18" hidden="1" customHeight="1">
      <c r="B192" s="60"/>
      <c r="C192" s="59"/>
      <c r="D192" s="58"/>
      <c r="E192" s="58"/>
      <c r="F192" s="58"/>
      <c r="G192" s="85"/>
      <c r="H192" s="85"/>
      <c r="I192" s="85"/>
      <c r="J192" s="87"/>
      <c r="K192" s="85"/>
      <c r="L192" s="85"/>
      <c r="M192" s="85"/>
      <c r="N192" s="85"/>
      <c r="O192" s="271"/>
      <c r="P192" s="271"/>
      <c r="S192" s="3" t="str">
        <f t="shared" si="5"/>
        <v>Hide</v>
      </c>
      <c r="T192" s="57"/>
    </row>
    <row r="193" spans="2:20" s="70" customFormat="1" ht="18" hidden="1" customHeight="1">
      <c r="B193" s="60"/>
      <c r="C193" s="59"/>
      <c r="D193" s="58"/>
      <c r="E193" s="58"/>
      <c r="F193" s="58"/>
      <c r="G193" s="85"/>
      <c r="H193" s="85"/>
      <c r="I193" s="85"/>
      <c r="J193" s="87"/>
      <c r="K193" s="85"/>
      <c r="L193" s="85"/>
      <c r="M193" s="85"/>
      <c r="N193" s="85"/>
      <c r="O193" s="271"/>
      <c r="P193" s="271"/>
      <c r="S193" s="3" t="str">
        <f t="shared" si="5"/>
        <v>Hide</v>
      </c>
      <c r="T193" s="57"/>
    </row>
    <row r="194" spans="2:20" s="70" customFormat="1" ht="18" hidden="1" customHeight="1">
      <c r="B194" s="60"/>
      <c r="C194" s="59"/>
      <c r="D194" s="58"/>
      <c r="E194" s="58"/>
      <c r="F194" s="58"/>
      <c r="G194" s="85"/>
      <c r="H194" s="85"/>
      <c r="I194" s="85"/>
      <c r="J194" s="87"/>
      <c r="K194" s="85"/>
      <c r="L194" s="85"/>
      <c r="M194" s="85"/>
      <c r="N194" s="85"/>
      <c r="O194" s="271"/>
      <c r="P194" s="271"/>
      <c r="S194" s="3" t="str">
        <f t="shared" si="5"/>
        <v>Hide</v>
      </c>
      <c r="T194" s="57"/>
    </row>
    <row r="195" spans="2:20" s="70" customFormat="1" ht="18" hidden="1" customHeight="1">
      <c r="B195" s="60"/>
      <c r="C195" s="59"/>
      <c r="D195" s="58"/>
      <c r="E195" s="58"/>
      <c r="F195" s="58"/>
      <c r="G195" s="85"/>
      <c r="H195" s="85"/>
      <c r="I195" s="85"/>
      <c r="J195" s="87"/>
      <c r="K195" s="85"/>
      <c r="L195" s="85"/>
      <c r="M195" s="85"/>
      <c r="N195" s="85"/>
      <c r="O195" s="271"/>
      <c r="P195" s="271"/>
      <c r="S195" s="3" t="str">
        <f t="shared" si="5"/>
        <v>Hide</v>
      </c>
      <c r="T195" s="57"/>
    </row>
    <row r="196" spans="2:20" s="70" customFormat="1" ht="18" hidden="1" customHeight="1">
      <c r="B196" s="60"/>
      <c r="C196" s="59"/>
      <c r="D196" s="58"/>
      <c r="E196" s="58"/>
      <c r="F196" s="58"/>
      <c r="G196" s="85"/>
      <c r="H196" s="85"/>
      <c r="I196" s="85"/>
      <c r="J196" s="87"/>
      <c r="K196" s="85"/>
      <c r="L196" s="85"/>
      <c r="M196" s="85"/>
      <c r="N196" s="85"/>
      <c r="O196" s="271"/>
      <c r="P196" s="271"/>
      <c r="S196" s="3" t="str">
        <f t="shared" si="5"/>
        <v>Hide</v>
      </c>
      <c r="T196" s="57"/>
    </row>
    <row r="197" spans="2:20" s="70" customFormat="1" ht="18" hidden="1" customHeight="1">
      <c r="B197" s="60"/>
      <c r="C197" s="59"/>
      <c r="D197" s="58"/>
      <c r="E197" s="58"/>
      <c r="F197" s="58"/>
      <c r="G197" s="85"/>
      <c r="H197" s="85"/>
      <c r="I197" s="85"/>
      <c r="J197" s="87"/>
      <c r="K197" s="85"/>
      <c r="L197" s="85"/>
      <c r="M197" s="85"/>
      <c r="N197" s="85"/>
      <c r="O197" s="271"/>
      <c r="P197" s="271"/>
      <c r="S197" s="3" t="str">
        <f t="shared" si="5"/>
        <v>Hide</v>
      </c>
      <c r="T197" s="57"/>
    </row>
    <row r="198" spans="2:20" s="70" customFormat="1" ht="18" hidden="1" customHeight="1">
      <c r="B198" s="60"/>
      <c r="C198" s="59"/>
      <c r="D198" s="58"/>
      <c r="E198" s="58"/>
      <c r="F198" s="58"/>
      <c r="G198" s="85"/>
      <c r="H198" s="85"/>
      <c r="I198" s="85"/>
      <c r="J198" s="87"/>
      <c r="K198" s="85"/>
      <c r="L198" s="85"/>
      <c r="M198" s="85"/>
      <c r="N198" s="85"/>
      <c r="O198" s="271"/>
      <c r="P198" s="271"/>
      <c r="S198" s="3" t="str">
        <f t="shared" si="5"/>
        <v>Hide</v>
      </c>
      <c r="T198" s="57"/>
    </row>
    <row r="199" spans="2:20" s="70" customFormat="1" ht="18" hidden="1" customHeight="1">
      <c r="B199" s="60"/>
      <c r="C199" s="59"/>
      <c r="D199" s="58"/>
      <c r="E199" s="58"/>
      <c r="F199" s="58"/>
      <c r="G199" s="85"/>
      <c r="H199" s="85"/>
      <c r="I199" s="85"/>
      <c r="J199" s="87"/>
      <c r="K199" s="85"/>
      <c r="L199" s="85"/>
      <c r="M199" s="85"/>
      <c r="N199" s="85"/>
      <c r="O199" s="271"/>
      <c r="P199" s="271"/>
      <c r="S199" s="3" t="str">
        <f t="shared" si="5"/>
        <v>Hide</v>
      </c>
      <c r="T199" s="57"/>
    </row>
    <row r="200" spans="2:20" s="70" customFormat="1" ht="18" hidden="1" customHeight="1">
      <c r="B200" s="60"/>
      <c r="C200" s="59"/>
      <c r="D200" s="58"/>
      <c r="E200" s="58"/>
      <c r="F200" s="58"/>
      <c r="G200" s="85"/>
      <c r="H200" s="85"/>
      <c r="I200" s="85"/>
      <c r="J200" s="87"/>
      <c r="K200" s="85"/>
      <c r="L200" s="85"/>
      <c r="M200" s="85"/>
      <c r="N200" s="85"/>
      <c r="O200" s="271"/>
      <c r="P200" s="271"/>
      <c r="S200" s="3" t="str">
        <f t="shared" si="5"/>
        <v>Hide</v>
      </c>
      <c r="T200" s="57"/>
    </row>
    <row r="201" spans="2:20" s="70" customFormat="1" ht="18" hidden="1" customHeight="1">
      <c r="B201" s="60"/>
      <c r="C201" s="59"/>
      <c r="D201" s="58"/>
      <c r="E201" s="58"/>
      <c r="F201" s="58"/>
      <c r="G201" s="85"/>
      <c r="H201" s="85"/>
      <c r="I201" s="85"/>
      <c r="J201" s="87"/>
      <c r="K201" s="85"/>
      <c r="L201" s="85"/>
      <c r="M201" s="85"/>
      <c r="N201" s="85"/>
      <c r="O201" s="271"/>
      <c r="P201" s="271"/>
      <c r="S201" s="3" t="str">
        <f t="shared" si="5"/>
        <v>Hide</v>
      </c>
      <c r="T201" s="57"/>
    </row>
    <row r="202" spans="2:20" s="70" customFormat="1" ht="18" hidden="1" customHeight="1">
      <c r="B202" s="60"/>
      <c r="C202" s="59"/>
      <c r="D202" s="58"/>
      <c r="E202" s="58"/>
      <c r="F202" s="58"/>
      <c r="G202" s="85"/>
      <c r="H202" s="85"/>
      <c r="I202" s="85"/>
      <c r="J202" s="87"/>
      <c r="K202" s="85"/>
      <c r="L202" s="85"/>
      <c r="M202" s="85"/>
      <c r="N202" s="85"/>
      <c r="O202" s="271"/>
      <c r="P202" s="271"/>
      <c r="S202" s="3" t="str">
        <f t="shared" si="5"/>
        <v>Hide</v>
      </c>
      <c r="T202" s="57"/>
    </row>
    <row r="203" spans="2:20" ht="9" customHeight="1">
      <c r="S203" s="3" t="s">
        <v>500</v>
      </c>
    </row>
    <row r="218" spans="20:20">
      <c r="T218" s="57"/>
    </row>
  </sheetData>
  <autoFilter ref="S3:T203" xr:uid="{6FFBE1A0-F609-4236-93E1-1A44716046F2}">
    <filterColumn colId="0">
      <filters>
        <filter val="Show"/>
      </filters>
    </filterColumn>
  </autoFilter>
  <mergeCells count="28">
    <mergeCell ref="B6:B183"/>
    <mergeCell ref="A1:P1"/>
    <mergeCell ref="A2:P2"/>
    <mergeCell ref="B4:P4"/>
    <mergeCell ref="C180:P180"/>
    <mergeCell ref="P181:P182"/>
    <mergeCell ref="C48:P48"/>
    <mergeCell ref="C91:P91"/>
    <mergeCell ref="C181:C182"/>
    <mergeCell ref="C138:C139"/>
    <mergeCell ref="H138:H139"/>
    <mergeCell ref="N138:N139"/>
    <mergeCell ref="C137:J137"/>
    <mergeCell ref="K137:P137"/>
    <mergeCell ref="I115:I116"/>
    <mergeCell ref="N115:N116"/>
    <mergeCell ref="C115:C116"/>
    <mergeCell ref="D49:F49"/>
    <mergeCell ref="K114:N114"/>
    <mergeCell ref="C114:I114"/>
    <mergeCell ref="T5:T33"/>
    <mergeCell ref="C6:C7"/>
    <mergeCell ref="I6:I7"/>
    <mergeCell ref="C49:C50"/>
    <mergeCell ref="C92:C93"/>
    <mergeCell ref="O49:O50"/>
    <mergeCell ref="C5:P5"/>
    <mergeCell ref="N92:N93"/>
  </mergeCells>
  <conditionalFormatting sqref="A2">
    <cfRule type="containsBlanks" dxfId="22" priority="8">
      <formula>LEN(TRIM(A2))=0</formula>
    </cfRule>
  </conditionalFormatting>
  <conditionalFormatting sqref="C140:H179">
    <cfRule type="containsBlanks" dxfId="21" priority="1">
      <formula>LEN(TRIM(C140))=0</formula>
    </cfRule>
  </conditionalFormatting>
  <conditionalFormatting sqref="C8:I47">
    <cfRule type="containsBlanks" dxfId="20" priority="7">
      <formula>LEN(TRIM(C8))=0</formula>
    </cfRule>
  </conditionalFormatting>
  <conditionalFormatting sqref="C117:I136">
    <cfRule type="containsBlanks" dxfId="19" priority="2">
      <formula>LEN(TRIM(C117))=0</formula>
    </cfRule>
  </conditionalFormatting>
  <conditionalFormatting sqref="C94:N113">
    <cfRule type="containsBlanks" dxfId="18" priority="5">
      <formula>LEN(TRIM(C94))=0</formula>
    </cfRule>
  </conditionalFormatting>
  <conditionalFormatting sqref="C51:O90">
    <cfRule type="containsBlanks" dxfId="17" priority="6">
      <formula>LEN(TRIM(C51))=0</formula>
    </cfRule>
  </conditionalFormatting>
  <conditionalFormatting sqref="C183:P202">
    <cfRule type="containsBlanks" dxfId="16" priority="3">
      <formula>LEN(TRIM(C183))=0</formula>
    </cfRule>
  </conditionalFormatting>
  <conditionalFormatting sqref="K117:N136 K140:N179">
    <cfRule type="containsBlanks" dxfId="15" priority="4">
      <formula>LEN(TRIM(K117))=0</formula>
    </cfRule>
  </conditionalFormatting>
  <dataValidations count="2">
    <dataValidation type="list" allowBlank="1" showInputMessage="1" showErrorMessage="1" sqref="P183:P202 O184:O202" xr:uid="{56AF01AD-4F3A-451B-96BF-54643330069C}">
      <formula1>"MET,NOT MET,TBD,WITHDRAWN"</formula1>
    </dataValidation>
    <dataValidation type="list" allowBlank="1" showInputMessage="1" showErrorMessage="1" sqref="I117:I136 N117:N136 G118:H136 K118:M136 N94:N113 N140:N179 H176:H177 H140:H141 H144:H145 H148:H149 H152:H153 H156:H157 H160:H161 H164:H165 H168:H169 H172:H173 O51:O90" xr:uid="{003E44E9-8E97-42A2-8557-506EBA811935}">
      <formula1>"MET,NOT MET,TBD"</formula1>
    </dataValidation>
  </dataValidations>
  <pageMargins left="0.7" right="0.7" top="0.75" bottom="0.75" header="0.3" footer="0.3"/>
  <pageSetup scale="33" fitToHeight="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A324A-61FD-45B5-949D-6EDB67D57180}">
  <sheetPr codeName="Sheet19" filterMode="1">
    <tabColor rgb="FF7030A0"/>
  </sheetPr>
  <dimension ref="A1:O259"/>
  <sheetViews>
    <sheetView view="pageBreakPreview" zoomScaleNormal="80" zoomScaleSheetLayoutView="100" workbookViewId="0">
      <selection activeCell="E131" sqref="E131"/>
    </sheetView>
  </sheetViews>
  <sheetFormatPr defaultColWidth="8.88671875" defaultRowHeight="20.399999999999999"/>
  <cols>
    <col min="1" max="1" width="3.88671875" style="1" customWidth="1"/>
    <col min="2" max="2" width="10.6640625" style="1" customWidth="1"/>
    <col min="3" max="3" width="15.6640625" style="1" customWidth="1"/>
    <col min="4" max="4" width="41.6640625" style="1" customWidth="1"/>
    <col min="5" max="5" width="29.44140625" style="1" customWidth="1"/>
    <col min="6" max="8" width="24.6640625" style="1" customWidth="1"/>
    <col min="9" max="9" width="24.6640625" style="1" hidden="1" customWidth="1"/>
    <col min="10" max="10" width="24.6640625" style="1" customWidth="1"/>
    <col min="11" max="11" width="31" style="1" customWidth="1"/>
    <col min="12" max="13" width="1.6640625" style="1" customWidth="1"/>
    <col min="14" max="14" width="40.44140625" style="3" customWidth="1"/>
    <col min="15" max="15" width="66.44140625" style="79" customWidth="1"/>
    <col min="16" max="16384" width="8.88671875" style="1"/>
  </cols>
  <sheetData>
    <row r="1" spans="1:15" ht="56.4" customHeight="1">
      <c r="A1" s="960"/>
      <c r="B1" s="960"/>
      <c r="C1" s="960"/>
      <c r="D1" s="960"/>
      <c r="E1" s="960"/>
      <c r="F1" s="960"/>
      <c r="G1" s="960"/>
      <c r="H1" s="960"/>
      <c r="I1" s="960"/>
      <c r="J1" s="960"/>
      <c r="K1" s="960"/>
      <c r="N1" s="55"/>
      <c r="O1" s="79" t="s">
        <v>504</v>
      </c>
    </row>
    <row r="2" spans="1:15" ht="39.9" customHeight="1">
      <c r="A2" s="961" t="str">
        <f>IF(v2p_Air!A2="","",v2p_Air!A2)</f>
        <v>2202025410 - Accenture - Assago Milanofiori U1</v>
      </c>
      <c r="B2" s="961"/>
      <c r="C2" s="961"/>
      <c r="D2" s="961"/>
      <c r="E2" s="961"/>
      <c r="F2" s="961"/>
      <c r="G2" s="961"/>
      <c r="H2" s="961"/>
      <c r="I2" s="961"/>
      <c r="J2" s="961"/>
      <c r="K2" s="961"/>
      <c r="L2" s="78"/>
      <c r="M2" s="78"/>
    </row>
    <row r="3" spans="1:15" ht="30" customHeight="1">
      <c r="A3" s="5"/>
      <c r="N3" s="203" t="s">
        <v>56</v>
      </c>
    </row>
    <row r="4" spans="1:15" ht="24" customHeight="1">
      <c r="B4" s="974" t="s">
        <v>137</v>
      </c>
      <c r="C4" s="974"/>
      <c r="D4" s="974"/>
      <c r="E4" s="974"/>
      <c r="F4" s="974"/>
      <c r="G4" s="974"/>
      <c r="H4" s="974"/>
      <c r="I4" s="974"/>
      <c r="J4" s="974"/>
      <c r="K4" s="974"/>
      <c r="N4" s="3" t="s">
        <v>500</v>
      </c>
      <c r="O4" s="97" t="s">
        <v>57</v>
      </c>
    </row>
    <row r="5" spans="1:15" ht="24" customHeight="1">
      <c r="B5" s="975"/>
      <c r="C5" s="977" t="s">
        <v>136</v>
      </c>
      <c r="D5" s="978"/>
      <c r="E5" s="978"/>
      <c r="F5" s="978"/>
      <c r="G5" s="978"/>
      <c r="H5" s="978"/>
      <c r="I5" s="978"/>
      <c r="J5" s="978"/>
      <c r="K5" s="978"/>
      <c r="N5" s="3" t="s">
        <v>500</v>
      </c>
      <c r="O5" s="219" t="s">
        <v>508</v>
      </c>
    </row>
    <row r="6" spans="1:15" ht="45" customHeight="1">
      <c r="B6" s="976"/>
      <c r="C6" s="12"/>
      <c r="D6" s="12" t="s">
        <v>135</v>
      </c>
      <c r="E6" s="12" t="s">
        <v>134</v>
      </c>
      <c r="F6" s="229" t="s">
        <v>514</v>
      </c>
      <c r="G6" s="229" t="s">
        <v>515</v>
      </c>
      <c r="H6" s="229" t="s">
        <v>516</v>
      </c>
      <c r="I6" s="12" t="s">
        <v>133</v>
      </c>
      <c r="J6" s="12" t="s">
        <v>132</v>
      </c>
      <c r="K6" s="12" t="s">
        <v>107</v>
      </c>
      <c r="N6" s="3" t="s">
        <v>500</v>
      </c>
      <c r="O6" s="983" t="s">
        <v>131</v>
      </c>
    </row>
    <row r="7" spans="1:15" ht="28.8">
      <c r="B7" s="976"/>
      <c r="C7" s="941" t="s">
        <v>130</v>
      </c>
      <c r="D7" s="941" t="s">
        <v>129</v>
      </c>
      <c r="E7" s="90" t="s">
        <v>557</v>
      </c>
      <c r="F7" s="220">
        <v>500</v>
      </c>
      <c r="G7" s="221">
        <f t="shared" ref="G7:G29" si="0">IF(E7&lt;&gt;"",VLOOKUP(E7,E$32:I$176,5,FALSE),"")</f>
        <v>826.5625</v>
      </c>
      <c r="H7" s="221">
        <f t="shared" ref="H7:H29" si="1">IF(E7&lt;&gt;"",_xlfn.MINIFS(F$32:F$176,E$32:E$176,E7),"")</f>
        <v>762.8</v>
      </c>
      <c r="I7" s="94" t="str">
        <f t="shared" ref="I7:I29" si="2">IF(E7&lt;&gt;"",_xlfn.CONCAT(IF(COUNTIF(E$30:I$176,E7) &gt;2,"Yes", "No"), " - ", COUNTIF(E$32:I$176,E7) ),"")</f>
        <v>Yes - 8</v>
      </c>
      <c r="J7" s="93" t="str">
        <f t="shared" ref="J7:J29" si="3">IF(E7&lt;&gt;"",IF(COUNTIF(E$32:I$176,E7) &lt; 3, _xlfn.CONCAT(IF(COUNTIF(E$32:I$176,E7)=0,"","Only "), COUNTIF(E$32:I$176,E7), " sample",IF(COUNTIF(E$32:I$176,E7)=1,"","s")),IFERROR(IF(G7&gt;F7,IF(H7&gt;(F7/2),"MET","NOT MET"),"NOT MET"), "ERROR IN VALUES")),"")</f>
        <v>MET</v>
      </c>
      <c r="K7" s="92"/>
      <c r="N7" s="3" t="s">
        <v>500</v>
      </c>
      <c r="O7" s="983"/>
    </row>
    <row r="8" spans="1:15" ht="14.4">
      <c r="B8" s="976"/>
      <c r="C8" s="979"/>
      <c r="D8" s="979"/>
      <c r="E8" s="90" t="s">
        <v>558</v>
      </c>
      <c r="F8" s="220">
        <v>500</v>
      </c>
      <c r="G8" s="221">
        <f t="shared" si="0"/>
        <v>822.60909090909081</v>
      </c>
      <c r="H8" s="221">
        <f t="shared" si="1"/>
        <v>685.6</v>
      </c>
      <c r="I8" s="94" t="str">
        <f t="shared" si="2"/>
        <v>Yes - 11</v>
      </c>
      <c r="J8" s="93" t="str">
        <f t="shared" si="3"/>
        <v>MET</v>
      </c>
      <c r="K8" s="92"/>
      <c r="N8" s="3" t="str">
        <f>IF(E8&lt;&gt;"","Show","Hide")</f>
        <v>Show</v>
      </c>
      <c r="O8" s="983"/>
    </row>
    <row r="9" spans="1:15" ht="14.4">
      <c r="B9" s="976"/>
      <c r="C9" s="979"/>
      <c r="D9" s="979"/>
      <c r="E9" s="90" t="s">
        <v>559</v>
      </c>
      <c r="F9" s="220">
        <v>500</v>
      </c>
      <c r="G9" s="221">
        <f t="shared" si="0"/>
        <v>803.49999999999989</v>
      </c>
      <c r="H9" s="221">
        <f t="shared" si="1"/>
        <v>539.9</v>
      </c>
      <c r="I9" s="94" t="str">
        <f t="shared" si="2"/>
        <v>Yes - 10</v>
      </c>
      <c r="J9" s="93" t="str">
        <f t="shared" si="3"/>
        <v>MET</v>
      </c>
      <c r="K9" s="92"/>
      <c r="N9" s="3" t="str">
        <f t="shared" ref="N9:N29" si="4">IF(E9&lt;&gt;"","Show","Hide")</f>
        <v>Show</v>
      </c>
      <c r="O9" s="983"/>
    </row>
    <row r="10" spans="1:15" ht="18">
      <c r="B10" s="976"/>
      <c r="C10" s="979"/>
      <c r="D10" s="979"/>
      <c r="E10" s="90" t="s">
        <v>560</v>
      </c>
      <c r="F10" s="220">
        <v>200</v>
      </c>
      <c r="G10" s="221">
        <f t="shared" si="0"/>
        <v>511.84999999999997</v>
      </c>
      <c r="H10" s="221">
        <f t="shared" si="1"/>
        <v>352</v>
      </c>
      <c r="I10" s="94" t="str">
        <f t="shared" si="2"/>
        <v>Yes - 6</v>
      </c>
      <c r="J10" s="93" t="str">
        <f t="shared" si="3"/>
        <v>MET</v>
      </c>
      <c r="K10" s="92"/>
      <c r="N10" s="3" t="str">
        <f t="shared" si="4"/>
        <v>Show</v>
      </c>
      <c r="O10" s="96"/>
    </row>
    <row r="11" spans="1:15" ht="18">
      <c r="B11" s="976"/>
      <c r="C11" s="979"/>
      <c r="D11" s="979"/>
      <c r="E11" s="90" t="s">
        <v>561</v>
      </c>
      <c r="F11" s="220">
        <v>150</v>
      </c>
      <c r="G11" s="221">
        <f t="shared" si="0"/>
        <v>421.73222222222222</v>
      </c>
      <c r="H11" s="221">
        <f t="shared" si="1"/>
        <v>151.38999999999999</v>
      </c>
      <c r="I11" s="94" t="str">
        <f t="shared" si="2"/>
        <v>Yes - 9</v>
      </c>
      <c r="J11" s="93" t="str">
        <f t="shared" si="3"/>
        <v>MET</v>
      </c>
      <c r="K11" s="92"/>
      <c r="N11" s="3" t="str">
        <f t="shared" si="4"/>
        <v>Show</v>
      </c>
      <c r="O11" s="96"/>
    </row>
    <row r="12" spans="1:15" ht="18">
      <c r="B12" s="976"/>
      <c r="C12" s="979"/>
      <c r="D12" s="979"/>
      <c r="E12" s="90" t="s">
        <v>562</v>
      </c>
      <c r="F12" s="220">
        <v>300</v>
      </c>
      <c r="G12" s="221">
        <f t="shared" si="0"/>
        <v>346.0333333333333</v>
      </c>
      <c r="H12" s="221">
        <f t="shared" si="1"/>
        <v>340.9</v>
      </c>
      <c r="I12" s="94" t="str">
        <f t="shared" si="2"/>
        <v>Yes - 3</v>
      </c>
      <c r="J12" s="93" t="str">
        <f t="shared" si="3"/>
        <v>MET</v>
      </c>
      <c r="K12" s="92"/>
      <c r="N12" s="3" t="str">
        <f t="shared" si="4"/>
        <v>Show</v>
      </c>
      <c r="O12" s="95"/>
    </row>
    <row r="13" spans="1:15" ht="14.4">
      <c r="B13" s="976"/>
      <c r="C13" s="979"/>
      <c r="D13" s="979"/>
      <c r="E13" s="90" t="s">
        <v>563</v>
      </c>
      <c r="F13" s="220">
        <v>100</v>
      </c>
      <c r="G13" s="221">
        <f t="shared" si="0"/>
        <v>291.98666666666668</v>
      </c>
      <c r="H13" s="221">
        <f t="shared" si="1"/>
        <v>133.32</v>
      </c>
      <c r="I13" s="94" t="str">
        <f t="shared" si="2"/>
        <v>Yes - 6</v>
      </c>
      <c r="J13" s="93" t="str">
        <f t="shared" si="3"/>
        <v>MET</v>
      </c>
      <c r="K13" s="92"/>
      <c r="N13" s="3" t="str">
        <f t="shared" si="4"/>
        <v>Show</v>
      </c>
      <c r="O13"/>
    </row>
    <row r="14" spans="1:15" ht="18">
      <c r="B14" s="976"/>
      <c r="C14" s="979"/>
      <c r="D14" s="979"/>
      <c r="E14" s="90" t="s">
        <v>564</v>
      </c>
      <c r="F14" s="220">
        <v>200</v>
      </c>
      <c r="G14" s="221">
        <f t="shared" si="0"/>
        <v>439.93333333333339</v>
      </c>
      <c r="H14" s="221">
        <f t="shared" si="1"/>
        <v>284.10000000000002</v>
      </c>
      <c r="I14" s="94" t="str">
        <f t="shared" si="2"/>
        <v>Yes - 3</v>
      </c>
      <c r="J14" s="93" t="str">
        <f t="shared" si="3"/>
        <v>MET</v>
      </c>
      <c r="K14" s="92"/>
      <c r="N14" s="3" t="str">
        <f t="shared" si="4"/>
        <v>Show</v>
      </c>
      <c r="O14" s="96"/>
    </row>
    <row r="15" spans="1:15" ht="18">
      <c r="B15" s="976"/>
      <c r="C15" s="979"/>
      <c r="D15" s="979"/>
      <c r="E15" s="90" t="s">
        <v>565</v>
      </c>
      <c r="F15" s="220">
        <v>15</v>
      </c>
      <c r="G15" s="221">
        <f t="shared" si="0"/>
        <v>23.169999999999998</v>
      </c>
      <c r="H15" s="221">
        <f t="shared" si="1"/>
        <v>18.14</v>
      </c>
      <c r="I15" s="94" t="str">
        <f t="shared" si="2"/>
        <v>Yes - 3</v>
      </c>
      <c r="J15" s="93" t="str">
        <f t="shared" si="3"/>
        <v>MET</v>
      </c>
      <c r="K15" s="92"/>
      <c r="N15" s="3" t="str">
        <f t="shared" si="4"/>
        <v>Show</v>
      </c>
      <c r="O15" s="96"/>
    </row>
    <row r="16" spans="1:15" ht="18">
      <c r="B16" s="976"/>
      <c r="C16" s="979"/>
      <c r="D16" s="979"/>
      <c r="E16" s="90" t="s">
        <v>566</v>
      </c>
      <c r="F16" s="220">
        <v>50</v>
      </c>
      <c r="G16" s="221">
        <f t="shared" si="0"/>
        <v>398.0333333333333</v>
      </c>
      <c r="H16" s="221">
        <f t="shared" si="1"/>
        <v>288.5</v>
      </c>
      <c r="I16" s="94" t="str">
        <f t="shared" si="2"/>
        <v>Yes - 3</v>
      </c>
      <c r="J16" s="93" t="str">
        <f t="shared" si="3"/>
        <v>MET</v>
      </c>
      <c r="K16" s="92"/>
      <c r="N16" s="3" t="str">
        <f t="shared" si="4"/>
        <v>Show</v>
      </c>
      <c r="O16" s="96"/>
    </row>
    <row r="17" spans="2:15" ht="28.8">
      <c r="B17" s="976"/>
      <c r="C17" s="979"/>
      <c r="D17" s="979"/>
      <c r="E17" s="90" t="s">
        <v>567</v>
      </c>
      <c r="F17" s="220">
        <v>500</v>
      </c>
      <c r="G17" s="221">
        <f t="shared" si="0"/>
        <v>758.2</v>
      </c>
      <c r="H17" s="221">
        <f t="shared" si="1"/>
        <v>474.5</v>
      </c>
      <c r="I17" s="94" t="str">
        <f t="shared" si="2"/>
        <v>Yes - 15</v>
      </c>
      <c r="J17" s="93" t="str">
        <f t="shared" si="3"/>
        <v>MET</v>
      </c>
      <c r="K17" s="92"/>
      <c r="N17" s="3" t="str">
        <f t="shared" si="4"/>
        <v>Show</v>
      </c>
      <c r="O17" s="983"/>
    </row>
    <row r="18" spans="2:15" ht="14.4">
      <c r="B18" s="976"/>
      <c r="C18" s="979"/>
      <c r="D18" s="979"/>
      <c r="E18" s="90" t="s">
        <v>568</v>
      </c>
      <c r="F18" s="220">
        <v>200</v>
      </c>
      <c r="G18" s="221">
        <f t="shared" si="0"/>
        <v>467.82499999999999</v>
      </c>
      <c r="H18" s="221">
        <f t="shared" si="1"/>
        <v>204.9</v>
      </c>
      <c r="I18" s="94" t="str">
        <f t="shared" si="2"/>
        <v>Yes - 8</v>
      </c>
      <c r="J18" s="93" t="str">
        <f t="shared" si="3"/>
        <v>MET</v>
      </c>
      <c r="K18" s="92"/>
      <c r="N18" s="3" t="str">
        <f t="shared" si="4"/>
        <v>Show</v>
      </c>
      <c r="O18" s="983"/>
    </row>
    <row r="19" spans="2:15" ht="14.4">
      <c r="B19" s="976"/>
      <c r="C19" s="979"/>
      <c r="D19" s="979"/>
      <c r="E19" s="90" t="s">
        <v>569</v>
      </c>
      <c r="F19" s="220">
        <v>200</v>
      </c>
      <c r="G19" s="221">
        <f t="shared" si="0"/>
        <v>696.12222222222226</v>
      </c>
      <c r="H19" s="221">
        <f t="shared" si="1"/>
        <v>211.7</v>
      </c>
      <c r="I19" s="94" t="str">
        <f t="shared" si="2"/>
        <v>Yes - 9</v>
      </c>
      <c r="J19" s="93" t="str">
        <f t="shared" si="3"/>
        <v>MET</v>
      </c>
      <c r="K19" s="92"/>
      <c r="N19" s="3" t="str">
        <f t="shared" si="4"/>
        <v>Show</v>
      </c>
      <c r="O19" s="983"/>
    </row>
    <row r="20" spans="2:15" ht="14.4">
      <c r="B20" s="976"/>
      <c r="C20" s="979"/>
      <c r="D20" s="979"/>
      <c r="E20" s="90" t="s">
        <v>570</v>
      </c>
      <c r="F20" s="220">
        <v>200</v>
      </c>
      <c r="G20" s="221">
        <f t="shared" si="0"/>
        <v>670.86666666666667</v>
      </c>
      <c r="H20" s="221">
        <f t="shared" si="1"/>
        <v>218.5</v>
      </c>
      <c r="I20" s="94" t="str">
        <f t="shared" si="2"/>
        <v>Yes - 6</v>
      </c>
      <c r="J20" s="93" t="str">
        <f t="shared" si="3"/>
        <v>MET</v>
      </c>
      <c r="K20" s="92"/>
      <c r="N20" s="3" t="str">
        <f t="shared" si="4"/>
        <v>Show</v>
      </c>
      <c r="O20" s="983"/>
    </row>
    <row r="21" spans="2:15" ht="14.4">
      <c r="B21" s="976"/>
      <c r="C21" s="979"/>
      <c r="D21" s="979"/>
      <c r="E21" s="90" t="s">
        <v>571</v>
      </c>
      <c r="F21" s="220">
        <v>400</v>
      </c>
      <c r="G21" s="221">
        <f t="shared" si="0"/>
        <v>519.30000000000007</v>
      </c>
      <c r="H21" s="221">
        <f t="shared" si="1"/>
        <v>454.8</v>
      </c>
      <c r="I21" s="94" t="str">
        <f t="shared" si="2"/>
        <v>Yes - 3</v>
      </c>
      <c r="J21" s="93" t="str">
        <f t="shared" si="3"/>
        <v>MET</v>
      </c>
      <c r="K21" s="92"/>
      <c r="N21" s="3" t="str">
        <f t="shared" si="4"/>
        <v>Show</v>
      </c>
      <c r="O21" s="983"/>
    </row>
    <row r="22" spans="2:15" ht="14.4" hidden="1">
      <c r="B22" s="976"/>
      <c r="C22" s="979"/>
      <c r="D22" s="979"/>
      <c r="E22" s="90"/>
      <c r="F22" s="220"/>
      <c r="G22" s="221" t="str">
        <f t="shared" si="0"/>
        <v/>
      </c>
      <c r="H22" s="221" t="str">
        <f t="shared" si="1"/>
        <v/>
      </c>
      <c r="I22" s="94" t="str">
        <f t="shared" si="2"/>
        <v/>
      </c>
      <c r="J22" s="93" t="str">
        <f t="shared" si="3"/>
        <v/>
      </c>
      <c r="K22" s="92"/>
      <c r="N22" s="3" t="str">
        <f t="shared" si="4"/>
        <v>Hide</v>
      </c>
      <c r="O22" s="983"/>
    </row>
    <row r="23" spans="2:15" ht="14.4" hidden="1">
      <c r="B23" s="976"/>
      <c r="C23" s="979"/>
      <c r="D23" s="979"/>
      <c r="E23" s="90"/>
      <c r="F23" s="220"/>
      <c r="G23" s="221" t="str">
        <f t="shared" si="0"/>
        <v/>
      </c>
      <c r="H23" s="221" t="str">
        <f t="shared" si="1"/>
        <v/>
      </c>
      <c r="I23" s="94" t="str">
        <f t="shared" si="2"/>
        <v/>
      </c>
      <c r="J23" s="93" t="str">
        <f t="shared" si="3"/>
        <v/>
      </c>
      <c r="K23" s="92"/>
      <c r="N23" s="3" t="str">
        <f t="shared" si="4"/>
        <v>Hide</v>
      </c>
      <c r="O23" s="983"/>
    </row>
    <row r="24" spans="2:15" ht="18" hidden="1">
      <c r="B24" s="976"/>
      <c r="C24" s="979"/>
      <c r="D24" s="979"/>
      <c r="E24" s="90"/>
      <c r="F24" s="220"/>
      <c r="G24" s="221" t="str">
        <f t="shared" si="0"/>
        <v/>
      </c>
      <c r="H24" s="221" t="str">
        <f t="shared" si="1"/>
        <v/>
      </c>
      <c r="I24" s="94" t="str">
        <f t="shared" si="2"/>
        <v/>
      </c>
      <c r="J24" s="93" t="str">
        <f t="shared" si="3"/>
        <v/>
      </c>
      <c r="K24" s="92"/>
      <c r="N24" s="3" t="str">
        <f t="shared" si="4"/>
        <v>Hide</v>
      </c>
      <c r="O24" s="206"/>
    </row>
    <row r="25" spans="2:15" ht="18" hidden="1">
      <c r="B25" s="976"/>
      <c r="C25" s="979"/>
      <c r="D25" s="979"/>
      <c r="E25" s="90"/>
      <c r="F25" s="220"/>
      <c r="G25" s="221" t="str">
        <f t="shared" si="0"/>
        <v/>
      </c>
      <c r="H25" s="221" t="str">
        <f t="shared" si="1"/>
        <v/>
      </c>
      <c r="I25" s="94" t="str">
        <f t="shared" si="2"/>
        <v/>
      </c>
      <c r="J25" s="93" t="str">
        <f t="shared" si="3"/>
        <v/>
      </c>
      <c r="K25" s="92"/>
      <c r="N25" s="3" t="str">
        <f t="shared" si="4"/>
        <v>Hide</v>
      </c>
      <c r="O25" s="206"/>
    </row>
    <row r="26" spans="2:15" ht="18" hidden="1">
      <c r="B26" s="976"/>
      <c r="C26" s="979"/>
      <c r="D26" s="979"/>
      <c r="E26" s="90"/>
      <c r="F26" s="220"/>
      <c r="G26" s="221" t="str">
        <f t="shared" si="0"/>
        <v/>
      </c>
      <c r="H26" s="221" t="str">
        <f t="shared" si="1"/>
        <v/>
      </c>
      <c r="I26" s="94" t="str">
        <f t="shared" si="2"/>
        <v/>
      </c>
      <c r="J26" s="93" t="str">
        <f t="shared" si="3"/>
        <v/>
      </c>
      <c r="K26" s="92"/>
      <c r="N26" s="3" t="str">
        <f t="shared" si="4"/>
        <v>Hide</v>
      </c>
      <c r="O26" s="206"/>
    </row>
    <row r="27" spans="2:15" ht="18" hidden="1">
      <c r="B27" s="976"/>
      <c r="C27" s="979"/>
      <c r="D27" s="979"/>
      <c r="E27" s="90"/>
      <c r="F27" s="220"/>
      <c r="G27" s="221" t="str">
        <f t="shared" si="0"/>
        <v/>
      </c>
      <c r="H27" s="221" t="str">
        <f t="shared" si="1"/>
        <v/>
      </c>
      <c r="I27" s="94" t="str">
        <f t="shared" si="2"/>
        <v/>
      </c>
      <c r="J27" s="93" t="str">
        <f t="shared" si="3"/>
        <v/>
      </c>
      <c r="K27" s="92"/>
      <c r="N27" s="3" t="str">
        <f t="shared" si="4"/>
        <v>Hide</v>
      </c>
      <c r="O27" s="206"/>
    </row>
    <row r="28" spans="2:15" ht="18" hidden="1">
      <c r="B28" s="976"/>
      <c r="C28" s="979"/>
      <c r="D28" s="979"/>
      <c r="E28" s="90"/>
      <c r="F28" s="220"/>
      <c r="G28" s="221" t="str">
        <f t="shared" si="0"/>
        <v/>
      </c>
      <c r="H28" s="221" t="str">
        <f t="shared" si="1"/>
        <v/>
      </c>
      <c r="I28" s="94" t="str">
        <f t="shared" si="2"/>
        <v/>
      </c>
      <c r="J28" s="93" t="str">
        <f t="shared" si="3"/>
        <v/>
      </c>
      <c r="K28" s="92"/>
      <c r="N28" s="3" t="str">
        <f t="shared" si="4"/>
        <v>Hide</v>
      </c>
      <c r="O28" s="206"/>
    </row>
    <row r="29" spans="2:15" ht="18" hidden="1">
      <c r="B29" s="976"/>
      <c r="C29" s="979"/>
      <c r="D29" s="979"/>
      <c r="E29" s="90"/>
      <c r="F29" s="220"/>
      <c r="G29" s="221" t="str">
        <f t="shared" si="0"/>
        <v/>
      </c>
      <c r="H29" s="221" t="str">
        <f t="shared" si="1"/>
        <v/>
      </c>
      <c r="I29" s="94" t="str">
        <f t="shared" si="2"/>
        <v/>
      </c>
      <c r="J29" s="93" t="str">
        <f t="shared" si="3"/>
        <v/>
      </c>
      <c r="K29" s="92"/>
      <c r="N29" s="3" t="str">
        <f t="shared" si="4"/>
        <v>Hide</v>
      </c>
      <c r="O29" s="207" t="s">
        <v>128</v>
      </c>
    </row>
    <row r="30" spans="2:15" ht="18">
      <c r="B30" s="976"/>
      <c r="C30" s="915" t="s">
        <v>114</v>
      </c>
      <c r="D30" s="915"/>
      <c r="E30" s="915"/>
      <c r="F30" s="915"/>
      <c r="G30" s="915"/>
      <c r="H30" s="915"/>
      <c r="I30" s="915"/>
      <c r="J30" s="915"/>
      <c r="K30" s="915"/>
      <c r="N30" s="3" t="s">
        <v>500</v>
      </c>
      <c r="O30" s="80"/>
    </row>
    <row r="31" spans="2:15" ht="43.2">
      <c r="B31" s="976"/>
      <c r="C31" s="12" t="s">
        <v>126</v>
      </c>
      <c r="D31" s="12" t="s">
        <v>125</v>
      </c>
      <c r="E31" s="12" t="s">
        <v>124</v>
      </c>
      <c r="F31" s="229" t="s">
        <v>525</v>
      </c>
      <c r="G31" s="229" t="s">
        <v>527</v>
      </c>
      <c r="H31" s="12" t="s">
        <v>123</v>
      </c>
      <c r="I31" s="12" t="s">
        <v>122</v>
      </c>
      <c r="J31" s="907" t="s">
        <v>107</v>
      </c>
      <c r="K31" s="908"/>
      <c r="N31" s="3" t="s">
        <v>500</v>
      </c>
      <c r="O31" s="983" t="s">
        <v>127</v>
      </c>
    </row>
    <row r="32" spans="2:15" ht="14.4">
      <c r="B32" s="976"/>
      <c r="C32" s="10">
        <v>1</v>
      </c>
      <c r="D32" s="90" t="s">
        <v>572</v>
      </c>
      <c r="E32" s="90" t="s">
        <v>562</v>
      </c>
      <c r="F32" s="220">
        <v>340.9</v>
      </c>
      <c r="G32" s="222">
        <f>VLOOKUP(E32,E$7:F$29,2,FALSE)/2</f>
        <v>150</v>
      </c>
      <c r="H32" s="223" t="str">
        <f t="shared" ref="H32:H63" si="5">IF(F32&gt;G32,"PASS","NOT MET")</f>
        <v>PASS</v>
      </c>
      <c r="I32" s="89">
        <f t="shared" ref="I32:I63" si="6">AVERAGEIF(E$32:E$176,E32,F$32:F$176)</f>
        <v>346.0333333333333</v>
      </c>
      <c r="J32" s="971"/>
      <c r="K32" s="972"/>
      <c r="N32" s="3" t="str">
        <f>IF(C32&lt;&gt;"","Show","Hide")</f>
        <v>Show</v>
      </c>
      <c r="O32" s="983"/>
    </row>
    <row r="33" spans="2:15" ht="14.4">
      <c r="B33" s="976"/>
      <c r="C33" s="10">
        <v>2</v>
      </c>
      <c r="D33" s="90" t="s">
        <v>573</v>
      </c>
      <c r="E33" s="90" t="s">
        <v>562</v>
      </c>
      <c r="F33" s="220">
        <v>355.4</v>
      </c>
      <c r="G33" s="222">
        <f t="shared" ref="G33:G96" si="7">VLOOKUP(E33,E$7:F$29,2,FALSE)/2</f>
        <v>150</v>
      </c>
      <c r="H33" s="223" t="str">
        <f t="shared" si="5"/>
        <v>PASS</v>
      </c>
      <c r="I33" s="89">
        <f t="shared" si="6"/>
        <v>346.0333333333333</v>
      </c>
      <c r="J33" s="971"/>
      <c r="K33" s="972"/>
      <c r="N33" s="3" t="str">
        <f t="shared" ref="N33:N96" si="8">IF(C33&lt;&gt;"","Show","Hide")</f>
        <v>Show</v>
      </c>
      <c r="O33" s="983"/>
    </row>
    <row r="34" spans="2:15" ht="14.4">
      <c r="B34" s="976"/>
      <c r="C34" s="10">
        <v>3</v>
      </c>
      <c r="D34" s="90" t="s">
        <v>574</v>
      </c>
      <c r="E34" s="90" t="s">
        <v>562</v>
      </c>
      <c r="F34" s="220">
        <v>341.8</v>
      </c>
      <c r="G34" s="222">
        <f t="shared" si="7"/>
        <v>150</v>
      </c>
      <c r="H34" s="223" t="str">
        <f t="shared" si="5"/>
        <v>PASS</v>
      </c>
      <c r="I34" s="89">
        <f t="shared" si="6"/>
        <v>346.0333333333333</v>
      </c>
      <c r="J34" s="971"/>
      <c r="K34" s="972"/>
      <c r="N34" s="3" t="str">
        <f t="shared" si="8"/>
        <v>Show</v>
      </c>
      <c r="O34" s="983"/>
    </row>
    <row r="35" spans="2:15" ht="14.4">
      <c r="B35" s="976"/>
      <c r="C35" s="10">
        <v>4</v>
      </c>
      <c r="D35" s="90" t="s">
        <v>575</v>
      </c>
      <c r="E35" s="90" t="s">
        <v>563</v>
      </c>
      <c r="F35" s="220">
        <v>224.1</v>
      </c>
      <c r="G35" s="222">
        <f t="shared" si="7"/>
        <v>50</v>
      </c>
      <c r="H35" s="223" t="str">
        <f t="shared" si="5"/>
        <v>PASS</v>
      </c>
      <c r="I35" s="89">
        <f t="shared" si="6"/>
        <v>291.98666666666668</v>
      </c>
      <c r="J35" s="971"/>
      <c r="K35" s="972"/>
      <c r="N35" s="3" t="str">
        <f t="shared" si="8"/>
        <v>Show</v>
      </c>
      <c r="O35" s="983"/>
    </row>
    <row r="36" spans="2:15" ht="18">
      <c r="B36" s="976"/>
      <c r="C36" s="10">
        <v>5</v>
      </c>
      <c r="D36" s="90" t="s">
        <v>576</v>
      </c>
      <c r="E36" s="90" t="s">
        <v>559</v>
      </c>
      <c r="F36" s="220">
        <v>1021.6</v>
      </c>
      <c r="G36" s="222">
        <f t="shared" si="7"/>
        <v>250</v>
      </c>
      <c r="H36" s="223" t="str">
        <f t="shared" si="5"/>
        <v>PASS</v>
      </c>
      <c r="I36" s="89">
        <f t="shared" si="6"/>
        <v>803.49999999999989</v>
      </c>
      <c r="J36" s="971"/>
      <c r="K36" s="972"/>
      <c r="N36" s="3" t="str">
        <f t="shared" si="8"/>
        <v>Show</v>
      </c>
      <c r="O36" s="84"/>
    </row>
    <row r="37" spans="2:15" ht="18">
      <c r="B37" s="976"/>
      <c r="C37" s="10">
        <v>6</v>
      </c>
      <c r="D37" s="90" t="s">
        <v>577</v>
      </c>
      <c r="E37" s="90" t="s">
        <v>559</v>
      </c>
      <c r="F37" s="220">
        <v>892.5</v>
      </c>
      <c r="G37" s="222">
        <f t="shared" si="7"/>
        <v>250</v>
      </c>
      <c r="H37" s="223" t="str">
        <f t="shared" si="5"/>
        <v>PASS</v>
      </c>
      <c r="I37" s="89">
        <f t="shared" si="6"/>
        <v>803.49999999999989</v>
      </c>
      <c r="J37" s="971"/>
      <c r="K37" s="972"/>
      <c r="N37" s="3" t="str">
        <f t="shared" si="8"/>
        <v>Show</v>
      </c>
      <c r="O37" s="80"/>
    </row>
    <row r="38" spans="2:15" ht="28.8">
      <c r="B38" s="976"/>
      <c r="C38" s="10">
        <v>7</v>
      </c>
      <c r="D38" s="90" t="s">
        <v>578</v>
      </c>
      <c r="E38" s="90" t="s">
        <v>557</v>
      </c>
      <c r="F38" s="220">
        <v>796.7</v>
      </c>
      <c r="G38" s="222">
        <f t="shared" si="7"/>
        <v>250</v>
      </c>
      <c r="H38" s="223" t="str">
        <f t="shared" si="5"/>
        <v>PASS</v>
      </c>
      <c r="I38" s="89">
        <f t="shared" si="6"/>
        <v>826.5625</v>
      </c>
      <c r="J38" s="971"/>
      <c r="K38" s="972"/>
      <c r="N38" s="3" t="str">
        <f t="shared" si="8"/>
        <v>Show</v>
      </c>
      <c r="O38" s="208" t="s">
        <v>121</v>
      </c>
    </row>
    <row r="39" spans="2:15" ht="28.8">
      <c r="B39" s="976"/>
      <c r="C39" s="10">
        <v>8</v>
      </c>
      <c r="D39" s="90" t="s">
        <v>579</v>
      </c>
      <c r="E39" s="90" t="s">
        <v>557</v>
      </c>
      <c r="F39" s="220">
        <v>768.5</v>
      </c>
      <c r="G39" s="222">
        <f t="shared" si="7"/>
        <v>250</v>
      </c>
      <c r="H39" s="223" t="str">
        <f t="shared" si="5"/>
        <v>PASS</v>
      </c>
      <c r="I39" s="89">
        <f t="shared" si="6"/>
        <v>826.5625</v>
      </c>
      <c r="J39" s="971"/>
      <c r="K39" s="972"/>
      <c r="N39" s="3" t="str">
        <f t="shared" si="8"/>
        <v>Show</v>
      </c>
      <c r="O39" s="39"/>
    </row>
    <row r="40" spans="2:15" ht="18">
      <c r="B40" s="976"/>
      <c r="C40" s="10">
        <v>9</v>
      </c>
      <c r="D40" s="90" t="s">
        <v>580</v>
      </c>
      <c r="E40" s="90" t="s">
        <v>561</v>
      </c>
      <c r="F40" s="220">
        <v>403.6</v>
      </c>
      <c r="G40" s="222">
        <f t="shared" si="7"/>
        <v>75</v>
      </c>
      <c r="H40" s="223" t="str">
        <f t="shared" si="5"/>
        <v>PASS</v>
      </c>
      <c r="I40" s="89">
        <f t="shared" si="6"/>
        <v>421.73222222222222</v>
      </c>
      <c r="J40" s="971"/>
      <c r="K40" s="972"/>
      <c r="N40" s="3" t="str">
        <f t="shared" si="8"/>
        <v>Show</v>
      </c>
      <c r="O40" s="39"/>
    </row>
    <row r="41" spans="2:15" ht="18">
      <c r="B41" s="976"/>
      <c r="C41" s="10">
        <v>10</v>
      </c>
      <c r="D41" s="90" t="s">
        <v>581</v>
      </c>
      <c r="E41" s="90" t="s">
        <v>561</v>
      </c>
      <c r="F41" s="220">
        <v>380.9</v>
      </c>
      <c r="G41" s="222">
        <f t="shared" si="7"/>
        <v>75</v>
      </c>
      <c r="H41" s="223" t="str">
        <f t="shared" si="5"/>
        <v>PASS</v>
      </c>
      <c r="I41" s="89">
        <f t="shared" si="6"/>
        <v>421.73222222222222</v>
      </c>
      <c r="J41" s="971"/>
      <c r="K41" s="972"/>
      <c r="N41" s="3" t="str">
        <f t="shared" si="8"/>
        <v>Show</v>
      </c>
      <c r="O41" s="39"/>
    </row>
    <row r="42" spans="2:15" ht="18">
      <c r="B42" s="976"/>
      <c r="C42" s="10">
        <v>11</v>
      </c>
      <c r="D42" s="90" t="s">
        <v>582</v>
      </c>
      <c r="E42" s="90" t="s">
        <v>563</v>
      </c>
      <c r="F42" s="220">
        <v>400.7</v>
      </c>
      <c r="G42" s="222">
        <f t="shared" si="7"/>
        <v>50</v>
      </c>
      <c r="H42" s="223" t="str">
        <f t="shared" si="5"/>
        <v>PASS</v>
      </c>
      <c r="I42" s="89">
        <f t="shared" si="6"/>
        <v>291.98666666666668</v>
      </c>
      <c r="J42" s="971"/>
      <c r="K42" s="972"/>
      <c r="N42" s="3" t="str">
        <f t="shared" si="8"/>
        <v>Show</v>
      </c>
      <c r="O42" s="80"/>
    </row>
    <row r="43" spans="2:15" ht="18">
      <c r="B43" s="976"/>
      <c r="C43" s="10">
        <v>12</v>
      </c>
      <c r="D43" s="90" t="s">
        <v>583</v>
      </c>
      <c r="E43" s="90" t="s">
        <v>565</v>
      </c>
      <c r="F43" s="220">
        <v>31.24</v>
      </c>
      <c r="G43" s="222">
        <f t="shared" si="7"/>
        <v>7.5</v>
      </c>
      <c r="H43" s="223" t="str">
        <f t="shared" si="5"/>
        <v>PASS</v>
      </c>
      <c r="I43" s="89">
        <f t="shared" si="6"/>
        <v>23.169999999999998</v>
      </c>
      <c r="J43" s="971"/>
      <c r="K43" s="972"/>
      <c r="N43" s="3" t="str">
        <f t="shared" si="8"/>
        <v>Show</v>
      </c>
      <c r="O43" s="80"/>
    </row>
    <row r="44" spans="2:15" ht="18">
      <c r="B44" s="976"/>
      <c r="C44" s="10">
        <v>13</v>
      </c>
      <c r="D44" s="90" t="s">
        <v>584</v>
      </c>
      <c r="E44" s="90" t="s">
        <v>565</v>
      </c>
      <c r="F44" s="220">
        <v>20.13</v>
      </c>
      <c r="G44" s="222">
        <f t="shared" si="7"/>
        <v>7.5</v>
      </c>
      <c r="H44" s="223" t="str">
        <f t="shared" si="5"/>
        <v>PASS</v>
      </c>
      <c r="I44" s="89">
        <f t="shared" si="6"/>
        <v>23.169999999999998</v>
      </c>
      <c r="J44" s="971"/>
      <c r="K44" s="972"/>
      <c r="N44" s="3" t="str">
        <f t="shared" si="8"/>
        <v>Show</v>
      </c>
      <c r="O44" s="80"/>
    </row>
    <row r="45" spans="2:15" ht="18">
      <c r="B45" s="976"/>
      <c r="C45" s="10">
        <v>14</v>
      </c>
      <c r="D45" s="90" t="s">
        <v>585</v>
      </c>
      <c r="E45" s="90" t="s">
        <v>565</v>
      </c>
      <c r="F45" s="220">
        <v>18.14</v>
      </c>
      <c r="G45" s="222">
        <f t="shared" si="7"/>
        <v>7.5</v>
      </c>
      <c r="H45" s="223" t="str">
        <f t="shared" si="5"/>
        <v>PASS</v>
      </c>
      <c r="I45" s="89">
        <f t="shared" si="6"/>
        <v>23.169999999999998</v>
      </c>
      <c r="J45" s="971"/>
      <c r="K45" s="972"/>
      <c r="N45" s="3" t="str">
        <f t="shared" si="8"/>
        <v>Show</v>
      </c>
      <c r="O45" s="80"/>
    </row>
    <row r="46" spans="2:15" ht="18">
      <c r="B46" s="976"/>
      <c r="C46" s="10">
        <v>15</v>
      </c>
      <c r="D46" s="90" t="s">
        <v>586</v>
      </c>
      <c r="E46" s="90" t="s">
        <v>563</v>
      </c>
      <c r="F46" s="220">
        <v>133.32</v>
      </c>
      <c r="G46" s="222">
        <f t="shared" si="7"/>
        <v>50</v>
      </c>
      <c r="H46" s="223" t="str">
        <f t="shared" si="5"/>
        <v>PASS</v>
      </c>
      <c r="I46" s="89">
        <f t="shared" si="6"/>
        <v>291.98666666666668</v>
      </c>
      <c r="J46" s="971"/>
      <c r="K46" s="972"/>
      <c r="N46" s="3" t="str">
        <f t="shared" si="8"/>
        <v>Show</v>
      </c>
      <c r="O46" s="80"/>
    </row>
    <row r="47" spans="2:15" ht="18">
      <c r="B47" s="976"/>
      <c r="C47" s="10">
        <v>16</v>
      </c>
      <c r="D47" s="90" t="s">
        <v>587</v>
      </c>
      <c r="E47" s="90" t="s">
        <v>568</v>
      </c>
      <c r="F47" s="220">
        <v>204.9</v>
      </c>
      <c r="G47" s="222">
        <f t="shared" si="7"/>
        <v>100</v>
      </c>
      <c r="H47" s="223" t="str">
        <f t="shared" si="5"/>
        <v>PASS</v>
      </c>
      <c r="I47" s="89">
        <f t="shared" si="6"/>
        <v>467.82499999999999</v>
      </c>
      <c r="J47" s="971"/>
      <c r="K47" s="972"/>
      <c r="N47" s="3" t="str">
        <f t="shared" si="8"/>
        <v>Show</v>
      </c>
      <c r="O47" s="80"/>
    </row>
    <row r="48" spans="2:15" ht="18">
      <c r="B48" s="976"/>
      <c r="C48" s="10">
        <v>17</v>
      </c>
      <c r="D48" s="90" t="s">
        <v>588</v>
      </c>
      <c r="E48" s="90" t="s">
        <v>568</v>
      </c>
      <c r="F48" s="220">
        <v>259.10000000000002</v>
      </c>
      <c r="G48" s="222">
        <f t="shared" si="7"/>
        <v>100</v>
      </c>
      <c r="H48" s="223" t="str">
        <f t="shared" si="5"/>
        <v>PASS</v>
      </c>
      <c r="I48" s="89">
        <f t="shared" si="6"/>
        <v>467.82499999999999</v>
      </c>
      <c r="J48" s="971"/>
      <c r="K48" s="972"/>
      <c r="N48" s="3" t="str">
        <f t="shared" si="8"/>
        <v>Show</v>
      </c>
      <c r="O48" s="80"/>
    </row>
    <row r="49" spans="2:15" ht="18">
      <c r="B49" s="976"/>
      <c r="C49" s="10">
        <v>18</v>
      </c>
      <c r="D49" s="90" t="s">
        <v>589</v>
      </c>
      <c r="E49" s="90" t="s">
        <v>569</v>
      </c>
      <c r="F49" s="220">
        <v>948.4</v>
      </c>
      <c r="G49" s="222">
        <f t="shared" si="7"/>
        <v>100</v>
      </c>
      <c r="H49" s="223" t="str">
        <f t="shared" si="5"/>
        <v>PASS</v>
      </c>
      <c r="I49" s="89">
        <f t="shared" si="6"/>
        <v>696.12222222222226</v>
      </c>
      <c r="J49" s="971"/>
      <c r="K49" s="972"/>
      <c r="N49" s="3" t="str">
        <f t="shared" si="8"/>
        <v>Show</v>
      </c>
      <c r="O49" s="80"/>
    </row>
    <row r="50" spans="2:15" ht="18">
      <c r="B50" s="976"/>
      <c r="C50" s="10">
        <v>19</v>
      </c>
      <c r="D50" s="90" t="s">
        <v>590</v>
      </c>
      <c r="E50" s="90" t="s">
        <v>569</v>
      </c>
      <c r="F50" s="220">
        <v>921</v>
      </c>
      <c r="G50" s="222">
        <f t="shared" si="7"/>
        <v>100</v>
      </c>
      <c r="H50" s="223" t="str">
        <f t="shared" si="5"/>
        <v>PASS</v>
      </c>
      <c r="I50" s="89">
        <f t="shared" si="6"/>
        <v>696.12222222222226</v>
      </c>
      <c r="J50" s="971"/>
      <c r="K50" s="972"/>
      <c r="N50" s="3" t="str">
        <f t="shared" si="8"/>
        <v>Show</v>
      </c>
      <c r="O50" s="80"/>
    </row>
    <row r="51" spans="2:15" ht="18">
      <c r="B51" s="976"/>
      <c r="C51" s="10">
        <v>20</v>
      </c>
      <c r="D51" s="90" t="s">
        <v>591</v>
      </c>
      <c r="E51" s="90" t="s">
        <v>568</v>
      </c>
      <c r="F51" s="220">
        <v>620.70000000000005</v>
      </c>
      <c r="G51" s="222">
        <f t="shared" si="7"/>
        <v>100</v>
      </c>
      <c r="H51" s="223" t="str">
        <f t="shared" si="5"/>
        <v>PASS</v>
      </c>
      <c r="I51" s="89">
        <f t="shared" si="6"/>
        <v>467.82499999999999</v>
      </c>
      <c r="J51" s="971"/>
      <c r="K51" s="972"/>
      <c r="N51" s="3" t="str">
        <f t="shared" si="8"/>
        <v>Show</v>
      </c>
      <c r="O51" s="80"/>
    </row>
    <row r="52" spans="2:15" ht="18">
      <c r="B52" s="976"/>
      <c r="C52" s="10">
        <v>21</v>
      </c>
      <c r="D52" s="90" t="s">
        <v>592</v>
      </c>
      <c r="E52" s="90" t="s">
        <v>568</v>
      </c>
      <c r="F52" s="220">
        <v>245.1</v>
      </c>
      <c r="G52" s="222">
        <f t="shared" si="7"/>
        <v>100</v>
      </c>
      <c r="H52" s="223" t="str">
        <f t="shared" si="5"/>
        <v>PASS</v>
      </c>
      <c r="I52" s="89">
        <f t="shared" si="6"/>
        <v>467.82499999999999</v>
      </c>
      <c r="J52" s="971"/>
      <c r="K52" s="972"/>
      <c r="N52" s="3" t="str">
        <f t="shared" si="8"/>
        <v>Show</v>
      </c>
      <c r="O52" s="80"/>
    </row>
    <row r="53" spans="2:15" ht="18">
      <c r="B53" s="976"/>
      <c r="C53" s="10">
        <v>22</v>
      </c>
      <c r="D53" s="90" t="s">
        <v>593</v>
      </c>
      <c r="E53" s="90" t="s">
        <v>568</v>
      </c>
      <c r="F53" s="220">
        <v>573</v>
      </c>
      <c r="G53" s="222">
        <f t="shared" si="7"/>
        <v>100</v>
      </c>
      <c r="H53" s="223" t="str">
        <f t="shared" si="5"/>
        <v>PASS</v>
      </c>
      <c r="I53" s="89">
        <f t="shared" si="6"/>
        <v>467.82499999999999</v>
      </c>
      <c r="J53" s="971"/>
      <c r="K53" s="972"/>
      <c r="N53" s="3" t="str">
        <f t="shared" si="8"/>
        <v>Show</v>
      </c>
      <c r="O53" s="80"/>
    </row>
    <row r="54" spans="2:15" ht="18">
      <c r="B54" s="976"/>
      <c r="C54" s="10">
        <v>23</v>
      </c>
      <c r="D54" s="90" t="s">
        <v>594</v>
      </c>
      <c r="E54" s="90" t="s">
        <v>561</v>
      </c>
      <c r="F54" s="220">
        <v>456.7</v>
      </c>
      <c r="G54" s="222">
        <f t="shared" si="7"/>
        <v>75</v>
      </c>
      <c r="H54" s="223" t="str">
        <f t="shared" si="5"/>
        <v>PASS</v>
      </c>
      <c r="I54" s="89">
        <f t="shared" si="6"/>
        <v>421.73222222222222</v>
      </c>
      <c r="J54" s="971"/>
      <c r="K54" s="972"/>
      <c r="N54" s="3" t="str">
        <f t="shared" si="8"/>
        <v>Show</v>
      </c>
      <c r="O54" s="80"/>
    </row>
    <row r="55" spans="2:15" ht="18">
      <c r="B55" s="976"/>
      <c r="C55" s="10">
        <v>24</v>
      </c>
      <c r="D55" s="90" t="s">
        <v>595</v>
      </c>
      <c r="E55" s="90" t="s">
        <v>561</v>
      </c>
      <c r="F55" s="220">
        <v>151.38999999999999</v>
      </c>
      <c r="G55" s="222">
        <f t="shared" si="7"/>
        <v>75</v>
      </c>
      <c r="H55" s="223" t="str">
        <f t="shared" si="5"/>
        <v>PASS</v>
      </c>
      <c r="I55" s="89">
        <f t="shared" si="6"/>
        <v>421.73222222222222</v>
      </c>
      <c r="J55" s="971"/>
      <c r="K55" s="972"/>
      <c r="N55" s="3" t="str">
        <f t="shared" si="8"/>
        <v>Show</v>
      </c>
      <c r="O55" s="80"/>
    </row>
    <row r="56" spans="2:15" ht="28.8">
      <c r="B56" s="976"/>
      <c r="C56" s="10">
        <v>25</v>
      </c>
      <c r="D56" s="90" t="s">
        <v>596</v>
      </c>
      <c r="E56" s="90" t="s">
        <v>567</v>
      </c>
      <c r="F56" s="220">
        <v>799.3</v>
      </c>
      <c r="G56" s="222">
        <f t="shared" si="7"/>
        <v>250</v>
      </c>
      <c r="H56" s="223" t="str">
        <f t="shared" si="5"/>
        <v>PASS</v>
      </c>
      <c r="I56" s="89">
        <f t="shared" si="6"/>
        <v>758.2</v>
      </c>
      <c r="J56" s="971"/>
      <c r="K56" s="972"/>
      <c r="N56" s="3" t="str">
        <f t="shared" si="8"/>
        <v>Show</v>
      </c>
      <c r="O56" s="80"/>
    </row>
    <row r="57" spans="2:15" ht="28.8">
      <c r="B57" s="976"/>
      <c r="C57" s="10">
        <v>26</v>
      </c>
      <c r="D57" s="90" t="s">
        <v>597</v>
      </c>
      <c r="E57" s="90" t="s">
        <v>567</v>
      </c>
      <c r="F57" s="220">
        <v>747.1</v>
      </c>
      <c r="G57" s="222">
        <f t="shared" si="7"/>
        <v>250</v>
      </c>
      <c r="H57" s="223" t="str">
        <f t="shared" si="5"/>
        <v>PASS</v>
      </c>
      <c r="I57" s="89">
        <f t="shared" si="6"/>
        <v>758.2</v>
      </c>
      <c r="J57" s="971"/>
      <c r="K57" s="972"/>
      <c r="N57" s="3" t="str">
        <f t="shared" si="8"/>
        <v>Show</v>
      </c>
      <c r="O57" s="80"/>
    </row>
    <row r="58" spans="2:15" ht="28.8">
      <c r="B58" s="976"/>
      <c r="C58" s="10">
        <v>27</v>
      </c>
      <c r="D58" s="90" t="s">
        <v>598</v>
      </c>
      <c r="E58" s="90" t="s">
        <v>567</v>
      </c>
      <c r="F58" s="220">
        <v>826.7</v>
      </c>
      <c r="G58" s="222">
        <f t="shared" si="7"/>
        <v>250</v>
      </c>
      <c r="H58" s="223" t="str">
        <f t="shared" si="5"/>
        <v>PASS</v>
      </c>
      <c r="I58" s="89">
        <f t="shared" si="6"/>
        <v>758.2</v>
      </c>
      <c r="J58" s="971"/>
      <c r="K58" s="972"/>
      <c r="N58" s="3" t="str">
        <f t="shared" si="8"/>
        <v>Show</v>
      </c>
      <c r="O58" s="80"/>
    </row>
    <row r="59" spans="2:15" ht="28.8">
      <c r="B59" s="976"/>
      <c r="C59" s="10">
        <v>28</v>
      </c>
      <c r="D59" s="90" t="s">
        <v>599</v>
      </c>
      <c r="E59" s="90" t="s">
        <v>567</v>
      </c>
      <c r="F59" s="220">
        <v>818.5</v>
      </c>
      <c r="G59" s="222">
        <f t="shared" si="7"/>
        <v>250</v>
      </c>
      <c r="H59" s="223" t="str">
        <f t="shared" si="5"/>
        <v>PASS</v>
      </c>
      <c r="I59" s="89">
        <f t="shared" si="6"/>
        <v>758.2</v>
      </c>
      <c r="J59" s="971"/>
      <c r="K59" s="972"/>
      <c r="N59" s="3" t="str">
        <f t="shared" si="8"/>
        <v>Show</v>
      </c>
      <c r="O59" s="80"/>
    </row>
    <row r="60" spans="2:15" ht="18">
      <c r="B60" s="976"/>
      <c r="C60" s="10">
        <v>29</v>
      </c>
      <c r="D60" s="90" t="s">
        <v>600</v>
      </c>
      <c r="E60" s="90" t="s">
        <v>560</v>
      </c>
      <c r="F60" s="220">
        <v>490.3</v>
      </c>
      <c r="G60" s="222">
        <f t="shared" si="7"/>
        <v>100</v>
      </c>
      <c r="H60" s="223" t="str">
        <f t="shared" si="5"/>
        <v>PASS</v>
      </c>
      <c r="I60" s="89">
        <f t="shared" si="6"/>
        <v>511.84999999999997</v>
      </c>
      <c r="J60" s="971"/>
      <c r="K60" s="972"/>
      <c r="N60" s="3" t="str">
        <f t="shared" si="8"/>
        <v>Show</v>
      </c>
      <c r="O60" s="80"/>
    </row>
    <row r="61" spans="2:15" ht="28.8">
      <c r="B61" s="976"/>
      <c r="C61" s="10">
        <v>30</v>
      </c>
      <c r="D61" s="90" t="s">
        <v>601</v>
      </c>
      <c r="E61" s="90" t="s">
        <v>567</v>
      </c>
      <c r="F61" s="220">
        <v>831.7</v>
      </c>
      <c r="G61" s="222">
        <f t="shared" si="7"/>
        <v>250</v>
      </c>
      <c r="H61" s="223" t="str">
        <f t="shared" si="5"/>
        <v>PASS</v>
      </c>
      <c r="I61" s="89">
        <f t="shared" si="6"/>
        <v>758.2</v>
      </c>
      <c r="J61" s="971"/>
      <c r="K61" s="972"/>
      <c r="N61" s="3" t="str">
        <f t="shared" si="8"/>
        <v>Show</v>
      </c>
      <c r="O61" s="80"/>
    </row>
    <row r="62" spans="2:15" ht="18">
      <c r="B62" s="976"/>
      <c r="C62" s="10">
        <v>31</v>
      </c>
      <c r="D62" s="90" t="s">
        <v>602</v>
      </c>
      <c r="E62" s="90" t="s">
        <v>569</v>
      </c>
      <c r="F62" s="220">
        <v>527.1</v>
      </c>
      <c r="G62" s="222">
        <f t="shared" si="7"/>
        <v>100</v>
      </c>
      <c r="H62" s="223" t="str">
        <f t="shared" si="5"/>
        <v>PASS</v>
      </c>
      <c r="I62" s="89">
        <f t="shared" si="6"/>
        <v>696.12222222222226</v>
      </c>
      <c r="J62" s="971"/>
      <c r="K62" s="972"/>
      <c r="N62" s="3" t="str">
        <f t="shared" si="8"/>
        <v>Show</v>
      </c>
      <c r="O62" s="80"/>
    </row>
    <row r="63" spans="2:15" ht="18">
      <c r="B63" s="976"/>
      <c r="C63" s="10">
        <v>32</v>
      </c>
      <c r="D63" s="90" t="s">
        <v>603</v>
      </c>
      <c r="E63" s="90" t="s">
        <v>569</v>
      </c>
      <c r="F63" s="220">
        <v>281</v>
      </c>
      <c r="G63" s="222">
        <f t="shared" si="7"/>
        <v>100</v>
      </c>
      <c r="H63" s="223" t="str">
        <f t="shared" si="5"/>
        <v>PASS</v>
      </c>
      <c r="I63" s="89">
        <f t="shared" si="6"/>
        <v>696.12222222222226</v>
      </c>
      <c r="J63" s="971"/>
      <c r="K63" s="972"/>
      <c r="N63" s="3" t="str">
        <f t="shared" si="8"/>
        <v>Show</v>
      </c>
      <c r="O63" s="80"/>
    </row>
    <row r="64" spans="2:15" ht="28.8">
      <c r="B64" s="976"/>
      <c r="C64" s="10">
        <v>33</v>
      </c>
      <c r="D64" s="90" t="s">
        <v>604</v>
      </c>
      <c r="E64" s="90" t="s">
        <v>567</v>
      </c>
      <c r="F64" s="220">
        <v>728.3</v>
      </c>
      <c r="G64" s="222">
        <f t="shared" si="7"/>
        <v>250</v>
      </c>
      <c r="H64" s="223" t="str">
        <f t="shared" ref="H64:H95" si="9">IF(F64&gt;G64,"PASS","NOT MET")</f>
        <v>PASS</v>
      </c>
      <c r="I64" s="89">
        <f t="shared" ref="I64:I95" si="10">AVERAGEIF(E$32:E$176,E64,F$32:F$176)</f>
        <v>758.2</v>
      </c>
      <c r="J64" s="971"/>
      <c r="K64" s="972"/>
      <c r="N64" s="3" t="str">
        <f t="shared" si="8"/>
        <v>Show</v>
      </c>
      <c r="O64" s="80"/>
    </row>
    <row r="65" spans="2:15" ht="18">
      <c r="B65" s="976"/>
      <c r="C65" s="10">
        <v>34</v>
      </c>
      <c r="D65" s="90" t="s">
        <v>605</v>
      </c>
      <c r="E65" s="90" t="s">
        <v>560</v>
      </c>
      <c r="F65" s="220">
        <v>352</v>
      </c>
      <c r="G65" s="222">
        <f t="shared" si="7"/>
        <v>100</v>
      </c>
      <c r="H65" s="223" t="str">
        <f t="shared" si="9"/>
        <v>PASS</v>
      </c>
      <c r="I65" s="89">
        <f t="shared" si="10"/>
        <v>511.84999999999997</v>
      </c>
      <c r="J65" s="971"/>
      <c r="K65" s="972"/>
      <c r="N65" s="3" t="str">
        <f t="shared" si="8"/>
        <v>Show</v>
      </c>
      <c r="O65" s="80"/>
    </row>
    <row r="66" spans="2:15" ht="18">
      <c r="B66" s="976"/>
      <c r="C66" s="10">
        <v>35</v>
      </c>
      <c r="D66" s="90" t="s">
        <v>606</v>
      </c>
      <c r="E66" s="90" t="s">
        <v>560</v>
      </c>
      <c r="F66" s="220">
        <v>438.5</v>
      </c>
      <c r="G66" s="222">
        <f t="shared" si="7"/>
        <v>100</v>
      </c>
      <c r="H66" s="223" t="str">
        <f t="shared" si="9"/>
        <v>PASS</v>
      </c>
      <c r="I66" s="89">
        <f t="shared" si="10"/>
        <v>511.84999999999997</v>
      </c>
      <c r="J66" s="971"/>
      <c r="K66" s="972"/>
      <c r="N66" s="3" t="str">
        <f t="shared" si="8"/>
        <v>Show</v>
      </c>
      <c r="O66" s="80"/>
    </row>
    <row r="67" spans="2:15" ht="18">
      <c r="B67" s="976"/>
      <c r="C67" s="10">
        <v>36</v>
      </c>
      <c r="D67" s="90" t="s">
        <v>607</v>
      </c>
      <c r="E67" s="90" t="s">
        <v>561</v>
      </c>
      <c r="F67" s="220">
        <v>337.3</v>
      </c>
      <c r="G67" s="222">
        <f t="shared" si="7"/>
        <v>75</v>
      </c>
      <c r="H67" s="223" t="str">
        <f t="shared" si="9"/>
        <v>PASS</v>
      </c>
      <c r="I67" s="89">
        <f t="shared" si="10"/>
        <v>421.73222222222222</v>
      </c>
      <c r="J67" s="971"/>
      <c r="K67" s="972"/>
      <c r="N67" s="3" t="str">
        <f t="shared" si="8"/>
        <v>Show</v>
      </c>
      <c r="O67" s="80"/>
    </row>
    <row r="68" spans="2:15" ht="28.8">
      <c r="B68" s="976"/>
      <c r="C68" s="10">
        <v>37</v>
      </c>
      <c r="D68" s="90" t="s">
        <v>608</v>
      </c>
      <c r="E68" s="90" t="s">
        <v>567</v>
      </c>
      <c r="F68" s="220">
        <v>820.5</v>
      </c>
      <c r="G68" s="222">
        <f t="shared" si="7"/>
        <v>250</v>
      </c>
      <c r="H68" s="223" t="str">
        <f t="shared" si="9"/>
        <v>PASS</v>
      </c>
      <c r="I68" s="89">
        <f t="shared" si="10"/>
        <v>758.2</v>
      </c>
      <c r="J68" s="971"/>
      <c r="K68" s="972"/>
      <c r="N68" s="3" t="str">
        <f t="shared" si="8"/>
        <v>Show</v>
      </c>
      <c r="O68" s="80"/>
    </row>
    <row r="69" spans="2:15" ht="18">
      <c r="B69" s="976"/>
      <c r="C69" s="10">
        <v>38</v>
      </c>
      <c r="D69" s="90" t="s">
        <v>609</v>
      </c>
      <c r="E69" s="90" t="s">
        <v>570</v>
      </c>
      <c r="F69" s="220">
        <v>873.1</v>
      </c>
      <c r="G69" s="222">
        <f t="shared" si="7"/>
        <v>100</v>
      </c>
      <c r="H69" s="223" t="str">
        <f t="shared" si="9"/>
        <v>PASS</v>
      </c>
      <c r="I69" s="89">
        <f t="shared" si="10"/>
        <v>670.86666666666667</v>
      </c>
      <c r="J69" s="971"/>
      <c r="K69" s="972"/>
      <c r="N69" s="3" t="str">
        <f t="shared" si="8"/>
        <v>Show</v>
      </c>
      <c r="O69" s="80"/>
    </row>
    <row r="70" spans="2:15" ht="28.8">
      <c r="B70" s="976"/>
      <c r="C70" s="10">
        <v>39</v>
      </c>
      <c r="D70" s="90" t="s">
        <v>610</v>
      </c>
      <c r="E70" s="90" t="s">
        <v>567</v>
      </c>
      <c r="F70" s="220">
        <v>857.6</v>
      </c>
      <c r="G70" s="222">
        <f t="shared" si="7"/>
        <v>250</v>
      </c>
      <c r="H70" s="223" t="str">
        <f t="shared" si="9"/>
        <v>PASS</v>
      </c>
      <c r="I70" s="89">
        <f t="shared" si="10"/>
        <v>758.2</v>
      </c>
      <c r="J70" s="971"/>
      <c r="K70" s="972"/>
      <c r="N70" s="3" t="str">
        <f t="shared" si="8"/>
        <v>Show</v>
      </c>
      <c r="O70" s="80"/>
    </row>
    <row r="71" spans="2:15" ht="28.8">
      <c r="B71" s="976"/>
      <c r="C71" s="10">
        <v>40</v>
      </c>
      <c r="D71" s="90" t="s">
        <v>611</v>
      </c>
      <c r="E71" s="90" t="s">
        <v>567</v>
      </c>
      <c r="F71" s="220">
        <v>808.4</v>
      </c>
      <c r="G71" s="222">
        <f t="shared" si="7"/>
        <v>250</v>
      </c>
      <c r="H71" s="223" t="str">
        <f t="shared" si="9"/>
        <v>PASS</v>
      </c>
      <c r="I71" s="89">
        <f t="shared" si="10"/>
        <v>758.2</v>
      </c>
      <c r="J71" s="971"/>
      <c r="K71" s="972"/>
      <c r="N71" s="3" t="str">
        <f t="shared" si="8"/>
        <v>Show</v>
      </c>
      <c r="O71" s="80"/>
    </row>
    <row r="72" spans="2:15" ht="18">
      <c r="B72" s="976"/>
      <c r="C72" s="10">
        <v>41</v>
      </c>
      <c r="D72" s="90" t="s">
        <v>612</v>
      </c>
      <c r="E72" s="90" t="s">
        <v>570</v>
      </c>
      <c r="F72" s="220">
        <v>904.7</v>
      </c>
      <c r="G72" s="222">
        <f t="shared" si="7"/>
        <v>100</v>
      </c>
      <c r="H72" s="223" t="str">
        <f t="shared" si="9"/>
        <v>PASS</v>
      </c>
      <c r="I72" s="89">
        <f t="shared" si="10"/>
        <v>670.86666666666667</v>
      </c>
      <c r="J72" s="971"/>
      <c r="K72" s="972"/>
      <c r="N72" s="3" t="str">
        <f t="shared" si="8"/>
        <v>Show</v>
      </c>
      <c r="O72" s="80"/>
    </row>
    <row r="73" spans="2:15" ht="28.8">
      <c r="B73" s="976"/>
      <c r="C73" s="10">
        <v>42</v>
      </c>
      <c r="D73" s="90" t="s">
        <v>613</v>
      </c>
      <c r="E73" s="90" t="s">
        <v>567</v>
      </c>
      <c r="F73" s="220">
        <v>795.7</v>
      </c>
      <c r="G73" s="222">
        <f t="shared" si="7"/>
        <v>250</v>
      </c>
      <c r="H73" s="223" t="str">
        <f t="shared" si="9"/>
        <v>PASS</v>
      </c>
      <c r="I73" s="89">
        <f t="shared" si="10"/>
        <v>758.2</v>
      </c>
      <c r="J73" s="971"/>
      <c r="K73" s="972"/>
      <c r="N73" s="3" t="str">
        <f t="shared" si="8"/>
        <v>Show</v>
      </c>
      <c r="O73" s="80"/>
    </row>
    <row r="74" spans="2:15" ht="18">
      <c r="B74" s="976"/>
      <c r="C74" s="10">
        <v>43</v>
      </c>
      <c r="D74" s="90" t="s">
        <v>614</v>
      </c>
      <c r="E74" s="90" t="s">
        <v>561</v>
      </c>
      <c r="F74" s="220">
        <v>429.8</v>
      </c>
      <c r="G74" s="222">
        <f t="shared" si="7"/>
        <v>75</v>
      </c>
      <c r="H74" s="223" t="str">
        <f t="shared" si="9"/>
        <v>PASS</v>
      </c>
      <c r="I74" s="89">
        <f t="shared" si="10"/>
        <v>421.73222222222222</v>
      </c>
      <c r="J74" s="971"/>
      <c r="K74" s="972"/>
      <c r="N74" s="3" t="str">
        <f t="shared" si="8"/>
        <v>Show</v>
      </c>
      <c r="O74" s="83"/>
    </row>
    <row r="75" spans="2:15" ht="18">
      <c r="B75" s="976"/>
      <c r="C75" s="10">
        <v>44</v>
      </c>
      <c r="D75" s="90" t="s">
        <v>615</v>
      </c>
      <c r="E75" s="90" t="s">
        <v>571</v>
      </c>
      <c r="F75" s="220">
        <v>506.3</v>
      </c>
      <c r="G75" s="222">
        <f t="shared" si="7"/>
        <v>200</v>
      </c>
      <c r="H75" s="223" t="str">
        <f t="shared" si="9"/>
        <v>PASS</v>
      </c>
      <c r="I75" s="89">
        <f t="shared" si="10"/>
        <v>519.30000000000007</v>
      </c>
      <c r="J75" s="971"/>
      <c r="K75" s="972"/>
      <c r="N75" s="3" t="str">
        <f t="shared" si="8"/>
        <v>Show</v>
      </c>
      <c r="O75" s="80"/>
    </row>
    <row r="76" spans="2:15" ht="18">
      <c r="B76" s="976"/>
      <c r="C76" s="10">
        <v>45</v>
      </c>
      <c r="D76" s="90" t="s">
        <v>616</v>
      </c>
      <c r="E76" s="90" t="s">
        <v>571</v>
      </c>
      <c r="F76" s="220">
        <v>454.8</v>
      </c>
      <c r="G76" s="222">
        <f t="shared" si="7"/>
        <v>200</v>
      </c>
      <c r="H76" s="223" t="str">
        <f t="shared" si="9"/>
        <v>PASS</v>
      </c>
      <c r="I76" s="89">
        <f t="shared" si="10"/>
        <v>519.30000000000007</v>
      </c>
      <c r="J76" s="971"/>
      <c r="K76" s="972"/>
      <c r="N76" s="3" t="str">
        <f t="shared" si="8"/>
        <v>Show</v>
      </c>
      <c r="O76" s="80"/>
    </row>
    <row r="77" spans="2:15">
      <c r="B77" s="976"/>
      <c r="C77" s="10">
        <v>46</v>
      </c>
      <c r="D77" s="90" t="s">
        <v>617</v>
      </c>
      <c r="E77" s="90" t="s">
        <v>571</v>
      </c>
      <c r="F77" s="220">
        <v>596.79999999999995</v>
      </c>
      <c r="G77" s="222">
        <f t="shared" si="7"/>
        <v>200</v>
      </c>
      <c r="H77" s="223" t="str">
        <f t="shared" si="9"/>
        <v>PASS</v>
      </c>
      <c r="I77" s="89">
        <f t="shared" si="10"/>
        <v>519.30000000000007</v>
      </c>
      <c r="J77" s="971"/>
      <c r="K77" s="972"/>
      <c r="N77" s="3" t="str">
        <f t="shared" si="8"/>
        <v>Show</v>
      </c>
    </row>
    <row r="78" spans="2:15" ht="28.8">
      <c r="B78" s="976"/>
      <c r="C78" s="10">
        <v>47</v>
      </c>
      <c r="D78" s="90" t="s">
        <v>618</v>
      </c>
      <c r="E78" s="90" t="s">
        <v>557</v>
      </c>
      <c r="F78" s="220">
        <v>1104</v>
      </c>
      <c r="G78" s="222">
        <f t="shared" si="7"/>
        <v>250</v>
      </c>
      <c r="H78" s="223" t="str">
        <f t="shared" si="9"/>
        <v>PASS</v>
      </c>
      <c r="I78" s="89">
        <f t="shared" si="10"/>
        <v>826.5625</v>
      </c>
      <c r="J78" s="971"/>
      <c r="K78" s="972"/>
      <c r="N78" s="3" t="str">
        <f t="shared" si="8"/>
        <v>Show</v>
      </c>
      <c r="O78" s="80"/>
    </row>
    <row r="79" spans="2:15" ht="18">
      <c r="B79" s="976"/>
      <c r="C79" s="10">
        <v>48</v>
      </c>
      <c r="D79" s="90" t="s">
        <v>619</v>
      </c>
      <c r="E79" s="90" t="s">
        <v>570</v>
      </c>
      <c r="F79" s="220">
        <v>1542.1</v>
      </c>
      <c r="G79" s="222">
        <f t="shared" si="7"/>
        <v>100</v>
      </c>
      <c r="H79" s="223" t="str">
        <f t="shared" si="9"/>
        <v>PASS</v>
      </c>
      <c r="I79" s="89">
        <f t="shared" si="10"/>
        <v>670.86666666666667</v>
      </c>
      <c r="J79" s="971"/>
      <c r="K79" s="972"/>
      <c r="N79" s="3" t="str">
        <f t="shared" si="8"/>
        <v>Show</v>
      </c>
      <c r="O79" s="80"/>
    </row>
    <row r="80" spans="2:15" ht="28.8">
      <c r="B80" s="976"/>
      <c r="C80" s="10">
        <v>49</v>
      </c>
      <c r="D80" s="90" t="s">
        <v>620</v>
      </c>
      <c r="E80" s="90" t="s">
        <v>567</v>
      </c>
      <c r="F80" s="220">
        <v>987.7</v>
      </c>
      <c r="G80" s="222">
        <f t="shared" si="7"/>
        <v>250</v>
      </c>
      <c r="H80" s="223" t="str">
        <f t="shared" si="9"/>
        <v>PASS</v>
      </c>
      <c r="I80" s="89">
        <f t="shared" si="10"/>
        <v>758.2</v>
      </c>
      <c r="J80" s="971"/>
      <c r="K80" s="972"/>
      <c r="N80" s="3" t="str">
        <f t="shared" si="8"/>
        <v>Show</v>
      </c>
      <c r="O80" s="80"/>
    </row>
    <row r="81" spans="2:15" ht="18">
      <c r="B81" s="976"/>
      <c r="C81" s="10">
        <v>50</v>
      </c>
      <c r="D81" s="90" t="s">
        <v>621</v>
      </c>
      <c r="E81" s="90" t="s">
        <v>559</v>
      </c>
      <c r="F81" s="220">
        <v>539.9</v>
      </c>
      <c r="G81" s="222">
        <f t="shared" si="7"/>
        <v>250</v>
      </c>
      <c r="H81" s="223" t="str">
        <f t="shared" si="9"/>
        <v>PASS</v>
      </c>
      <c r="I81" s="89">
        <f t="shared" si="10"/>
        <v>803.49999999999989</v>
      </c>
      <c r="J81" s="971"/>
      <c r="K81" s="972"/>
      <c r="N81" s="3" t="str">
        <f t="shared" si="8"/>
        <v>Show</v>
      </c>
      <c r="O81" s="80"/>
    </row>
    <row r="82" spans="2:15" ht="18">
      <c r="B82" s="976"/>
      <c r="C82" s="10">
        <v>51</v>
      </c>
      <c r="D82" s="90" t="s">
        <v>622</v>
      </c>
      <c r="E82" s="90" t="s">
        <v>563</v>
      </c>
      <c r="F82" s="220">
        <v>366</v>
      </c>
      <c r="G82" s="222">
        <f t="shared" si="7"/>
        <v>50</v>
      </c>
      <c r="H82" s="223" t="str">
        <f t="shared" si="9"/>
        <v>PASS</v>
      </c>
      <c r="I82" s="89">
        <f t="shared" si="10"/>
        <v>291.98666666666668</v>
      </c>
      <c r="J82" s="971"/>
      <c r="K82" s="972"/>
      <c r="N82" s="3" t="str">
        <f t="shared" si="8"/>
        <v>Show</v>
      </c>
      <c r="O82" s="80"/>
    </row>
    <row r="83" spans="2:15" ht="18">
      <c r="B83" s="976"/>
      <c r="C83" s="10">
        <v>52</v>
      </c>
      <c r="D83" s="90" t="s">
        <v>623</v>
      </c>
      <c r="E83" s="90" t="s">
        <v>558</v>
      </c>
      <c r="F83" s="220">
        <v>846.9</v>
      </c>
      <c r="G83" s="222">
        <f t="shared" si="7"/>
        <v>250</v>
      </c>
      <c r="H83" s="223" t="str">
        <f t="shared" si="9"/>
        <v>PASS</v>
      </c>
      <c r="I83" s="89">
        <f t="shared" si="10"/>
        <v>822.60909090909081</v>
      </c>
      <c r="J83" s="971"/>
      <c r="K83" s="972"/>
      <c r="N83" s="3" t="str">
        <f t="shared" si="8"/>
        <v>Show</v>
      </c>
      <c r="O83" s="80"/>
    </row>
    <row r="84" spans="2:15" ht="28.8">
      <c r="B84" s="976"/>
      <c r="C84" s="10">
        <v>53</v>
      </c>
      <c r="D84" s="90" t="s">
        <v>624</v>
      </c>
      <c r="E84" s="90" t="s">
        <v>557</v>
      </c>
      <c r="F84" s="220">
        <v>794.2</v>
      </c>
      <c r="G84" s="222">
        <f t="shared" si="7"/>
        <v>250</v>
      </c>
      <c r="H84" s="223" t="str">
        <f t="shared" si="9"/>
        <v>PASS</v>
      </c>
      <c r="I84" s="89">
        <f t="shared" si="10"/>
        <v>826.5625</v>
      </c>
      <c r="J84" s="971"/>
      <c r="K84" s="972"/>
      <c r="N84" s="3" t="str">
        <f t="shared" si="8"/>
        <v>Show</v>
      </c>
      <c r="O84" s="80"/>
    </row>
    <row r="85" spans="2:15" ht="28.8">
      <c r="B85" s="976"/>
      <c r="C85" s="10">
        <v>54</v>
      </c>
      <c r="D85" s="90" t="s">
        <v>625</v>
      </c>
      <c r="E85" s="90" t="s">
        <v>557</v>
      </c>
      <c r="F85" s="220">
        <v>775.1</v>
      </c>
      <c r="G85" s="222">
        <f t="shared" si="7"/>
        <v>250</v>
      </c>
      <c r="H85" s="223" t="str">
        <f t="shared" si="9"/>
        <v>PASS</v>
      </c>
      <c r="I85" s="89">
        <f t="shared" si="10"/>
        <v>826.5625</v>
      </c>
      <c r="J85" s="971"/>
      <c r="K85" s="972"/>
      <c r="N85" s="3" t="str">
        <f t="shared" si="8"/>
        <v>Show</v>
      </c>
      <c r="O85" s="80"/>
    </row>
    <row r="86" spans="2:15" ht="18">
      <c r="B86" s="976"/>
      <c r="C86" s="10">
        <v>55</v>
      </c>
      <c r="D86" s="90" t="s">
        <v>626</v>
      </c>
      <c r="E86" s="90" t="s">
        <v>558</v>
      </c>
      <c r="F86" s="220">
        <v>839.4</v>
      </c>
      <c r="G86" s="222">
        <f t="shared" si="7"/>
        <v>250</v>
      </c>
      <c r="H86" s="223" t="str">
        <f t="shared" si="9"/>
        <v>PASS</v>
      </c>
      <c r="I86" s="89">
        <f t="shared" si="10"/>
        <v>822.60909090909081</v>
      </c>
      <c r="J86" s="971"/>
      <c r="K86" s="972"/>
      <c r="N86" s="3" t="str">
        <f t="shared" si="8"/>
        <v>Show</v>
      </c>
      <c r="O86" s="80"/>
    </row>
    <row r="87" spans="2:15" ht="18">
      <c r="B87" s="976"/>
      <c r="C87" s="10">
        <v>56</v>
      </c>
      <c r="D87" s="90" t="s">
        <v>627</v>
      </c>
      <c r="E87" s="90" t="s">
        <v>564</v>
      </c>
      <c r="F87" s="220">
        <v>455.8</v>
      </c>
      <c r="G87" s="222">
        <f t="shared" si="7"/>
        <v>100</v>
      </c>
      <c r="H87" s="223" t="str">
        <f t="shared" si="9"/>
        <v>PASS</v>
      </c>
      <c r="I87" s="89">
        <f t="shared" si="10"/>
        <v>439.93333333333339</v>
      </c>
      <c r="J87" s="971"/>
      <c r="K87" s="972"/>
      <c r="N87" s="3" t="str">
        <f t="shared" si="8"/>
        <v>Show</v>
      </c>
      <c r="O87" s="80"/>
    </row>
    <row r="88" spans="2:15" ht="18">
      <c r="B88" s="976"/>
      <c r="C88" s="10">
        <v>57</v>
      </c>
      <c r="D88" s="90" t="s">
        <v>628</v>
      </c>
      <c r="E88" s="90" t="s">
        <v>558</v>
      </c>
      <c r="F88" s="220">
        <v>800</v>
      </c>
      <c r="G88" s="222">
        <f t="shared" si="7"/>
        <v>250</v>
      </c>
      <c r="H88" s="223" t="str">
        <f t="shared" si="9"/>
        <v>PASS</v>
      </c>
      <c r="I88" s="89">
        <f t="shared" si="10"/>
        <v>822.60909090909081</v>
      </c>
      <c r="J88" s="971"/>
      <c r="K88" s="972"/>
      <c r="N88" s="3" t="str">
        <f t="shared" si="8"/>
        <v>Show</v>
      </c>
      <c r="O88" s="80"/>
    </row>
    <row r="89" spans="2:15" ht="18">
      <c r="B89" s="976"/>
      <c r="C89" s="10">
        <v>58</v>
      </c>
      <c r="D89" s="90" t="s">
        <v>629</v>
      </c>
      <c r="E89" s="90" t="s">
        <v>559</v>
      </c>
      <c r="F89" s="220">
        <v>765.4</v>
      </c>
      <c r="G89" s="222">
        <f t="shared" si="7"/>
        <v>250</v>
      </c>
      <c r="H89" s="223" t="str">
        <f t="shared" si="9"/>
        <v>PASS</v>
      </c>
      <c r="I89" s="89">
        <f t="shared" si="10"/>
        <v>803.49999999999989</v>
      </c>
      <c r="J89" s="971"/>
      <c r="K89" s="972"/>
      <c r="N89" s="3" t="str">
        <f t="shared" si="8"/>
        <v>Show</v>
      </c>
      <c r="O89" s="80"/>
    </row>
    <row r="90" spans="2:15" ht="18">
      <c r="B90" s="976"/>
      <c r="C90" s="10">
        <v>59</v>
      </c>
      <c r="D90" s="90" t="s">
        <v>630</v>
      </c>
      <c r="E90" s="90" t="s">
        <v>561</v>
      </c>
      <c r="F90" s="220">
        <v>420.9</v>
      </c>
      <c r="G90" s="222">
        <f t="shared" si="7"/>
        <v>75</v>
      </c>
      <c r="H90" s="223" t="str">
        <f t="shared" si="9"/>
        <v>PASS</v>
      </c>
      <c r="I90" s="89">
        <f t="shared" si="10"/>
        <v>421.73222222222222</v>
      </c>
      <c r="J90" s="971"/>
      <c r="K90" s="972"/>
      <c r="N90" s="3" t="str">
        <f t="shared" si="8"/>
        <v>Show</v>
      </c>
      <c r="O90" s="80"/>
    </row>
    <row r="91" spans="2:15" ht="18">
      <c r="B91" s="976"/>
      <c r="C91" s="10">
        <v>60</v>
      </c>
      <c r="D91" s="90" t="s">
        <v>631</v>
      </c>
      <c r="E91" s="90" t="s">
        <v>570</v>
      </c>
      <c r="F91" s="220">
        <v>266.60000000000002</v>
      </c>
      <c r="G91" s="222">
        <f t="shared" si="7"/>
        <v>100</v>
      </c>
      <c r="H91" s="223" t="str">
        <f t="shared" si="9"/>
        <v>PASS</v>
      </c>
      <c r="I91" s="89">
        <f t="shared" si="10"/>
        <v>670.86666666666667</v>
      </c>
      <c r="J91" s="971"/>
      <c r="K91" s="972"/>
      <c r="N91" s="3" t="str">
        <f t="shared" si="8"/>
        <v>Show</v>
      </c>
      <c r="O91" s="80"/>
    </row>
    <row r="92" spans="2:15" ht="28.8">
      <c r="B92" s="976"/>
      <c r="C92" s="10">
        <v>61</v>
      </c>
      <c r="D92" s="90" t="s">
        <v>632</v>
      </c>
      <c r="E92" s="90" t="s">
        <v>567</v>
      </c>
      <c r="F92" s="220">
        <v>807.9</v>
      </c>
      <c r="G92" s="222">
        <f t="shared" si="7"/>
        <v>250</v>
      </c>
      <c r="H92" s="223" t="str">
        <f t="shared" si="9"/>
        <v>PASS</v>
      </c>
      <c r="I92" s="89">
        <f t="shared" si="10"/>
        <v>758.2</v>
      </c>
      <c r="J92" s="971"/>
      <c r="K92" s="972"/>
      <c r="N92" s="3" t="str">
        <f t="shared" si="8"/>
        <v>Show</v>
      </c>
      <c r="O92" s="80"/>
    </row>
    <row r="93" spans="2:15" ht="18">
      <c r="B93" s="976"/>
      <c r="C93" s="10">
        <v>62</v>
      </c>
      <c r="D93" s="90" t="s">
        <v>633</v>
      </c>
      <c r="E93" s="90" t="s">
        <v>559</v>
      </c>
      <c r="F93" s="220">
        <v>594.5</v>
      </c>
      <c r="G93" s="222">
        <f t="shared" si="7"/>
        <v>250</v>
      </c>
      <c r="H93" s="223" t="str">
        <f t="shared" si="9"/>
        <v>PASS</v>
      </c>
      <c r="I93" s="89">
        <f t="shared" si="10"/>
        <v>803.49999999999989</v>
      </c>
      <c r="J93" s="971"/>
      <c r="K93" s="972"/>
      <c r="N93" s="3" t="str">
        <f t="shared" si="8"/>
        <v>Show</v>
      </c>
      <c r="O93" s="80"/>
    </row>
    <row r="94" spans="2:15" ht="28.8">
      <c r="B94" s="976"/>
      <c r="C94" s="10">
        <v>63</v>
      </c>
      <c r="D94" s="90" t="s">
        <v>634</v>
      </c>
      <c r="E94" s="90" t="s">
        <v>567</v>
      </c>
      <c r="F94" s="220">
        <v>550.20000000000005</v>
      </c>
      <c r="G94" s="222">
        <f t="shared" si="7"/>
        <v>250</v>
      </c>
      <c r="H94" s="223" t="str">
        <f t="shared" si="9"/>
        <v>PASS</v>
      </c>
      <c r="I94" s="89">
        <f t="shared" si="10"/>
        <v>758.2</v>
      </c>
      <c r="J94" s="971"/>
      <c r="K94" s="972"/>
      <c r="N94" s="3" t="str">
        <f t="shared" si="8"/>
        <v>Show</v>
      </c>
      <c r="O94" s="80"/>
    </row>
    <row r="95" spans="2:15" ht="28.8">
      <c r="B95" s="976"/>
      <c r="C95" s="10">
        <v>64</v>
      </c>
      <c r="D95" s="90" t="s">
        <v>635</v>
      </c>
      <c r="E95" s="90" t="s">
        <v>567</v>
      </c>
      <c r="F95" s="220">
        <v>474.5</v>
      </c>
      <c r="G95" s="222">
        <f t="shared" si="7"/>
        <v>250</v>
      </c>
      <c r="H95" s="223" t="str">
        <f t="shared" si="9"/>
        <v>PASS</v>
      </c>
      <c r="I95" s="89">
        <f t="shared" si="10"/>
        <v>758.2</v>
      </c>
      <c r="J95" s="971"/>
      <c r="K95" s="972"/>
      <c r="N95" s="3" t="str">
        <f t="shared" si="8"/>
        <v>Show</v>
      </c>
      <c r="O95" s="80"/>
    </row>
    <row r="96" spans="2:15" ht="28.8">
      <c r="B96" s="976"/>
      <c r="C96" s="10">
        <v>65</v>
      </c>
      <c r="D96" s="90" t="s">
        <v>636</v>
      </c>
      <c r="E96" s="90" t="s">
        <v>567</v>
      </c>
      <c r="F96" s="220">
        <v>518.9</v>
      </c>
      <c r="G96" s="222">
        <f t="shared" si="7"/>
        <v>250</v>
      </c>
      <c r="H96" s="223" t="str">
        <f t="shared" ref="H96:H127" si="11">IF(F96&gt;G96,"PASS","NOT MET")</f>
        <v>PASS</v>
      </c>
      <c r="I96" s="89">
        <f t="shared" ref="I96:I127" si="12">AVERAGEIF(E$32:E$176,E96,F$32:F$176)</f>
        <v>758.2</v>
      </c>
      <c r="J96" s="971"/>
      <c r="K96" s="972"/>
      <c r="N96" s="3" t="str">
        <f t="shared" si="8"/>
        <v>Show</v>
      </c>
      <c r="O96" s="80"/>
    </row>
    <row r="97" spans="2:15" ht="18">
      <c r="B97" s="976"/>
      <c r="C97" s="10">
        <v>66</v>
      </c>
      <c r="D97" s="90" t="s">
        <v>637</v>
      </c>
      <c r="E97" s="90" t="s">
        <v>558</v>
      </c>
      <c r="F97" s="220">
        <v>800.6</v>
      </c>
      <c r="G97" s="222">
        <f t="shared" ref="G97:G160" si="13">VLOOKUP(E97,E$7:F$29,2,FALSE)/2</f>
        <v>250</v>
      </c>
      <c r="H97" s="223" t="str">
        <f t="shared" si="11"/>
        <v>PASS</v>
      </c>
      <c r="I97" s="89">
        <f t="shared" si="12"/>
        <v>822.60909090909081</v>
      </c>
      <c r="J97" s="971"/>
      <c r="K97" s="972"/>
      <c r="N97" s="3" t="str">
        <f t="shared" ref="N97:N160" si="14">IF(C97&lt;&gt;"","Show","Hide")</f>
        <v>Show</v>
      </c>
      <c r="O97" s="80"/>
    </row>
    <row r="98" spans="2:15" ht="18">
      <c r="B98" s="976"/>
      <c r="C98" s="10">
        <v>67</v>
      </c>
      <c r="D98" s="90" t="s">
        <v>638</v>
      </c>
      <c r="E98" s="90" t="s">
        <v>561</v>
      </c>
      <c r="F98" s="220">
        <v>628.9</v>
      </c>
      <c r="G98" s="222">
        <f t="shared" si="13"/>
        <v>75</v>
      </c>
      <c r="H98" s="223" t="str">
        <f t="shared" si="11"/>
        <v>PASS</v>
      </c>
      <c r="I98" s="89">
        <f t="shared" si="12"/>
        <v>421.73222222222222</v>
      </c>
      <c r="J98" s="971"/>
      <c r="K98" s="972"/>
      <c r="N98" s="3" t="str">
        <f t="shared" si="14"/>
        <v>Show</v>
      </c>
      <c r="O98" s="80"/>
    </row>
    <row r="99" spans="2:15" ht="28.8">
      <c r="B99" s="976"/>
      <c r="C99" s="10">
        <v>68</v>
      </c>
      <c r="D99" s="90" t="s">
        <v>639</v>
      </c>
      <c r="E99" s="90" t="s">
        <v>557</v>
      </c>
      <c r="F99" s="220">
        <v>802.3</v>
      </c>
      <c r="G99" s="222">
        <f t="shared" si="13"/>
        <v>250</v>
      </c>
      <c r="H99" s="223" t="str">
        <f t="shared" si="11"/>
        <v>PASS</v>
      </c>
      <c r="I99" s="89">
        <f t="shared" si="12"/>
        <v>826.5625</v>
      </c>
      <c r="J99" s="971"/>
      <c r="K99" s="972"/>
      <c r="N99" s="3" t="str">
        <f t="shared" si="14"/>
        <v>Show</v>
      </c>
      <c r="O99" s="80"/>
    </row>
    <row r="100" spans="2:15" ht="18">
      <c r="B100" s="976"/>
      <c r="C100" s="10">
        <v>69</v>
      </c>
      <c r="D100" s="90" t="s">
        <v>640</v>
      </c>
      <c r="E100" s="90" t="s">
        <v>558</v>
      </c>
      <c r="F100" s="220">
        <v>834.2</v>
      </c>
      <c r="G100" s="222">
        <f t="shared" si="13"/>
        <v>250</v>
      </c>
      <c r="H100" s="223" t="str">
        <f t="shared" si="11"/>
        <v>PASS</v>
      </c>
      <c r="I100" s="89">
        <f t="shared" si="12"/>
        <v>822.60909090909081</v>
      </c>
      <c r="J100" s="971"/>
      <c r="K100" s="972"/>
      <c r="N100" s="3" t="str">
        <f t="shared" si="14"/>
        <v>Show</v>
      </c>
      <c r="O100" s="80"/>
    </row>
    <row r="101" spans="2:15" ht="18">
      <c r="B101" s="976"/>
      <c r="C101" s="10">
        <v>70</v>
      </c>
      <c r="D101" s="90" t="s">
        <v>641</v>
      </c>
      <c r="E101" s="90" t="s">
        <v>558</v>
      </c>
      <c r="F101" s="220">
        <v>859.4</v>
      </c>
      <c r="G101" s="222">
        <f t="shared" si="13"/>
        <v>250</v>
      </c>
      <c r="H101" s="223" t="str">
        <f t="shared" si="11"/>
        <v>PASS</v>
      </c>
      <c r="I101" s="89">
        <f t="shared" si="12"/>
        <v>822.60909090909081</v>
      </c>
      <c r="J101" s="971"/>
      <c r="K101" s="972"/>
      <c r="N101" s="3" t="str">
        <f t="shared" si="14"/>
        <v>Show</v>
      </c>
      <c r="O101" s="80"/>
    </row>
    <row r="102" spans="2:15" ht="18">
      <c r="B102" s="976"/>
      <c r="C102" s="10">
        <v>71</v>
      </c>
      <c r="D102" s="90" t="s">
        <v>642</v>
      </c>
      <c r="E102" s="90" t="s">
        <v>559</v>
      </c>
      <c r="F102" s="220">
        <v>865.8</v>
      </c>
      <c r="G102" s="222">
        <f t="shared" si="13"/>
        <v>250</v>
      </c>
      <c r="H102" s="223" t="str">
        <f t="shared" si="11"/>
        <v>PASS</v>
      </c>
      <c r="I102" s="89">
        <f t="shared" si="12"/>
        <v>803.49999999999989</v>
      </c>
      <c r="J102" s="971"/>
      <c r="K102" s="972"/>
      <c r="N102" s="3" t="str">
        <f t="shared" si="14"/>
        <v>Show</v>
      </c>
      <c r="O102" s="80"/>
    </row>
    <row r="103" spans="2:15" ht="18">
      <c r="B103" s="976"/>
      <c r="C103" s="10">
        <v>72</v>
      </c>
      <c r="D103" s="90" t="s">
        <v>643</v>
      </c>
      <c r="E103" s="90" t="s">
        <v>559</v>
      </c>
      <c r="F103" s="220">
        <v>843.4</v>
      </c>
      <c r="G103" s="222">
        <f t="shared" si="13"/>
        <v>250</v>
      </c>
      <c r="H103" s="223" t="str">
        <f t="shared" si="11"/>
        <v>PASS</v>
      </c>
      <c r="I103" s="89">
        <f t="shared" si="12"/>
        <v>803.49999999999989</v>
      </c>
      <c r="J103" s="971"/>
      <c r="K103" s="972"/>
      <c r="N103" s="3" t="str">
        <f t="shared" si="14"/>
        <v>Show</v>
      </c>
      <c r="O103" s="80"/>
    </row>
    <row r="104" spans="2:15" ht="18">
      <c r="B104" s="976"/>
      <c r="C104" s="10">
        <v>73</v>
      </c>
      <c r="D104" s="90" t="s">
        <v>644</v>
      </c>
      <c r="E104" s="90" t="s">
        <v>559</v>
      </c>
      <c r="F104" s="220">
        <v>937.2</v>
      </c>
      <c r="G104" s="222">
        <f t="shared" si="13"/>
        <v>250</v>
      </c>
      <c r="H104" s="223" t="str">
        <f t="shared" si="11"/>
        <v>PASS</v>
      </c>
      <c r="I104" s="89">
        <f t="shared" si="12"/>
        <v>803.49999999999989</v>
      </c>
      <c r="J104" s="971"/>
      <c r="K104" s="972"/>
      <c r="N104" s="3" t="str">
        <f t="shared" si="14"/>
        <v>Show</v>
      </c>
      <c r="O104" s="80"/>
    </row>
    <row r="105" spans="2:15" ht="18">
      <c r="B105" s="976"/>
      <c r="C105" s="10">
        <v>74</v>
      </c>
      <c r="D105" s="90" t="s">
        <v>645</v>
      </c>
      <c r="E105" s="90" t="s">
        <v>558</v>
      </c>
      <c r="F105" s="220">
        <v>900.2</v>
      </c>
      <c r="G105" s="222">
        <f t="shared" si="13"/>
        <v>250</v>
      </c>
      <c r="H105" s="223" t="str">
        <f t="shared" si="11"/>
        <v>PASS</v>
      </c>
      <c r="I105" s="89">
        <f t="shared" si="12"/>
        <v>822.60909090909081</v>
      </c>
      <c r="J105" s="971"/>
      <c r="K105" s="972"/>
      <c r="N105" s="3" t="str">
        <f t="shared" si="14"/>
        <v>Show</v>
      </c>
      <c r="O105" s="80"/>
    </row>
    <row r="106" spans="2:15" ht="18">
      <c r="B106" s="976"/>
      <c r="C106" s="10">
        <v>75</v>
      </c>
      <c r="D106" s="90" t="s">
        <v>646</v>
      </c>
      <c r="E106" s="90" t="s">
        <v>564</v>
      </c>
      <c r="F106" s="220">
        <v>579.9</v>
      </c>
      <c r="G106" s="222">
        <f t="shared" si="13"/>
        <v>100</v>
      </c>
      <c r="H106" s="223" t="str">
        <f t="shared" si="11"/>
        <v>PASS</v>
      </c>
      <c r="I106" s="89">
        <f t="shared" si="12"/>
        <v>439.93333333333339</v>
      </c>
      <c r="J106" s="971"/>
      <c r="K106" s="972"/>
      <c r="N106" s="3" t="str">
        <f t="shared" si="14"/>
        <v>Show</v>
      </c>
      <c r="O106" s="80"/>
    </row>
    <row r="107" spans="2:15">
      <c r="B107" s="976"/>
      <c r="C107" s="10">
        <v>76</v>
      </c>
      <c r="D107" s="90" t="s">
        <v>647</v>
      </c>
      <c r="E107" s="90" t="s">
        <v>564</v>
      </c>
      <c r="F107" s="220">
        <v>284.10000000000002</v>
      </c>
      <c r="G107" s="222">
        <f t="shared" si="13"/>
        <v>100</v>
      </c>
      <c r="H107" s="223" t="str">
        <f t="shared" si="11"/>
        <v>PASS</v>
      </c>
      <c r="I107" s="89">
        <f t="shared" si="12"/>
        <v>439.93333333333339</v>
      </c>
      <c r="J107" s="971"/>
      <c r="K107" s="972"/>
      <c r="N107" s="3" t="str">
        <f t="shared" si="14"/>
        <v>Show</v>
      </c>
    </row>
    <row r="108" spans="2:15" ht="18">
      <c r="B108" s="976"/>
      <c r="C108" s="10">
        <v>77</v>
      </c>
      <c r="D108" s="90" t="s">
        <v>648</v>
      </c>
      <c r="E108" s="90" t="s">
        <v>560</v>
      </c>
      <c r="F108" s="220">
        <v>603.4</v>
      </c>
      <c r="G108" s="222">
        <f t="shared" si="13"/>
        <v>100</v>
      </c>
      <c r="H108" s="223" t="str">
        <f t="shared" si="11"/>
        <v>PASS</v>
      </c>
      <c r="I108" s="89">
        <f t="shared" si="12"/>
        <v>511.84999999999997</v>
      </c>
      <c r="J108" s="971"/>
      <c r="K108" s="972"/>
      <c r="N108" s="3" t="str">
        <f t="shared" si="14"/>
        <v>Show</v>
      </c>
      <c r="O108" s="80"/>
    </row>
    <row r="109" spans="2:15" ht="18">
      <c r="B109" s="976"/>
      <c r="C109" s="10">
        <v>78</v>
      </c>
      <c r="D109" s="90" t="s">
        <v>649</v>
      </c>
      <c r="E109" s="90" t="s">
        <v>558</v>
      </c>
      <c r="F109" s="220">
        <v>685.6</v>
      </c>
      <c r="G109" s="222">
        <f t="shared" si="13"/>
        <v>250</v>
      </c>
      <c r="H109" s="223" t="str">
        <f t="shared" si="11"/>
        <v>PASS</v>
      </c>
      <c r="I109" s="89">
        <f t="shared" si="12"/>
        <v>822.60909090909081</v>
      </c>
      <c r="J109" s="971"/>
      <c r="K109" s="972"/>
      <c r="N109" s="3" t="str">
        <f t="shared" si="14"/>
        <v>Show</v>
      </c>
      <c r="O109" s="80"/>
    </row>
    <row r="110" spans="2:15" ht="18">
      <c r="B110" s="976"/>
      <c r="C110" s="10">
        <v>79</v>
      </c>
      <c r="D110" s="90" t="s">
        <v>650</v>
      </c>
      <c r="E110" s="90" t="s">
        <v>569</v>
      </c>
      <c r="F110" s="220">
        <v>1021.3</v>
      </c>
      <c r="G110" s="222">
        <f t="shared" si="13"/>
        <v>100</v>
      </c>
      <c r="H110" s="223" t="str">
        <f t="shared" si="11"/>
        <v>PASS</v>
      </c>
      <c r="I110" s="89">
        <f t="shared" si="12"/>
        <v>696.12222222222226</v>
      </c>
      <c r="J110" s="971"/>
      <c r="K110" s="972"/>
      <c r="N110" s="3" t="str">
        <f t="shared" si="14"/>
        <v>Show</v>
      </c>
      <c r="O110" s="80"/>
    </row>
    <row r="111" spans="2:15" ht="18">
      <c r="B111" s="976"/>
      <c r="C111" s="10">
        <v>80</v>
      </c>
      <c r="D111" s="90" t="s">
        <v>651</v>
      </c>
      <c r="E111" s="90" t="s">
        <v>569</v>
      </c>
      <c r="F111" s="220">
        <v>1137</v>
      </c>
      <c r="G111" s="222">
        <f t="shared" si="13"/>
        <v>100</v>
      </c>
      <c r="H111" s="223" t="str">
        <f t="shared" si="11"/>
        <v>PASS</v>
      </c>
      <c r="I111" s="89">
        <f t="shared" si="12"/>
        <v>696.12222222222226</v>
      </c>
      <c r="J111" s="971"/>
      <c r="K111" s="972"/>
      <c r="N111" s="3" t="str">
        <f t="shared" si="14"/>
        <v>Show</v>
      </c>
      <c r="O111" s="80"/>
    </row>
    <row r="112" spans="2:15" ht="18">
      <c r="B112" s="976"/>
      <c r="C112" s="10">
        <v>81</v>
      </c>
      <c r="D112" s="90" t="s">
        <v>652</v>
      </c>
      <c r="E112" s="90" t="s">
        <v>558</v>
      </c>
      <c r="F112" s="220">
        <v>787.8</v>
      </c>
      <c r="G112" s="222">
        <f t="shared" si="13"/>
        <v>250</v>
      </c>
      <c r="H112" s="223" t="str">
        <f t="shared" si="11"/>
        <v>PASS</v>
      </c>
      <c r="I112" s="89">
        <f t="shared" si="12"/>
        <v>822.60909090909081</v>
      </c>
      <c r="J112" s="971"/>
      <c r="K112" s="972"/>
      <c r="N112" s="3" t="str">
        <f t="shared" si="14"/>
        <v>Show</v>
      </c>
      <c r="O112" s="80"/>
    </row>
    <row r="113" spans="2:15" ht="18">
      <c r="B113" s="976"/>
      <c r="C113" s="10">
        <v>82</v>
      </c>
      <c r="D113" s="90" t="s">
        <v>653</v>
      </c>
      <c r="E113" s="90" t="s">
        <v>560</v>
      </c>
      <c r="F113" s="220">
        <v>581.4</v>
      </c>
      <c r="G113" s="222">
        <f t="shared" si="13"/>
        <v>100</v>
      </c>
      <c r="H113" s="223" t="str">
        <f t="shared" si="11"/>
        <v>PASS</v>
      </c>
      <c r="I113" s="89">
        <f t="shared" si="12"/>
        <v>511.84999999999997</v>
      </c>
      <c r="J113" s="971"/>
      <c r="K113" s="972"/>
      <c r="N113" s="3" t="str">
        <f t="shared" si="14"/>
        <v>Show</v>
      </c>
      <c r="O113" s="80"/>
    </row>
    <row r="114" spans="2:15" ht="18">
      <c r="B114" s="976"/>
      <c r="C114" s="10">
        <v>83</v>
      </c>
      <c r="D114" s="90" t="s">
        <v>654</v>
      </c>
      <c r="E114" s="90" t="s">
        <v>559</v>
      </c>
      <c r="F114" s="220">
        <v>965.7</v>
      </c>
      <c r="G114" s="222">
        <f t="shared" si="13"/>
        <v>250</v>
      </c>
      <c r="H114" s="223" t="str">
        <f t="shared" si="11"/>
        <v>PASS</v>
      </c>
      <c r="I114" s="89">
        <f t="shared" si="12"/>
        <v>803.49999999999989</v>
      </c>
      <c r="J114" s="971"/>
      <c r="K114" s="972"/>
      <c r="N114" s="3" t="str">
        <f t="shared" si="14"/>
        <v>Show</v>
      </c>
      <c r="O114" s="80"/>
    </row>
    <row r="115" spans="2:15" ht="18">
      <c r="B115" s="976"/>
      <c r="C115" s="10">
        <v>84</v>
      </c>
      <c r="D115" s="90" t="s">
        <v>655</v>
      </c>
      <c r="E115" s="90" t="s">
        <v>563</v>
      </c>
      <c r="F115" s="220">
        <v>305.7</v>
      </c>
      <c r="G115" s="222">
        <f t="shared" si="13"/>
        <v>50</v>
      </c>
      <c r="H115" s="223" t="str">
        <f t="shared" si="11"/>
        <v>PASS</v>
      </c>
      <c r="I115" s="89">
        <f t="shared" si="12"/>
        <v>291.98666666666668</v>
      </c>
      <c r="J115" s="971"/>
      <c r="K115" s="972"/>
      <c r="N115" s="3" t="str">
        <f t="shared" si="14"/>
        <v>Show</v>
      </c>
      <c r="O115" s="80"/>
    </row>
    <row r="116" spans="2:15" ht="18">
      <c r="B116" s="976"/>
      <c r="C116" s="10">
        <v>85</v>
      </c>
      <c r="D116" s="90" t="s">
        <v>656</v>
      </c>
      <c r="E116" s="90" t="s">
        <v>558</v>
      </c>
      <c r="F116" s="220">
        <v>875.8</v>
      </c>
      <c r="G116" s="222">
        <f t="shared" si="13"/>
        <v>250</v>
      </c>
      <c r="H116" s="223" t="str">
        <f t="shared" si="11"/>
        <v>PASS</v>
      </c>
      <c r="I116" s="89">
        <f t="shared" si="12"/>
        <v>822.60909090909081</v>
      </c>
      <c r="J116" s="971"/>
      <c r="K116" s="972"/>
      <c r="N116" s="3" t="str">
        <f t="shared" si="14"/>
        <v>Show</v>
      </c>
      <c r="O116" s="80"/>
    </row>
    <row r="117" spans="2:15" ht="18">
      <c r="B117" s="976"/>
      <c r="C117" s="10">
        <v>86</v>
      </c>
      <c r="D117" s="90" t="s">
        <v>657</v>
      </c>
      <c r="E117" s="90" t="s">
        <v>561</v>
      </c>
      <c r="F117" s="220">
        <v>586.1</v>
      </c>
      <c r="G117" s="222">
        <f t="shared" si="13"/>
        <v>75</v>
      </c>
      <c r="H117" s="223" t="str">
        <f t="shared" si="11"/>
        <v>PASS</v>
      </c>
      <c r="I117" s="89">
        <f t="shared" si="12"/>
        <v>421.73222222222222</v>
      </c>
      <c r="J117" s="971"/>
      <c r="K117" s="972"/>
      <c r="N117" s="3" t="str">
        <f t="shared" si="14"/>
        <v>Show</v>
      </c>
      <c r="O117" s="80"/>
    </row>
    <row r="118" spans="2:15" ht="18">
      <c r="B118" s="976"/>
      <c r="C118" s="10">
        <v>87</v>
      </c>
      <c r="D118" s="90" t="s">
        <v>658</v>
      </c>
      <c r="E118" s="90" t="s">
        <v>559</v>
      </c>
      <c r="F118" s="220">
        <v>609</v>
      </c>
      <c r="G118" s="222">
        <f t="shared" si="13"/>
        <v>250</v>
      </c>
      <c r="H118" s="223" t="str">
        <f t="shared" si="11"/>
        <v>PASS</v>
      </c>
      <c r="I118" s="89">
        <f t="shared" si="12"/>
        <v>803.49999999999989</v>
      </c>
      <c r="J118" s="971"/>
      <c r="K118" s="972"/>
      <c r="N118" s="3" t="str">
        <f t="shared" si="14"/>
        <v>Show</v>
      </c>
      <c r="O118" s="80"/>
    </row>
    <row r="119" spans="2:15" ht="28.8">
      <c r="B119" s="976"/>
      <c r="C119" s="10">
        <v>88</v>
      </c>
      <c r="D119" s="90" t="s">
        <v>659</v>
      </c>
      <c r="E119" s="90" t="s">
        <v>557</v>
      </c>
      <c r="F119" s="220">
        <v>808.9</v>
      </c>
      <c r="G119" s="222">
        <f t="shared" si="13"/>
        <v>250</v>
      </c>
      <c r="H119" s="223" t="str">
        <f t="shared" si="11"/>
        <v>PASS</v>
      </c>
      <c r="I119" s="89">
        <f t="shared" si="12"/>
        <v>826.5625</v>
      </c>
      <c r="J119" s="971"/>
      <c r="K119" s="972"/>
      <c r="N119" s="3" t="str">
        <f t="shared" si="14"/>
        <v>Show</v>
      </c>
      <c r="O119" s="80"/>
    </row>
    <row r="120" spans="2:15" ht="28.8">
      <c r="B120" s="976"/>
      <c r="C120" s="10">
        <v>89</v>
      </c>
      <c r="D120" s="90" t="s">
        <v>660</v>
      </c>
      <c r="E120" s="90" t="s">
        <v>557</v>
      </c>
      <c r="F120" s="220">
        <v>762.8</v>
      </c>
      <c r="G120" s="222">
        <f t="shared" si="13"/>
        <v>250</v>
      </c>
      <c r="H120" s="223" t="str">
        <f t="shared" si="11"/>
        <v>PASS</v>
      </c>
      <c r="I120" s="89">
        <f t="shared" si="12"/>
        <v>826.5625</v>
      </c>
      <c r="J120" s="971"/>
      <c r="K120" s="972"/>
      <c r="N120" s="3" t="str">
        <f t="shared" si="14"/>
        <v>Show</v>
      </c>
      <c r="O120" s="80"/>
    </row>
    <row r="121" spans="2:15" ht="18">
      <c r="B121" s="976"/>
      <c r="C121" s="10">
        <v>90</v>
      </c>
      <c r="D121" s="90" t="s">
        <v>661</v>
      </c>
      <c r="E121" s="90" t="s">
        <v>560</v>
      </c>
      <c r="F121" s="220">
        <v>605.5</v>
      </c>
      <c r="G121" s="222">
        <f t="shared" si="13"/>
        <v>100</v>
      </c>
      <c r="H121" s="223" t="str">
        <f t="shared" si="11"/>
        <v>PASS</v>
      </c>
      <c r="I121" s="89">
        <f t="shared" si="12"/>
        <v>511.84999999999997</v>
      </c>
      <c r="J121" s="971"/>
      <c r="K121" s="972"/>
      <c r="N121" s="3" t="str">
        <f t="shared" si="14"/>
        <v>Show</v>
      </c>
      <c r="O121" s="80"/>
    </row>
    <row r="122" spans="2:15" ht="18">
      <c r="B122" s="976"/>
      <c r="C122" s="10">
        <v>91</v>
      </c>
      <c r="D122" s="90" t="s">
        <v>662</v>
      </c>
      <c r="E122" s="90" t="s">
        <v>558</v>
      </c>
      <c r="F122" s="220">
        <v>818.8</v>
      </c>
      <c r="G122" s="222">
        <f t="shared" si="13"/>
        <v>250</v>
      </c>
      <c r="H122" s="223" t="str">
        <f t="shared" si="11"/>
        <v>PASS</v>
      </c>
      <c r="I122" s="89">
        <f t="shared" si="12"/>
        <v>822.60909090909081</v>
      </c>
      <c r="J122" s="971"/>
      <c r="K122" s="972"/>
      <c r="N122" s="3" t="str">
        <f t="shared" si="14"/>
        <v>Show</v>
      </c>
      <c r="O122" s="80"/>
    </row>
    <row r="123" spans="2:15" ht="18">
      <c r="B123" s="976"/>
      <c r="C123" s="10">
        <v>92</v>
      </c>
      <c r="D123" s="90" t="s">
        <v>663</v>
      </c>
      <c r="E123" s="90" t="s">
        <v>570</v>
      </c>
      <c r="F123" s="220">
        <v>218.5</v>
      </c>
      <c r="G123" s="222">
        <f t="shared" si="13"/>
        <v>100</v>
      </c>
      <c r="H123" s="223" t="str">
        <f t="shared" si="11"/>
        <v>PASS</v>
      </c>
      <c r="I123" s="89">
        <f t="shared" si="12"/>
        <v>670.86666666666667</v>
      </c>
      <c r="J123" s="971"/>
      <c r="K123" s="972"/>
      <c r="N123" s="3" t="str">
        <f t="shared" si="14"/>
        <v>Show</v>
      </c>
      <c r="O123" s="80"/>
    </row>
    <row r="124" spans="2:15" ht="18">
      <c r="B124" s="976"/>
      <c r="C124" s="10">
        <v>93</v>
      </c>
      <c r="D124" s="90" t="s">
        <v>664</v>
      </c>
      <c r="E124" s="90" t="s">
        <v>568</v>
      </c>
      <c r="F124" s="220">
        <v>1093.5</v>
      </c>
      <c r="G124" s="222">
        <f t="shared" si="13"/>
        <v>100</v>
      </c>
      <c r="H124" s="223" t="str">
        <f t="shared" si="11"/>
        <v>PASS</v>
      </c>
      <c r="I124" s="89">
        <f t="shared" si="12"/>
        <v>467.82499999999999</v>
      </c>
      <c r="J124" s="971"/>
      <c r="K124" s="972"/>
      <c r="N124" s="3" t="str">
        <f t="shared" si="14"/>
        <v>Show</v>
      </c>
      <c r="O124" s="80"/>
    </row>
    <row r="125" spans="2:15" ht="18">
      <c r="B125" s="976"/>
      <c r="C125" s="10">
        <v>94</v>
      </c>
      <c r="D125" s="90" t="s">
        <v>665</v>
      </c>
      <c r="E125" s="90" t="s">
        <v>568</v>
      </c>
      <c r="F125" s="220">
        <v>363.6</v>
      </c>
      <c r="G125" s="222">
        <f t="shared" si="13"/>
        <v>100</v>
      </c>
      <c r="H125" s="223" t="str">
        <f t="shared" si="11"/>
        <v>PASS</v>
      </c>
      <c r="I125" s="89">
        <f t="shared" si="12"/>
        <v>467.82499999999999</v>
      </c>
      <c r="J125" s="971"/>
      <c r="K125" s="972"/>
      <c r="N125" s="3" t="str">
        <f t="shared" si="14"/>
        <v>Show</v>
      </c>
      <c r="O125" s="80"/>
    </row>
    <row r="126" spans="2:15" ht="18">
      <c r="B126" s="976"/>
      <c r="C126" s="10">
        <v>95</v>
      </c>
      <c r="D126" s="90" t="s">
        <v>666</v>
      </c>
      <c r="E126" s="90" t="s">
        <v>568</v>
      </c>
      <c r="F126" s="220">
        <v>382.7</v>
      </c>
      <c r="G126" s="222">
        <f t="shared" si="13"/>
        <v>100</v>
      </c>
      <c r="H126" s="223" t="str">
        <f t="shared" si="11"/>
        <v>PASS</v>
      </c>
      <c r="I126" s="89">
        <f t="shared" si="12"/>
        <v>467.82499999999999</v>
      </c>
      <c r="J126" s="971"/>
      <c r="K126" s="972"/>
      <c r="N126" s="3" t="str">
        <f t="shared" si="14"/>
        <v>Show</v>
      </c>
      <c r="O126" s="80"/>
    </row>
    <row r="127" spans="2:15" ht="18">
      <c r="B127" s="976"/>
      <c r="C127" s="10">
        <v>96</v>
      </c>
      <c r="D127" s="90" t="s">
        <v>667</v>
      </c>
      <c r="E127" s="90" t="s">
        <v>570</v>
      </c>
      <c r="F127" s="220">
        <v>220.2</v>
      </c>
      <c r="G127" s="222">
        <f t="shared" si="13"/>
        <v>100</v>
      </c>
      <c r="H127" s="223" t="str">
        <f t="shared" si="11"/>
        <v>PASS</v>
      </c>
      <c r="I127" s="89">
        <f t="shared" si="12"/>
        <v>670.86666666666667</v>
      </c>
      <c r="J127" s="971"/>
      <c r="K127" s="972"/>
      <c r="N127" s="3" t="str">
        <f t="shared" si="14"/>
        <v>Show</v>
      </c>
      <c r="O127" s="80"/>
    </row>
    <row r="128" spans="2:15" ht="18">
      <c r="B128" s="976"/>
      <c r="C128" s="10">
        <v>97</v>
      </c>
      <c r="D128" s="90" t="s">
        <v>668</v>
      </c>
      <c r="E128" s="90" t="s">
        <v>563</v>
      </c>
      <c r="F128" s="220">
        <v>322.10000000000002</v>
      </c>
      <c r="G128" s="222">
        <f t="shared" si="13"/>
        <v>50</v>
      </c>
      <c r="H128" s="223" t="str">
        <f t="shared" ref="H128:H159" si="15">IF(F128&gt;G128,"PASS","NOT MET")</f>
        <v>PASS</v>
      </c>
      <c r="I128" s="89">
        <f t="shared" ref="I128:I159" si="16">AVERAGEIF(E$32:E$176,E128,F$32:F$176)</f>
        <v>291.98666666666668</v>
      </c>
      <c r="J128" s="971"/>
      <c r="K128" s="972"/>
      <c r="N128" s="3" t="str">
        <f t="shared" si="14"/>
        <v>Show</v>
      </c>
      <c r="O128" s="80"/>
    </row>
    <row r="129" spans="2:15" ht="18">
      <c r="B129" s="976"/>
      <c r="C129" s="10">
        <v>98</v>
      </c>
      <c r="D129" s="90" t="s">
        <v>669</v>
      </c>
      <c r="E129" s="90" t="s">
        <v>569</v>
      </c>
      <c r="F129" s="220">
        <v>819.8</v>
      </c>
      <c r="G129" s="222">
        <f t="shared" si="13"/>
        <v>100</v>
      </c>
      <c r="H129" s="223" t="str">
        <f t="shared" si="15"/>
        <v>PASS</v>
      </c>
      <c r="I129" s="89">
        <f t="shared" si="16"/>
        <v>696.12222222222226</v>
      </c>
      <c r="J129" s="971"/>
      <c r="K129" s="972"/>
      <c r="N129" s="3" t="str">
        <f t="shared" si="14"/>
        <v>Show</v>
      </c>
      <c r="O129" s="80"/>
    </row>
    <row r="130" spans="2:15" ht="18">
      <c r="B130" s="976"/>
      <c r="C130" s="10">
        <v>99</v>
      </c>
      <c r="D130" s="90" t="s">
        <v>670</v>
      </c>
      <c r="E130" s="90" t="s">
        <v>569</v>
      </c>
      <c r="F130" s="220">
        <v>211.7</v>
      </c>
      <c r="G130" s="222">
        <f t="shared" si="13"/>
        <v>100</v>
      </c>
      <c r="H130" s="223" t="str">
        <f t="shared" si="15"/>
        <v>PASS</v>
      </c>
      <c r="I130" s="89">
        <f t="shared" si="16"/>
        <v>696.12222222222226</v>
      </c>
      <c r="J130" s="971"/>
      <c r="K130" s="972"/>
      <c r="N130" s="3" t="str">
        <f t="shared" si="14"/>
        <v>Show</v>
      </c>
      <c r="O130" s="80"/>
    </row>
    <row r="131" spans="2:15" ht="18">
      <c r="B131" s="976"/>
      <c r="C131" s="10">
        <v>100</v>
      </c>
      <c r="D131" s="90" t="s">
        <v>671</v>
      </c>
      <c r="E131" s="90" t="s">
        <v>569</v>
      </c>
      <c r="F131" s="220">
        <v>397.8</v>
      </c>
      <c r="G131" s="222">
        <f t="shared" si="13"/>
        <v>100</v>
      </c>
      <c r="H131" s="223" t="str">
        <f t="shared" si="15"/>
        <v>PASS</v>
      </c>
      <c r="I131" s="89">
        <f t="shared" si="16"/>
        <v>696.12222222222226</v>
      </c>
      <c r="J131" s="971"/>
      <c r="K131" s="972"/>
      <c r="N131" s="3" t="str">
        <f t="shared" si="14"/>
        <v>Show</v>
      </c>
      <c r="O131" s="80"/>
    </row>
    <row r="132" spans="2:15" ht="18">
      <c r="B132" s="976"/>
      <c r="C132" s="10">
        <v>101</v>
      </c>
      <c r="D132" s="90" t="s">
        <v>672</v>
      </c>
      <c r="E132" s="90" t="s">
        <v>566</v>
      </c>
      <c r="F132" s="220">
        <v>369</v>
      </c>
      <c r="G132" s="222">
        <f t="shared" si="13"/>
        <v>25</v>
      </c>
      <c r="H132" s="223" t="str">
        <f t="shared" si="15"/>
        <v>PASS</v>
      </c>
      <c r="I132" s="89">
        <f t="shared" si="16"/>
        <v>398.0333333333333</v>
      </c>
      <c r="J132" s="971"/>
      <c r="K132" s="972"/>
      <c r="N132" s="3" t="str">
        <f t="shared" si="14"/>
        <v>Show</v>
      </c>
      <c r="O132" s="80"/>
    </row>
    <row r="133" spans="2:15" ht="18">
      <c r="B133" s="976"/>
      <c r="C133" s="10">
        <v>102</v>
      </c>
      <c r="D133" s="90" t="s">
        <v>673</v>
      </c>
      <c r="E133" s="90" t="s">
        <v>566</v>
      </c>
      <c r="F133" s="220">
        <v>288.5</v>
      </c>
      <c r="G133" s="222">
        <f t="shared" si="13"/>
        <v>25</v>
      </c>
      <c r="H133" s="223" t="str">
        <f t="shared" si="15"/>
        <v>PASS</v>
      </c>
      <c r="I133" s="89">
        <f t="shared" si="16"/>
        <v>398.0333333333333</v>
      </c>
      <c r="J133" s="971"/>
      <c r="K133" s="972"/>
      <c r="N133" s="3" t="str">
        <f t="shared" si="14"/>
        <v>Show</v>
      </c>
      <c r="O133" s="80"/>
    </row>
    <row r="134" spans="2:15" ht="18">
      <c r="B134" s="976"/>
      <c r="C134" s="10">
        <v>103</v>
      </c>
      <c r="D134" s="90" t="s">
        <v>674</v>
      </c>
      <c r="E134" s="90" t="s">
        <v>566</v>
      </c>
      <c r="F134" s="220">
        <v>536.6</v>
      </c>
      <c r="G134" s="222">
        <f t="shared" si="13"/>
        <v>25</v>
      </c>
      <c r="H134" s="223" t="str">
        <f t="shared" si="15"/>
        <v>PASS</v>
      </c>
      <c r="I134" s="89">
        <f t="shared" si="16"/>
        <v>398.0333333333333</v>
      </c>
      <c r="J134" s="971"/>
      <c r="K134" s="972"/>
      <c r="N134" s="3" t="str">
        <f t="shared" si="14"/>
        <v>Show</v>
      </c>
      <c r="O134" s="80"/>
    </row>
    <row r="135" spans="2:15" ht="20.100000000000001" hidden="1" customHeight="1">
      <c r="B135" s="976"/>
      <c r="C135" s="10"/>
      <c r="D135" s="90"/>
      <c r="E135" s="90"/>
      <c r="F135" s="220"/>
      <c r="G135" s="222" t="e">
        <f t="shared" si="13"/>
        <v>#N/A</v>
      </c>
      <c r="H135" s="223" t="e">
        <f t="shared" si="15"/>
        <v>#N/A</v>
      </c>
      <c r="I135" s="89" t="e">
        <f t="shared" si="16"/>
        <v>#DIV/0!</v>
      </c>
      <c r="J135" s="971"/>
      <c r="K135" s="972"/>
      <c r="N135" s="3" t="str">
        <f t="shared" si="14"/>
        <v>Hide</v>
      </c>
      <c r="O135" s="80"/>
    </row>
    <row r="136" spans="2:15" ht="20.100000000000001" hidden="1" customHeight="1">
      <c r="B136" s="976"/>
      <c r="C136" s="10"/>
      <c r="D136" s="90"/>
      <c r="E136" s="90"/>
      <c r="F136" s="220"/>
      <c r="G136" s="222" t="e">
        <f t="shared" si="13"/>
        <v>#N/A</v>
      </c>
      <c r="H136" s="223" t="e">
        <f t="shared" si="15"/>
        <v>#N/A</v>
      </c>
      <c r="I136" s="89" t="e">
        <f t="shared" si="16"/>
        <v>#DIV/0!</v>
      </c>
      <c r="J136" s="971"/>
      <c r="K136" s="972"/>
      <c r="N136" s="3" t="str">
        <f t="shared" si="14"/>
        <v>Hide</v>
      </c>
      <c r="O136" s="80"/>
    </row>
    <row r="137" spans="2:15" ht="20.100000000000001" hidden="1" customHeight="1">
      <c r="B137" s="976"/>
      <c r="C137" s="10"/>
      <c r="D137" s="90"/>
      <c r="E137" s="90"/>
      <c r="F137" s="220"/>
      <c r="G137" s="222" t="e">
        <f t="shared" si="13"/>
        <v>#N/A</v>
      </c>
      <c r="H137" s="223" t="e">
        <f t="shared" si="15"/>
        <v>#N/A</v>
      </c>
      <c r="I137" s="89" t="e">
        <f t="shared" si="16"/>
        <v>#DIV/0!</v>
      </c>
      <c r="J137" s="971"/>
      <c r="K137" s="972"/>
      <c r="N137" s="3" t="str">
        <f t="shared" si="14"/>
        <v>Hide</v>
      </c>
      <c r="O137" s="80"/>
    </row>
    <row r="138" spans="2:15" ht="20.100000000000001" hidden="1" customHeight="1">
      <c r="B138" s="976"/>
      <c r="C138" s="10"/>
      <c r="D138" s="90"/>
      <c r="E138" s="90"/>
      <c r="F138" s="220"/>
      <c r="G138" s="222" t="e">
        <f t="shared" si="13"/>
        <v>#N/A</v>
      </c>
      <c r="H138" s="223" t="e">
        <f t="shared" si="15"/>
        <v>#N/A</v>
      </c>
      <c r="I138" s="89" t="e">
        <f t="shared" si="16"/>
        <v>#DIV/0!</v>
      </c>
      <c r="J138" s="971"/>
      <c r="K138" s="972"/>
      <c r="N138" s="3" t="str">
        <f t="shared" si="14"/>
        <v>Hide</v>
      </c>
      <c r="O138" s="80"/>
    </row>
    <row r="139" spans="2:15" ht="20.100000000000001" hidden="1" customHeight="1">
      <c r="B139" s="976"/>
      <c r="C139" s="10"/>
      <c r="D139" s="90"/>
      <c r="E139" s="90"/>
      <c r="F139" s="220"/>
      <c r="G139" s="222" t="e">
        <f t="shared" si="13"/>
        <v>#N/A</v>
      </c>
      <c r="H139" s="223" t="e">
        <f t="shared" si="15"/>
        <v>#N/A</v>
      </c>
      <c r="I139" s="89" t="e">
        <f t="shared" si="16"/>
        <v>#DIV/0!</v>
      </c>
      <c r="J139" s="971"/>
      <c r="K139" s="972"/>
      <c r="N139" s="3" t="str">
        <f t="shared" si="14"/>
        <v>Hide</v>
      </c>
      <c r="O139" s="80"/>
    </row>
    <row r="140" spans="2:15" ht="20.100000000000001" hidden="1" customHeight="1">
      <c r="B140" s="976"/>
      <c r="C140" s="10"/>
      <c r="D140" s="90"/>
      <c r="E140" s="90"/>
      <c r="F140" s="220"/>
      <c r="G140" s="222" t="e">
        <f t="shared" si="13"/>
        <v>#N/A</v>
      </c>
      <c r="H140" s="223" t="e">
        <f t="shared" si="15"/>
        <v>#N/A</v>
      </c>
      <c r="I140" s="89" t="e">
        <f t="shared" si="16"/>
        <v>#DIV/0!</v>
      </c>
      <c r="J140" s="971"/>
      <c r="K140" s="972"/>
      <c r="N140" s="3" t="str">
        <f t="shared" si="14"/>
        <v>Hide</v>
      </c>
      <c r="O140" s="80"/>
    </row>
    <row r="141" spans="2:15" ht="20.100000000000001" hidden="1" customHeight="1">
      <c r="B141" s="976"/>
      <c r="C141" s="10"/>
      <c r="D141" s="90"/>
      <c r="E141" s="90"/>
      <c r="F141" s="220"/>
      <c r="G141" s="222" t="e">
        <f t="shared" si="13"/>
        <v>#N/A</v>
      </c>
      <c r="H141" s="223" t="e">
        <f t="shared" si="15"/>
        <v>#N/A</v>
      </c>
      <c r="I141" s="89" t="e">
        <f t="shared" si="16"/>
        <v>#DIV/0!</v>
      </c>
      <c r="J141" s="971"/>
      <c r="K141" s="972"/>
      <c r="N141" s="3" t="str">
        <f t="shared" si="14"/>
        <v>Hide</v>
      </c>
      <c r="O141" s="80"/>
    </row>
    <row r="142" spans="2:15" ht="20.100000000000001" hidden="1" customHeight="1">
      <c r="B142" s="976"/>
      <c r="C142" s="10"/>
      <c r="D142" s="90"/>
      <c r="E142" s="90"/>
      <c r="F142" s="220"/>
      <c r="G142" s="222" t="e">
        <f t="shared" si="13"/>
        <v>#N/A</v>
      </c>
      <c r="H142" s="223" t="e">
        <f t="shared" si="15"/>
        <v>#N/A</v>
      </c>
      <c r="I142" s="89" t="e">
        <f t="shared" si="16"/>
        <v>#DIV/0!</v>
      </c>
      <c r="J142" s="971"/>
      <c r="K142" s="972"/>
      <c r="N142" s="3" t="str">
        <f t="shared" si="14"/>
        <v>Hide</v>
      </c>
      <c r="O142" s="80"/>
    </row>
    <row r="143" spans="2:15" ht="20.100000000000001" hidden="1" customHeight="1">
      <c r="B143" s="976"/>
      <c r="C143" s="10"/>
      <c r="D143" s="90"/>
      <c r="E143" s="90"/>
      <c r="F143" s="220"/>
      <c r="G143" s="222" t="e">
        <f t="shared" si="13"/>
        <v>#N/A</v>
      </c>
      <c r="H143" s="223" t="e">
        <f t="shared" si="15"/>
        <v>#N/A</v>
      </c>
      <c r="I143" s="89" t="e">
        <f t="shared" si="16"/>
        <v>#DIV/0!</v>
      </c>
      <c r="J143" s="971"/>
      <c r="K143" s="972"/>
      <c r="N143" s="3" t="str">
        <f t="shared" si="14"/>
        <v>Hide</v>
      </c>
      <c r="O143" s="80"/>
    </row>
    <row r="144" spans="2:15" ht="20.100000000000001" hidden="1" customHeight="1">
      <c r="B144" s="976"/>
      <c r="C144" s="10"/>
      <c r="D144" s="90"/>
      <c r="E144" s="90"/>
      <c r="F144" s="220"/>
      <c r="G144" s="222" t="e">
        <f t="shared" si="13"/>
        <v>#N/A</v>
      </c>
      <c r="H144" s="223" t="e">
        <f t="shared" si="15"/>
        <v>#N/A</v>
      </c>
      <c r="I144" s="89" t="e">
        <f t="shared" si="16"/>
        <v>#DIV/0!</v>
      </c>
      <c r="J144" s="971"/>
      <c r="K144" s="972"/>
      <c r="N144" s="3" t="str">
        <f t="shared" si="14"/>
        <v>Hide</v>
      </c>
      <c r="O144" s="80"/>
    </row>
    <row r="145" spans="2:15" ht="20.100000000000001" hidden="1" customHeight="1">
      <c r="B145" s="976"/>
      <c r="C145" s="10"/>
      <c r="D145" s="90"/>
      <c r="E145" s="90"/>
      <c r="F145" s="220"/>
      <c r="G145" s="222" t="e">
        <f t="shared" si="13"/>
        <v>#N/A</v>
      </c>
      <c r="H145" s="223" t="e">
        <f t="shared" si="15"/>
        <v>#N/A</v>
      </c>
      <c r="I145" s="89" t="e">
        <f t="shared" si="16"/>
        <v>#DIV/0!</v>
      </c>
      <c r="J145" s="971"/>
      <c r="K145" s="972"/>
      <c r="N145" s="3" t="str">
        <f t="shared" si="14"/>
        <v>Hide</v>
      </c>
      <c r="O145" s="80"/>
    </row>
    <row r="146" spans="2:15" ht="20.100000000000001" hidden="1" customHeight="1">
      <c r="B146" s="976"/>
      <c r="C146" s="10"/>
      <c r="D146" s="90"/>
      <c r="E146" s="90"/>
      <c r="F146" s="220"/>
      <c r="G146" s="222" t="e">
        <f t="shared" si="13"/>
        <v>#N/A</v>
      </c>
      <c r="H146" s="223" t="e">
        <f t="shared" si="15"/>
        <v>#N/A</v>
      </c>
      <c r="I146" s="89" t="e">
        <f t="shared" si="16"/>
        <v>#DIV/0!</v>
      </c>
      <c r="J146" s="971"/>
      <c r="K146" s="972"/>
      <c r="N146" s="3" t="str">
        <f t="shared" si="14"/>
        <v>Hide</v>
      </c>
      <c r="O146" s="80"/>
    </row>
    <row r="147" spans="2:15" ht="20.100000000000001" hidden="1" customHeight="1">
      <c r="B147" s="976"/>
      <c r="C147" s="10"/>
      <c r="D147" s="90"/>
      <c r="E147" s="90"/>
      <c r="F147" s="220"/>
      <c r="G147" s="222" t="e">
        <f t="shared" si="13"/>
        <v>#N/A</v>
      </c>
      <c r="H147" s="223" t="e">
        <f t="shared" si="15"/>
        <v>#N/A</v>
      </c>
      <c r="I147" s="89" t="e">
        <f t="shared" si="16"/>
        <v>#DIV/0!</v>
      </c>
      <c r="J147" s="971"/>
      <c r="K147" s="972"/>
      <c r="N147" s="3" t="str">
        <f t="shared" si="14"/>
        <v>Hide</v>
      </c>
      <c r="O147" s="80"/>
    </row>
    <row r="148" spans="2:15" ht="20.100000000000001" hidden="1" customHeight="1">
      <c r="B148" s="976"/>
      <c r="C148" s="10"/>
      <c r="D148" s="90"/>
      <c r="E148" s="90"/>
      <c r="F148" s="220"/>
      <c r="G148" s="222" t="e">
        <f t="shared" si="13"/>
        <v>#N/A</v>
      </c>
      <c r="H148" s="223" t="e">
        <f t="shared" si="15"/>
        <v>#N/A</v>
      </c>
      <c r="I148" s="89" t="e">
        <f t="shared" si="16"/>
        <v>#DIV/0!</v>
      </c>
      <c r="J148" s="971"/>
      <c r="K148" s="972"/>
      <c r="N148" s="3" t="str">
        <f t="shared" si="14"/>
        <v>Hide</v>
      </c>
      <c r="O148" s="80"/>
    </row>
    <row r="149" spans="2:15" ht="20.100000000000001" hidden="1" customHeight="1">
      <c r="B149" s="976"/>
      <c r="C149" s="10"/>
      <c r="D149" s="90"/>
      <c r="E149" s="90"/>
      <c r="F149" s="220"/>
      <c r="G149" s="222" t="e">
        <f t="shared" si="13"/>
        <v>#N/A</v>
      </c>
      <c r="H149" s="223" t="e">
        <f t="shared" si="15"/>
        <v>#N/A</v>
      </c>
      <c r="I149" s="89" t="e">
        <f t="shared" si="16"/>
        <v>#DIV/0!</v>
      </c>
      <c r="J149" s="971"/>
      <c r="K149" s="972"/>
      <c r="N149" s="3" t="str">
        <f t="shared" si="14"/>
        <v>Hide</v>
      </c>
      <c r="O149" s="80"/>
    </row>
    <row r="150" spans="2:15" ht="20.100000000000001" hidden="1" customHeight="1">
      <c r="B150" s="976"/>
      <c r="C150" s="10"/>
      <c r="D150" s="90"/>
      <c r="E150" s="90"/>
      <c r="F150" s="220"/>
      <c r="G150" s="222" t="e">
        <f t="shared" si="13"/>
        <v>#N/A</v>
      </c>
      <c r="H150" s="223" t="e">
        <f t="shared" si="15"/>
        <v>#N/A</v>
      </c>
      <c r="I150" s="89" t="e">
        <f t="shared" si="16"/>
        <v>#DIV/0!</v>
      </c>
      <c r="J150" s="971"/>
      <c r="K150" s="972"/>
      <c r="N150" s="3" t="str">
        <f t="shared" si="14"/>
        <v>Hide</v>
      </c>
      <c r="O150" s="80"/>
    </row>
    <row r="151" spans="2:15" ht="20.100000000000001" hidden="1" customHeight="1">
      <c r="B151" s="976"/>
      <c r="C151" s="10"/>
      <c r="D151" s="90"/>
      <c r="E151" s="90"/>
      <c r="F151" s="220"/>
      <c r="G151" s="222" t="e">
        <f t="shared" si="13"/>
        <v>#N/A</v>
      </c>
      <c r="H151" s="223" t="e">
        <f t="shared" si="15"/>
        <v>#N/A</v>
      </c>
      <c r="I151" s="89" t="e">
        <f t="shared" si="16"/>
        <v>#DIV/0!</v>
      </c>
      <c r="J151" s="971"/>
      <c r="K151" s="972"/>
      <c r="N151" s="3" t="str">
        <f t="shared" si="14"/>
        <v>Hide</v>
      </c>
      <c r="O151" s="80"/>
    </row>
    <row r="152" spans="2:15" ht="20.100000000000001" hidden="1" customHeight="1">
      <c r="B152" s="976"/>
      <c r="C152" s="10"/>
      <c r="D152" s="90"/>
      <c r="E152" s="90"/>
      <c r="F152" s="220"/>
      <c r="G152" s="222" t="e">
        <f t="shared" si="13"/>
        <v>#N/A</v>
      </c>
      <c r="H152" s="223" t="e">
        <f t="shared" si="15"/>
        <v>#N/A</v>
      </c>
      <c r="I152" s="89" t="e">
        <f t="shared" si="16"/>
        <v>#DIV/0!</v>
      </c>
      <c r="J152" s="971"/>
      <c r="K152" s="972"/>
      <c r="N152" s="3" t="str">
        <f t="shared" si="14"/>
        <v>Hide</v>
      </c>
      <c r="O152" s="80"/>
    </row>
    <row r="153" spans="2:15" ht="20.100000000000001" hidden="1" customHeight="1">
      <c r="B153" s="976"/>
      <c r="C153" s="10"/>
      <c r="D153" s="90"/>
      <c r="E153" s="90"/>
      <c r="F153" s="220"/>
      <c r="G153" s="222" t="e">
        <f t="shared" si="13"/>
        <v>#N/A</v>
      </c>
      <c r="H153" s="223" t="e">
        <f t="shared" si="15"/>
        <v>#N/A</v>
      </c>
      <c r="I153" s="89" t="e">
        <f t="shared" si="16"/>
        <v>#DIV/0!</v>
      </c>
      <c r="J153" s="971"/>
      <c r="K153" s="972"/>
      <c r="N153" s="3" t="str">
        <f t="shared" si="14"/>
        <v>Hide</v>
      </c>
      <c r="O153" s="80"/>
    </row>
    <row r="154" spans="2:15" ht="20.100000000000001" hidden="1" customHeight="1">
      <c r="B154" s="976"/>
      <c r="C154" s="10"/>
      <c r="D154" s="90"/>
      <c r="E154" s="90"/>
      <c r="F154" s="220"/>
      <c r="G154" s="222" t="e">
        <f t="shared" si="13"/>
        <v>#N/A</v>
      </c>
      <c r="H154" s="223" t="e">
        <f t="shared" si="15"/>
        <v>#N/A</v>
      </c>
      <c r="I154" s="89" t="e">
        <f t="shared" si="16"/>
        <v>#DIV/0!</v>
      </c>
      <c r="J154" s="971"/>
      <c r="K154" s="972"/>
      <c r="N154" s="3" t="str">
        <f t="shared" si="14"/>
        <v>Hide</v>
      </c>
      <c r="O154" s="80"/>
    </row>
    <row r="155" spans="2:15" ht="20.100000000000001" hidden="1" customHeight="1">
      <c r="B155" s="976"/>
      <c r="C155" s="10"/>
      <c r="D155" s="90"/>
      <c r="E155" s="90"/>
      <c r="F155" s="220"/>
      <c r="G155" s="222" t="e">
        <f t="shared" si="13"/>
        <v>#N/A</v>
      </c>
      <c r="H155" s="223" t="e">
        <f t="shared" si="15"/>
        <v>#N/A</v>
      </c>
      <c r="I155" s="89" t="e">
        <f t="shared" si="16"/>
        <v>#DIV/0!</v>
      </c>
      <c r="J155" s="971"/>
      <c r="K155" s="972"/>
      <c r="N155" s="3" t="str">
        <f t="shared" si="14"/>
        <v>Hide</v>
      </c>
      <c r="O155" s="80"/>
    </row>
    <row r="156" spans="2:15" ht="20.100000000000001" hidden="1" customHeight="1">
      <c r="B156" s="976"/>
      <c r="C156" s="10"/>
      <c r="D156" s="90"/>
      <c r="E156" s="90"/>
      <c r="F156" s="220"/>
      <c r="G156" s="222" t="e">
        <f t="shared" si="13"/>
        <v>#N/A</v>
      </c>
      <c r="H156" s="223" t="e">
        <f t="shared" si="15"/>
        <v>#N/A</v>
      </c>
      <c r="I156" s="89" t="e">
        <f t="shared" si="16"/>
        <v>#DIV/0!</v>
      </c>
      <c r="J156" s="971"/>
      <c r="K156" s="972"/>
      <c r="N156" s="3" t="str">
        <f t="shared" si="14"/>
        <v>Hide</v>
      </c>
      <c r="O156" s="80"/>
    </row>
    <row r="157" spans="2:15" ht="20.100000000000001" hidden="1" customHeight="1">
      <c r="B157" s="976"/>
      <c r="C157" s="10"/>
      <c r="D157" s="90"/>
      <c r="E157" s="90"/>
      <c r="F157" s="220"/>
      <c r="G157" s="222" t="e">
        <f t="shared" si="13"/>
        <v>#N/A</v>
      </c>
      <c r="H157" s="223" t="e">
        <f t="shared" si="15"/>
        <v>#N/A</v>
      </c>
      <c r="I157" s="89" t="e">
        <f t="shared" si="16"/>
        <v>#DIV/0!</v>
      </c>
      <c r="J157" s="971"/>
      <c r="K157" s="972"/>
      <c r="N157" s="3" t="str">
        <f t="shared" si="14"/>
        <v>Hide</v>
      </c>
      <c r="O157" s="80"/>
    </row>
    <row r="158" spans="2:15" ht="20.100000000000001" hidden="1" customHeight="1">
      <c r="B158" s="976"/>
      <c r="C158" s="10"/>
      <c r="D158" s="90"/>
      <c r="E158" s="90"/>
      <c r="F158" s="220"/>
      <c r="G158" s="222" t="e">
        <f t="shared" si="13"/>
        <v>#N/A</v>
      </c>
      <c r="H158" s="223" t="e">
        <f t="shared" si="15"/>
        <v>#N/A</v>
      </c>
      <c r="I158" s="89" t="e">
        <f t="shared" si="16"/>
        <v>#DIV/0!</v>
      </c>
      <c r="J158" s="971"/>
      <c r="K158" s="972"/>
      <c r="N158" s="3" t="str">
        <f t="shared" si="14"/>
        <v>Hide</v>
      </c>
      <c r="O158" s="80"/>
    </row>
    <row r="159" spans="2:15" ht="20.100000000000001" hidden="1" customHeight="1">
      <c r="B159" s="976"/>
      <c r="C159" s="10"/>
      <c r="D159" s="90"/>
      <c r="E159" s="90"/>
      <c r="F159" s="220"/>
      <c r="G159" s="222" t="e">
        <f t="shared" si="13"/>
        <v>#N/A</v>
      </c>
      <c r="H159" s="223" t="e">
        <f t="shared" si="15"/>
        <v>#N/A</v>
      </c>
      <c r="I159" s="89" t="e">
        <f t="shared" si="16"/>
        <v>#DIV/0!</v>
      </c>
      <c r="J159" s="971"/>
      <c r="K159" s="972"/>
      <c r="N159" s="3" t="str">
        <f t="shared" si="14"/>
        <v>Hide</v>
      </c>
      <c r="O159" s="80"/>
    </row>
    <row r="160" spans="2:15" ht="20.100000000000001" hidden="1" customHeight="1">
      <c r="B160" s="976"/>
      <c r="C160" s="10"/>
      <c r="D160" s="90"/>
      <c r="E160" s="90"/>
      <c r="F160" s="220"/>
      <c r="G160" s="222" t="e">
        <f t="shared" si="13"/>
        <v>#N/A</v>
      </c>
      <c r="H160" s="223" t="e">
        <f t="shared" ref="H160:H176" si="17">IF(F160&gt;G160,"PASS","NOT MET")</f>
        <v>#N/A</v>
      </c>
      <c r="I160" s="89" t="e">
        <f t="shared" ref="I160:I176" si="18">AVERAGEIF(E$32:E$176,E160,F$32:F$176)</f>
        <v>#DIV/0!</v>
      </c>
      <c r="J160" s="971"/>
      <c r="K160" s="972"/>
      <c r="N160" s="3" t="str">
        <f t="shared" si="14"/>
        <v>Hide</v>
      </c>
      <c r="O160" s="80"/>
    </row>
    <row r="161" spans="2:15" ht="20.100000000000001" hidden="1" customHeight="1">
      <c r="B161" s="976"/>
      <c r="C161" s="10"/>
      <c r="D161" s="90"/>
      <c r="E161" s="90"/>
      <c r="F161" s="220"/>
      <c r="G161" s="222" t="e">
        <f t="shared" ref="G161:G176" si="19">VLOOKUP(E161,E$7:F$29,2,FALSE)/2</f>
        <v>#N/A</v>
      </c>
      <c r="H161" s="223" t="e">
        <f t="shared" si="17"/>
        <v>#N/A</v>
      </c>
      <c r="I161" s="89" t="e">
        <f t="shared" si="18"/>
        <v>#DIV/0!</v>
      </c>
      <c r="J161" s="971"/>
      <c r="K161" s="972"/>
      <c r="N161" s="3" t="str">
        <f t="shared" ref="N161:N176" si="20">IF(C161&lt;&gt;"","Show","Hide")</f>
        <v>Hide</v>
      </c>
      <c r="O161" s="80"/>
    </row>
    <row r="162" spans="2:15" ht="20.100000000000001" hidden="1" customHeight="1">
      <c r="B162" s="976"/>
      <c r="C162" s="10"/>
      <c r="D162" s="90"/>
      <c r="E162" s="90"/>
      <c r="F162" s="220"/>
      <c r="G162" s="222" t="e">
        <f t="shared" si="19"/>
        <v>#N/A</v>
      </c>
      <c r="H162" s="223" t="e">
        <f t="shared" si="17"/>
        <v>#N/A</v>
      </c>
      <c r="I162" s="89" t="e">
        <f t="shared" si="18"/>
        <v>#DIV/0!</v>
      </c>
      <c r="J162" s="971"/>
      <c r="K162" s="972"/>
      <c r="N162" s="3" t="str">
        <f t="shared" si="20"/>
        <v>Hide</v>
      </c>
      <c r="O162" s="80"/>
    </row>
    <row r="163" spans="2:15" ht="20.100000000000001" hidden="1" customHeight="1">
      <c r="B163" s="976"/>
      <c r="C163" s="10"/>
      <c r="D163" s="90"/>
      <c r="E163" s="90"/>
      <c r="F163" s="220"/>
      <c r="G163" s="222" t="e">
        <f t="shared" si="19"/>
        <v>#N/A</v>
      </c>
      <c r="H163" s="223" t="e">
        <f t="shared" si="17"/>
        <v>#N/A</v>
      </c>
      <c r="I163" s="89" t="e">
        <f t="shared" si="18"/>
        <v>#DIV/0!</v>
      </c>
      <c r="J163" s="971"/>
      <c r="K163" s="972"/>
      <c r="N163" s="3" t="str">
        <f t="shared" si="20"/>
        <v>Hide</v>
      </c>
      <c r="O163" s="80"/>
    </row>
    <row r="164" spans="2:15" ht="20.100000000000001" hidden="1" customHeight="1">
      <c r="B164" s="976"/>
      <c r="C164" s="10"/>
      <c r="D164" s="90"/>
      <c r="E164" s="90"/>
      <c r="F164" s="220"/>
      <c r="G164" s="222" t="e">
        <f t="shared" si="19"/>
        <v>#N/A</v>
      </c>
      <c r="H164" s="223" t="e">
        <f t="shared" si="17"/>
        <v>#N/A</v>
      </c>
      <c r="I164" s="89" t="e">
        <f t="shared" si="18"/>
        <v>#DIV/0!</v>
      </c>
      <c r="J164" s="971"/>
      <c r="K164" s="972"/>
      <c r="N164" s="3" t="str">
        <f t="shared" si="20"/>
        <v>Hide</v>
      </c>
      <c r="O164" s="80"/>
    </row>
    <row r="165" spans="2:15" ht="20.100000000000001" hidden="1" customHeight="1">
      <c r="B165" s="976"/>
      <c r="C165" s="10"/>
      <c r="D165" s="90"/>
      <c r="E165" s="90"/>
      <c r="F165" s="220"/>
      <c r="G165" s="222" t="e">
        <f t="shared" si="19"/>
        <v>#N/A</v>
      </c>
      <c r="H165" s="223" t="e">
        <f t="shared" si="17"/>
        <v>#N/A</v>
      </c>
      <c r="I165" s="89" t="e">
        <f t="shared" si="18"/>
        <v>#DIV/0!</v>
      </c>
      <c r="J165" s="971"/>
      <c r="K165" s="972"/>
      <c r="N165" s="3" t="str">
        <f t="shared" si="20"/>
        <v>Hide</v>
      </c>
      <c r="O165" s="80"/>
    </row>
    <row r="166" spans="2:15" ht="20.100000000000001" hidden="1" customHeight="1">
      <c r="B166" s="976"/>
      <c r="C166" s="10"/>
      <c r="D166" s="90"/>
      <c r="E166" s="90"/>
      <c r="F166" s="220"/>
      <c r="G166" s="222" t="e">
        <f t="shared" si="19"/>
        <v>#N/A</v>
      </c>
      <c r="H166" s="223" t="e">
        <f t="shared" si="17"/>
        <v>#N/A</v>
      </c>
      <c r="I166" s="89" t="e">
        <f t="shared" si="18"/>
        <v>#DIV/0!</v>
      </c>
      <c r="J166" s="971"/>
      <c r="K166" s="972"/>
      <c r="N166" s="3" t="str">
        <f t="shared" si="20"/>
        <v>Hide</v>
      </c>
      <c r="O166" s="80"/>
    </row>
    <row r="167" spans="2:15" ht="20.100000000000001" hidden="1" customHeight="1">
      <c r="B167" s="976"/>
      <c r="C167" s="10"/>
      <c r="D167" s="90"/>
      <c r="E167" s="90"/>
      <c r="F167" s="220"/>
      <c r="G167" s="222" t="e">
        <f t="shared" si="19"/>
        <v>#N/A</v>
      </c>
      <c r="H167" s="223" t="e">
        <f t="shared" si="17"/>
        <v>#N/A</v>
      </c>
      <c r="I167" s="89" t="e">
        <f t="shared" si="18"/>
        <v>#DIV/0!</v>
      </c>
      <c r="J167" s="971"/>
      <c r="K167" s="972"/>
      <c r="N167" s="3" t="str">
        <f t="shared" si="20"/>
        <v>Hide</v>
      </c>
      <c r="O167" s="80"/>
    </row>
    <row r="168" spans="2:15" ht="20.100000000000001" hidden="1" customHeight="1">
      <c r="B168" s="976"/>
      <c r="C168" s="10"/>
      <c r="D168" s="90"/>
      <c r="E168" s="90"/>
      <c r="F168" s="220"/>
      <c r="G168" s="222" t="e">
        <f t="shared" si="19"/>
        <v>#N/A</v>
      </c>
      <c r="H168" s="223" t="e">
        <f t="shared" si="17"/>
        <v>#N/A</v>
      </c>
      <c r="I168" s="89" t="e">
        <f t="shared" si="18"/>
        <v>#DIV/0!</v>
      </c>
      <c r="J168" s="971"/>
      <c r="K168" s="972"/>
      <c r="N168" s="3" t="str">
        <f t="shared" si="20"/>
        <v>Hide</v>
      </c>
      <c r="O168" s="80"/>
    </row>
    <row r="169" spans="2:15" ht="20.100000000000001" hidden="1" customHeight="1">
      <c r="B169" s="976"/>
      <c r="C169" s="10"/>
      <c r="D169" s="90"/>
      <c r="E169" s="90"/>
      <c r="F169" s="220"/>
      <c r="G169" s="222" t="e">
        <f t="shared" si="19"/>
        <v>#N/A</v>
      </c>
      <c r="H169" s="223" t="e">
        <f t="shared" si="17"/>
        <v>#N/A</v>
      </c>
      <c r="I169" s="89" t="e">
        <f t="shared" si="18"/>
        <v>#DIV/0!</v>
      </c>
      <c r="J169" s="971"/>
      <c r="K169" s="972"/>
      <c r="N169" s="3" t="str">
        <f t="shared" si="20"/>
        <v>Hide</v>
      </c>
      <c r="O169" s="80"/>
    </row>
    <row r="170" spans="2:15" ht="20.100000000000001" hidden="1" customHeight="1">
      <c r="B170" s="976"/>
      <c r="C170" s="10"/>
      <c r="D170" s="90"/>
      <c r="E170" s="90"/>
      <c r="F170" s="220"/>
      <c r="G170" s="222" t="e">
        <f t="shared" si="19"/>
        <v>#N/A</v>
      </c>
      <c r="H170" s="223" t="e">
        <f t="shared" si="17"/>
        <v>#N/A</v>
      </c>
      <c r="I170" s="89" t="e">
        <f t="shared" si="18"/>
        <v>#DIV/0!</v>
      </c>
      <c r="J170" s="971"/>
      <c r="K170" s="972"/>
      <c r="N170" s="3" t="str">
        <f t="shared" si="20"/>
        <v>Hide</v>
      </c>
      <c r="O170" s="80"/>
    </row>
    <row r="171" spans="2:15" ht="20.100000000000001" hidden="1" customHeight="1">
      <c r="B171" s="976"/>
      <c r="C171" s="10"/>
      <c r="D171" s="90"/>
      <c r="E171" s="90"/>
      <c r="F171" s="220"/>
      <c r="G171" s="222" t="e">
        <f t="shared" si="19"/>
        <v>#N/A</v>
      </c>
      <c r="H171" s="223" t="e">
        <f t="shared" si="17"/>
        <v>#N/A</v>
      </c>
      <c r="I171" s="89" t="e">
        <f t="shared" si="18"/>
        <v>#DIV/0!</v>
      </c>
      <c r="J171" s="971"/>
      <c r="K171" s="972"/>
      <c r="N171" s="3" t="str">
        <f t="shared" si="20"/>
        <v>Hide</v>
      </c>
      <c r="O171" s="80"/>
    </row>
    <row r="172" spans="2:15" ht="20.100000000000001" hidden="1" customHeight="1">
      <c r="B172" s="976"/>
      <c r="C172" s="10"/>
      <c r="D172" s="90"/>
      <c r="E172" s="90"/>
      <c r="F172" s="220"/>
      <c r="G172" s="222" t="e">
        <f t="shared" si="19"/>
        <v>#N/A</v>
      </c>
      <c r="H172" s="223" t="e">
        <f t="shared" si="17"/>
        <v>#N/A</v>
      </c>
      <c r="I172" s="89" t="e">
        <f t="shared" si="18"/>
        <v>#DIV/0!</v>
      </c>
      <c r="J172" s="971"/>
      <c r="K172" s="972"/>
      <c r="N172" s="3" t="str">
        <f t="shared" si="20"/>
        <v>Hide</v>
      </c>
      <c r="O172" s="80"/>
    </row>
    <row r="173" spans="2:15" ht="20.100000000000001" hidden="1" customHeight="1">
      <c r="B173" s="976"/>
      <c r="C173" s="10"/>
      <c r="D173" s="90"/>
      <c r="E173" s="90"/>
      <c r="F173" s="220"/>
      <c r="G173" s="222" t="e">
        <f t="shared" si="19"/>
        <v>#N/A</v>
      </c>
      <c r="H173" s="223" t="e">
        <f t="shared" si="17"/>
        <v>#N/A</v>
      </c>
      <c r="I173" s="89" t="e">
        <f t="shared" si="18"/>
        <v>#DIV/0!</v>
      </c>
      <c r="J173" s="971"/>
      <c r="K173" s="972"/>
      <c r="N173" s="3" t="str">
        <f t="shared" si="20"/>
        <v>Hide</v>
      </c>
      <c r="O173" s="91"/>
    </row>
    <row r="174" spans="2:15" ht="20.100000000000001" hidden="1" customHeight="1">
      <c r="B174" s="976"/>
      <c r="C174" s="10"/>
      <c r="D174" s="90"/>
      <c r="E174" s="90"/>
      <c r="F174" s="220"/>
      <c r="G174" s="222" t="e">
        <f t="shared" si="19"/>
        <v>#N/A</v>
      </c>
      <c r="H174" s="223" t="e">
        <f t="shared" si="17"/>
        <v>#N/A</v>
      </c>
      <c r="I174" s="89" t="e">
        <f t="shared" si="18"/>
        <v>#DIV/0!</v>
      </c>
      <c r="J174" s="971"/>
      <c r="K174" s="972"/>
      <c r="N174" s="3" t="str">
        <f t="shared" si="20"/>
        <v>Hide</v>
      </c>
      <c r="O174" s="84"/>
    </row>
    <row r="175" spans="2:15" ht="20.100000000000001" hidden="1" customHeight="1">
      <c r="B175" s="976"/>
      <c r="C175" s="10"/>
      <c r="D175" s="90"/>
      <c r="E175" s="90"/>
      <c r="F175" s="220"/>
      <c r="G175" s="222" t="e">
        <f t="shared" si="19"/>
        <v>#N/A</v>
      </c>
      <c r="H175" s="223" t="e">
        <f t="shared" si="17"/>
        <v>#N/A</v>
      </c>
      <c r="I175" s="89" t="e">
        <f t="shared" si="18"/>
        <v>#DIV/0!</v>
      </c>
      <c r="J175" s="971"/>
      <c r="K175" s="972"/>
      <c r="N175" s="3" t="str">
        <f t="shared" si="20"/>
        <v>Hide</v>
      </c>
      <c r="O175" s="84"/>
    </row>
    <row r="176" spans="2:15" ht="18" hidden="1">
      <c r="B176" s="976"/>
      <c r="C176" s="10"/>
      <c r="D176" s="90"/>
      <c r="E176" s="90"/>
      <c r="F176" s="220"/>
      <c r="G176" s="222" t="e">
        <f t="shared" si="19"/>
        <v>#N/A</v>
      </c>
      <c r="H176" s="223" t="e">
        <f t="shared" si="17"/>
        <v>#N/A</v>
      </c>
      <c r="I176" s="89" t="e">
        <f t="shared" si="18"/>
        <v>#DIV/0!</v>
      </c>
      <c r="J176" s="971"/>
      <c r="K176" s="972"/>
      <c r="N176" s="3" t="str">
        <f t="shared" si="20"/>
        <v>Hide</v>
      </c>
      <c r="O176" s="57"/>
    </row>
    <row r="177" spans="2:15" ht="14.25" customHeight="1">
      <c r="N177" s="3" t="s">
        <v>500</v>
      </c>
      <c r="O177" s="88"/>
    </row>
    <row r="178" spans="2:15" ht="14.25" hidden="1" customHeight="1">
      <c r="N178" s="3" t="str">
        <f>IF($C$184&lt;&gt;"","Show","Hide")</f>
        <v>Hide</v>
      </c>
      <c r="O178" s="88"/>
    </row>
    <row r="179" spans="2:15" s="51" customFormat="1" ht="21" hidden="1">
      <c r="B179" s="980"/>
      <c r="C179" s="984" t="s">
        <v>120</v>
      </c>
      <c r="D179" s="985"/>
      <c r="E179" s="985"/>
      <c r="F179" s="985"/>
      <c r="G179" s="985"/>
      <c r="H179" s="985"/>
      <c r="I179" s="985"/>
      <c r="J179" s="985"/>
      <c r="K179" s="985"/>
      <c r="N179" s="3" t="str">
        <f t="shared" ref="N179:N183" si="21">IF($C$184&lt;&gt;"","Show","Hide")</f>
        <v>Hide</v>
      </c>
      <c r="O179" s="88"/>
    </row>
    <row r="180" spans="2:15" s="51" customFormat="1" ht="50.1" hidden="1" customHeight="1">
      <c r="B180" s="981"/>
      <c r="C180" s="915"/>
      <c r="D180" s="915"/>
      <c r="E180" s="12" t="s">
        <v>119</v>
      </c>
      <c r="F180" s="12" t="s">
        <v>118</v>
      </c>
      <c r="G180" s="12" t="s">
        <v>117</v>
      </c>
      <c r="H180" s="12" t="s">
        <v>116</v>
      </c>
      <c r="I180" s="12"/>
      <c r="J180" s="12" t="s">
        <v>1</v>
      </c>
      <c r="K180" s="12" t="s">
        <v>10</v>
      </c>
      <c r="N180" s="3" t="str">
        <f t="shared" si="21"/>
        <v>Hide</v>
      </c>
      <c r="O180" s="88"/>
    </row>
    <row r="181" spans="2:15" s="51" customFormat="1" ht="54.9" hidden="1" customHeight="1">
      <c r="B181" s="981"/>
      <c r="C181" s="986"/>
      <c r="D181" s="986"/>
      <c r="E181" s="225" t="e">
        <f>_xlfn.CONCAT(ROUND(MEDIAN(E184:E251),1)," (",ROUND(MEDIAN(F184:F251),1),")")</f>
        <v>#NUM!</v>
      </c>
      <c r="F181" s="87"/>
      <c r="G181" s="87" t="str">
        <f>IF(C181&lt;&gt;"",IF(COUNTIF(G184:G251,"Not Met")&gt;0,"NOT MET","MET"),"TBD")</f>
        <v>TBD</v>
      </c>
      <c r="H181" s="85">
        <f>MAX(EMLThresholdsv2p[Points Available])</f>
        <v>0</v>
      </c>
      <c r="I181" s="86"/>
      <c r="J181" s="86"/>
      <c r="K181" s="85"/>
      <c r="N181" s="3" t="str">
        <f t="shared" si="21"/>
        <v>Hide</v>
      </c>
      <c r="O181" s="84" t="s">
        <v>115</v>
      </c>
    </row>
    <row r="182" spans="2:15" s="51" customFormat="1" ht="24" hidden="1" customHeight="1">
      <c r="B182" s="981"/>
      <c r="C182" s="915" t="s">
        <v>114</v>
      </c>
      <c r="D182" s="915"/>
      <c r="E182" s="915"/>
      <c r="F182" s="915"/>
      <c r="G182" s="915"/>
      <c r="H182" s="915"/>
      <c r="I182" s="915"/>
      <c r="J182" s="915"/>
      <c r="K182" s="941"/>
      <c r="N182" s="3" t="str">
        <f t="shared" si="21"/>
        <v>Hide</v>
      </c>
      <c r="O182" s="84" t="s">
        <v>113</v>
      </c>
    </row>
    <row r="183" spans="2:15" s="51" customFormat="1" ht="50.1" hidden="1" customHeight="1">
      <c r="B183" s="981"/>
      <c r="C183" s="12" t="s">
        <v>112</v>
      </c>
      <c r="D183" s="12" t="s">
        <v>111</v>
      </c>
      <c r="E183" s="12" t="s">
        <v>110</v>
      </c>
      <c r="F183" s="12" t="s">
        <v>109</v>
      </c>
      <c r="G183" s="12" t="s">
        <v>108</v>
      </c>
      <c r="H183" s="915" t="s">
        <v>107</v>
      </c>
      <c r="I183" s="915"/>
      <c r="J183" s="915"/>
      <c r="K183" s="979"/>
      <c r="N183" s="3" t="str">
        <f t="shared" si="21"/>
        <v>Hide</v>
      </c>
      <c r="O183" s="83" t="s">
        <v>106</v>
      </c>
    </row>
    <row r="184" spans="2:15" s="51" customFormat="1" ht="20.100000000000001" hidden="1" customHeight="1">
      <c r="B184" s="981"/>
      <c r="C184" s="10"/>
      <c r="D184" s="71"/>
      <c r="E184" s="224"/>
      <c r="F184" s="223" t="str">
        <f t="shared" ref="F184:F215" si="22">IF(E184="","",E184*1.05)</f>
        <v/>
      </c>
      <c r="G184" s="7" t="str">
        <f>IF(F184&lt;&gt;"",IF(F184&gt;=(MAX(EMLThresholdsv2p[Attempting])/2),"MET","NOT MET"),"")</f>
        <v/>
      </c>
      <c r="H184" s="973"/>
      <c r="I184" s="973"/>
      <c r="J184" s="973"/>
      <c r="K184" s="979"/>
      <c r="N184" s="3" t="str">
        <f t="shared" ref="N184:N247" si="23">IF(C184&lt;&gt;"","Show","Hide")</f>
        <v>Hide</v>
      </c>
      <c r="O184" s="83" t="s">
        <v>509</v>
      </c>
    </row>
    <row r="185" spans="2:15" s="51" customFormat="1" ht="20.100000000000001" hidden="1" customHeight="1">
      <c r="B185" s="981"/>
      <c r="C185" s="10"/>
      <c r="D185" s="71"/>
      <c r="E185" s="224"/>
      <c r="F185" s="223" t="str">
        <f t="shared" si="22"/>
        <v/>
      </c>
      <c r="G185" s="7" t="str">
        <f>IF(F185&lt;&gt;"",IF(F185&gt;=(MAX(EMLThresholdsv2p[Attempting])/2),"MET","NOT MET"),"")</f>
        <v/>
      </c>
      <c r="H185" s="973"/>
      <c r="I185" s="973"/>
      <c r="J185" s="973"/>
      <c r="K185" s="979"/>
      <c r="N185" s="3" t="str">
        <f t="shared" si="23"/>
        <v>Hide</v>
      </c>
      <c r="O185" s="970" t="s">
        <v>105</v>
      </c>
    </row>
    <row r="186" spans="2:15" s="51" customFormat="1" ht="20.100000000000001" hidden="1" customHeight="1">
      <c r="B186" s="981"/>
      <c r="C186" s="10"/>
      <c r="D186" s="71"/>
      <c r="E186" s="224"/>
      <c r="F186" s="223" t="str">
        <f t="shared" si="22"/>
        <v/>
      </c>
      <c r="G186" s="7" t="str">
        <f>IF(F186&lt;&gt;"",IF(F186&gt;=(MAX(EMLThresholdsv2p[Attempting])/2),"MET","NOT MET"),"")</f>
        <v/>
      </c>
      <c r="H186" s="973"/>
      <c r="I186" s="973"/>
      <c r="J186" s="973"/>
      <c r="K186" s="979"/>
      <c r="N186" s="3" t="str">
        <f t="shared" si="23"/>
        <v>Hide</v>
      </c>
      <c r="O186" s="970"/>
    </row>
    <row r="187" spans="2:15" s="51" customFormat="1" ht="20.100000000000001" hidden="1" customHeight="1">
      <c r="B187" s="981"/>
      <c r="C187" s="10"/>
      <c r="D187" s="71"/>
      <c r="E187" s="224"/>
      <c r="F187" s="223" t="str">
        <f t="shared" si="22"/>
        <v/>
      </c>
      <c r="G187" s="7" t="str">
        <f>IF(F187&lt;&gt;"",IF(F187&gt;=(MAX(EMLThresholdsv2p[Attempting])/2),"MET","NOT MET"),"")</f>
        <v/>
      </c>
      <c r="H187" s="973"/>
      <c r="I187" s="973"/>
      <c r="J187" s="973"/>
      <c r="K187" s="979"/>
      <c r="N187" s="3" t="str">
        <f t="shared" si="23"/>
        <v>Hide</v>
      </c>
      <c r="O187" s="970"/>
    </row>
    <row r="188" spans="2:15" s="51" customFormat="1" ht="20.100000000000001" hidden="1" customHeight="1">
      <c r="B188" s="981"/>
      <c r="C188" s="10"/>
      <c r="D188" s="71"/>
      <c r="E188" s="224"/>
      <c r="F188" s="223" t="str">
        <f t="shared" si="22"/>
        <v/>
      </c>
      <c r="G188" s="7" t="str">
        <f>IF(F188&lt;&gt;"",IF(F188&gt;=(MAX(EMLThresholdsv2p[Attempting])/2),"MET","NOT MET"),"")</f>
        <v/>
      </c>
      <c r="H188" s="973"/>
      <c r="I188" s="973"/>
      <c r="J188" s="973"/>
      <c r="K188" s="979"/>
      <c r="N188" s="3" t="str">
        <f t="shared" si="23"/>
        <v>Hide</v>
      </c>
      <c r="O188" s="970"/>
    </row>
    <row r="189" spans="2:15" s="51" customFormat="1" ht="20.100000000000001" hidden="1" customHeight="1">
      <c r="B189" s="981"/>
      <c r="C189" s="10"/>
      <c r="D189" s="71"/>
      <c r="E189" s="224"/>
      <c r="F189" s="223" t="str">
        <f t="shared" si="22"/>
        <v/>
      </c>
      <c r="G189" s="7" t="str">
        <f>IF(F189&lt;&gt;"",IF(F189&gt;=(MAX(EMLThresholdsv2p[Attempting])/2),"MET","NOT MET"),"")</f>
        <v/>
      </c>
      <c r="H189" s="973"/>
      <c r="I189" s="973"/>
      <c r="J189" s="973"/>
      <c r="K189" s="979"/>
      <c r="N189" s="3" t="str">
        <f t="shared" si="23"/>
        <v>Hide</v>
      </c>
      <c r="O189" s="970"/>
    </row>
    <row r="190" spans="2:15" s="51" customFormat="1" ht="20.100000000000001" hidden="1" customHeight="1">
      <c r="B190" s="981"/>
      <c r="C190" s="10"/>
      <c r="D190" s="71"/>
      <c r="E190" s="224"/>
      <c r="F190" s="223" t="str">
        <f t="shared" si="22"/>
        <v/>
      </c>
      <c r="G190" s="7" t="str">
        <f>IF(F190&lt;&gt;"",IF(F190&gt;=(MAX(EMLThresholdsv2p[Attempting])/2),"MET","NOT MET"),"")</f>
        <v/>
      </c>
      <c r="H190" s="973"/>
      <c r="I190" s="973"/>
      <c r="J190" s="973"/>
      <c r="K190" s="979"/>
      <c r="N190" s="3" t="str">
        <f t="shared" si="23"/>
        <v>Hide</v>
      </c>
      <c r="O190" s="970"/>
    </row>
    <row r="191" spans="2:15" s="51" customFormat="1" ht="20.100000000000001" hidden="1" customHeight="1">
      <c r="B191" s="981"/>
      <c r="C191" s="10"/>
      <c r="D191" s="82"/>
      <c r="E191" s="224"/>
      <c r="F191" s="223" t="str">
        <f t="shared" si="22"/>
        <v/>
      </c>
      <c r="G191" s="7" t="str">
        <f>IF(F191&lt;&gt;"",IF(F191&gt;=(MAX(EMLThresholdsv2p[Attempting])/2),"MET","NOT MET"),"")</f>
        <v/>
      </c>
      <c r="H191" s="973"/>
      <c r="I191" s="973"/>
      <c r="J191" s="973"/>
      <c r="K191" s="979"/>
      <c r="N191" s="3" t="str">
        <f t="shared" si="23"/>
        <v>Hide</v>
      </c>
      <c r="O191" s="80"/>
    </row>
    <row r="192" spans="2:15" s="51" customFormat="1" ht="20.100000000000001" hidden="1" customHeight="1">
      <c r="B192" s="981"/>
      <c r="C192" s="10"/>
      <c r="D192" s="71"/>
      <c r="E192" s="224"/>
      <c r="F192" s="223" t="str">
        <f t="shared" si="22"/>
        <v/>
      </c>
      <c r="G192" s="7" t="str">
        <f>IF(F192&lt;&gt;"",IF(F192&gt;=(MAX(EMLThresholdsv2p[Attempting])/2),"MET","NOT MET"),"")</f>
        <v/>
      </c>
      <c r="H192" s="973"/>
      <c r="I192" s="973"/>
      <c r="J192" s="973"/>
      <c r="K192" s="979"/>
      <c r="N192" s="3" t="str">
        <f t="shared" si="23"/>
        <v>Hide</v>
      </c>
      <c r="O192" s="80"/>
    </row>
    <row r="193" spans="2:15" s="51" customFormat="1" ht="20.100000000000001" hidden="1" customHeight="1">
      <c r="B193" s="981"/>
      <c r="C193" s="10"/>
      <c r="D193" s="71"/>
      <c r="E193" s="224"/>
      <c r="F193" s="223" t="str">
        <f t="shared" si="22"/>
        <v/>
      </c>
      <c r="G193" s="7" t="str">
        <f>IF(F193&lt;&gt;"",IF(F193&gt;=(MAX(EMLThresholdsv2p[Attempting])/2),"MET","NOT MET"),"")</f>
        <v/>
      </c>
      <c r="H193" s="973"/>
      <c r="I193" s="973"/>
      <c r="J193" s="973"/>
      <c r="K193" s="979"/>
      <c r="N193" s="3" t="str">
        <f t="shared" si="23"/>
        <v>Hide</v>
      </c>
      <c r="O193" s="80"/>
    </row>
    <row r="194" spans="2:15" s="51" customFormat="1" ht="20.100000000000001" hidden="1" customHeight="1">
      <c r="B194" s="981"/>
      <c r="C194" s="10"/>
      <c r="D194" s="71"/>
      <c r="E194" s="224"/>
      <c r="F194" s="223" t="str">
        <f t="shared" si="22"/>
        <v/>
      </c>
      <c r="G194" s="7" t="str">
        <f>IF(F194&lt;&gt;"",IF(F194&gt;=(MAX(EMLThresholdsv2p[Attempting])/2),"MET","NOT MET"),"")</f>
        <v/>
      </c>
      <c r="H194" s="973"/>
      <c r="I194" s="973"/>
      <c r="J194" s="973"/>
      <c r="K194" s="979"/>
      <c r="N194" s="3" t="str">
        <f t="shared" si="23"/>
        <v>Hide</v>
      </c>
      <c r="O194" s="80"/>
    </row>
    <row r="195" spans="2:15" s="51" customFormat="1" ht="20.100000000000001" hidden="1" customHeight="1">
      <c r="B195" s="981"/>
      <c r="C195" s="10"/>
      <c r="D195" s="71"/>
      <c r="E195" s="224"/>
      <c r="F195" s="223" t="str">
        <f t="shared" si="22"/>
        <v/>
      </c>
      <c r="G195" s="7" t="str">
        <f>IF(F195&lt;&gt;"",IF(F195&gt;=(MAX(EMLThresholdsv2p[Attempting])/2),"MET","NOT MET"),"")</f>
        <v/>
      </c>
      <c r="H195" s="973"/>
      <c r="I195" s="973"/>
      <c r="J195" s="973"/>
      <c r="K195" s="979"/>
      <c r="N195" s="3" t="str">
        <f t="shared" si="23"/>
        <v>Hide</v>
      </c>
      <c r="O195" s="80"/>
    </row>
    <row r="196" spans="2:15" s="51" customFormat="1" ht="20.100000000000001" hidden="1" customHeight="1">
      <c r="B196" s="981"/>
      <c r="C196" s="10"/>
      <c r="D196" s="71"/>
      <c r="E196" s="224"/>
      <c r="F196" s="223" t="str">
        <f t="shared" si="22"/>
        <v/>
      </c>
      <c r="G196" s="7" t="str">
        <f>IF(F196&lt;&gt;"",IF(F196&gt;=(MAX(EMLThresholdsv2p[Attempting])/2),"MET","NOT MET"),"")</f>
        <v/>
      </c>
      <c r="H196" s="973"/>
      <c r="I196" s="973"/>
      <c r="J196" s="973"/>
      <c r="K196" s="979"/>
      <c r="N196" s="3" t="str">
        <f t="shared" si="23"/>
        <v>Hide</v>
      </c>
      <c r="O196" s="80"/>
    </row>
    <row r="197" spans="2:15" s="51" customFormat="1" ht="20.100000000000001" hidden="1" customHeight="1">
      <c r="B197" s="981"/>
      <c r="C197" s="10"/>
      <c r="D197" s="71"/>
      <c r="E197" s="224"/>
      <c r="F197" s="223" t="str">
        <f t="shared" si="22"/>
        <v/>
      </c>
      <c r="G197" s="7" t="str">
        <f>IF(F197&lt;&gt;"",IF(F197&gt;=(MAX(EMLThresholdsv2p[Attempting])/2),"MET","NOT MET"),"")</f>
        <v/>
      </c>
      <c r="H197" s="973"/>
      <c r="I197" s="973"/>
      <c r="J197" s="973"/>
      <c r="K197" s="979"/>
      <c r="N197" s="3" t="str">
        <f t="shared" si="23"/>
        <v>Hide</v>
      </c>
      <c r="O197" s="80"/>
    </row>
    <row r="198" spans="2:15" s="51" customFormat="1" ht="20.100000000000001" hidden="1" customHeight="1">
      <c r="B198" s="981"/>
      <c r="C198" s="10"/>
      <c r="D198" s="71"/>
      <c r="E198" s="224"/>
      <c r="F198" s="223" t="str">
        <f t="shared" si="22"/>
        <v/>
      </c>
      <c r="G198" s="7" t="str">
        <f>IF(F198&lt;&gt;"",IF(F198&gt;=(MAX(EMLThresholdsv2p[Attempting])/2),"MET","NOT MET"),"")</f>
        <v/>
      </c>
      <c r="H198" s="973"/>
      <c r="I198" s="973"/>
      <c r="J198" s="973"/>
      <c r="K198" s="979"/>
      <c r="N198" s="3" t="str">
        <f t="shared" si="23"/>
        <v>Hide</v>
      </c>
      <c r="O198" s="80"/>
    </row>
    <row r="199" spans="2:15" s="51" customFormat="1" ht="20.100000000000001" hidden="1" customHeight="1">
      <c r="B199" s="981"/>
      <c r="C199" s="10"/>
      <c r="D199" s="71"/>
      <c r="E199" s="224"/>
      <c r="F199" s="223" t="str">
        <f t="shared" si="22"/>
        <v/>
      </c>
      <c r="G199" s="7" t="str">
        <f>IF(F199&lt;&gt;"",IF(F199&gt;=(MAX(EMLThresholdsv2p[Attempting])/2),"MET","NOT MET"),"")</f>
        <v/>
      </c>
      <c r="H199" s="973"/>
      <c r="I199" s="973"/>
      <c r="J199" s="973"/>
      <c r="K199" s="979"/>
      <c r="N199" s="3" t="str">
        <f t="shared" si="23"/>
        <v>Hide</v>
      </c>
      <c r="O199" s="80"/>
    </row>
    <row r="200" spans="2:15" s="51" customFormat="1" ht="20.100000000000001" hidden="1" customHeight="1">
      <c r="B200" s="981"/>
      <c r="C200" s="10"/>
      <c r="D200" s="71"/>
      <c r="E200" s="224"/>
      <c r="F200" s="223" t="str">
        <f t="shared" si="22"/>
        <v/>
      </c>
      <c r="G200" s="7" t="str">
        <f>IF(F200&lt;&gt;"",IF(F200&gt;=(MAX(EMLThresholdsv2p[Attempting])/2),"MET","NOT MET"),"")</f>
        <v/>
      </c>
      <c r="H200" s="973"/>
      <c r="I200" s="973"/>
      <c r="J200" s="973"/>
      <c r="K200" s="979"/>
      <c r="N200" s="3" t="str">
        <f t="shared" si="23"/>
        <v>Hide</v>
      </c>
      <c r="O200" s="80"/>
    </row>
    <row r="201" spans="2:15" s="51" customFormat="1" ht="20.100000000000001" hidden="1" customHeight="1">
      <c r="B201" s="981"/>
      <c r="C201" s="10"/>
      <c r="D201" s="71"/>
      <c r="E201" s="224"/>
      <c r="F201" s="223" t="str">
        <f t="shared" si="22"/>
        <v/>
      </c>
      <c r="G201" s="7" t="str">
        <f>IF(F201&lt;&gt;"",IF(F201&gt;=(MAX(EMLThresholdsv2p[Attempting])/2),"MET","NOT MET"),"")</f>
        <v/>
      </c>
      <c r="H201" s="973"/>
      <c r="I201" s="973"/>
      <c r="J201" s="973"/>
      <c r="K201" s="979"/>
      <c r="N201" s="3" t="str">
        <f t="shared" si="23"/>
        <v>Hide</v>
      </c>
      <c r="O201" s="80"/>
    </row>
    <row r="202" spans="2:15" s="51" customFormat="1" ht="20.100000000000001" hidden="1" customHeight="1">
      <c r="B202" s="981"/>
      <c r="C202" s="10"/>
      <c r="D202" s="71"/>
      <c r="E202" s="224"/>
      <c r="F202" s="223" t="str">
        <f t="shared" si="22"/>
        <v/>
      </c>
      <c r="G202" s="7" t="str">
        <f>IF(F202&lt;&gt;"",IF(F202&gt;=(MAX(EMLThresholdsv2p[Attempting])/2),"MET","NOT MET"),"")</f>
        <v/>
      </c>
      <c r="H202" s="973"/>
      <c r="I202" s="973"/>
      <c r="J202" s="973"/>
      <c r="K202" s="979"/>
      <c r="N202" s="3" t="str">
        <f t="shared" si="23"/>
        <v>Hide</v>
      </c>
      <c r="O202" s="80"/>
    </row>
    <row r="203" spans="2:15" s="51" customFormat="1" ht="20.100000000000001" hidden="1" customHeight="1">
      <c r="B203" s="981"/>
      <c r="C203" s="10"/>
      <c r="D203" s="71"/>
      <c r="E203" s="224"/>
      <c r="F203" s="223" t="str">
        <f t="shared" si="22"/>
        <v/>
      </c>
      <c r="G203" s="7" t="str">
        <f>IF(F203&lt;&gt;"",IF(F203&gt;=(MAX(EMLThresholdsv2p[Attempting])/2),"MET","NOT MET"),"")</f>
        <v/>
      </c>
      <c r="H203" s="973"/>
      <c r="I203" s="973"/>
      <c r="J203" s="973"/>
      <c r="K203" s="979"/>
      <c r="N203" s="3" t="str">
        <f t="shared" si="23"/>
        <v>Hide</v>
      </c>
      <c r="O203" s="80"/>
    </row>
    <row r="204" spans="2:15" s="51" customFormat="1" ht="20.100000000000001" hidden="1" customHeight="1">
      <c r="B204" s="981"/>
      <c r="C204" s="10"/>
      <c r="D204" s="71"/>
      <c r="E204" s="224"/>
      <c r="F204" s="223" t="str">
        <f t="shared" si="22"/>
        <v/>
      </c>
      <c r="G204" s="7" t="str">
        <f>IF(F204&lt;&gt;"",IF(F204&gt;=(MAX(EMLThresholdsv2p[Attempting])/2),"MET","NOT MET"),"")</f>
        <v/>
      </c>
      <c r="H204" s="973"/>
      <c r="I204" s="973"/>
      <c r="J204" s="973"/>
      <c r="K204" s="979"/>
      <c r="N204" s="3" t="str">
        <f t="shared" si="23"/>
        <v>Hide</v>
      </c>
      <c r="O204" s="80"/>
    </row>
    <row r="205" spans="2:15" s="51" customFormat="1" ht="20.100000000000001" hidden="1" customHeight="1">
      <c r="B205" s="981"/>
      <c r="C205" s="10"/>
      <c r="D205" s="71"/>
      <c r="E205" s="224"/>
      <c r="F205" s="223" t="str">
        <f t="shared" si="22"/>
        <v/>
      </c>
      <c r="G205" s="7" t="str">
        <f>IF(F205&lt;&gt;"",IF(F205&gt;=(MAX(EMLThresholdsv2p[Attempting])/2),"MET","NOT MET"),"")</f>
        <v/>
      </c>
      <c r="H205" s="973"/>
      <c r="I205" s="973"/>
      <c r="J205" s="973"/>
      <c r="K205" s="979"/>
      <c r="N205" s="3" t="str">
        <f t="shared" si="23"/>
        <v>Hide</v>
      </c>
      <c r="O205" s="80"/>
    </row>
    <row r="206" spans="2:15" s="51" customFormat="1" ht="20.100000000000001" hidden="1" customHeight="1">
      <c r="B206" s="981"/>
      <c r="C206" s="10"/>
      <c r="D206" s="71"/>
      <c r="E206" s="224"/>
      <c r="F206" s="223" t="str">
        <f t="shared" si="22"/>
        <v/>
      </c>
      <c r="G206" s="7" t="str">
        <f>IF(F206&lt;&gt;"",IF(F206&gt;=(MAX(EMLThresholdsv2p[Attempting])/2),"MET","NOT MET"),"")</f>
        <v/>
      </c>
      <c r="H206" s="973"/>
      <c r="I206" s="973"/>
      <c r="J206" s="973"/>
      <c r="K206" s="979"/>
      <c r="N206" s="3" t="str">
        <f t="shared" si="23"/>
        <v>Hide</v>
      </c>
      <c r="O206" s="80"/>
    </row>
    <row r="207" spans="2:15" s="51" customFormat="1" ht="20.100000000000001" hidden="1" customHeight="1">
      <c r="B207" s="981"/>
      <c r="C207" s="10"/>
      <c r="D207" s="71"/>
      <c r="E207" s="224"/>
      <c r="F207" s="223" t="str">
        <f t="shared" si="22"/>
        <v/>
      </c>
      <c r="G207" s="7" t="str">
        <f>IF(F207&lt;&gt;"",IF(F207&gt;=(MAX(EMLThresholdsv2p[Attempting])/2),"MET","NOT MET"),"")</f>
        <v/>
      </c>
      <c r="H207" s="973"/>
      <c r="I207" s="973"/>
      <c r="J207" s="973"/>
      <c r="K207" s="979"/>
      <c r="N207" s="3" t="str">
        <f t="shared" si="23"/>
        <v>Hide</v>
      </c>
      <c r="O207" s="80"/>
    </row>
    <row r="208" spans="2:15" s="51" customFormat="1" ht="20.100000000000001" hidden="1" customHeight="1">
      <c r="B208" s="981"/>
      <c r="C208" s="10"/>
      <c r="D208" s="71"/>
      <c r="E208" s="224"/>
      <c r="F208" s="223" t="str">
        <f t="shared" si="22"/>
        <v/>
      </c>
      <c r="G208" s="7" t="str">
        <f>IF(F208&lt;&gt;"",IF(F208&gt;=(MAX(EMLThresholdsv2p[Attempting])/2),"MET","NOT MET"),"")</f>
        <v/>
      </c>
      <c r="H208" s="973"/>
      <c r="I208" s="973"/>
      <c r="J208" s="973"/>
      <c r="K208" s="979"/>
      <c r="N208" s="3" t="str">
        <f t="shared" si="23"/>
        <v>Hide</v>
      </c>
      <c r="O208" s="80"/>
    </row>
    <row r="209" spans="2:15" s="51" customFormat="1" ht="20.100000000000001" hidden="1" customHeight="1">
      <c r="B209" s="981"/>
      <c r="C209" s="10"/>
      <c r="D209" s="71"/>
      <c r="E209" s="224"/>
      <c r="F209" s="223" t="str">
        <f t="shared" si="22"/>
        <v/>
      </c>
      <c r="G209" s="7" t="str">
        <f>IF(F209&lt;&gt;"",IF(F209&gt;=(MAX(EMLThresholdsv2p[Attempting])/2),"MET","NOT MET"),"")</f>
        <v/>
      </c>
      <c r="H209" s="973"/>
      <c r="I209" s="973"/>
      <c r="J209" s="973"/>
      <c r="K209" s="979"/>
      <c r="N209" s="3" t="str">
        <f t="shared" si="23"/>
        <v>Hide</v>
      </c>
      <c r="O209" s="80"/>
    </row>
    <row r="210" spans="2:15" s="51" customFormat="1" ht="20.100000000000001" hidden="1" customHeight="1">
      <c r="B210" s="981"/>
      <c r="C210" s="10"/>
      <c r="D210" s="71"/>
      <c r="E210" s="224"/>
      <c r="F210" s="223" t="str">
        <f t="shared" si="22"/>
        <v/>
      </c>
      <c r="G210" s="7" t="str">
        <f>IF(F210&lt;&gt;"",IF(F210&gt;=(MAX(EMLThresholdsv2p[Attempting])/2),"MET","NOT MET"),"")</f>
        <v/>
      </c>
      <c r="H210" s="973"/>
      <c r="I210" s="973"/>
      <c r="J210" s="973"/>
      <c r="K210" s="979"/>
      <c r="N210" s="3" t="str">
        <f t="shared" si="23"/>
        <v>Hide</v>
      </c>
      <c r="O210" s="80"/>
    </row>
    <row r="211" spans="2:15" s="51" customFormat="1" ht="20.100000000000001" hidden="1" customHeight="1">
      <c r="B211" s="981"/>
      <c r="C211" s="10"/>
      <c r="D211" s="71"/>
      <c r="E211" s="224"/>
      <c r="F211" s="223" t="str">
        <f t="shared" si="22"/>
        <v/>
      </c>
      <c r="G211" s="7" t="str">
        <f>IF(F211&lt;&gt;"",IF(F211&gt;=(MAX(EMLThresholdsv2p[Attempting])/2),"MET","NOT MET"),"")</f>
        <v/>
      </c>
      <c r="H211" s="987"/>
      <c r="I211" s="988"/>
      <c r="J211" s="989"/>
      <c r="K211" s="979"/>
      <c r="N211" s="3" t="str">
        <f t="shared" si="23"/>
        <v>Hide</v>
      </c>
      <c r="O211" s="80"/>
    </row>
    <row r="212" spans="2:15" s="51" customFormat="1" ht="20.100000000000001" hidden="1" customHeight="1">
      <c r="B212" s="981"/>
      <c r="C212" s="10"/>
      <c r="D212" s="71"/>
      <c r="E212" s="224"/>
      <c r="F212" s="223" t="str">
        <f t="shared" si="22"/>
        <v/>
      </c>
      <c r="G212" s="7" t="str">
        <f>IF(F212&lt;&gt;"",IF(F212&gt;=(MAX(EMLThresholdsv2p[Attempting])/2),"MET","NOT MET"),"")</f>
        <v/>
      </c>
      <c r="H212" s="987"/>
      <c r="I212" s="988"/>
      <c r="J212" s="989"/>
      <c r="K212" s="979"/>
      <c r="N212" s="3" t="str">
        <f t="shared" si="23"/>
        <v>Hide</v>
      </c>
      <c r="O212" s="80"/>
    </row>
    <row r="213" spans="2:15" s="51" customFormat="1" ht="20.100000000000001" hidden="1" customHeight="1">
      <c r="B213" s="981"/>
      <c r="C213" s="10"/>
      <c r="D213" s="71"/>
      <c r="E213" s="224"/>
      <c r="F213" s="223" t="str">
        <f t="shared" si="22"/>
        <v/>
      </c>
      <c r="G213" s="7" t="str">
        <f>IF(F213&lt;&gt;"",IF(F213&gt;=(MAX(EMLThresholdsv2p[Attempting])/2),"MET","NOT MET"),"")</f>
        <v/>
      </c>
      <c r="H213" s="987"/>
      <c r="I213" s="988"/>
      <c r="J213" s="989"/>
      <c r="K213" s="979"/>
      <c r="N213" s="3" t="str">
        <f t="shared" si="23"/>
        <v>Hide</v>
      </c>
      <c r="O213" s="80"/>
    </row>
    <row r="214" spans="2:15" s="51" customFormat="1" ht="20.100000000000001" hidden="1" customHeight="1">
      <c r="B214" s="981"/>
      <c r="C214" s="10"/>
      <c r="D214" s="71"/>
      <c r="E214" s="224"/>
      <c r="F214" s="223" t="str">
        <f t="shared" si="22"/>
        <v/>
      </c>
      <c r="G214" s="7" t="str">
        <f>IF(F214&lt;&gt;"",IF(F214&gt;=(MAX(EMLThresholdsv2p[Attempting])/2),"MET","NOT MET"),"")</f>
        <v/>
      </c>
      <c r="H214" s="987"/>
      <c r="I214" s="988"/>
      <c r="J214" s="989"/>
      <c r="K214" s="979"/>
      <c r="N214" s="3" t="str">
        <f t="shared" si="23"/>
        <v>Hide</v>
      </c>
      <c r="O214" s="80"/>
    </row>
    <row r="215" spans="2:15" s="51" customFormat="1" ht="20.100000000000001" hidden="1" customHeight="1">
      <c r="B215" s="981"/>
      <c r="C215" s="10"/>
      <c r="D215" s="71"/>
      <c r="E215" s="224"/>
      <c r="F215" s="223" t="str">
        <f t="shared" si="22"/>
        <v/>
      </c>
      <c r="G215" s="7" t="str">
        <f>IF(F215&lt;&gt;"",IF(F215&gt;=(MAX(EMLThresholdsv2p[Attempting])/2),"MET","NOT MET"),"")</f>
        <v/>
      </c>
      <c r="H215" s="987"/>
      <c r="I215" s="988"/>
      <c r="J215" s="989"/>
      <c r="K215" s="979"/>
      <c r="N215" s="3" t="str">
        <f t="shared" si="23"/>
        <v>Hide</v>
      </c>
      <c r="O215" s="80"/>
    </row>
    <row r="216" spans="2:15" s="51" customFormat="1" ht="20.100000000000001" hidden="1" customHeight="1">
      <c r="B216" s="981"/>
      <c r="C216" s="10"/>
      <c r="D216" s="71"/>
      <c r="E216" s="224"/>
      <c r="F216" s="223" t="str">
        <f t="shared" ref="F216:F247" si="24">IF(E216="","",E216*1.05)</f>
        <v/>
      </c>
      <c r="G216" s="7" t="str">
        <f>IF(F216&lt;&gt;"",IF(F216&gt;=(MAX(EMLThresholdsv2p[Attempting])/2),"MET","NOT MET"),"")</f>
        <v/>
      </c>
      <c r="H216" s="987"/>
      <c r="I216" s="988"/>
      <c r="J216" s="989"/>
      <c r="K216" s="979"/>
      <c r="N216" s="3" t="str">
        <f t="shared" si="23"/>
        <v>Hide</v>
      </c>
      <c r="O216" s="80"/>
    </row>
    <row r="217" spans="2:15" s="51" customFormat="1" ht="20.100000000000001" hidden="1" customHeight="1">
      <c r="B217" s="981"/>
      <c r="C217" s="10"/>
      <c r="D217" s="71"/>
      <c r="E217" s="224"/>
      <c r="F217" s="223" t="str">
        <f t="shared" si="24"/>
        <v/>
      </c>
      <c r="G217" s="7" t="str">
        <f>IF(F217&lt;&gt;"",IF(F217&gt;=(MAX(EMLThresholdsv2p[Attempting])/2),"MET","NOT MET"),"")</f>
        <v/>
      </c>
      <c r="H217" s="987"/>
      <c r="I217" s="988"/>
      <c r="J217" s="989"/>
      <c r="K217" s="979"/>
      <c r="N217" s="3" t="str">
        <f t="shared" si="23"/>
        <v>Hide</v>
      </c>
      <c r="O217" s="80"/>
    </row>
    <row r="218" spans="2:15" s="51" customFormat="1" ht="20.100000000000001" hidden="1" customHeight="1">
      <c r="B218" s="981"/>
      <c r="C218" s="10"/>
      <c r="D218" s="71"/>
      <c r="E218" s="224"/>
      <c r="F218" s="223" t="str">
        <f t="shared" si="24"/>
        <v/>
      </c>
      <c r="G218" s="7" t="str">
        <f>IF(F218&lt;&gt;"",IF(F218&gt;=(MAX(EMLThresholdsv2p[Attempting])/2),"MET","NOT MET"),"")</f>
        <v/>
      </c>
      <c r="H218" s="987"/>
      <c r="I218" s="988"/>
      <c r="J218" s="989"/>
      <c r="K218" s="979"/>
      <c r="N218" s="3" t="str">
        <f t="shared" si="23"/>
        <v>Hide</v>
      </c>
      <c r="O218" s="80"/>
    </row>
    <row r="219" spans="2:15" s="51" customFormat="1" ht="20.100000000000001" hidden="1" customHeight="1">
      <c r="B219" s="981"/>
      <c r="C219" s="10"/>
      <c r="D219" s="71"/>
      <c r="E219" s="224"/>
      <c r="F219" s="223" t="str">
        <f t="shared" si="24"/>
        <v/>
      </c>
      <c r="G219" s="7" t="str">
        <f>IF(F219&lt;&gt;"",IF(F219&gt;=(MAX(EMLThresholdsv2p[Attempting])/2),"MET","NOT MET"),"")</f>
        <v/>
      </c>
      <c r="H219" s="987"/>
      <c r="I219" s="988"/>
      <c r="J219" s="989"/>
      <c r="K219" s="979"/>
      <c r="N219" s="3" t="str">
        <f t="shared" si="23"/>
        <v>Hide</v>
      </c>
      <c r="O219" s="80"/>
    </row>
    <row r="220" spans="2:15" s="51" customFormat="1" ht="20.100000000000001" hidden="1" customHeight="1">
      <c r="B220" s="981"/>
      <c r="C220" s="10"/>
      <c r="D220" s="71"/>
      <c r="E220" s="224"/>
      <c r="F220" s="223" t="str">
        <f t="shared" si="24"/>
        <v/>
      </c>
      <c r="G220" s="7" t="str">
        <f>IF(F220&lt;&gt;"",IF(F220&gt;=(MAX(EMLThresholdsv2p[Attempting])/2),"MET","NOT MET"),"")</f>
        <v/>
      </c>
      <c r="H220" s="987"/>
      <c r="I220" s="988"/>
      <c r="J220" s="989"/>
      <c r="K220" s="979"/>
      <c r="N220" s="3" t="str">
        <f t="shared" si="23"/>
        <v>Hide</v>
      </c>
      <c r="O220" s="80"/>
    </row>
    <row r="221" spans="2:15" s="51" customFormat="1" ht="20.100000000000001" hidden="1" customHeight="1">
      <c r="B221" s="981"/>
      <c r="C221" s="10"/>
      <c r="D221" s="71"/>
      <c r="E221" s="224"/>
      <c r="F221" s="223" t="str">
        <f t="shared" si="24"/>
        <v/>
      </c>
      <c r="G221" s="7" t="str">
        <f>IF(F221&lt;&gt;"",IF(F221&gt;=(MAX(EMLThresholdsv2p[Attempting])/2),"MET","NOT MET"),"")</f>
        <v/>
      </c>
      <c r="H221" s="987"/>
      <c r="I221" s="988"/>
      <c r="J221" s="989"/>
      <c r="K221" s="979"/>
      <c r="N221" s="3" t="str">
        <f t="shared" si="23"/>
        <v>Hide</v>
      </c>
      <c r="O221" s="80"/>
    </row>
    <row r="222" spans="2:15" s="51" customFormat="1" ht="20.100000000000001" hidden="1" customHeight="1">
      <c r="B222" s="981"/>
      <c r="C222" s="10"/>
      <c r="D222" s="71"/>
      <c r="E222" s="224"/>
      <c r="F222" s="223" t="str">
        <f t="shared" si="24"/>
        <v/>
      </c>
      <c r="G222" s="7" t="str">
        <f>IF(F222&lt;&gt;"",IF(F222&gt;=(MAX(EMLThresholdsv2p[Attempting])/2),"MET","NOT MET"),"")</f>
        <v/>
      </c>
      <c r="H222" s="987"/>
      <c r="I222" s="988"/>
      <c r="J222" s="989"/>
      <c r="K222" s="979"/>
      <c r="N222" s="3" t="str">
        <f t="shared" si="23"/>
        <v>Hide</v>
      </c>
      <c r="O222" s="80"/>
    </row>
    <row r="223" spans="2:15" s="51" customFormat="1" ht="20.100000000000001" hidden="1" customHeight="1">
      <c r="B223" s="981"/>
      <c r="C223" s="10"/>
      <c r="D223" s="71"/>
      <c r="E223" s="224"/>
      <c r="F223" s="223" t="str">
        <f t="shared" si="24"/>
        <v/>
      </c>
      <c r="G223" s="7" t="str">
        <f>IF(F223&lt;&gt;"",IF(F223&gt;=(MAX(EMLThresholdsv2p[Attempting])/2),"MET","NOT MET"),"")</f>
        <v/>
      </c>
      <c r="H223" s="987"/>
      <c r="I223" s="988"/>
      <c r="J223" s="989"/>
      <c r="K223" s="979"/>
      <c r="N223" s="3" t="str">
        <f t="shared" si="23"/>
        <v>Hide</v>
      </c>
      <c r="O223" s="80"/>
    </row>
    <row r="224" spans="2:15" s="51" customFormat="1" ht="20.100000000000001" hidden="1" customHeight="1">
      <c r="B224" s="981"/>
      <c r="C224" s="10"/>
      <c r="D224" s="71"/>
      <c r="E224" s="224"/>
      <c r="F224" s="223" t="str">
        <f t="shared" si="24"/>
        <v/>
      </c>
      <c r="G224" s="7" t="str">
        <f>IF(F224&lt;&gt;"",IF(F224&gt;=(MAX(EMLThresholdsv2p[Attempting])/2),"MET","NOT MET"),"")</f>
        <v/>
      </c>
      <c r="H224" s="987"/>
      <c r="I224" s="988"/>
      <c r="J224" s="989"/>
      <c r="K224" s="979"/>
      <c r="N224" s="3" t="str">
        <f t="shared" si="23"/>
        <v>Hide</v>
      </c>
      <c r="O224" s="80"/>
    </row>
    <row r="225" spans="2:15" s="51" customFormat="1" ht="20.100000000000001" hidden="1" customHeight="1">
      <c r="B225" s="981"/>
      <c r="C225" s="10"/>
      <c r="D225" s="71"/>
      <c r="E225" s="224"/>
      <c r="F225" s="223" t="str">
        <f t="shared" si="24"/>
        <v/>
      </c>
      <c r="G225" s="7" t="str">
        <f>IF(F225&lt;&gt;"",IF(F225&gt;=(MAX(EMLThresholdsv2p[Attempting])/2),"MET","NOT MET"),"")</f>
        <v/>
      </c>
      <c r="H225" s="987"/>
      <c r="I225" s="988"/>
      <c r="J225" s="989"/>
      <c r="K225" s="979"/>
      <c r="N225" s="3" t="str">
        <f t="shared" si="23"/>
        <v>Hide</v>
      </c>
      <c r="O225" s="80"/>
    </row>
    <row r="226" spans="2:15" s="51" customFormat="1" ht="20.100000000000001" hidden="1" customHeight="1">
      <c r="B226" s="981"/>
      <c r="C226" s="10"/>
      <c r="D226" s="71"/>
      <c r="E226" s="224"/>
      <c r="F226" s="223" t="str">
        <f t="shared" si="24"/>
        <v/>
      </c>
      <c r="G226" s="7" t="str">
        <f>IF(F226&lt;&gt;"",IF(F226&gt;=(MAX(EMLThresholdsv2p[Attempting])/2),"MET","NOT MET"),"")</f>
        <v/>
      </c>
      <c r="H226" s="987"/>
      <c r="I226" s="988"/>
      <c r="J226" s="989"/>
      <c r="K226" s="979"/>
      <c r="N226" s="3" t="str">
        <f t="shared" si="23"/>
        <v>Hide</v>
      </c>
      <c r="O226" s="80"/>
    </row>
    <row r="227" spans="2:15" s="51" customFormat="1" ht="20.100000000000001" hidden="1" customHeight="1">
      <c r="B227" s="981"/>
      <c r="C227" s="10"/>
      <c r="D227" s="71"/>
      <c r="E227" s="224"/>
      <c r="F227" s="223" t="str">
        <f t="shared" si="24"/>
        <v/>
      </c>
      <c r="G227" s="7" t="str">
        <f>IF(F227&lt;&gt;"",IF(F227&gt;=(MAX(EMLThresholdsv2p[Attempting])/2),"MET","NOT MET"),"")</f>
        <v/>
      </c>
      <c r="H227" s="987"/>
      <c r="I227" s="988"/>
      <c r="J227" s="989"/>
      <c r="K227" s="979"/>
      <c r="N227" s="3" t="str">
        <f t="shared" si="23"/>
        <v>Hide</v>
      </c>
      <c r="O227" s="80"/>
    </row>
    <row r="228" spans="2:15" s="51" customFormat="1" ht="20.100000000000001" hidden="1" customHeight="1">
      <c r="B228" s="981"/>
      <c r="C228" s="10"/>
      <c r="D228" s="71"/>
      <c r="E228" s="224"/>
      <c r="F228" s="223" t="str">
        <f t="shared" si="24"/>
        <v/>
      </c>
      <c r="G228" s="7" t="str">
        <f>IF(F228&lt;&gt;"",IF(F228&gt;=(MAX(EMLThresholdsv2p[Attempting])/2),"MET","NOT MET"),"")</f>
        <v/>
      </c>
      <c r="H228" s="987"/>
      <c r="I228" s="988"/>
      <c r="J228" s="989"/>
      <c r="K228" s="979"/>
      <c r="N228" s="3" t="str">
        <f t="shared" si="23"/>
        <v>Hide</v>
      </c>
      <c r="O228" s="80"/>
    </row>
    <row r="229" spans="2:15" s="51" customFormat="1" ht="20.100000000000001" hidden="1" customHeight="1">
      <c r="B229" s="981"/>
      <c r="C229" s="10"/>
      <c r="D229" s="71"/>
      <c r="E229" s="224"/>
      <c r="F229" s="223" t="str">
        <f t="shared" si="24"/>
        <v/>
      </c>
      <c r="G229" s="7" t="str">
        <f>IF(F229&lt;&gt;"",IF(F229&gt;=(MAX(EMLThresholdsv2p[Attempting])/2),"MET","NOT MET"),"")</f>
        <v/>
      </c>
      <c r="H229" s="987"/>
      <c r="I229" s="988"/>
      <c r="J229" s="989"/>
      <c r="K229" s="979"/>
      <c r="N229" s="3" t="str">
        <f t="shared" si="23"/>
        <v>Hide</v>
      </c>
      <c r="O229" s="80"/>
    </row>
    <row r="230" spans="2:15" s="51" customFormat="1" ht="20.100000000000001" hidden="1" customHeight="1">
      <c r="B230" s="981"/>
      <c r="C230" s="10"/>
      <c r="D230" s="71"/>
      <c r="E230" s="224"/>
      <c r="F230" s="223" t="str">
        <f t="shared" si="24"/>
        <v/>
      </c>
      <c r="G230" s="7" t="str">
        <f>IF(F230&lt;&gt;"",IF(F230&gt;=(MAX(EMLThresholdsv2p[Attempting])/2),"MET","NOT MET"),"")</f>
        <v/>
      </c>
      <c r="H230" s="987"/>
      <c r="I230" s="988"/>
      <c r="J230" s="989"/>
      <c r="K230" s="979"/>
      <c r="N230" s="3" t="str">
        <f t="shared" si="23"/>
        <v>Hide</v>
      </c>
      <c r="O230" s="80"/>
    </row>
    <row r="231" spans="2:15" s="51" customFormat="1" ht="20.100000000000001" hidden="1" customHeight="1">
      <c r="B231" s="981"/>
      <c r="C231" s="10"/>
      <c r="D231" s="71"/>
      <c r="E231" s="224"/>
      <c r="F231" s="223" t="str">
        <f t="shared" si="24"/>
        <v/>
      </c>
      <c r="G231" s="7" t="str">
        <f>IF(F231&lt;&gt;"",IF(F231&gt;=(MAX(EMLThresholdsv2p[Attempting])/2),"MET","NOT MET"),"")</f>
        <v/>
      </c>
      <c r="H231" s="987"/>
      <c r="I231" s="988"/>
      <c r="J231" s="989"/>
      <c r="K231" s="979"/>
      <c r="N231" s="3" t="str">
        <f t="shared" si="23"/>
        <v>Hide</v>
      </c>
      <c r="O231" s="80"/>
    </row>
    <row r="232" spans="2:15" s="51" customFormat="1" ht="20.100000000000001" hidden="1" customHeight="1">
      <c r="B232" s="981"/>
      <c r="C232" s="10"/>
      <c r="D232" s="71"/>
      <c r="E232" s="224"/>
      <c r="F232" s="223" t="str">
        <f t="shared" si="24"/>
        <v/>
      </c>
      <c r="G232" s="7" t="str">
        <f>IF(F232&lt;&gt;"",IF(F232&gt;=(MAX(EMLThresholdsv2p[Attempting])/2),"MET","NOT MET"),"")</f>
        <v/>
      </c>
      <c r="H232" s="987"/>
      <c r="I232" s="988"/>
      <c r="J232" s="989"/>
      <c r="K232" s="979"/>
      <c r="N232" s="3" t="str">
        <f t="shared" si="23"/>
        <v>Hide</v>
      </c>
      <c r="O232" s="80"/>
    </row>
    <row r="233" spans="2:15" s="51" customFormat="1" ht="20.100000000000001" hidden="1" customHeight="1">
      <c r="B233" s="981"/>
      <c r="C233" s="10"/>
      <c r="D233" s="71"/>
      <c r="E233" s="224"/>
      <c r="F233" s="223" t="str">
        <f t="shared" si="24"/>
        <v/>
      </c>
      <c r="G233" s="7" t="str">
        <f>IF(F233&lt;&gt;"",IF(F233&gt;=(MAX(EMLThresholdsv2p[Attempting])/2),"MET","NOT MET"),"")</f>
        <v/>
      </c>
      <c r="H233" s="987"/>
      <c r="I233" s="988"/>
      <c r="J233" s="989"/>
      <c r="K233" s="979"/>
      <c r="N233" s="3" t="str">
        <f t="shared" si="23"/>
        <v>Hide</v>
      </c>
      <c r="O233" s="80"/>
    </row>
    <row r="234" spans="2:15" s="51" customFormat="1" ht="20.100000000000001" hidden="1" customHeight="1">
      <c r="B234" s="981"/>
      <c r="C234" s="10"/>
      <c r="D234" s="71"/>
      <c r="E234" s="224"/>
      <c r="F234" s="223" t="str">
        <f t="shared" si="24"/>
        <v/>
      </c>
      <c r="G234" s="7" t="str">
        <f>IF(F234&lt;&gt;"",IF(F234&gt;=(MAX(EMLThresholdsv2p[Attempting])/2),"MET","NOT MET"),"")</f>
        <v/>
      </c>
      <c r="H234" s="987"/>
      <c r="I234" s="988"/>
      <c r="J234" s="989"/>
      <c r="K234" s="979"/>
      <c r="N234" s="3" t="str">
        <f t="shared" si="23"/>
        <v>Hide</v>
      </c>
      <c r="O234" s="80"/>
    </row>
    <row r="235" spans="2:15" s="51" customFormat="1" ht="20.100000000000001" hidden="1" customHeight="1">
      <c r="B235" s="981"/>
      <c r="C235" s="10"/>
      <c r="D235" s="71"/>
      <c r="E235" s="224"/>
      <c r="F235" s="223" t="str">
        <f t="shared" si="24"/>
        <v/>
      </c>
      <c r="G235" s="7" t="str">
        <f>IF(F235&lt;&gt;"",IF(F235&gt;=(MAX(EMLThresholdsv2p[Attempting])/2),"MET","NOT MET"),"")</f>
        <v/>
      </c>
      <c r="H235" s="987"/>
      <c r="I235" s="988"/>
      <c r="J235" s="989"/>
      <c r="K235" s="979"/>
      <c r="N235" s="3" t="str">
        <f t="shared" si="23"/>
        <v>Hide</v>
      </c>
      <c r="O235" s="80"/>
    </row>
    <row r="236" spans="2:15" s="51" customFormat="1" ht="20.100000000000001" hidden="1" customHeight="1">
      <c r="B236" s="981"/>
      <c r="C236" s="10"/>
      <c r="D236" s="71"/>
      <c r="E236" s="224"/>
      <c r="F236" s="223" t="str">
        <f t="shared" si="24"/>
        <v/>
      </c>
      <c r="G236" s="7" t="str">
        <f>IF(F236&lt;&gt;"",IF(F236&gt;=(MAX(EMLThresholdsv2p[Attempting])/2),"MET","NOT MET"),"")</f>
        <v/>
      </c>
      <c r="H236" s="987"/>
      <c r="I236" s="988"/>
      <c r="J236" s="989"/>
      <c r="K236" s="979"/>
      <c r="N236" s="3" t="str">
        <f t="shared" si="23"/>
        <v>Hide</v>
      </c>
      <c r="O236" s="80"/>
    </row>
    <row r="237" spans="2:15" s="51" customFormat="1" ht="20.100000000000001" hidden="1" customHeight="1">
      <c r="B237" s="981"/>
      <c r="C237" s="10"/>
      <c r="D237" s="71"/>
      <c r="E237" s="224"/>
      <c r="F237" s="223" t="str">
        <f t="shared" si="24"/>
        <v/>
      </c>
      <c r="G237" s="7" t="str">
        <f>IF(F237&lt;&gt;"",IF(F237&gt;=(MAX(EMLThresholdsv2p[Attempting])/2),"MET","NOT MET"),"")</f>
        <v/>
      </c>
      <c r="H237" s="987"/>
      <c r="I237" s="988"/>
      <c r="J237" s="989"/>
      <c r="K237" s="979"/>
      <c r="N237" s="3" t="str">
        <f t="shared" si="23"/>
        <v>Hide</v>
      </c>
      <c r="O237" s="80"/>
    </row>
    <row r="238" spans="2:15" s="51" customFormat="1" ht="20.100000000000001" hidden="1" customHeight="1">
      <c r="B238" s="981"/>
      <c r="C238" s="10"/>
      <c r="D238" s="71"/>
      <c r="E238" s="224"/>
      <c r="F238" s="223" t="str">
        <f t="shared" si="24"/>
        <v/>
      </c>
      <c r="G238" s="7" t="str">
        <f>IF(F238&lt;&gt;"",IF(F238&gt;=(MAX(EMLThresholdsv2p[Attempting])/2),"MET","NOT MET"),"")</f>
        <v/>
      </c>
      <c r="H238" s="987"/>
      <c r="I238" s="988"/>
      <c r="J238" s="989"/>
      <c r="K238" s="979"/>
      <c r="N238" s="3" t="str">
        <f t="shared" si="23"/>
        <v>Hide</v>
      </c>
      <c r="O238" s="80"/>
    </row>
    <row r="239" spans="2:15" s="51" customFormat="1" ht="20.100000000000001" hidden="1" customHeight="1">
      <c r="B239" s="981"/>
      <c r="C239" s="10"/>
      <c r="D239" s="71"/>
      <c r="E239" s="224"/>
      <c r="F239" s="223" t="str">
        <f t="shared" si="24"/>
        <v/>
      </c>
      <c r="G239" s="7" t="str">
        <f>IF(F239&lt;&gt;"",IF(F239&gt;=(MAX(EMLThresholdsv2p[Attempting])/2),"MET","NOT MET"),"")</f>
        <v/>
      </c>
      <c r="H239" s="987"/>
      <c r="I239" s="988"/>
      <c r="J239" s="989"/>
      <c r="K239" s="979"/>
      <c r="N239" s="3" t="str">
        <f t="shared" si="23"/>
        <v>Hide</v>
      </c>
      <c r="O239" s="80"/>
    </row>
    <row r="240" spans="2:15" s="51" customFormat="1" ht="20.100000000000001" hidden="1" customHeight="1">
      <c r="B240" s="981"/>
      <c r="C240" s="10"/>
      <c r="D240" s="71"/>
      <c r="E240" s="224"/>
      <c r="F240" s="223" t="str">
        <f t="shared" si="24"/>
        <v/>
      </c>
      <c r="G240" s="7" t="str">
        <f>IF(F240&lt;&gt;"",IF(F240&gt;=(MAX(EMLThresholdsv2p[Attempting])/2),"MET","NOT MET"),"")</f>
        <v/>
      </c>
      <c r="H240" s="987"/>
      <c r="I240" s="988"/>
      <c r="J240" s="989"/>
      <c r="K240" s="979"/>
      <c r="N240" s="3" t="str">
        <f t="shared" si="23"/>
        <v>Hide</v>
      </c>
      <c r="O240" s="80"/>
    </row>
    <row r="241" spans="2:15" s="51" customFormat="1" ht="20.100000000000001" hidden="1" customHeight="1">
      <c r="B241" s="981"/>
      <c r="C241" s="10"/>
      <c r="D241" s="71"/>
      <c r="E241" s="224"/>
      <c r="F241" s="223" t="str">
        <f t="shared" si="24"/>
        <v/>
      </c>
      <c r="G241" s="7" t="str">
        <f>IF(F241&lt;&gt;"",IF(F241&gt;=(MAX(EMLThresholdsv2p[Attempting])/2),"MET","NOT MET"),"")</f>
        <v/>
      </c>
      <c r="H241" s="987"/>
      <c r="I241" s="988"/>
      <c r="J241" s="989"/>
      <c r="K241" s="979"/>
      <c r="N241" s="3" t="str">
        <f t="shared" si="23"/>
        <v>Hide</v>
      </c>
      <c r="O241" s="80"/>
    </row>
    <row r="242" spans="2:15" s="51" customFormat="1" ht="20.100000000000001" hidden="1" customHeight="1">
      <c r="B242" s="981"/>
      <c r="C242" s="10"/>
      <c r="D242" s="71"/>
      <c r="E242" s="224"/>
      <c r="F242" s="223" t="str">
        <f t="shared" si="24"/>
        <v/>
      </c>
      <c r="G242" s="7" t="str">
        <f>IF(F242&lt;&gt;"",IF(F242&gt;=(MAX(EMLThresholdsv2p[Attempting])/2),"MET","NOT MET"),"")</f>
        <v/>
      </c>
      <c r="H242" s="987"/>
      <c r="I242" s="988"/>
      <c r="J242" s="989"/>
      <c r="K242" s="979"/>
      <c r="N242" s="3" t="str">
        <f t="shared" si="23"/>
        <v>Hide</v>
      </c>
      <c r="O242" s="80"/>
    </row>
    <row r="243" spans="2:15" s="51" customFormat="1" ht="20.100000000000001" hidden="1" customHeight="1">
      <c r="B243" s="981"/>
      <c r="C243" s="10"/>
      <c r="D243" s="71"/>
      <c r="E243" s="224"/>
      <c r="F243" s="223" t="str">
        <f t="shared" si="24"/>
        <v/>
      </c>
      <c r="G243" s="7" t="str">
        <f>IF(F243&lt;&gt;"",IF(F243&gt;=(MAX(EMLThresholdsv2p[Attempting])/2),"MET","NOT MET"),"")</f>
        <v/>
      </c>
      <c r="H243" s="987"/>
      <c r="I243" s="988"/>
      <c r="J243" s="989"/>
      <c r="K243" s="979"/>
      <c r="N243" s="3" t="str">
        <f t="shared" si="23"/>
        <v>Hide</v>
      </c>
      <c r="O243" s="80"/>
    </row>
    <row r="244" spans="2:15" s="51" customFormat="1" ht="20.100000000000001" hidden="1" customHeight="1">
      <c r="B244" s="981"/>
      <c r="C244" s="10"/>
      <c r="D244" s="71"/>
      <c r="E244" s="224"/>
      <c r="F244" s="223" t="str">
        <f t="shared" si="24"/>
        <v/>
      </c>
      <c r="G244" s="7" t="str">
        <f>IF(F244&lt;&gt;"",IF(F244&gt;=(MAX(EMLThresholdsv2p[Attempting])/2),"MET","NOT MET"),"")</f>
        <v/>
      </c>
      <c r="H244" s="987"/>
      <c r="I244" s="988"/>
      <c r="J244" s="989"/>
      <c r="K244" s="979"/>
      <c r="N244" s="3" t="str">
        <f t="shared" si="23"/>
        <v>Hide</v>
      </c>
      <c r="O244" s="80"/>
    </row>
    <row r="245" spans="2:15" s="51" customFormat="1" ht="20.100000000000001" hidden="1" customHeight="1">
      <c r="B245" s="981"/>
      <c r="C245" s="10"/>
      <c r="D245" s="71"/>
      <c r="E245" s="224"/>
      <c r="F245" s="223" t="str">
        <f t="shared" si="24"/>
        <v/>
      </c>
      <c r="G245" s="7" t="str">
        <f>IF(F245&lt;&gt;"",IF(F245&gt;=(MAX(EMLThresholdsv2p[Attempting])/2),"MET","NOT MET"),"")</f>
        <v/>
      </c>
      <c r="H245" s="987"/>
      <c r="I245" s="988"/>
      <c r="J245" s="989"/>
      <c r="K245" s="979"/>
      <c r="N245" s="3" t="str">
        <f t="shared" si="23"/>
        <v>Hide</v>
      </c>
      <c r="O245" s="80"/>
    </row>
    <row r="246" spans="2:15" s="51" customFormat="1" ht="20.100000000000001" hidden="1" customHeight="1">
      <c r="B246" s="981"/>
      <c r="C246" s="10"/>
      <c r="D246" s="71"/>
      <c r="E246" s="224"/>
      <c r="F246" s="223" t="str">
        <f t="shared" si="24"/>
        <v/>
      </c>
      <c r="G246" s="7" t="str">
        <f>IF(F246&lt;&gt;"",IF(F246&gt;=(MAX(EMLThresholdsv2p[Attempting])/2),"MET","NOT MET"),"")</f>
        <v/>
      </c>
      <c r="H246" s="987"/>
      <c r="I246" s="988"/>
      <c r="J246" s="989"/>
      <c r="K246" s="979"/>
      <c r="N246" s="3" t="str">
        <f t="shared" si="23"/>
        <v>Hide</v>
      </c>
      <c r="O246" s="80"/>
    </row>
    <row r="247" spans="2:15" s="51" customFormat="1" ht="20.100000000000001" hidden="1" customHeight="1">
      <c r="B247" s="981"/>
      <c r="C247" s="10"/>
      <c r="D247" s="71"/>
      <c r="E247" s="224"/>
      <c r="F247" s="223" t="str">
        <f t="shared" si="24"/>
        <v/>
      </c>
      <c r="G247" s="7" t="str">
        <f>IF(F247&lt;&gt;"",IF(F247&gt;=(MAX(EMLThresholdsv2p[Attempting])/2),"MET","NOT MET"),"")</f>
        <v/>
      </c>
      <c r="H247" s="987"/>
      <c r="I247" s="988"/>
      <c r="J247" s="989"/>
      <c r="K247" s="979"/>
      <c r="N247" s="3" t="str">
        <f t="shared" si="23"/>
        <v>Hide</v>
      </c>
      <c r="O247" s="80"/>
    </row>
    <row r="248" spans="2:15" s="51" customFormat="1" ht="20.100000000000001" hidden="1" customHeight="1">
      <c r="B248" s="981"/>
      <c r="C248" s="10"/>
      <c r="D248" s="71"/>
      <c r="E248" s="224"/>
      <c r="F248" s="223" t="str">
        <f t="shared" ref="F248:F251" si="25">IF(E248="","",E248*1.05)</f>
        <v/>
      </c>
      <c r="G248" s="7" t="str">
        <f>IF(F248&lt;&gt;"",IF(F248&gt;=(MAX(EMLThresholdsv2p[Attempting])/2),"MET","NOT MET"),"")</f>
        <v/>
      </c>
      <c r="H248" s="987"/>
      <c r="I248" s="988"/>
      <c r="J248" s="989"/>
      <c r="K248" s="979"/>
      <c r="N248" s="3" t="str">
        <f t="shared" ref="N248:N251" si="26">IF(C248&lt;&gt;"","Show","Hide")</f>
        <v>Hide</v>
      </c>
      <c r="O248" s="80"/>
    </row>
    <row r="249" spans="2:15" s="51" customFormat="1" ht="20.100000000000001" hidden="1" customHeight="1">
      <c r="B249" s="981"/>
      <c r="C249" s="10"/>
      <c r="D249" s="71"/>
      <c r="E249" s="224"/>
      <c r="F249" s="223" t="str">
        <f t="shared" si="25"/>
        <v/>
      </c>
      <c r="G249" s="7" t="str">
        <f>IF(F249&lt;&gt;"",IF(F249&gt;=(MAX(EMLThresholdsv2p[Attempting])/2),"MET","NOT MET"),"")</f>
        <v/>
      </c>
      <c r="H249" s="987"/>
      <c r="I249" s="988"/>
      <c r="J249" s="989"/>
      <c r="K249" s="979"/>
      <c r="N249" s="3" t="str">
        <f t="shared" si="26"/>
        <v>Hide</v>
      </c>
      <c r="O249" s="80"/>
    </row>
    <row r="250" spans="2:15" s="51" customFormat="1" ht="20.100000000000001" hidden="1" customHeight="1">
      <c r="B250" s="981"/>
      <c r="C250" s="10"/>
      <c r="D250" s="71"/>
      <c r="E250" s="224"/>
      <c r="F250" s="223" t="str">
        <f t="shared" si="25"/>
        <v/>
      </c>
      <c r="G250" s="7" t="str">
        <f>IF(F250&lt;&gt;"",IF(F250&gt;=(MAX(EMLThresholdsv2p[Attempting])/2),"MET","NOT MET"),"")</f>
        <v/>
      </c>
      <c r="H250" s="987"/>
      <c r="I250" s="988"/>
      <c r="J250" s="989"/>
      <c r="K250" s="979"/>
      <c r="N250" s="3" t="str">
        <f t="shared" si="26"/>
        <v>Hide</v>
      </c>
      <c r="O250" s="80"/>
    </row>
    <row r="251" spans="2:15" s="51" customFormat="1" ht="20.100000000000001" hidden="1" customHeight="1">
      <c r="B251" s="982"/>
      <c r="C251" s="10"/>
      <c r="D251" s="71"/>
      <c r="E251" s="224"/>
      <c r="F251" s="223" t="str">
        <f t="shared" si="25"/>
        <v/>
      </c>
      <c r="G251" s="7" t="str">
        <f>IF(F251&lt;&gt;"",IF(F251&gt;=(MAX(EMLThresholdsv2p[Attempting])/2),"MET","NOT MET"),"")</f>
        <v/>
      </c>
      <c r="H251" s="987"/>
      <c r="I251" s="988"/>
      <c r="J251" s="989"/>
      <c r="K251" s="942"/>
      <c r="N251" s="3" t="str">
        <f t="shared" si="26"/>
        <v>Hide</v>
      </c>
      <c r="O251" s="80"/>
    </row>
    <row r="252" spans="2:15" s="51" customFormat="1" ht="10.35" hidden="1" customHeight="1">
      <c r="B252" s="81"/>
      <c r="C252" s="81"/>
      <c r="D252" s="81"/>
      <c r="E252" s="81"/>
      <c r="F252" s="81"/>
      <c r="G252" s="81"/>
      <c r="H252" s="81"/>
      <c r="I252" s="81"/>
      <c r="J252" s="81"/>
      <c r="K252" s="81"/>
      <c r="N252" s="3" t="str">
        <f>IF($C$184&lt;&gt;"","Show","Hide")</f>
        <v>Hide</v>
      </c>
      <c r="O252" s="80"/>
    </row>
    <row r="253" spans="2:15" ht="18">
      <c r="J253" s="51"/>
      <c r="O253" s="80"/>
    </row>
    <row r="254" spans="2:15" ht="18">
      <c r="O254" s="80"/>
    </row>
    <row r="255" spans="2:15" ht="18">
      <c r="O255" s="80"/>
    </row>
    <row r="256" spans="2:15" ht="18">
      <c r="O256" s="80"/>
    </row>
    <row r="257" spans="15:15" ht="18">
      <c r="O257" s="80"/>
    </row>
    <row r="258" spans="15:15" ht="18">
      <c r="O258" s="80"/>
    </row>
    <row r="259" spans="15:15" ht="18">
      <c r="O259" s="80"/>
    </row>
  </sheetData>
  <sheetProtection insertRows="0" deleteRows="0"/>
  <autoFilter ref="N3:O252" xr:uid="{6F3A324A-61FD-45B5-949D-6EDB67D57180}">
    <filterColumn colId="0">
      <filters>
        <filter val="Show"/>
      </filters>
    </filterColumn>
  </autoFilter>
  <mergeCells count="234">
    <mergeCell ref="O31:O35"/>
    <mergeCell ref="H250:J250"/>
    <mergeCell ref="H251:J251"/>
    <mergeCell ref="H243:J243"/>
    <mergeCell ref="H244:J244"/>
    <mergeCell ref="H245:J245"/>
    <mergeCell ref="H246:J246"/>
    <mergeCell ref="H247:J247"/>
    <mergeCell ref="H248:J248"/>
    <mergeCell ref="H249:J249"/>
    <mergeCell ref="H241:J241"/>
    <mergeCell ref="H242:J242"/>
    <mergeCell ref="H229:J229"/>
    <mergeCell ref="H230:J230"/>
    <mergeCell ref="H231:J231"/>
    <mergeCell ref="H232:J232"/>
    <mergeCell ref="H233:J233"/>
    <mergeCell ref="H234:J234"/>
    <mergeCell ref="H235:J235"/>
    <mergeCell ref="H236:J236"/>
    <mergeCell ref="H237:J237"/>
    <mergeCell ref="H238:J238"/>
    <mergeCell ref="H239:J239"/>
    <mergeCell ref="H240:J240"/>
    <mergeCell ref="H225:J225"/>
    <mergeCell ref="H226:J226"/>
    <mergeCell ref="H227:J227"/>
    <mergeCell ref="H228:J228"/>
    <mergeCell ref="H216:J216"/>
    <mergeCell ref="H217:J217"/>
    <mergeCell ref="H218:J218"/>
    <mergeCell ref="H219:J219"/>
    <mergeCell ref="H220:J220"/>
    <mergeCell ref="H221:J221"/>
    <mergeCell ref="H192:J192"/>
    <mergeCell ref="H223:J223"/>
    <mergeCell ref="H224:J224"/>
    <mergeCell ref="H200:J200"/>
    <mergeCell ref="H201:J201"/>
    <mergeCell ref="H202:J202"/>
    <mergeCell ref="H203:J203"/>
    <mergeCell ref="H210:J210"/>
    <mergeCell ref="H211:J211"/>
    <mergeCell ref="H204:J204"/>
    <mergeCell ref="H205:J205"/>
    <mergeCell ref="H222:J222"/>
    <mergeCell ref="H212:J212"/>
    <mergeCell ref="H213:J213"/>
    <mergeCell ref="H214:J214"/>
    <mergeCell ref="H215:J215"/>
    <mergeCell ref="H207:J207"/>
    <mergeCell ref="H208:J208"/>
    <mergeCell ref="H209:J209"/>
    <mergeCell ref="H206:J206"/>
    <mergeCell ref="H195:J195"/>
    <mergeCell ref="H196:J196"/>
    <mergeCell ref="H197:J197"/>
    <mergeCell ref="H198:J198"/>
    <mergeCell ref="O6:O7"/>
    <mergeCell ref="O8:O9"/>
    <mergeCell ref="O17:O23"/>
    <mergeCell ref="J53:K53"/>
    <mergeCell ref="J54:K54"/>
    <mergeCell ref="J55:K55"/>
    <mergeCell ref="J56:K56"/>
    <mergeCell ref="H193:J193"/>
    <mergeCell ref="H194:J194"/>
    <mergeCell ref="H186:J186"/>
    <mergeCell ref="H187:J187"/>
    <mergeCell ref="H188:J188"/>
    <mergeCell ref="H191:J191"/>
    <mergeCell ref="H190:J190"/>
    <mergeCell ref="C179:K179"/>
    <mergeCell ref="C180:D180"/>
    <mergeCell ref="C181:D181"/>
    <mergeCell ref="C182:J182"/>
    <mergeCell ref="J33:K33"/>
    <mergeCell ref="J34:K34"/>
    <mergeCell ref="J35:K35"/>
    <mergeCell ref="J36:K36"/>
    <mergeCell ref="J60:K60"/>
    <mergeCell ref="J57:K57"/>
    <mergeCell ref="H199:J199"/>
    <mergeCell ref="A1:K1"/>
    <mergeCell ref="A2:K2"/>
    <mergeCell ref="B4:K4"/>
    <mergeCell ref="B5:B176"/>
    <mergeCell ref="C5:K5"/>
    <mergeCell ref="C7:C29"/>
    <mergeCell ref="D7:D29"/>
    <mergeCell ref="J49:K49"/>
    <mergeCell ref="J50:K50"/>
    <mergeCell ref="J51:K51"/>
    <mergeCell ref="J52:K52"/>
    <mergeCell ref="C30:K30"/>
    <mergeCell ref="J37:K37"/>
    <mergeCell ref="J38:K38"/>
    <mergeCell ref="J39:K39"/>
    <mergeCell ref="J48:K48"/>
    <mergeCell ref="J31:K31"/>
    <mergeCell ref="B179:B251"/>
    <mergeCell ref="K182:K251"/>
    <mergeCell ref="H183:J183"/>
    <mergeCell ref="H184:J184"/>
    <mergeCell ref="H185:J185"/>
    <mergeCell ref="J32:K32"/>
    <mergeCell ref="J58:K58"/>
    <mergeCell ref="J40:K40"/>
    <mergeCell ref="J41:K41"/>
    <mergeCell ref="J42:K42"/>
    <mergeCell ref="J43:K43"/>
    <mergeCell ref="J44:K44"/>
    <mergeCell ref="J45:K45"/>
    <mergeCell ref="J46:K46"/>
    <mergeCell ref="J47:K47"/>
    <mergeCell ref="J59:K59"/>
    <mergeCell ref="J67:K67"/>
    <mergeCell ref="J68:K68"/>
    <mergeCell ref="J69:K69"/>
    <mergeCell ref="J70:K70"/>
    <mergeCell ref="J71:K71"/>
    <mergeCell ref="J72:K72"/>
    <mergeCell ref="J61:K61"/>
    <mergeCell ref="J62:K62"/>
    <mergeCell ref="J63:K63"/>
    <mergeCell ref="J64:K64"/>
    <mergeCell ref="J65:K65"/>
    <mergeCell ref="J66:K66"/>
    <mergeCell ref="J79:K79"/>
    <mergeCell ref="J80:K80"/>
    <mergeCell ref="J81:K81"/>
    <mergeCell ref="J82:K82"/>
    <mergeCell ref="J83:K83"/>
    <mergeCell ref="J84:K84"/>
    <mergeCell ref="J73:K73"/>
    <mergeCell ref="J74:K74"/>
    <mergeCell ref="J75:K75"/>
    <mergeCell ref="J76:K76"/>
    <mergeCell ref="J77:K77"/>
    <mergeCell ref="J78:K78"/>
    <mergeCell ref="J91:K91"/>
    <mergeCell ref="J92:K92"/>
    <mergeCell ref="J93:K93"/>
    <mergeCell ref="J94:K94"/>
    <mergeCell ref="J95:K95"/>
    <mergeCell ref="J96:K96"/>
    <mergeCell ref="J85:K85"/>
    <mergeCell ref="J86:K86"/>
    <mergeCell ref="J87:K87"/>
    <mergeCell ref="J88:K88"/>
    <mergeCell ref="J89:K89"/>
    <mergeCell ref="J90:K90"/>
    <mergeCell ref="J103:K103"/>
    <mergeCell ref="J104:K104"/>
    <mergeCell ref="J105:K105"/>
    <mergeCell ref="J106:K106"/>
    <mergeCell ref="J107:K107"/>
    <mergeCell ref="J108:K108"/>
    <mergeCell ref="J97:K97"/>
    <mergeCell ref="J98:K98"/>
    <mergeCell ref="J99:K99"/>
    <mergeCell ref="J100:K100"/>
    <mergeCell ref="J101:K101"/>
    <mergeCell ref="J102:K102"/>
    <mergeCell ref="J115:K115"/>
    <mergeCell ref="J116:K116"/>
    <mergeCell ref="J117:K117"/>
    <mergeCell ref="J118:K118"/>
    <mergeCell ref="J119:K119"/>
    <mergeCell ref="J120:K120"/>
    <mergeCell ref="J109:K109"/>
    <mergeCell ref="J110:K110"/>
    <mergeCell ref="J111:K111"/>
    <mergeCell ref="J112:K112"/>
    <mergeCell ref="J113:K113"/>
    <mergeCell ref="J114:K114"/>
    <mergeCell ref="J127:K127"/>
    <mergeCell ref="J128:K128"/>
    <mergeCell ref="J129:K129"/>
    <mergeCell ref="J130:K130"/>
    <mergeCell ref="J131:K131"/>
    <mergeCell ref="J132:K132"/>
    <mergeCell ref="J121:K121"/>
    <mergeCell ref="J122:K122"/>
    <mergeCell ref="J123:K123"/>
    <mergeCell ref="J124:K124"/>
    <mergeCell ref="J125:K125"/>
    <mergeCell ref="J126:K126"/>
    <mergeCell ref="J139:K139"/>
    <mergeCell ref="J140:K140"/>
    <mergeCell ref="J141:K141"/>
    <mergeCell ref="J142:K142"/>
    <mergeCell ref="J143:K143"/>
    <mergeCell ref="J144:K144"/>
    <mergeCell ref="J133:K133"/>
    <mergeCell ref="J134:K134"/>
    <mergeCell ref="J135:K135"/>
    <mergeCell ref="J136:K136"/>
    <mergeCell ref="J137:K137"/>
    <mergeCell ref="J138:K138"/>
    <mergeCell ref="J151:K151"/>
    <mergeCell ref="J152:K152"/>
    <mergeCell ref="J153:K153"/>
    <mergeCell ref="J154:K154"/>
    <mergeCell ref="J155:K155"/>
    <mergeCell ref="J156:K156"/>
    <mergeCell ref="J145:K145"/>
    <mergeCell ref="J146:K146"/>
    <mergeCell ref="J147:K147"/>
    <mergeCell ref="J148:K148"/>
    <mergeCell ref="J149:K149"/>
    <mergeCell ref="J150:K150"/>
    <mergeCell ref="O185:O190"/>
    <mergeCell ref="J167:K167"/>
    <mergeCell ref="J168:K168"/>
    <mergeCell ref="J169:K169"/>
    <mergeCell ref="J170:K170"/>
    <mergeCell ref="J157:K157"/>
    <mergeCell ref="J158:K158"/>
    <mergeCell ref="J159:K159"/>
    <mergeCell ref="J160:K160"/>
    <mergeCell ref="J161:K161"/>
    <mergeCell ref="J162:K162"/>
    <mergeCell ref="J171:K171"/>
    <mergeCell ref="J172:K172"/>
    <mergeCell ref="J173:K173"/>
    <mergeCell ref="J174:K174"/>
    <mergeCell ref="J175:K175"/>
    <mergeCell ref="H189:J189"/>
    <mergeCell ref="J163:K163"/>
    <mergeCell ref="J164:K164"/>
    <mergeCell ref="J165:K165"/>
    <mergeCell ref="J166:K166"/>
    <mergeCell ref="J176:K176"/>
  </mergeCells>
  <conditionalFormatting sqref="A2">
    <cfRule type="containsBlanks" dxfId="14" priority="9">
      <formula>LEN(TRIM(A2))=0</formula>
    </cfRule>
  </conditionalFormatting>
  <conditionalFormatting sqref="C181:D181">
    <cfRule type="containsBlanks" dxfId="13" priority="1">
      <formula>LEN(TRIM(C181))=0</formula>
    </cfRule>
  </conditionalFormatting>
  <conditionalFormatting sqref="C184:E251">
    <cfRule type="containsBlanks" dxfId="12" priority="2">
      <formula>LEN(TRIM(C184))=0</formula>
    </cfRule>
  </conditionalFormatting>
  <conditionalFormatting sqref="C32:F176">
    <cfRule type="containsBlanks" dxfId="11" priority="4">
      <formula>LEN(TRIM(C32))=0</formula>
    </cfRule>
  </conditionalFormatting>
  <conditionalFormatting sqref="E7:F29">
    <cfRule type="containsBlanks" dxfId="10" priority="8">
      <formula>LEN(TRIM(E7))=0</formula>
    </cfRule>
  </conditionalFormatting>
  <conditionalFormatting sqref="F181 J181:K181">
    <cfRule type="containsBlanks" dxfId="9" priority="3">
      <formula>LEN(TRIM(F181))=0</formula>
    </cfRule>
  </conditionalFormatting>
  <conditionalFormatting sqref="F31:G31">
    <cfRule type="containsBlanks" dxfId="8" priority="6">
      <formula>LEN(TRIM(F31))=0</formula>
    </cfRule>
  </conditionalFormatting>
  <conditionalFormatting sqref="F6:H6">
    <cfRule type="containsBlanks" dxfId="7" priority="10">
      <formula>LEN(TRIM(F6))=0</formula>
    </cfRule>
  </conditionalFormatting>
  <dataValidations count="3">
    <dataValidation type="list" allowBlank="1" showInputMessage="1" showErrorMessage="1" sqref="C181:D181" xr:uid="{FE1CD427-64A2-48BA-A2AA-D4F3648AE5C3}">
      <formula1>INDIRECT("EMLThresholdsV2p[DropDownList]")</formula1>
    </dataValidation>
    <dataValidation type="list" allowBlank="1" showInputMessage="1" showErrorMessage="1" sqref="J181" xr:uid="{6B695078-7569-49EA-8303-31B30439EE42}">
      <formula1>"MET,NOT MET,TBD,WITHDRAWN"</formula1>
    </dataValidation>
    <dataValidation type="list" allowBlank="1" showInputMessage="1" showErrorMessage="1" sqref="H181" xr:uid="{580431EA-FE2E-47D3-A8D7-F05BAEFE30AC}">
      <formula1>"0,1,2,3"</formula1>
    </dataValidation>
  </dataValidations>
  <pageMargins left="0.7" right="0.7" top="0.75" bottom="0.75" header="0.3" footer="0.3"/>
  <pageSetup scale="38" fitToHeight="11" orientation="portrait" r:id="rId1"/>
  <rowBreaks count="1" manualBreakCount="1">
    <brk id="177" max="11" man="1"/>
  </rowBreaks>
  <extLst>
    <ext xmlns:x14="http://schemas.microsoft.com/office/spreadsheetml/2009/9/main" uri="{CCE6A557-97BC-4b89-ADB6-D9C93CAAB3DF}">
      <x14:dataValidations xmlns:xm="http://schemas.microsoft.com/office/excel/2006/main" count="5">
        <x14:dataValidation type="list" allowBlank="1" showInputMessage="1" showErrorMessage="1" xr:uid="{E01A3A85-421E-4F99-9569-0C02690E3E41}">
          <x14:formula1>
            <xm:f>LookUpData!$A$201:$A$202</xm:f>
          </x14:formula1>
          <xm:sqref>F6</xm:sqref>
        </x14:dataValidation>
        <x14:dataValidation type="list" allowBlank="1" showInputMessage="1" showErrorMessage="1" xr:uid="{2C8515F4-2DFB-4C50-84D2-201A70E82C6C}">
          <x14:formula1>
            <xm:f>LookUpData!$B$201:$B$202</xm:f>
          </x14:formula1>
          <xm:sqref>G6</xm:sqref>
        </x14:dataValidation>
        <x14:dataValidation type="list" allowBlank="1" showInputMessage="1" showErrorMessage="1" xr:uid="{19904031-F869-44CB-9234-9C8BF9CCEE8B}">
          <x14:formula1>
            <xm:f>LookUpData!$C$201:$C$202</xm:f>
          </x14:formula1>
          <xm:sqref>H6</xm:sqref>
        </x14:dataValidation>
        <x14:dataValidation type="list" allowBlank="1" showInputMessage="1" showErrorMessage="1" xr:uid="{D75F79B0-36B1-49D4-B492-583E62E8097D}">
          <x14:formula1>
            <xm:f>LookUpData!$A$207:$A$208</xm:f>
          </x14:formula1>
          <xm:sqref>F31</xm:sqref>
        </x14:dataValidation>
        <x14:dataValidation type="list" allowBlank="1" showInputMessage="1" showErrorMessage="1" xr:uid="{38E59F86-A442-4C6E-BB40-76C6F565C0E4}">
          <x14:formula1>
            <xm:f>LookUpData!$B$207:$B$208</xm:f>
          </x14:formula1>
          <xm:sqref>G31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C393C-FF55-4148-8A56-5761190DDFAA}">
  <sheetPr codeName="Sheet20" filterMode="1">
    <tabColor rgb="FF7030A0"/>
    <pageSetUpPr fitToPage="1"/>
  </sheetPr>
  <dimension ref="A1:AH48"/>
  <sheetViews>
    <sheetView view="pageBreakPreview" zoomScale="90" zoomScaleNormal="80" zoomScaleSheetLayoutView="90" workbookViewId="0">
      <selection activeCell="D3" sqref="D3"/>
    </sheetView>
  </sheetViews>
  <sheetFormatPr defaultColWidth="8.88671875" defaultRowHeight="14.4"/>
  <cols>
    <col min="1" max="1" width="5.33203125" customWidth="1"/>
    <col min="2" max="2" width="10.6640625" customWidth="1"/>
    <col min="3" max="3" width="13.33203125" bestFit="1" customWidth="1"/>
    <col min="4" max="4" width="39.6640625" customWidth="1"/>
    <col min="5" max="7" width="9.6640625" customWidth="1"/>
    <col min="8" max="8" width="7.109375" bestFit="1" customWidth="1"/>
    <col min="9" max="9" width="12.44140625" bestFit="1" customWidth="1"/>
    <col min="10" max="10" width="13.44140625" bestFit="1" customWidth="1"/>
    <col min="11" max="12" width="10.44140625" customWidth="1"/>
    <col min="13" max="14" width="7.6640625" customWidth="1"/>
    <col min="15" max="17" width="12.88671875" customWidth="1"/>
    <col min="18" max="18" width="1.6640625" customWidth="1"/>
    <col min="19" max="19" width="1.44140625" customWidth="1"/>
    <col min="20" max="20" width="40.44140625" style="3" customWidth="1"/>
    <col min="21" max="21" width="42" style="98" customWidth="1"/>
  </cols>
  <sheetData>
    <row r="1" spans="1:34" ht="45" customHeight="1">
      <c r="A1" s="960"/>
      <c r="B1" s="960"/>
      <c r="C1" s="960"/>
      <c r="D1" s="960"/>
      <c r="E1" s="960"/>
      <c r="F1" s="960"/>
      <c r="G1" s="960"/>
      <c r="H1" s="960"/>
      <c r="I1" s="960"/>
      <c r="J1" s="960"/>
      <c r="K1" s="960"/>
      <c r="L1" s="960"/>
      <c r="M1" s="960"/>
      <c r="N1" s="960"/>
      <c r="O1" s="960"/>
      <c r="P1" s="960"/>
      <c r="Q1" s="960"/>
      <c r="T1" s="55"/>
    </row>
    <row r="2" spans="1:34" ht="39.9" customHeight="1">
      <c r="A2" s="961" t="str">
        <f>IF(v2p_Air!A2="","",v2p_Air!A2)</f>
        <v>2202025410 - Accenture - Assago Milanofiori U1</v>
      </c>
      <c r="B2" s="961"/>
      <c r="C2" s="961"/>
      <c r="D2" s="961"/>
      <c r="E2" s="961"/>
      <c r="F2" s="961"/>
      <c r="G2" s="961"/>
      <c r="H2" s="961"/>
      <c r="I2" s="961"/>
      <c r="J2" s="961"/>
      <c r="K2" s="961"/>
      <c r="L2" s="961"/>
      <c r="M2" s="961"/>
      <c r="N2" s="961"/>
      <c r="O2" s="961"/>
      <c r="P2" s="961"/>
      <c r="Q2" s="961"/>
      <c r="U2" s="98" t="s">
        <v>505</v>
      </c>
    </row>
    <row r="3" spans="1:34" ht="30" customHeight="1">
      <c r="T3" s="203" t="s">
        <v>56</v>
      </c>
    </row>
    <row r="4" spans="1:34" ht="24" customHeight="1">
      <c r="B4" s="990" t="s">
        <v>149</v>
      </c>
      <c r="C4" s="991"/>
      <c r="D4" s="991"/>
      <c r="E4" s="991"/>
      <c r="F4" s="991"/>
      <c r="G4" s="991"/>
      <c r="H4" s="991"/>
      <c r="I4" s="991"/>
      <c r="J4" s="991"/>
      <c r="K4" s="991"/>
      <c r="L4" s="991"/>
      <c r="M4" s="991"/>
      <c r="N4" s="991"/>
      <c r="O4" s="991"/>
      <c r="P4" s="991"/>
      <c r="Q4" s="992"/>
      <c r="T4" s="3" t="s">
        <v>500</v>
      </c>
      <c r="U4" s="112" t="s">
        <v>57</v>
      </c>
    </row>
    <row r="5" spans="1:34" ht="24" customHeight="1">
      <c r="B5" s="996"/>
      <c r="C5" s="993" t="str">
        <f>_xlfn.CONCAT("T01: Thermal Performance - Part 1",IF(P8&lt;&gt;"",", T02: Enhanced Thermal Performance - Part 1",""),IF(Q8&lt;&gt;"",", T07: Humidity Control - Part 1",""))</f>
        <v>T01: Thermal Performance - Part 1, T02: Enhanced Thermal Performance - Part 1, T07: Humidity Control - Part 1</v>
      </c>
      <c r="D5" s="993"/>
      <c r="E5" s="993"/>
      <c r="F5" s="993"/>
      <c r="G5" s="993"/>
      <c r="H5" s="993"/>
      <c r="I5" s="993"/>
      <c r="J5" s="993"/>
      <c r="K5" s="993"/>
      <c r="L5" s="993"/>
      <c r="M5" s="993"/>
      <c r="N5" s="993"/>
      <c r="O5" s="993"/>
      <c r="P5" s="993"/>
      <c r="Q5" s="994"/>
      <c r="T5" s="3" t="s">
        <v>500</v>
      </c>
      <c r="U5" s="111"/>
    </row>
    <row r="6" spans="1:34" ht="31.35" customHeight="1">
      <c r="B6" s="996"/>
      <c r="C6" s="995" t="s">
        <v>49</v>
      </c>
      <c r="D6" s="995" t="s">
        <v>111</v>
      </c>
      <c r="E6" s="995" t="s">
        <v>148</v>
      </c>
      <c r="F6" s="995" t="s">
        <v>147</v>
      </c>
      <c r="G6" s="995" t="s">
        <v>146</v>
      </c>
      <c r="H6" s="953" t="s">
        <v>145</v>
      </c>
      <c r="I6" s="995" t="str">
        <f>_xlfn.CONCAT("Dry Bulb
Temperature 
(",H8,")")</f>
        <v>Dry Bulb
Temperature 
(C)</v>
      </c>
      <c r="J6" s="995" t="str">
        <f>_xlfn.CONCAT("Mean Radiant
Temperature
(",H8,")")</f>
        <v>Mean Radiant
Temperature
(C)</v>
      </c>
      <c r="K6" s="999" t="s">
        <v>144</v>
      </c>
      <c r="L6" s="999"/>
      <c r="M6" s="995" t="s">
        <v>143</v>
      </c>
      <c r="N6" s="995" t="s">
        <v>142</v>
      </c>
      <c r="O6" s="995" t="s">
        <v>141</v>
      </c>
      <c r="P6" s="953" t="s">
        <v>140</v>
      </c>
      <c r="Q6" s="953" t="s">
        <v>139</v>
      </c>
      <c r="T6" s="3" t="s">
        <v>500</v>
      </c>
      <c r="U6" s="998" t="s">
        <v>507</v>
      </c>
    </row>
    <row r="7" spans="1:34" ht="26.4">
      <c r="B7" s="996"/>
      <c r="C7" s="995"/>
      <c r="D7" s="995"/>
      <c r="E7" s="995"/>
      <c r="F7" s="995"/>
      <c r="G7" s="995"/>
      <c r="H7" s="954"/>
      <c r="I7" s="995"/>
      <c r="J7" s="995"/>
      <c r="K7" s="110" t="s">
        <v>138</v>
      </c>
      <c r="L7" s="109" t="s">
        <v>11</v>
      </c>
      <c r="M7" s="995"/>
      <c r="N7" s="995"/>
      <c r="O7" s="995"/>
      <c r="P7" s="954"/>
      <c r="Q7" s="954"/>
      <c r="T7" s="3" t="s">
        <v>500</v>
      </c>
      <c r="U7" s="998"/>
      <c r="AH7">
        <v>1</v>
      </c>
    </row>
    <row r="8" spans="1:34" s="107" customFormat="1" ht="18" customHeight="1">
      <c r="B8" s="996"/>
      <c r="C8" s="106">
        <v>1</v>
      </c>
      <c r="D8" s="105" t="s">
        <v>675</v>
      </c>
      <c r="E8" s="100">
        <v>1.2</v>
      </c>
      <c r="F8" s="100">
        <v>0.71</v>
      </c>
      <c r="G8" s="87" t="s">
        <v>676</v>
      </c>
      <c r="H8" s="104" t="s">
        <v>677</v>
      </c>
      <c r="I8" s="103">
        <v>23.115384615384599</v>
      </c>
      <c r="J8" s="102">
        <v>22.770807648367054</v>
      </c>
      <c r="K8" s="102">
        <v>56.5</v>
      </c>
      <c r="L8" s="101" t="str">
        <f t="shared" ref="L8:L47" si="0">IF(D8&lt;&gt;"",IF(K8 &lt; 27,"Under",IF(K8 &gt; 63,"Over",IF(AND(K8&gt;=27,K8&lt;30), "Yes",IF(AND(K8&gt;60,K8&lt;=63),"Yes","No")))),"")</f>
        <v>No</v>
      </c>
      <c r="M8" s="283">
        <v>-4.1484760513170162E-2</v>
      </c>
      <c r="N8" s="99">
        <v>5.06013230658365E-2</v>
      </c>
      <c r="O8" s="108" t="s">
        <v>1456</v>
      </c>
      <c r="P8" s="108" t="s">
        <v>1456</v>
      </c>
      <c r="Q8" s="108" t="s">
        <v>1456</v>
      </c>
      <c r="T8" s="3" t="str">
        <f>IF(C8&lt;&gt;"","Show","Hide")</f>
        <v>Show</v>
      </c>
      <c r="U8" s="998"/>
      <c r="AH8" s="107">
        <v>1.5</v>
      </c>
    </row>
    <row r="9" spans="1:34" ht="18" customHeight="1">
      <c r="B9" s="996"/>
      <c r="C9" s="106">
        <v>2</v>
      </c>
      <c r="D9" s="105" t="s">
        <v>678</v>
      </c>
      <c r="E9" s="100">
        <v>1.2</v>
      </c>
      <c r="F9" s="100">
        <v>0.71</v>
      </c>
      <c r="G9" s="87" t="s">
        <v>676</v>
      </c>
      <c r="H9" s="104" t="s">
        <v>677</v>
      </c>
      <c r="I9" s="103">
        <v>22.700000000000028</v>
      </c>
      <c r="J9" s="102">
        <v>22.913278821723907</v>
      </c>
      <c r="K9" s="102">
        <v>50.7</v>
      </c>
      <c r="L9" s="101" t="str">
        <f t="shared" si="0"/>
        <v>No</v>
      </c>
      <c r="M9" s="283">
        <v>-0.13466165390290644</v>
      </c>
      <c r="N9" s="99">
        <v>5.5147549545287701E-2</v>
      </c>
      <c r="O9" s="108" t="s">
        <v>1456</v>
      </c>
      <c r="P9" s="108" t="s">
        <v>1456</v>
      </c>
      <c r="Q9" s="108" t="s">
        <v>1456</v>
      </c>
      <c r="T9" s="3" t="str">
        <f t="shared" ref="T9:T47" si="1">IF(C9&lt;&gt;"","Show","Hide")</f>
        <v>Show</v>
      </c>
      <c r="U9" s="998"/>
      <c r="AH9">
        <v>1.55</v>
      </c>
    </row>
    <row r="10" spans="1:34" ht="18" customHeight="1">
      <c r="B10" s="996"/>
      <c r="C10" s="106">
        <v>3</v>
      </c>
      <c r="D10" s="105" t="s">
        <v>679</v>
      </c>
      <c r="E10" s="100">
        <v>1.2</v>
      </c>
      <c r="F10" s="100">
        <v>0.71</v>
      </c>
      <c r="G10" s="87" t="s">
        <v>680</v>
      </c>
      <c r="H10" s="104" t="s">
        <v>677</v>
      </c>
      <c r="I10" s="103">
        <v>21.74395604395605</v>
      </c>
      <c r="J10" s="102">
        <v>22.047904635489715</v>
      </c>
      <c r="K10" s="102">
        <v>55.3</v>
      </c>
      <c r="L10" s="101" t="str">
        <f t="shared" si="0"/>
        <v>No</v>
      </c>
      <c r="M10" s="283">
        <v>-0.32780403725223289</v>
      </c>
      <c r="N10" s="99">
        <v>7.5628040347575795E-2</v>
      </c>
      <c r="O10" s="108" t="s">
        <v>1456</v>
      </c>
      <c r="P10" s="108" t="s">
        <v>1456</v>
      </c>
      <c r="Q10" s="108" t="s">
        <v>1456</v>
      </c>
      <c r="T10" s="3" t="str">
        <f t="shared" si="1"/>
        <v>Show</v>
      </c>
      <c r="U10" s="998"/>
      <c r="AH10">
        <v>1.5549999999999999</v>
      </c>
    </row>
    <row r="11" spans="1:34" ht="18" customHeight="1">
      <c r="B11" s="996"/>
      <c r="C11" s="106">
        <v>4</v>
      </c>
      <c r="D11" s="105" t="s">
        <v>681</v>
      </c>
      <c r="E11" s="74">
        <v>1.2</v>
      </c>
      <c r="F11" s="74">
        <v>0.71</v>
      </c>
      <c r="G11" s="85" t="s">
        <v>680</v>
      </c>
      <c r="H11" s="104" t="s">
        <v>677</v>
      </c>
      <c r="I11" s="103">
        <v>22.971428571428618</v>
      </c>
      <c r="J11" s="102">
        <v>22.803828107946458</v>
      </c>
      <c r="K11" s="102">
        <v>49.3</v>
      </c>
      <c r="L11" s="101" t="str">
        <f t="shared" si="0"/>
        <v>No</v>
      </c>
      <c r="M11" s="283">
        <v>-0.13712654475121525</v>
      </c>
      <c r="N11" s="99">
        <v>5.51468535255102E-2</v>
      </c>
      <c r="O11" s="108" t="s">
        <v>1456</v>
      </c>
      <c r="P11" s="108" t="s">
        <v>1456</v>
      </c>
      <c r="Q11" s="108" t="s">
        <v>1456</v>
      </c>
      <c r="T11" s="3" t="str">
        <f t="shared" si="1"/>
        <v>Show</v>
      </c>
      <c r="U11" s="998"/>
    </row>
    <row r="12" spans="1:34" ht="18" customHeight="1">
      <c r="B12" s="996"/>
      <c r="C12" s="106">
        <v>5</v>
      </c>
      <c r="D12" s="105" t="s">
        <v>682</v>
      </c>
      <c r="E12" s="100">
        <v>1.2</v>
      </c>
      <c r="F12" s="100">
        <v>0.71</v>
      </c>
      <c r="G12" s="85" t="s">
        <v>680</v>
      </c>
      <c r="H12" s="104" t="s">
        <v>677</v>
      </c>
      <c r="I12" s="103">
        <v>23.094505494505505</v>
      </c>
      <c r="J12" s="102">
        <v>22.836707407967594</v>
      </c>
      <c r="K12" s="102">
        <v>50.5</v>
      </c>
      <c r="L12" s="101" t="str">
        <f t="shared" si="0"/>
        <v>No</v>
      </c>
      <c r="M12" s="283">
        <v>-6.6186982412533332E-2</v>
      </c>
      <c r="N12" s="99">
        <v>5.1089906785757602E-2</v>
      </c>
      <c r="O12" s="108" t="s">
        <v>1456</v>
      </c>
      <c r="P12" s="108" t="s">
        <v>1456</v>
      </c>
      <c r="Q12" s="108" t="s">
        <v>1456</v>
      </c>
      <c r="T12" s="3" t="str">
        <f t="shared" si="1"/>
        <v>Show</v>
      </c>
      <c r="U12" s="998"/>
    </row>
    <row r="13" spans="1:34" ht="18" customHeight="1">
      <c r="B13" s="996"/>
      <c r="C13" s="106">
        <v>6</v>
      </c>
      <c r="D13" s="105" t="s">
        <v>683</v>
      </c>
      <c r="E13" s="74">
        <v>1.2</v>
      </c>
      <c r="F13" s="74">
        <v>0.71</v>
      </c>
      <c r="G13" s="85" t="s">
        <v>680</v>
      </c>
      <c r="H13" s="104" t="s">
        <v>677</v>
      </c>
      <c r="I13" s="103">
        <v>22.615384615384581</v>
      </c>
      <c r="J13" s="102">
        <v>22.323627491113598</v>
      </c>
      <c r="K13" s="102">
        <v>57.2</v>
      </c>
      <c r="L13" s="101" t="str">
        <f t="shared" si="0"/>
        <v>No</v>
      </c>
      <c r="M13" s="283">
        <v>-0.15754315880169717</v>
      </c>
      <c r="N13" s="99">
        <v>5.5669752103820899E-2</v>
      </c>
      <c r="O13" s="108" t="s">
        <v>1456</v>
      </c>
      <c r="P13" s="108" t="s">
        <v>1456</v>
      </c>
      <c r="Q13" s="108" t="s">
        <v>1456</v>
      </c>
      <c r="T13" s="3" t="str">
        <f t="shared" si="1"/>
        <v>Show</v>
      </c>
      <c r="U13" s="998"/>
    </row>
    <row r="14" spans="1:34" ht="18" customHeight="1">
      <c r="B14" s="996"/>
      <c r="C14" s="106">
        <v>7</v>
      </c>
      <c r="D14" s="105" t="s">
        <v>684</v>
      </c>
      <c r="E14" s="74">
        <v>1.2</v>
      </c>
      <c r="F14" s="74">
        <v>0.71</v>
      </c>
      <c r="G14" s="85" t="s">
        <v>680</v>
      </c>
      <c r="H14" s="104" t="s">
        <v>677</v>
      </c>
      <c r="I14" s="103">
        <v>21.867032967032994</v>
      </c>
      <c r="J14" s="102">
        <v>21.812910634058994</v>
      </c>
      <c r="K14" s="102">
        <v>52</v>
      </c>
      <c r="L14" s="101" t="str">
        <f t="shared" si="0"/>
        <v>No</v>
      </c>
      <c r="M14" s="283">
        <v>-0.36872335918587557</v>
      </c>
      <c r="N14" s="99">
        <v>7.8941596336798397E-2</v>
      </c>
      <c r="O14" s="108" t="s">
        <v>1456</v>
      </c>
      <c r="P14" s="108" t="s">
        <v>1456</v>
      </c>
      <c r="Q14" s="108" t="s">
        <v>1456</v>
      </c>
      <c r="T14" s="3" t="str">
        <f t="shared" si="1"/>
        <v>Show</v>
      </c>
      <c r="U14" s="998"/>
    </row>
    <row r="15" spans="1:34" ht="18" customHeight="1">
      <c r="B15" s="996"/>
      <c r="C15" s="106">
        <v>8</v>
      </c>
      <c r="D15" s="105" t="s">
        <v>685</v>
      </c>
      <c r="E15" s="74">
        <v>1.2</v>
      </c>
      <c r="F15" s="74">
        <v>0.71</v>
      </c>
      <c r="G15" s="85" t="s">
        <v>680</v>
      </c>
      <c r="H15" s="104" t="s">
        <v>677</v>
      </c>
      <c r="I15" s="103">
        <v>23.150549450549473</v>
      </c>
      <c r="J15" s="102">
        <v>22.482499912029084</v>
      </c>
      <c r="K15" s="102">
        <v>50.9</v>
      </c>
      <c r="L15" s="101" t="str">
        <f t="shared" si="0"/>
        <v>No</v>
      </c>
      <c r="M15" s="283">
        <v>-0.19587123006499407</v>
      </c>
      <c r="N15" s="99">
        <v>7.4007565761698105E-2</v>
      </c>
      <c r="O15" s="108" t="s">
        <v>1456</v>
      </c>
      <c r="P15" s="108" t="s">
        <v>1456</v>
      </c>
      <c r="Q15" s="108" t="s">
        <v>1456</v>
      </c>
      <c r="T15" s="3" t="str">
        <f t="shared" si="1"/>
        <v>Show</v>
      </c>
      <c r="U15" s="998"/>
    </row>
    <row r="16" spans="1:34" ht="18" customHeight="1">
      <c r="B16" s="996"/>
      <c r="C16" s="106">
        <v>9</v>
      </c>
      <c r="D16" s="105" t="s">
        <v>686</v>
      </c>
      <c r="E16" s="74">
        <v>1.2</v>
      </c>
      <c r="F16" s="74">
        <v>0.71</v>
      </c>
      <c r="G16" s="85" t="s">
        <v>680</v>
      </c>
      <c r="H16" s="104" t="s">
        <v>677</v>
      </c>
      <c r="I16" s="103">
        <v>24.629670329670322</v>
      </c>
      <c r="J16" s="102">
        <v>24.264308756263858</v>
      </c>
      <c r="K16" s="102">
        <v>46.8</v>
      </c>
      <c r="L16" s="101" t="str">
        <f t="shared" si="0"/>
        <v>No</v>
      </c>
      <c r="M16" s="283">
        <v>0.25779842562662092</v>
      </c>
      <c r="N16" s="99">
        <v>6.7146762869504203E-2</v>
      </c>
      <c r="O16" s="108" t="s">
        <v>1456</v>
      </c>
      <c r="P16" s="108" t="s">
        <v>1456</v>
      </c>
      <c r="Q16" s="108" t="s">
        <v>1456</v>
      </c>
      <c r="T16" s="3" t="str">
        <f t="shared" si="1"/>
        <v>Show</v>
      </c>
      <c r="U16" s="998"/>
    </row>
    <row r="17" spans="2:21" ht="18" customHeight="1">
      <c r="B17" s="996"/>
      <c r="C17" s="106">
        <v>10</v>
      </c>
      <c r="D17" s="105" t="s">
        <v>687</v>
      </c>
      <c r="E17" s="74">
        <v>1.2</v>
      </c>
      <c r="F17" s="74">
        <v>0.71</v>
      </c>
      <c r="G17" s="85" t="s">
        <v>680</v>
      </c>
      <c r="H17" s="104" t="s">
        <v>677</v>
      </c>
      <c r="I17" s="103">
        <v>22.054945054945058</v>
      </c>
      <c r="J17" s="102">
        <v>21.913231622363583</v>
      </c>
      <c r="K17" s="102">
        <v>56.6</v>
      </c>
      <c r="L17" s="101" t="str">
        <f t="shared" si="0"/>
        <v>No</v>
      </c>
      <c r="M17" s="283">
        <v>-0.35404745139056509</v>
      </c>
      <c r="N17" s="99">
        <v>7.7397219385329799E-2</v>
      </c>
      <c r="O17" s="108" t="s">
        <v>1456</v>
      </c>
      <c r="P17" s="108" t="s">
        <v>1456</v>
      </c>
      <c r="Q17" s="108" t="s">
        <v>1456</v>
      </c>
      <c r="T17" s="3" t="str">
        <f t="shared" si="1"/>
        <v>Show</v>
      </c>
      <c r="U17" s="998"/>
    </row>
    <row r="18" spans="2:21" ht="18" customHeight="1">
      <c r="B18" s="996"/>
      <c r="C18" s="106">
        <v>11</v>
      </c>
      <c r="D18" s="105" t="s">
        <v>688</v>
      </c>
      <c r="E18" s="74">
        <v>1.2</v>
      </c>
      <c r="F18" s="74">
        <v>0.71</v>
      </c>
      <c r="G18" s="85" t="s">
        <v>680</v>
      </c>
      <c r="H18" s="104" t="s">
        <v>677</v>
      </c>
      <c r="I18" s="103">
        <v>24.851648351648326</v>
      </c>
      <c r="J18" s="102">
        <v>23.866986160610509</v>
      </c>
      <c r="K18" s="102">
        <v>52.1</v>
      </c>
      <c r="L18" s="101" t="str">
        <f t="shared" si="0"/>
        <v>No</v>
      </c>
      <c r="M18" s="283">
        <v>0.10423293101456066</v>
      </c>
      <c r="N18" s="99">
        <v>6.5472329938427595E-2</v>
      </c>
      <c r="O18" s="108" t="s">
        <v>1456</v>
      </c>
      <c r="P18" s="108" t="s">
        <v>1456</v>
      </c>
      <c r="Q18" s="108" t="s">
        <v>1456</v>
      </c>
      <c r="T18" s="3" t="str">
        <f t="shared" si="1"/>
        <v>Show</v>
      </c>
      <c r="U18" s="998"/>
    </row>
    <row r="19" spans="2:21" ht="18" customHeight="1">
      <c r="B19" s="996"/>
      <c r="C19" s="106">
        <v>12</v>
      </c>
      <c r="D19" s="105" t="s">
        <v>689</v>
      </c>
      <c r="E19" s="74">
        <v>1.2</v>
      </c>
      <c r="F19" s="74">
        <v>0.71</v>
      </c>
      <c r="G19" s="85" t="s">
        <v>680</v>
      </c>
      <c r="H19" s="104" t="s">
        <v>677</v>
      </c>
      <c r="I19" s="103">
        <v>22.929670329670305</v>
      </c>
      <c r="J19" s="102">
        <v>22.508514276753203</v>
      </c>
      <c r="K19" s="102">
        <v>54.5</v>
      </c>
      <c r="L19" s="101" t="str">
        <f t="shared" si="0"/>
        <v>No</v>
      </c>
      <c r="M19" s="283">
        <v>-0.10763203998544536</v>
      </c>
      <c r="N19" s="99">
        <v>5.3183920667007001E-2</v>
      </c>
      <c r="O19" s="108" t="s">
        <v>1456</v>
      </c>
      <c r="P19" s="108" t="s">
        <v>1456</v>
      </c>
      <c r="Q19" s="108" t="s">
        <v>1456</v>
      </c>
      <c r="T19" s="3" t="str">
        <f t="shared" si="1"/>
        <v>Show</v>
      </c>
      <c r="U19" s="998"/>
    </row>
    <row r="20" spans="2:21" ht="18" customHeight="1">
      <c r="B20" s="996"/>
      <c r="C20" s="106">
        <v>13</v>
      </c>
      <c r="D20" s="105" t="s">
        <v>690</v>
      </c>
      <c r="E20" s="100">
        <v>1.2</v>
      </c>
      <c r="F20" s="100">
        <v>0.71</v>
      </c>
      <c r="G20" s="85" t="s">
        <v>680</v>
      </c>
      <c r="H20" s="104" t="s">
        <v>677</v>
      </c>
      <c r="I20" s="103">
        <v>22.103296703296682</v>
      </c>
      <c r="J20" s="102">
        <v>21.937492657648875</v>
      </c>
      <c r="K20" s="102">
        <v>55.6</v>
      </c>
      <c r="L20" s="101" t="str">
        <f t="shared" si="0"/>
        <v>No</v>
      </c>
      <c r="M20" s="283">
        <v>-0.29624458979707097</v>
      </c>
      <c r="N20" s="99">
        <v>6.89734969512667E-2</v>
      </c>
      <c r="O20" s="108" t="s">
        <v>1456</v>
      </c>
      <c r="P20" s="108" t="s">
        <v>1456</v>
      </c>
      <c r="Q20" s="108" t="s">
        <v>1456</v>
      </c>
      <c r="T20" s="3" t="str">
        <f t="shared" si="1"/>
        <v>Show</v>
      </c>
      <c r="U20" s="998"/>
    </row>
    <row r="21" spans="2:21" ht="18" customHeight="1">
      <c r="B21" s="996"/>
      <c r="C21" s="106">
        <v>14</v>
      </c>
      <c r="D21" s="105" t="s">
        <v>691</v>
      </c>
      <c r="E21" s="74">
        <v>1.2</v>
      </c>
      <c r="F21" s="74">
        <v>0.71</v>
      </c>
      <c r="G21" s="85" t="s">
        <v>680</v>
      </c>
      <c r="H21" s="104" t="s">
        <v>677</v>
      </c>
      <c r="I21" s="103">
        <v>22.908791208791197</v>
      </c>
      <c r="J21" s="102">
        <v>22.41416231238054</v>
      </c>
      <c r="K21" s="102">
        <v>55.5</v>
      </c>
      <c r="L21" s="101" t="str">
        <f t="shared" si="0"/>
        <v>No</v>
      </c>
      <c r="M21" s="283">
        <v>-0.19034220434016016</v>
      </c>
      <c r="N21" s="99">
        <v>6.30890147272819E-2</v>
      </c>
      <c r="O21" s="108" t="s">
        <v>1456</v>
      </c>
      <c r="P21" s="108" t="s">
        <v>1456</v>
      </c>
      <c r="Q21" s="108" t="s">
        <v>1456</v>
      </c>
      <c r="T21" s="3" t="str">
        <f t="shared" si="1"/>
        <v>Show</v>
      </c>
    </row>
    <row r="22" spans="2:21" ht="18" customHeight="1">
      <c r="B22" s="996"/>
      <c r="C22" s="106">
        <v>15</v>
      </c>
      <c r="D22" s="105" t="s">
        <v>692</v>
      </c>
      <c r="E22" s="74">
        <v>1.2</v>
      </c>
      <c r="F22" s="74">
        <v>0.71</v>
      </c>
      <c r="G22" s="85" t="s">
        <v>680</v>
      </c>
      <c r="H22" s="104" t="s">
        <v>677</v>
      </c>
      <c r="I22" s="103">
        <v>23.299999999999976</v>
      </c>
      <c r="J22" s="102">
        <v>22.820189745436323</v>
      </c>
      <c r="K22" s="102">
        <v>52.1</v>
      </c>
      <c r="L22" s="101" t="str">
        <f t="shared" si="0"/>
        <v>No</v>
      </c>
      <c r="M22" s="283">
        <v>-2.0441961064312369E-2</v>
      </c>
      <c r="N22" s="99">
        <v>5.1381101898567302E-2</v>
      </c>
      <c r="O22" s="108" t="s">
        <v>1456</v>
      </c>
      <c r="P22" s="108" t="s">
        <v>1456</v>
      </c>
      <c r="Q22" s="108" t="s">
        <v>1456</v>
      </c>
      <c r="T22" s="3" t="str">
        <f t="shared" si="1"/>
        <v>Show</v>
      </c>
    </row>
    <row r="23" spans="2:21" ht="18" customHeight="1">
      <c r="B23" s="996"/>
      <c r="C23" s="106">
        <v>16</v>
      </c>
      <c r="D23" s="105" t="s">
        <v>693</v>
      </c>
      <c r="E23" s="74">
        <v>1.2</v>
      </c>
      <c r="F23" s="74">
        <v>0.71</v>
      </c>
      <c r="G23" s="85" t="s">
        <v>680</v>
      </c>
      <c r="H23" s="104" t="s">
        <v>677</v>
      </c>
      <c r="I23" s="103">
        <v>23.394505494505484</v>
      </c>
      <c r="J23" s="102">
        <v>23.296818849791975</v>
      </c>
      <c r="K23" s="102">
        <v>51.7</v>
      </c>
      <c r="L23" s="101" t="str">
        <f t="shared" si="0"/>
        <v>No</v>
      </c>
      <c r="M23" s="283">
        <v>3.004566168538338E-2</v>
      </c>
      <c r="N23" s="99">
        <v>5.0316448964569299E-2</v>
      </c>
      <c r="O23" s="108" t="s">
        <v>1456</v>
      </c>
      <c r="P23" s="108" t="s">
        <v>1456</v>
      </c>
      <c r="Q23" s="108" t="s">
        <v>1456</v>
      </c>
      <c r="T23" s="3" t="str">
        <f t="shared" si="1"/>
        <v>Show</v>
      </c>
    </row>
    <row r="24" spans="2:21" ht="18" customHeight="1">
      <c r="B24" s="996"/>
      <c r="C24" s="106">
        <v>17</v>
      </c>
      <c r="D24" s="105" t="s">
        <v>694</v>
      </c>
      <c r="E24" s="74">
        <v>1.2</v>
      </c>
      <c r="F24" s="74">
        <v>0.71</v>
      </c>
      <c r="G24" s="85" t="s">
        <v>680</v>
      </c>
      <c r="H24" s="104" t="s">
        <v>677</v>
      </c>
      <c r="I24" s="103">
        <v>24.167032967032942</v>
      </c>
      <c r="J24" s="102">
        <v>23.581744576532685</v>
      </c>
      <c r="K24" s="102">
        <v>48.1</v>
      </c>
      <c r="L24" s="101" t="str">
        <f t="shared" si="0"/>
        <v>No</v>
      </c>
      <c r="M24" s="283">
        <v>0.17290675948141462</v>
      </c>
      <c r="N24" s="99">
        <v>5.70537616766277E-2</v>
      </c>
      <c r="O24" s="108" t="s">
        <v>1456</v>
      </c>
      <c r="P24" s="108" t="s">
        <v>1456</v>
      </c>
      <c r="Q24" s="108" t="s">
        <v>1456</v>
      </c>
      <c r="T24" s="3" t="str">
        <f t="shared" si="1"/>
        <v>Show</v>
      </c>
    </row>
    <row r="25" spans="2:21" ht="18" customHeight="1">
      <c r="B25" s="996"/>
      <c r="C25" s="106">
        <v>18</v>
      </c>
      <c r="D25" s="105" t="s">
        <v>695</v>
      </c>
      <c r="E25" s="74">
        <v>1.2</v>
      </c>
      <c r="F25" s="74">
        <v>0.71</v>
      </c>
      <c r="G25" s="85" t="s">
        <v>680</v>
      </c>
      <c r="H25" s="104" t="s">
        <v>677</v>
      </c>
      <c r="I25" s="103">
        <v>23.236263736263748</v>
      </c>
      <c r="J25" s="102">
        <v>23.071760402763118</v>
      </c>
      <c r="K25" s="102">
        <v>52.2</v>
      </c>
      <c r="L25" s="101" t="str">
        <f t="shared" si="0"/>
        <v>No</v>
      </c>
      <c r="M25" s="283">
        <v>-7.4383825325429268E-3</v>
      </c>
      <c r="N25" s="99">
        <v>5.0172264954379202E-2</v>
      </c>
      <c r="O25" s="108" t="s">
        <v>1456</v>
      </c>
      <c r="P25" s="108" t="s">
        <v>1456</v>
      </c>
      <c r="Q25" s="108" t="s">
        <v>1456</v>
      </c>
      <c r="T25" s="3" t="str">
        <f t="shared" si="1"/>
        <v>Show</v>
      </c>
    </row>
    <row r="26" spans="2:21" ht="18" customHeight="1">
      <c r="B26" s="996"/>
      <c r="C26" s="106">
        <v>19</v>
      </c>
      <c r="D26" s="105" t="s">
        <v>696</v>
      </c>
      <c r="E26" s="74">
        <v>1.2</v>
      </c>
      <c r="F26" s="74">
        <v>0.71</v>
      </c>
      <c r="G26" s="85" t="s">
        <v>680</v>
      </c>
      <c r="H26" s="104" t="s">
        <v>677</v>
      </c>
      <c r="I26" s="103">
        <v>24.113186813186772</v>
      </c>
      <c r="J26" s="102">
        <v>24.09219052917382</v>
      </c>
      <c r="K26" s="102">
        <v>53.3</v>
      </c>
      <c r="L26" s="101" t="str">
        <f t="shared" si="0"/>
        <v>No</v>
      </c>
      <c r="M26" s="283">
        <v>0.21859817408192747</v>
      </c>
      <c r="N26" s="99">
        <v>6.0108507068257898E-2</v>
      </c>
      <c r="O26" s="108" t="s">
        <v>1456</v>
      </c>
      <c r="P26" s="108" t="s">
        <v>1456</v>
      </c>
      <c r="Q26" s="108" t="s">
        <v>1456</v>
      </c>
      <c r="T26" s="3" t="str">
        <f t="shared" si="1"/>
        <v>Show</v>
      </c>
    </row>
    <row r="27" spans="2:21" ht="18" customHeight="1">
      <c r="B27" s="996"/>
      <c r="C27" s="106">
        <v>20</v>
      </c>
      <c r="D27" s="105" t="s">
        <v>697</v>
      </c>
      <c r="E27" s="74">
        <v>1.2</v>
      </c>
      <c r="F27" s="74">
        <v>0.71</v>
      </c>
      <c r="G27" s="85" t="s">
        <v>680</v>
      </c>
      <c r="H27" s="104" t="s">
        <v>677</v>
      </c>
      <c r="I27" s="103">
        <v>24.412087912087951</v>
      </c>
      <c r="J27" s="102">
        <v>24.021320661647337</v>
      </c>
      <c r="K27" s="102">
        <v>51.6</v>
      </c>
      <c r="L27" s="101" t="str">
        <f t="shared" si="0"/>
        <v>No</v>
      </c>
      <c r="M27" s="283">
        <v>0.28157360793658232</v>
      </c>
      <c r="N27" s="99">
        <v>6.9876195668078595E-2</v>
      </c>
      <c r="O27" s="108" t="s">
        <v>1456</v>
      </c>
      <c r="P27" s="108" t="s">
        <v>1456</v>
      </c>
      <c r="Q27" s="108" t="s">
        <v>1456</v>
      </c>
      <c r="T27" s="3" t="str">
        <f t="shared" si="1"/>
        <v>Show</v>
      </c>
    </row>
    <row r="28" spans="2:21" ht="18" customHeight="1">
      <c r="B28" s="996"/>
      <c r="C28" s="106">
        <v>21</v>
      </c>
      <c r="D28" s="105" t="s">
        <v>698</v>
      </c>
      <c r="E28" s="74">
        <v>1.2</v>
      </c>
      <c r="F28" s="74">
        <v>0.71</v>
      </c>
      <c r="G28" s="85" t="s">
        <v>680</v>
      </c>
      <c r="H28" s="104" t="s">
        <v>677</v>
      </c>
      <c r="I28" s="103">
        <v>24.726373626373654</v>
      </c>
      <c r="J28" s="102">
        <v>24.684474703474734</v>
      </c>
      <c r="K28" s="102">
        <v>51.2</v>
      </c>
      <c r="L28" s="101" t="str">
        <f t="shared" si="0"/>
        <v>No</v>
      </c>
      <c r="M28" s="283">
        <v>0.37468604632579772</v>
      </c>
      <c r="N28" s="99">
        <v>7.9817646352609101E-2</v>
      </c>
      <c r="O28" s="108" t="s">
        <v>1456</v>
      </c>
      <c r="P28" s="108" t="s">
        <v>1456</v>
      </c>
      <c r="Q28" s="108" t="s">
        <v>1456</v>
      </c>
      <c r="T28" s="3" t="str">
        <f t="shared" si="1"/>
        <v>Show</v>
      </c>
    </row>
    <row r="29" spans="2:21" ht="18" customHeight="1">
      <c r="B29" s="996"/>
      <c r="C29" s="106">
        <v>22</v>
      </c>
      <c r="D29" s="105" t="s">
        <v>699</v>
      </c>
      <c r="E29" s="74">
        <v>1.2</v>
      </c>
      <c r="F29" s="74">
        <v>0.71</v>
      </c>
      <c r="G29" s="85" t="s">
        <v>680</v>
      </c>
      <c r="H29" s="104" t="s">
        <v>677</v>
      </c>
      <c r="I29" s="103">
        <v>24.145054945054902</v>
      </c>
      <c r="J29" s="102">
        <v>24.1794555797469</v>
      </c>
      <c r="K29" s="102">
        <v>52.3</v>
      </c>
      <c r="L29" s="101" t="str">
        <f t="shared" si="0"/>
        <v>No</v>
      </c>
      <c r="M29" s="283">
        <v>0.27116819419935928</v>
      </c>
      <c r="N29" s="99">
        <v>6.54501099931981E-2</v>
      </c>
      <c r="O29" s="108" t="s">
        <v>1456</v>
      </c>
      <c r="P29" s="108" t="s">
        <v>1456</v>
      </c>
      <c r="Q29" s="108" t="s">
        <v>1456</v>
      </c>
      <c r="T29" s="3" t="str">
        <f t="shared" si="1"/>
        <v>Show</v>
      </c>
    </row>
    <row r="30" spans="2:21" ht="18" customHeight="1">
      <c r="B30" s="996"/>
      <c r="C30" s="106">
        <v>23</v>
      </c>
      <c r="D30" s="105" t="s">
        <v>700</v>
      </c>
      <c r="E30" s="74">
        <v>1.2</v>
      </c>
      <c r="F30" s="74">
        <v>0.71</v>
      </c>
      <c r="G30" s="85" t="s">
        <v>680</v>
      </c>
      <c r="H30" s="104" t="s">
        <v>677</v>
      </c>
      <c r="I30" s="103">
        <v>24.068131868131857</v>
      </c>
      <c r="J30" s="102">
        <v>23.959603648657662</v>
      </c>
      <c r="K30" s="102">
        <v>49.2</v>
      </c>
      <c r="L30" s="101" t="str">
        <f t="shared" si="0"/>
        <v>No</v>
      </c>
      <c r="M30" s="283">
        <v>0.20797534378811974</v>
      </c>
      <c r="N30" s="99">
        <v>5.9438249762280897E-2</v>
      </c>
      <c r="O30" s="108" t="s">
        <v>1456</v>
      </c>
      <c r="P30" s="108" t="s">
        <v>1456</v>
      </c>
      <c r="Q30" s="108" t="s">
        <v>1456</v>
      </c>
      <c r="T30" s="3" t="str">
        <f t="shared" si="1"/>
        <v>Show</v>
      </c>
    </row>
    <row r="31" spans="2:21" ht="18" hidden="1" customHeight="1">
      <c r="B31" s="996"/>
      <c r="C31" s="106"/>
      <c r="D31" s="105"/>
      <c r="E31" s="74"/>
      <c r="F31" s="74"/>
      <c r="G31" s="85"/>
      <c r="H31" s="104"/>
      <c r="I31" s="103"/>
      <c r="J31" s="102"/>
      <c r="K31" s="102"/>
      <c r="L31" s="101" t="str">
        <f t="shared" si="0"/>
        <v/>
      </c>
      <c r="M31" s="100"/>
      <c r="N31" s="99"/>
      <c r="O31" s="108"/>
      <c r="P31" s="108"/>
      <c r="Q31" s="108"/>
      <c r="T31" s="3" t="str">
        <f t="shared" si="1"/>
        <v>Hide</v>
      </c>
    </row>
    <row r="32" spans="2:21" ht="18" hidden="1" customHeight="1">
      <c r="B32" s="996"/>
      <c r="C32" s="106"/>
      <c r="D32" s="105"/>
      <c r="E32" s="74"/>
      <c r="F32" s="74"/>
      <c r="G32" s="85"/>
      <c r="H32" s="104"/>
      <c r="I32" s="103"/>
      <c r="J32" s="102"/>
      <c r="K32" s="102"/>
      <c r="L32" s="101" t="str">
        <f t="shared" si="0"/>
        <v/>
      </c>
      <c r="M32" s="100"/>
      <c r="N32" s="99"/>
      <c r="O32" s="108"/>
      <c r="P32" s="108"/>
      <c r="Q32" s="108"/>
      <c r="T32" s="3" t="str">
        <f t="shared" si="1"/>
        <v>Hide</v>
      </c>
    </row>
    <row r="33" spans="2:20" ht="18" hidden="1" customHeight="1">
      <c r="B33" s="996"/>
      <c r="C33" s="106"/>
      <c r="D33" s="105"/>
      <c r="E33" s="74"/>
      <c r="F33" s="74"/>
      <c r="G33" s="85"/>
      <c r="H33" s="104"/>
      <c r="I33" s="103"/>
      <c r="J33" s="102"/>
      <c r="K33" s="102"/>
      <c r="L33" s="101" t="str">
        <f t="shared" si="0"/>
        <v/>
      </c>
      <c r="M33" s="100"/>
      <c r="N33" s="99"/>
      <c r="O33" s="108"/>
      <c r="P33" s="108"/>
      <c r="Q33" s="108"/>
      <c r="T33" s="3" t="str">
        <f t="shared" si="1"/>
        <v>Hide</v>
      </c>
    </row>
    <row r="34" spans="2:20" ht="18" hidden="1" customHeight="1">
      <c r="B34" s="996"/>
      <c r="C34" s="106"/>
      <c r="D34" s="105"/>
      <c r="E34" s="74"/>
      <c r="F34" s="74"/>
      <c r="G34" s="85"/>
      <c r="H34" s="104"/>
      <c r="I34" s="103"/>
      <c r="J34" s="102"/>
      <c r="K34" s="102"/>
      <c r="L34" s="101" t="str">
        <f t="shared" si="0"/>
        <v/>
      </c>
      <c r="M34" s="100"/>
      <c r="N34" s="99"/>
      <c r="O34" s="108"/>
      <c r="P34" s="108"/>
      <c r="Q34" s="108"/>
      <c r="T34" s="3" t="str">
        <f t="shared" si="1"/>
        <v>Hide</v>
      </c>
    </row>
    <row r="35" spans="2:20" ht="18" hidden="1" customHeight="1">
      <c r="B35" s="996"/>
      <c r="C35" s="106"/>
      <c r="D35" s="105"/>
      <c r="E35" s="74"/>
      <c r="F35" s="74"/>
      <c r="G35" s="85"/>
      <c r="H35" s="104"/>
      <c r="I35" s="103"/>
      <c r="J35" s="102"/>
      <c r="K35" s="102"/>
      <c r="L35" s="101" t="str">
        <f t="shared" si="0"/>
        <v/>
      </c>
      <c r="M35" s="100"/>
      <c r="N35" s="99"/>
      <c r="O35" s="108"/>
      <c r="P35" s="108"/>
      <c r="Q35" s="108"/>
      <c r="T35" s="3" t="str">
        <f t="shared" si="1"/>
        <v>Hide</v>
      </c>
    </row>
    <row r="36" spans="2:20" ht="18" hidden="1" customHeight="1">
      <c r="B36" s="996"/>
      <c r="C36" s="106"/>
      <c r="D36" s="105"/>
      <c r="E36" s="74"/>
      <c r="F36" s="74"/>
      <c r="G36" s="85"/>
      <c r="H36" s="104"/>
      <c r="I36" s="103"/>
      <c r="J36" s="102"/>
      <c r="K36" s="102"/>
      <c r="L36" s="101" t="str">
        <f t="shared" si="0"/>
        <v/>
      </c>
      <c r="M36" s="100"/>
      <c r="N36" s="99"/>
      <c r="O36" s="108"/>
      <c r="P36" s="108"/>
      <c r="Q36" s="108"/>
      <c r="T36" s="3" t="str">
        <f t="shared" si="1"/>
        <v>Hide</v>
      </c>
    </row>
    <row r="37" spans="2:20" ht="18" hidden="1" customHeight="1">
      <c r="B37" s="996"/>
      <c r="C37" s="106"/>
      <c r="D37" s="105"/>
      <c r="E37" s="74"/>
      <c r="F37" s="74"/>
      <c r="G37" s="85"/>
      <c r="H37" s="104"/>
      <c r="I37" s="103"/>
      <c r="J37" s="102"/>
      <c r="K37" s="102"/>
      <c r="L37" s="101" t="str">
        <f t="shared" si="0"/>
        <v/>
      </c>
      <c r="M37" s="100"/>
      <c r="N37" s="99"/>
      <c r="O37" s="108"/>
      <c r="P37" s="108"/>
      <c r="Q37" s="108"/>
      <c r="T37" s="3" t="str">
        <f t="shared" si="1"/>
        <v>Hide</v>
      </c>
    </row>
    <row r="38" spans="2:20" ht="18" hidden="1" customHeight="1">
      <c r="B38" s="996"/>
      <c r="C38" s="106"/>
      <c r="D38" s="105"/>
      <c r="E38" s="74"/>
      <c r="F38" s="74"/>
      <c r="G38" s="85"/>
      <c r="H38" s="104"/>
      <c r="I38" s="103"/>
      <c r="J38" s="102"/>
      <c r="K38" s="102"/>
      <c r="L38" s="101" t="str">
        <f t="shared" si="0"/>
        <v/>
      </c>
      <c r="M38" s="100"/>
      <c r="N38" s="99"/>
      <c r="O38" s="108"/>
      <c r="P38" s="108"/>
      <c r="Q38" s="108"/>
      <c r="T38" s="3" t="str">
        <f t="shared" si="1"/>
        <v>Hide</v>
      </c>
    </row>
    <row r="39" spans="2:20" ht="18" hidden="1" customHeight="1">
      <c r="B39" s="996"/>
      <c r="C39" s="106"/>
      <c r="D39" s="105"/>
      <c r="E39" s="74"/>
      <c r="F39" s="74"/>
      <c r="G39" s="85"/>
      <c r="H39" s="104"/>
      <c r="I39" s="103"/>
      <c r="J39" s="102"/>
      <c r="K39" s="102"/>
      <c r="L39" s="101" t="str">
        <f t="shared" si="0"/>
        <v/>
      </c>
      <c r="M39" s="100"/>
      <c r="N39" s="99"/>
      <c r="O39" s="108"/>
      <c r="P39" s="108"/>
      <c r="Q39" s="108"/>
      <c r="T39" s="3" t="str">
        <f t="shared" si="1"/>
        <v>Hide</v>
      </c>
    </row>
    <row r="40" spans="2:20" ht="18" hidden="1" customHeight="1">
      <c r="B40" s="996"/>
      <c r="C40" s="106"/>
      <c r="D40" s="105"/>
      <c r="E40" s="74"/>
      <c r="F40" s="74"/>
      <c r="G40" s="85"/>
      <c r="H40" s="104"/>
      <c r="I40" s="103"/>
      <c r="J40" s="102"/>
      <c r="K40" s="102"/>
      <c r="L40" s="101" t="str">
        <f t="shared" si="0"/>
        <v/>
      </c>
      <c r="M40" s="100"/>
      <c r="N40" s="99"/>
      <c r="O40" s="108"/>
      <c r="P40" s="108"/>
      <c r="Q40" s="108"/>
      <c r="T40" s="3" t="str">
        <f t="shared" si="1"/>
        <v>Hide</v>
      </c>
    </row>
    <row r="41" spans="2:20" ht="18" hidden="1" customHeight="1">
      <c r="B41" s="996"/>
      <c r="C41" s="106"/>
      <c r="D41" s="105"/>
      <c r="E41" s="74"/>
      <c r="F41" s="74"/>
      <c r="G41" s="85"/>
      <c r="H41" s="104"/>
      <c r="I41" s="103"/>
      <c r="J41" s="102"/>
      <c r="K41" s="102"/>
      <c r="L41" s="101" t="str">
        <f t="shared" si="0"/>
        <v/>
      </c>
      <c r="M41" s="100"/>
      <c r="N41" s="99"/>
      <c r="O41" s="108"/>
      <c r="P41" s="108"/>
      <c r="Q41" s="108"/>
      <c r="T41" s="3" t="str">
        <f t="shared" si="1"/>
        <v>Hide</v>
      </c>
    </row>
    <row r="42" spans="2:20" ht="18" hidden="1" customHeight="1">
      <c r="B42" s="996"/>
      <c r="C42" s="106"/>
      <c r="D42" s="105"/>
      <c r="E42" s="74"/>
      <c r="F42" s="74"/>
      <c r="G42" s="85"/>
      <c r="H42" s="104"/>
      <c r="I42" s="103"/>
      <c r="J42" s="102"/>
      <c r="K42" s="102"/>
      <c r="L42" s="101" t="str">
        <f t="shared" si="0"/>
        <v/>
      </c>
      <c r="M42" s="100"/>
      <c r="N42" s="99"/>
      <c r="O42" s="108"/>
      <c r="P42" s="108"/>
      <c r="Q42" s="108"/>
      <c r="T42" s="3" t="str">
        <f t="shared" si="1"/>
        <v>Hide</v>
      </c>
    </row>
    <row r="43" spans="2:20" ht="18" hidden="1" customHeight="1">
      <c r="B43" s="996"/>
      <c r="C43" s="106"/>
      <c r="D43" s="105"/>
      <c r="E43" s="74"/>
      <c r="F43" s="74"/>
      <c r="G43" s="85"/>
      <c r="H43" s="104"/>
      <c r="I43" s="103"/>
      <c r="J43" s="102"/>
      <c r="K43" s="102"/>
      <c r="L43" s="101" t="str">
        <f t="shared" si="0"/>
        <v/>
      </c>
      <c r="M43" s="100"/>
      <c r="N43" s="99"/>
      <c r="O43" s="108"/>
      <c r="P43" s="108"/>
      <c r="Q43" s="108"/>
      <c r="T43" s="3" t="str">
        <f t="shared" si="1"/>
        <v>Hide</v>
      </c>
    </row>
    <row r="44" spans="2:20" ht="18" hidden="1" customHeight="1">
      <c r="B44" s="996"/>
      <c r="C44" s="106"/>
      <c r="D44" s="105"/>
      <c r="E44" s="74"/>
      <c r="F44" s="74"/>
      <c r="G44" s="85"/>
      <c r="H44" s="104"/>
      <c r="I44" s="103"/>
      <c r="J44" s="102"/>
      <c r="K44" s="102"/>
      <c r="L44" s="101" t="str">
        <f t="shared" si="0"/>
        <v/>
      </c>
      <c r="M44" s="100"/>
      <c r="N44" s="99"/>
      <c r="O44" s="108"/>
      <c r="P44" s="108"/>
      <c r="Q44" s="108"/>
      <c r="T44" s="3" t="str">
        <f t="shared" si="1"/>
        <v>Hide</v>
      </c>
    </row>
    <row r="45" spans="2:20" ht="18" hidden="1" customHeight="1">
      <c r="B45" s="996"/>
      <c r="C45" s="106"/>
      <c r="D45" s="105"/>
      <c r="E45" s="74"/>
      <c r="F45" s="74"/>
      <c r="G45" s="85"/>
      <c r="H45" s="104"/>
      <c r="I45" s="103"/>
      <c r="J45" s="102"/>
      <c r="K45" s="102"/>
      <c r="L45" s="101" t="str">
        <f t="shared" si="0"/>
        <v/>
      </c>
      <c r="M45" s="100"/>
      <c r="N45" s="99"/>
      <c r="O45" s="108"/>
      <c r="P45" s="108"/>
      <c r="Q45" s="108"/>
      <c r="T45" s="3" t="str">
        <f t="shared" si="1"/>
        <v>Hide</v>
      </c>
    </row>
    <row r="46" spans="2:20" ht="18" hidden="1" customHeight="1">
      <c r="B46" s="996"/>
      <c r="C46" s="106"/>
      <c r="D46" s="105"/>
      <c r="E46" s="74"/>
      <c r="F46" s="74"/>
      <c r="G46" s="85"/>
      <c r="H46" s="104"/>
      <c r="I46" s="103"/>
      <c r="J46" s="102"/>
      <c r="K46" s="102"/>
      <c r="L46" s="101" t="str">
        <f t="shared" si="0"/>
        <v/>
      </c>
      <c r="M46" s="100"/>
      <c r="N46" s="99"/>
      <c r="O46" s="108"/>
      <c r="P46" s="108"/>
      <c r="Q46" s="108"/>
      <c r="T46" s="3" t="str">
        <f t="shared" si="1"/>
        <v>Hide</v>
      </c>
    </row>
    <row r="47" spans="2:20" ht="18" hidden="1" customHeight="1">
      <c r="B47" s="997"/>
      <c r="C47" s="106"/>
      <c r="D47" s="105"/>
      <c r="E47" s="74"/>
      <c r="F47" s="74"/>
      <c r="G47" s="85"/>
      <c r="H47" s="104"/>
      <c r="I47" s="103"/>
      <c r="J47" s="102"/>
      <c r="K47" s="102"/>
      <c r="L47" s="101" t="str">
        <f t="shared" si="0"/>
        <v/>
      </c>
      <c r="M47" s="100"/>
      <c r="N47" s="99"/>
      <c r="O47" s="108"/>
      <c r="P47" s="108"/>
      <c r="Q47" s="108"/>
      <c r="T47" s="3" t="str">
        <f t="shared" si="1"/>
        <v>Hide</v>
      </c>
    </row>
    <row r="48" spans="2:20">
      <c r="B48" s="230"/>
      <c r="C48" s="230"/>
      <c r="D48" s="230"/>
      <c r="E48" s="230"/>
      <c r="F48" s="230"/>
      <c r="G48" s="230"/>
      <c r="H48" s="230"/>
      <c r="I48" s="230"/>
      <c r="J48" s="230"/>
      <c r="K48" s="230"/>
      <c r="L48" s="230"/>
      <c r="M48" s="230"/>
      <c r="N48" s="230"/>
      <c r="O48" s="230"/>
      <c r="P48" s="230"/>
      <c r="Q48" s="230"/>
      <c r="T48" s="3" t="s">
        <v>500</v>
      </c>
    </row>
  </sheetData>
  <autoFilter ref="T3:U48" xr:uid="{8F7C393C-FF55-4148-8A56-5761190DDFAA}">
    <filterColumn colId="0">
      <filters>
        <filter val="Show"/>
      </filters>
    </filterColumn>
  </autoFilter>
  <mergeCells count="20">
    <mergeCell ref="U6:U20"/>
    <mergeCell ref="K6:L6"/>
    <mergeCell ref="M6:M7"/>
    <mergeCell ref="N6:N7"/>
    <mergeCell ref="O6:O7"/>
    <mergeCell ref="P6:P7"/>
    <mergeCell ref="Q6:Q7"/>
    <mergeCell ref="A1:Q1"/>
    <mergeCell ref="A2:Q2"/>
    <mergeCell ref="B4:Q4"/>
    <mergeCell ref="C5:Q5"/>
    <mergeCell ref="I6:I7"/>
    <mergeCell ref="J6:J7"/>
    <mergeCell ref="B5:B47"/>
    <mergeCell ref="H6:H7"/>
    <mergeCell ref="C6:C7"/>
    <mergeCell ref="D6:D7"/>
    <mergeCell ref="E6:E7"/>
    <mergeCell ref="F6:F7"/>
    <mergeCell ref="G6:G7"/>
  </mergeCells>
  <conditionalFormatting sqref="A2">
    <cfRule type="containsBlanks" dxfId="6" priority="2">
      <formula>LEN(TRIM(A2))=0</formula>
    </cfRule>
  </conditionalFormatting>
  <conditionalFormatting sqref="C8:K47 M8:O47">
    <cfRule type="containsBlanks" dxfId="5" priority="1">
      <formula>LEN(TRIM(C8))=0</formula>
    </cfRule>
  </conditionalFormatting>
  <dataValidations count="4">
    <dataValidation type="list" allowBlank="1" showInputMessage="1" showErrorMessage="1" sqref="G8:G47" xr:uid="{B193776E-4992-4319-9C2D-0DCD82E11402}">
      <formula1>"Seated,Standing,Kitchen"</formula1>
    </dataValidation>
    <dataValidation type="list" allowBlank="1" showInputMessage="1" showErrorMessage="1" sqref="O8:O47" xr:uid="{6D709E00-12D8-4424-9822-89D2D5827EC8}">
      <formula1>"MET,NOT MET,TBD"</formula1>
    </dataValidation>
    <dataValidation type="list" allowBlank="1" showInputMessage="1" showErrorMessage="1" sqref="P8:Q47" xr:uid="{F8999DC4-08BF-4A6E-8CF5-F741ADB6F6C6}">
      <formula1>"MET,NOT MET,TBD,WITHDRAWN"</formula1>
    </dataValidation>
    <dataValidation type="list" allowBlank="1" showInputMessage="1" showErrorMessage="1" sqref="H8:H47" xr:uid="{B2103F3C-FE51-44D3-A904-9B335C29341F}">
      <formula1>"C,F"</formula1>
    </dataValidation>
  </dataValidations>
  <pageMargins left="0.7" right="0.7" top="0.75" bottom="0.75" header="0.3" footer="0.3"/>
  <pageSetup scale="43" fitToHeight="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B1992-1799-4B09-B3ED-493A3A2DA692}">
  <sheetPr codeName="Sheet21" filterMode="1">
    <tabColor rgb="FF7030A0"/>
    <pageSetUpPr fitToPage="1"/>
  </sheetPr>
  <dimension ref="A1:AK312"/>
  <sheetViews>
    <sheetView view="pageBreakPreview" zoomScale="90" zoomScaleNormal="80" zoomScaleSheetLayoutView="90" workbookViewId="0">
      <selection sqref="A1:L1"/>
    </sheetView>
  </sheetViews>
  <sheetFormatPr defaultColWidth="8.88671875" defaultRowHeight="14.4"/>
  <cols>
    <col min="1" max="1" width="3.88671875" style="113" customWidth="1"/>
    <col min="2" max="2" width="10.6640625" style="113" customWidth="1"/>
    <col min="3" max="3" width="15.33203125" style="113" customWidth="1"/>
    <col min="4" max="4" width="45.6640625" style="113" customWidth="1"/>
    <col min="5" max="5" width="29" style="113" customWidth="1"/>
    <col min="6" max="7" width="24.6640625" style="113" customWidth="1"/>
    <col min="8" max="10" width="20.6640625" style="113" customWidth="1"/>
    <col min="11" max="11" width="8.88671875" style="113"/>
    <col min="12" max="12" width="19.33203125" style="113" customWidth="1"/>
    <col min="13" max="13" width="2.33203125" style="113" customWidth="1"/>
    <col min="14" max="14" width="4.5546875" style="113" customWidth="1"/>
    <col min="15" max="15" width="40.44140625" style="3" customWidth="1"/>
    <col min="16" max="16" width="38.5546875" style="113" customWidth="1"/>
    <col min="17" max="26" width="8.88671875" style="113" customWidth="1"/>
    <col min="27" max="27" width="12.33203125" style="113" hidden="1" customWidth="1"/>
    <col min="28" max="28" width="9.44140625" style="113" hidden="1" customWidth="1"/>
    <col min="29" max="29" width="8.6640625" style="113" hidden="1" customWidth="1"/>
    <col min="30" max="30" width="21.6640625" style="113" hidden="1" customWidth="1"/>
    <col min="31" max="31" width="41.33203125" style="113" hidden="1" customWidth="1"/>
    <col min="32" max="32" width="15.6640625" style="113" hidden="1" customWidth="1"/>
    <col min="33" max="33" width="13" style="113" hidden="1" customWidth="1"/>
    <col min="34" max="34" width="6.33203125" style="113" hidden="1" customWidth="1"/>
    <col min="35" max="37" width="8.88671875" style="113" hidden="1" customWidth="1"/>
    <col min="38" max="39" width="8.88671875" style="113" customWidth="1"/>
    <col min="40" max="16384" width="8.88671875" style="113"/>
  </cols>
  <sheetData>
    <row r="1" spans="1:34" ht="43.35" customHeight="1">
      <c r="A1" s="960"/>
      <c r="B1" s="960"/>
      <c r="C1" s="960"/>
      <c r="D1" s="960"/>
      <c r="E1" s="960"/>
      <c r="F1" s="960"/>
      <c r="G1" s="960"/>
      <c r="H1" s="960"/>
      <c r="I1" s="960"/>
      <c r="J1" s="960"/>
      <c r="K1" s="960"/>
      <c r="L1" s="960"/>
      <c r="O1" s="55"/>
      <c r="P1" t="s">
        <v>506</v>
      </c>
    </row>
    <row r="2" spans="1:34" s="51" customFormat="1" ht="39.9" customHeight="1">
      <c r="A2" s="961" t="str">
        <f>IF(v2p_Air!A2="","",v2p_Air!A2)</f>
        <v>2202025410 - Accenture - Assago Milanofiori U1</v>
      </c>
      <c r="B2" s="961"/>
      <c r="C2" s="961"/>
      <c r="D2" s="961"/>
      <c r="E2" s="961"/>
      <c r="F2" s="961"/>
      <c r="G2" s="961"/>
      <c r="H2" s="961"/>
      <c r="I2" s="961"/>
      <c r="J2" s="961"/>
      <c r="K2" s="961"/>
      <c r="L2" s="961"/>
      <c r="N2" s="52"/>
      <c r="O2" s="3"/>
    </row>
    <row r="3" spans="1:34" s="51" customFormat="1" ht="30" customHeight="1">
      <c r="N3" s="52"/>
      <c r="O3" s="203" t="s">
        <v>56</v>
      </c>
    </row>
    <row r="4" spans="1:34" s="51" customFormat="1" ht="24" customHeight="1">
      <c r="B4" s="1005" t="s">
        <v>239</v>
      </c>
      <c r="C4" s="1005"/>
      <c r="D4" s="1005"/>
      <c r="E4" s="1005"/>
      <c r="F4" s="1005"/>
      <c r="G4" s="1005"/>
      <c r="H4" s="1005"/>
      <c r="I4" s="1005"/>
      <c r="J4" s="1005"/>
      <c r="K4" s="1005"/>
      <c r="L4" s="1005"/>
      <c r="N4" s="52"/>
      <c r="O4" s="3" t="s">
        <v>500</v>
      </c>
    </row>
    <row r="5" spans="1:34" s="51" customFormat="1" ht="24" customHeight="1">
      <c r="B5" s="1006"/>
      <c r="C5" s="1009" t="s">
        <v>502</v>
      </c>
      <c r="D5" s="1010"/>
      <c r="E5" s="1010"/>
      <c r="F5" s="1010"/>
      <c r="G5" s="1010"/>
      <c r="H5" s="1010"/>
      <c r="I5" s="1010"/>
      <c r="J5" s="1010"/>
      <c r="K5" s="1010"/>
      <c r="L5" s="1010"/>
      <c r="M5" s="162"/>
      <c r="N5" s="52"/>
      <c r="O5" s="3" t="s">
        <v>500</v>
      </c>
      <c r="P5" s="1004" t="s">
        <v>511</v>
      </c>
      <c r="AE5" s="52" t="s">
        <v>238</v>
      </c>
      <c r="AF5" s="52"/>
      <c r="AG5" s="52" t="s">
        <v>237</v>
      </c>
      <c r="AH5" s="51">
        <f>MIN(AG7:AG86)</f>
        <v>2</v>
      </c>
    </row>
    <row r="6" spans="1:34" s="51" customFormat="1" ht="60" customHeight="1">
      <c r="B6" s="1007"/>
      <c r="C6" s="161" t="s">
        <v>236</v>
      </c>
      <c r="D6" s="150" t="s">
        <v>37</v>
      </c>
      <c r="E6" s="150" t="s">
        <v>209</v>
      </c>
      <c r="F6" s="150" t="s">
        <v>235</v>
      </c>
      <c r="G6" s="150" t="s">
        <v>234</v>
      </c>
      <c r="H6" s="150" t="s">
        <v>233</v>
      </c>
      <c r="I6" s="150" t="s">
        <v>11</v>
      </c>
      <c r="J6" s="150" t="s">
        <v>1</v>
      </c>
      <c r="K6" s="1011" t="s">
        <v>107</v>
      </c>
      <c r="L6" s="1011"/>
      <c r="N6" s="52"/>
      <c r="O6" s="3" t="s">
        <v>500</v>
      </c>
      <c r="P6" s="1004"/>
      <c r="AB6" s="52" t="s">
        <v>232</v>
      </c>
      <c r="AC6" s="52" t="s">
        <v>0</v>
      </c>
      <c r="AD6" s="128" t="s">
        <v>231</v>
      </c>
      <c r="AE6" s="128" t="s">
        <v>230</v>
      </c>
      <c r="AF6" s="128" t="s">
        <v>229</v>
      </c>
      <c r="AG6" s="128" t="s">
        <v>228</v>
      </c>
      <c r="AH6" s="160"/>
    </row>
    <row r="7" spans="1:34" s="51" customFormat="1" ht="20.100000000000001" customHeight="1">
      <c r="B7" s="1007"/>
      <c r="C7" s="1001">
        <v>1</v>
      </c>
      <c r="D7" s="1001" t="s">
        <v>701</v>
      </c>
      <c r="E7" s="1001" t="s">
        <v>185</v>
      </c>
      <c r="F7" s="157" t="s">
        <v>227</v>
      </c>
      <c r="G7" s="157" t="str">
        <f>_xlfn.CONCAT("(", $AH$5, " Point", IF($AH$5&gt; 1,"s) ",") "),VLOOKUP($E7,$C$234:$F$241,1+$AH$5,FALSE), RIGHT(F7,4))</f>
        <v>(2 Points) 45 dBA</v>
      </c>
      <c r="H7" s="159">
        <v>36.5</v>
      </c>
      <c r="I7" s="157" t="str">
        <f t="shared" ref="I7:I58" si="0">IF($AH$5&gt;IF(AD7="NOT MET",0,AD7),_xlfn.CONCAT(AC7*-1, " dB"),"")</f>
        <v/>
      </c>
      <c r="J7" s="1002" t="s">
        <v>1456</v>
      </c>
      <c r="K7" s="1003"/>
      <c r="L7" s="1003"/>
      <c r="N7" s="52"/>
      <c r="O7" s="3" t="str">
        <f>IF($C7&lt;&gt;"","Show","Hide")</f>
        <v>Show</v>
      </c>
      <c r="P7" s="1004"/>
      <c r="AB7" s="52">
        <v>0</v>
      </c>
      <c r="AC7" s="52">
        <v>-4</v>
      </c>
      <c r="AD7" s="52">
        <f>IFERROR(IF(VLOOKUP($E7,$A$178:$E$185,3,FALSE)&gt;=$H7+AB7,3,IF(VLOOKUP($E7,$A$178:$E$185,4,FALSE)&gt;=$H7+AB7,2,IF(VLOOKUP($E7,$A$178:$E$185,5,FALSE)&gt;=$H7+AB7,1,"NOT MET"))),"")</f>
        <v>3</v>
      </c>
      <c r="AE7" s="52">
        <f>IFERROR(IF(VLOOKUP($E7,$A$178:$E$185,3,FALSE)&gt;=$H7+AC7,3,IF(VLOOKUP($E7,$A$178:$E$185,4,FALSE)&gt;=$H7+AC7,2,IF(VLOOKUP($E7,$A$178:$E$185,5,FALSE)&gt;=$H7+AC7,1,"NOT MET"))),"")</f>
        <v>3</v>
      </c>
      <c r="AF7" s="52" t="str">
        <f t="shared" ref="AF7:AF58" si="1">IF(IF(LEFT(F7,4) = "Lmax", "Yes","No") = "Yes", IF(AE7="NOT MET","NOT MET", "Yes"),"No")</f>
        <v>No</v>
      </c>
      <c r="AG7" s="52">
        <f t="shared" ref="AG7:AG58" si="2">IF(AF7="NOT MET",1,AE7)</f>
        <v>3</v>
      </c>
      <c r="AH7" s="52"/>
    </row>
    <row r="8" spans="1:34" s="51" customFormat="1" ht="20.100000000000001" customHeight="1">
      <c r="B8" s="1007"/>
      <c r="C8" s="1001"/>
      <c r="D8" s="1001"/>
      <c r="E8" s="1001"/>
      <c r="F8" s="157" t="s">
        <v>226</v>
      </c>
      <c r="G8" s="157" t="str">
        <f>_xlfn.CONCAT("(", $AH$5, " Point", IF($AH$5&gt; 1,"s) ",") "),VLOOKUP($E7,$C$244:$F$250,1+$AH$5,FALSE), RIGHT(F8,4))</f>
        <v>(2 Points) 70 dBC</v>
      </c>
      <c r="H8" s="159">
        <v>52.2</v>
      </c>
      <c r="I8" s="157" t="str">
        <f t="shared" si="0"/>
        <v/>
      </c>
      <c r="J8" s="1002"/>
      <c r="K8" s="1003"/>
      <c r="L8" s="1003"/>
      <c r="N8" s="52"/>
      <c r="O8" s="3" t="str">
        <f>IF($C7&lt;&gt;"","Show","Hide")</f>
        <v>Show</v>
      </c>
      <c r="P8" s="1004"/>
      <c r="AB8" s="52">
        <v>0</v>
      </c>
      <c r="AC8" s="52">
        <v>-4</v>
      </c>
      <c r="AD8" s="52">
        <f>IFERROR(IF(VLOOKUP($E7,$A$188:$E$195,3,FALSE)&gt;=$H8+AB8,3,IF(VLOOKUP($E7,$A$188:$E$195,4,FALSE)&gt;=$H8+AB8,2,IF(VLOOKUP($E7,$A$188:$E$195,5,FALSE)&gt;=$H8+AB8,1,"NOT MET"))),"")</f>
        <v>3</v>
      </c>
      <c r="AE8" s="52">
        <f>IFERROR(IF(VLOOKUP($E7,$A$188:$E$195,3,FALSE)&gt;=$H8+AC8,3,IF(VLOOKUP($E7,$A$188:$E$195,4,FALSE)&gt;=$H8+AC8,2,IF(VLOOKUP($E7,$A$188:$E$195,5,FALSE)&gt;=$H8+AC8,1,"NOT MET"))),"")</f>
        <v>3</v>
      </c>
      <c r="AF8" s="52" t="str">
        <f t="shared" si="1"/>
        <v>No</v>
      </c>
      <c r="AG8" s="52">
        <f t="shared" si="2"/>
        <v>3</v>
      </c>
      <c r="AH8" s="52"/>
    </row>
    <row r="9" spans="1:34" s="51" customFormat="1" ht="20.100000000000001" customHeight="1">
      <c r="B9" s="1007"/>
      <c r="C9" s="1001"/>
      <c r="D9" s="1001"/>
      <c r="E9" s="1001"/>
      <c r="F9" s="157" t="s">
        <v>225</v>
      </c>
      <c r="G9" s="157" t="str">
        <f>IF($AH$5=1, "NA",_xlfn.CONCAT("(", $AH$5, " Point", IF($AH$5&gt; 1,"s) ",") "),VLOOKUP($E7,$C$254:$F$260,1+$AH$5,FALSE), RIGHT(F9,4)))</f>
        <v>(2 Points) 55 dBA</v>
      </c>
      <c r="H9" s="159">
        <v>41.1</v>
      </c>
      <c r="I9" s="157" t="str">
        <f t="shared" si="0"/>
        <v/>
      </c>
      <c r="J9" s="1002"/>
      <c r="K9" s="1003"/>
      <c r="L9" s="1003"/>
      <c r="N9" s="52"/>
      <c r="O9" s="3" t="str">
        <f>IF($C7&lt;&gt;"","Show","Hide")</f>
        <v>Show</v>
      </c>
      <c r="P9" s="1004"/>
      <c r="AB9" s="52">
        <v>0</v>
      </c>
      <c r="AC9" s="52">
        <v>-9</v>
      </c>
      <c r="AD9" s="52">
        <f>IFERROR(IF(VLOOKUP($E7,$A$198:$E$205,3,FALSE)&gt;=$H9+AB9,3,IF(VLOOKUP($E7,$A$198:$E$205,4,FALSE)&gt;=$H9+AB9,2,IF(VLOOKUP($E7,$A$198:$E$205,5,FALSE)&gt;=$H9+AB9,1,"NOT MET"))),"")</f>
        <v>3</v>
      </c>
      <c r="AE9" s="52">
        <f>IFERROR(IF(VLOOKUP($E7,$A$198:$E$205,3,FALSE)&gt;=$H9+AC9,3,IF(VLOOKUP($E7,$A$198:$E$205,4,FALSE)&gt;=$H9+AC9,2,IF(VLOOKUP($E7,$A$198:$E$205,5,FALSE)&gt;=$H9+AC9,1,"NOT MET"))),"")</f>
        <v>3</v>
      </c>
      <c r="AF9" s="52" t="str">
        <f t="shared" si="1"/>
        <v>Yes</v>
      </c>
      <c r="AG9" s="52">
        <f t="shared" si="2"/>
        <v>3</v>
      </c>
      <c r="AH9" s="52"/>
    </row>
    <row r="10" spans="1:34" s="51" customFormat="1" ht="20.100000000000001" customHeight="1">
      <c r="B10" s="1007"/>
      <c r="C10" s="1001"/>
      <c r="D10" s="1001"/>
      <c r="E10" s="1001"/>
      <c r="F10" s="157" t="s">
        <v>224</v>
      </c>
      <c r="G10" s="157" t="str">
        <f>IF($AH$5=1,"NA",_xlfn.CONCAT("(",$AH$5," Point",IF($AH$5&gt;1,"s) ",") "),VLOOKUP($E7,$C$264:$F$270,1+$AH$5,FALSE),RIGHT(F10,4)))</f>
        <v>(2 Points) 80 dBC</v>
      </c>
      <c r="H10" s="159">
        <v>65.7</v>
      </c>
      <c r="I10" s="157" t="str">
        <f t="shared" si="0"/>
        <v/>
      </c>
      <c r="J10" s="1002"/>
      <c r="K10" s="1003"/>
      <c r="L10" s="1003"/>
      <c r="N10" s="52"/>
      <c r="O10" s="3" t="str">
        <f>IF($C7&lt;&gt;"","Show","Hide")</f>
        <v>Show</v>
      </c>
      <c r="P10" s="1004"/>
      <c r="AB10" s="52">
        <v>0</v>
      </c>
      <c r="AC10" s="52">
        <v>-9</v>
      </c>
      <c r="AD10" s="52">
        <f>IFERROR(IF(VLOOKUP($E7,$A$208:$E$215,3,FALSE)&gt;=$H10+AB10,3,IF(VLOOKUP($E7,$A$208:$E$215,4,FALSE)&gt;=$H10+AB10,2,IF(VLOOKUP($E7,$A$208:$E$215,5,FALSE)&gt;=$H10+AB10,1,"NOT MET"))),"")</f>
        <v>3</v>
      </c>
      <c r="AE10" s="52">
        <f>IFERROR(IF(VLOOKUP($E7,$A$208:$E$215,3,FALSE)&gt;=$H10+AC10,3,IF(VLOOKUP($E7,$A$208:$E$215,4,FALSE)&gt;=$H10+AC10,2,IF(VLOOKUP($E7,$A$208:$E$215,5,FALSE)&gt;=$H10+AC10,1,"NOT MET"))),"")</f>
        <v>3</v>
      </c>
      <c r="AF10" s="52" t="str">
        <f t="shared" si="1"/>
        <v>Yes</v>
      </c>
      <c r="AG10" s="52">
        <f t="shared" si="2"/>
        <v>3</v>
      </c>
      <c r="AH10" s="52"/>
    </row>
    <row r="11" spans="1:34" s="51" customFormat="1" ht="20.100000000000001" customHeight="1">
      <c r="B11" s="1007"/>
      <c r="C11" s="1001">
        <v>2</v>
      </c>
      <c r="D11" s="1001" t="s">
        <v>702</v>
      </c>
      <c r="E11" s="1001" t="s">
        <v>183</v>
      </c>
      <c r="F11" s="157" t="s">
        <v>227</v>
      </c>
      <c r="G11" s="157" t="str">
        <f>_xlfn.CONCAT("(", $AH$5, " Point", IF($AH$5&gt; 1,"s) ",") "),VLOOKUP($E11,$C$234:$F$241,1+$AH$5,FALSE), RIGHT(F11,4))</f>
        <v>(2 Points) 40 dBA</v>
      </c>
      <c r="H11" s="159">
        <v>30.4</v>
      </c>
      <c r="I11" s="157" t="str">
        <f t="shared" si="0"/>
        <v/>
      </c>
      <c r="J11" s="1002" t="s">
        <v>1456</v>
      </c>
      <c r="K11" s="1003"/>
      <c r="L11" s="1003"/>
      <c r="N11" s="52"/>
      <c r="O11" s="3" t="str">
        <f>IF($C11&lt;&gt;"","Show","Hide")</f>
        <v>Show</v>
      </c>
      <c r="P11" s="1004"/>
      <c r="AB11" s="52">
        <v>0</v>
      </c>
      <c r="AC11" s="52">
        <v>-4</v>
      </c>
      <c r="AD11" s="52">
        <f>IFERROR(IF(VLOOKUP($E11,$A$178:$E$185,3,FALSE)&gt;=$H11+AB11,3,IF(VLOOKUP($E11,$A$178:$E$185,4,FALSE)&gt;=$H11+AB11,2,IF(VLOOKUP($E11,$A$178:$E$185,5,FALSE)&gt;=$H11+AB11,1,"NOT MET"))),"")</f>
        <v>3</v>
      </c>
      <c r="AE11" s="52">
        <f>IFERROR(IF(VLOOKUP($E11,$A$178:$E$185,3,FALSE)&gt;=$H11+AC11,3,IF(VLOOKUP($E11,$A$178:$E$185,4,FALSE)&gt;=$H11+AC11,2,IF(VLOOKUP($E11,$A$178:$E$185,5,FALSE)&gt;=$H11+AC11,1,"NOT MET"))),"")</f>
        <v>3</v>
      </c>
      <c r="AF11" s="52" t="str">
        <f t="shared" si="1"/>
        <v>No</v>
      </c>
      <c r="AG11" s="52">
        <f t="shared" si="2"/>
        <v>3</v>
      </c>
      <c r="AH11" s="52"/>
    </row>
    <row r="12" spans="1:34" s="51" customFormat="1" ht="20.100000000000001" customHeight="1">
      <c r="B12" s="1007"/>
      <c r="C12" s="1001"/>
      <c r="D12" s="1001"/>
      <c r="E12" s="1001"/>
      <c r="F12" s="157" t="s">
        <v>226</v>
      </c>
      <c r="G12" s="157" t="str">
        <f>_xlfn.CONCAT("(", $AH$5, " Point", IF($AH$5&gt; 1,"s) ",") "),VLOOKUP($E11,$C$244:$F$250,1+$AH$5,FALSE), RIGHT(F12,4))</f>
        <v>(2 Points) 65 dBC</v>
      </c>
      <c r="H12" s="159">
        <v>47</v>
      </c>
      <c r="I12" s="157" t="str">
        <f t="shared" si="0"/>
        <v/>
      </c>
      <c r="J12" s="1002"/>
      <c r="K12" s="1003"/>
      <c r="L12" s="1003"/>
      <c r="N12" s="52"/>
      <c r="O12" s="3" t="str">
        <f>IF($C11&lt;&gt;"","Show","Hide")</f>
        <v>Show</v>
      </c>
      <c r="P12" s="1004"/>
      <c r="AB12" s="52">
        <v>0</v>
      </c>
      <c r="AC12" s="52">
        <v>-4</v>
      </c>
      <c r="AD12" s="52">
        <f>IFERROR(IF(VLOOKUP($E11,$A$188:$E$195,3,FALSE)&gt;=$H12+AB12,3,IF(VLOOKUP($E11,$A$188:$E$195,4,FALSE)&gt;=$H12+AB12,2,IF(VLOOKUP($E11,$A$188:$E$195,5,FALSE)&gt;=$H12+AB12,1,"NOT MET"))),"")</f>
        <v>3</v>
      </c>
      <c r="AE12" s="52">
        <f>IFERROR(IF(VLOOKUP($E11,$A$188:$E$195,3,FALSE)&gt;=$H12+AC12,3,IF(VLOOKUP($E11,$A$188:$E$195,4,FALSE)&gt;=$H12+AC12,2,IF(VLOOKUP($E11,$A$188:$E$195,5,FALSE)&gt;=$H12+AC12,1,"NOT MET"))),"")</f>
        <v>3</v>
      </c>
      <c r="AF12" s="52" t="str">
        <f t="shared" si="1"/>
        <v>No</v>
      </c>
      <c r="AG12" s="52">
        <f t="shared" si="2"/>
        <v>3</v>
      </c>
      <c r="AH12" s="52"/>
    </row>
    <row r="13" spans="1:34" s="51" customFormat="1" ht="20.100000000000001" customHeight="1">
      <c r="B13" s="1007"/>
      <c r="C13" s="1001"/>
      <c r="D13" s="1001"/>
      <c r="E13" s="1001"/>
      <c r="F13" s="157" t="s">
        <v>225</v>
      </c>
      <c r="G13" s="157" t="str">
        <f>IF($AH$5=1, "NA",_xlfn.CONCAT("(", $AH$5, " Point", IF($AH$5&gt; 1,"s) ",") "),VLOOKUP($E11,$C$254:$F$260,1+$AH$5,FALSE), RIGHT(F13,4)))</f>
        <v>(2 Points) 50 dBA</v>
      </c>
      <c r="H13" s="159">
        <v>32</v>
      </c>
      <c r="I13" s="157" t="str">
        <f t="shared" si="0"/>
        <v/>
      </c>
      <c r="J13" s="1002"/>
      <c r="K13" s="1003"/>
      <c r="L13" s="1003"/>
      <c r="N13" s="52"/>
      <c r="O13" s="3" t="str">
        <f>IF($C11&lt;&gt;"","Show","Hide")</f>
        <v>Show</v>
      </c>
      <c r="P13" s="1004"/>
      <c r="AB13" s="52">
        <v>0</v>
      </c>
      <c r="AC13" s="52">
        <v>-9</v>
      </c>
      <c r="AD13" s="52">
        <f>IFERROR(IF(VLOOKUP($E11,$A$198:$E$205,3,FALSE)&gt;=$H13+AB13,3,IF(VLOOKUP($E11,$A$198:$E$205,4,FALSE)&gt;=$H13+AB13,2,IF(VLOOKUP($E11,$A$198:$E$205,5,FALSE)&gt;=$H13+AB13,1,"NOT MET"))),"")</f>
        <v>3</v>
      </c>
      <c r="AE13" s="52">
        <f>IFERROR(IF(VLOOKUP($E11,$A$198:$E$205,3,FALSE)&gt;=$H13+AC13,3,IF(VLOOKUP($E11,$A$198:$E$205,4,FALSE)&gt;=$H13+AC13,2,IF(VLOOKUP($E11,$A$198:$E$205,5,FALSE)&gt;=$H13+AC13,1,"NOT MET"))),"")</f>
        <v>3</v>
      </c>
      <c r="AF13" s="52" t="str">
        <f t="shared" si="1"/>
        <v>Yes</v>
      </c>
      <c r="AG13" s="52">
        <f t="shared" si="2"/>
        <v>3</v>
      </c>
      <c r="AH13" s="52"/>
    </row>
    <row r="14" spans="1:34" s="51" customFormat="1" ht="20.100000000000001" customHeight="1">
      <c r="B14" s="1007"/>
      <c r="C14" s="1001"/>
      <c r="D14" s="1001"/>
      <c r="E14" s="1001"/>
      <c r="F14" s="157" t="s">
        <v>224</v>
      </c>
      <c r="G14" s="157" t="str">
        <f>IF($AH$5=1,"NA",_xlfn.CONCAT("(",$AH$5," Point",IF($AH$5&gt;1,"s) ",") "),VLOOKUP($E11,$C$264:$F$270,1+$AH$5,FALSE),RIGHT(F14,4)))</f>
        <v>(2 Points) 75 dBC</v>
      </c>
      <c r="H14" s="159">
        <v>49.9</v>
      </c>
      <c r="I14" s="157" t="str">
        <f t="shared" si="0"/>
        <v/>
      </c>
      <c r="J14" s="1002"/>
      <c r="K14" s="1003"/>
      <c r="L14" s="1003"/>
      <c r="N14" s="52"/>
      <c r="O14" s="3" t="str">
        <f>IF($C11&lt;&gt;"","Show","Hide")</f>
        <v>Show</v>
      </c>
      <c r="P14" s="1004"/>
      <c r="AB14" s="52">
        <v>0</v>
      </c>
      <c r="AC14" s="52">
        <v>-9</v>
      </c>
      <c r="AD14" s="52">
        <f>IFERROR(IF(VLOOKUP($E11,$A$208:$E$215,3,FALSE)&gt;=$H14+AB14,3,IF(VLOOKUP($E11,$A$208:$E$215,4,FALSE)&gt;=$H14+AB14,2,IF(VLOOKUP($E11,$A$208:$E$215,5,FALSE)&gt;=$H14+AB14,1,"NOT MET"))),"")</f>
        <v>3</v>
      </c>
      <c r="AE14" s="52">
        <f>IFERROR(IF(VLOOKUP($E11,$A$208:$E$215,3,FALSE)&gt;=$H14+AC14,3,IF(VLOOKUP($E11,$A$208:$E$215,4,FALSE)&gt;=$H14+AC14,2,IF(VLOOKUP($E11,$A$208:$E$215,5,FALSE)&gt;=$H14+AC14,1,"NOT MET"))),"")</f>
        <v>3</v>
      </c>
      <c r="AF14" s="52" t="str">
        <f t="shared" si="1"/>
        <v>Yes</v>
      </c>
      <c r="AG14" s="52">
        <f t="shared" si="2"/>
        <v>3</v>
      </c>
      <c r="AH14" s="52"/>
    </row>
    <row r="15" spans="1:34" s="51" customFormat="1" ht="20.100000000000001" customHeight="1">
      <c r="B15" s="1007"/>
      <c r="C15" s="1001">
        <v>3</v>
      </c>
      <c r="D15" s="1001" t="s">
        <v>703</v>
      </c>
      <c r="E15" s="1001" t="s">
        <v>186</v>
      </c>
      <c r="F15" s="157" t="s">
        <v>227</v>
      </c>
      <c r="G15" s="157" t="str">
        <f>_xlfn.CONCAT("(", $AH$5, " Point", IF($AH$5&gt; 1,"s) ",") "),VLOOKUP($E15,$C$234:$F$241,1+$AH$5,FALSE), RIGHT(F15,4))</f>
        <v>(2 Points) 50 dBA</v>
      </c>
      <c r="H15" s="159">
        <v>42</v>
      </c>
      <c r="I15" s="157" t="str">
        <f t="shared" si="0"/>
        <v/>
      </c>
      <c r="J15" s="1002" t="s">
        <v>1456</v>
      </c>
      <c r="K15" s="1003"/>
      <c r="L15" s="1003"/>
      <c r="N15" s="52"/>
      <c r="O15" s="3" t="str">
        <f>IF($C15&lt;&gt;"","Show","Hide")</f>
        <v>Show</v>
      </c>
      <c r="P15" s="1004"/>
      <c r="AB15" s="52">
        <v>0</v>
      </c>
      <c r="AC15" s="52">
        <v>-4</v>
      </c>
      <c r="AD15" s="52">
        <f>IFERROR(IF(VLOOKUP($E15,$A$178:$E$185,3,FALSE)&gt;=$H15+AB15,3,IF(VLOOKUP($E15,$A$178:$E$185,4,FALSE)&gt;=$H15+AB15,2,IF(VLOOKUP($E15,$A$178:$E$185,5,FALSE)&gt;=$H15+AB15,1,"NOT MET"))),"")</f>
        <v>3</v>
      </c>
      <c r="AE15" s="52">
        <f>IFERROR(IF(VLOOKUP($E15,$A$178:$E$185,3,FALSE)&gt;=$H15+AC15,3,IF(VLOOKUP($E15,$A$178:$E$185,4,FALSE)&gt;=$H15+AC15,2,IF(VLOOKUP($E15,$A$178:$E$185,5,FALSE)&gt;=$H15+AC15,1,"NOT MET"))),"")</f>
        <v>3</v>
      </c>
      <c r="AF15" s="52" t="str">
        <f t="shared" si="1"/>
        <v>No</v>
      </c>
      <c r="AG15" s="52">
        <f t="shared" si="2"/>
        <v>3</v>
      </c>
      <c r="AH15" s="52"/>
    </row>
    <row r="16" spans="1:34" s="51" customFormat="1" ht="20.100000000000001" customHeight="1">
      <c r="B16" s="1007"/>
      <c r="C16" s="1001"/>
      <c r="D16" s="1001"/>
      <c r="E16" s="1001"/>
      <c r="F16" s="157" t="s">
        <v>226</v>
      </c>
      <c r="G16" s="157" t="str">
        <f>_xlfn.CONCAT("(", $AH$5, " Point", IF($AH$5&gt; 1,"s) ",") "),VLOOKUP($E15,$C$244:$F$250,1+$AH$5,FALSE), RIGHT(F16,4))</f>
        <v>(2 Points) 75 dBC</v>
      </c>
      <c r="H16" s="159">
        <v>54.2</v>
      </c>
      <c r="I16" s="157" t="str">
        <f t="shared" si="0"/>
        <v/>
      </c>
      <c r="J16" s="1002"/>
      <c r="K16" s="1003"/>
      <c r="L16" s="1003"/>
      <c r="N16" s="52"/>
      <c r="O16" s="3" t="str">
        <f>IF($C15&lt;&gt;"","Show","Hide")</f>
        <v>Show</v>
      </c>
      <c r="P16" s="1004"/>
      <c r="AB16" s="52">
        <v>0</v>
      </c>
      <c r="AC16" s="52">
        <v>-4</v>
      </c>
      <c r="AD16" s="52">
        <f>IFERROR(IF(VLOOKUP($E15,$A$188:$E$195,3,FALSE)&gt;=$H16+AB16,3,IF(VLOOKUP($E15,$A$188:$E$195,4,FALSE)&gt;=$H16+AB16,2,IF(VLOOKUP($E15,$A$188:$E$195,5,FALSE)&gt;=$H16+AB16,1,"NOT MET"))),"")</f>
        <v>3</v>
      </c>
      <c r="AE16" s="52">
        <f>IFERROR(IF(VLOOKUP($E15,$A$188:$E$195,3,FALSE)&gt;=$H16+AC16,3,IF(VLOOKUP($E15,$A$188:$E$195,4,FALSE)&gt;=$H16+AC16,2,IF(VLOOKUP($E15,$A$188:$E$195,5,FALSE)&gt;=$H16+AC16,1,"NOT MET"))),"")</f>
        <v>3</v>
      </c>
      <c r="AF16" s="52" t="str">
        <f t="shared" si="1"/>
        <v>No</v>
      </c>
      <c r="AG16" s="52">
        <f t="shared" si="2"/>
        <v>3</v>
      </c>
      <c r="AH16" s="52"/>
    </row>
    <row r="17" spans="2:34" s="51" customFormat="1" ht="20.100000000000001" customHeight="1">
      <c r="B17" s="1007"/>
      <c r="C17" s="1001"/>
      <c r="D17" s="1001"/>
      <c r="E17" s="1001"/>
      <c r="F17" s="157" t="s">
        <v>225</v>
      </c>
      <c r="G17" s="157" t="str">
        <f>IF($AH$5=1, "NA",_xlfn.CONCAT("(", $AH$5, " Point", IF($AH$5&gt; 1,"s) ",") "),VLOOKUP($E15,$C$254:$F$260,1+$AH$5,FALSE), RIGHT(F17,4)))</f>
        <v>(2 Points) 60 dBA</v>
      </c>
      <c r="H17" s="159">
        <v>43</v>
      </c>
      <c r="I17" s="157" t="str">
        <f t="shared" si="0"/>
        <v/>
      </c>
      <c r="J17" s="1002"/>
      <c r="K17" s="1003"/>
      <c r="L17" s="1003"/>
      <c r="N17" s="52"/>
      <c r="O17" s="3" t="str">
        <f>IF($C15&lt;&gt;"","Show","Hide")</f>
        <v>Show</v>
      </c>
      <c r="P17" s="1004"/>
      <c r="AB17" s="52">
        <v>0</v>
      </c>
      <c r="AC17" s="52">
        <v>-9</v>
      </c>
      <c r="AD17" s="52">
        <f>IFERROR(IF(VLOOKUP($E15,$A$198:$E$205,3,FALSE)&gt;=$H17+AB17,3,IF(VLOOKUP($E15,$A$198:$E$205,4,FALSE)&gt;=$H17+AB17,2,IF(VLOOKUP($E15,$A$198:$E$205,5,FALSE)&gt;=$H17+AB17,1,"NOT MET"))),"")</f>
        <v>3</v>
      </c>
      <c r="AE17" s="52">
        <f>IFERROR(IF(VLOOKUP($E15,$A$198:$E$205,3,FALSE)&gt;=$H17+AC17,3,IF(VLOOKUP($E15,$A$198:$E$205,4,FALSE)&gt;=$H17+AC17,2,IF(VLOOKUP($E15,$A$198:$E$205,5,FALSE)&gt;=$H17+AC17,1,"NOT MET"))),"")</f>
        <v>3</v>
      </c>
      <c r="AF17" s="52" t="str">
        <f t="shared" si="1"/>
        <v>Yes</v>
      </c>
      <c r="AG17" s="52">
        <f t="shared" si="2"/>
        <v>3</v>
      </c>
      <c r="AH17" s="52"/>
    </row>
    <row r="18" spans="2:34" s="51" customFormat="1" ht="20.100000000000001" customHeight="1">
      <c r="B18" s="1007"/>
      <c r="C18" s="1001"/>
      <c r="D18" s="1001"/>
      <c r="E18" s="1001"/>
      <c r="F18" s="157" t="s">
        <v>224</v>
      </c>
      <c r="G18" s="157" t="str">
        <f>IF($AH$5=1,"NA",_xlfn.CONCAT("(",$AH$5," Point",IF($AH$5&gt;1,"s) ",") "),VLOOKUP($E15,$C$264:$F$270,1+$AH$5,FALSE),RIGHT(F18,4)))</f>
        <v>(2 Points) 85 dBC</v>
      </c>
      <c r="H18" s="159">
        <v>56.9</v>
      </c>
      <c r="I18" s="157" t="str">
        <f t="shared" si="0"/>
        <v/>
      </c>
      <c r="J18" s="1002"/>
      <c r="K18" s="1003"/>
      <c r="L18" s="1003"/>
      <c r="N18" s="52"/>
      <c r="O18" s="3" t="str">
        <f>IF($C15&lt;&gt;"","Show","Hide")</f>
        <v>Show</v>
      </c>
      <c r="P18" s="1004"/>
      <c r="AB18" s="52">
        <v>0</v>
      </c>
      <c r="AC18" s="52">
        <v>-9</v>
      </c>
      <c r="AD18" s="52">
        <f>IFERROR(IF(VLOOKUP($E15,$A$208:$E$215,3,FALSE)&gt;=$H18+AB18,3,IF(VLOOKUP($E15,$A$208:$E$215,4,FALSE)&gt;=$H18+AB18,2,IF(VLOOKUP($E15,$A$208:$E$215,5,FALSE)&gt;=$H18+AB18,1,"NOT MET"))),"")</f>
        <v>3</v>
      </c>
      <c r="AE18" s="52">
        <f>IFERROR(IF(VLOOKUP($E15,$A$208:$E$215,3,FALSE)&gt;=$H18+AC18,3,IF(VLOOKUP($E15,$A$208:$E$215,4,FALSE)&gt;=$H18+AC18,2,IF(VLOOKUP($E15,$A$208:$E$215,5,FALSE)&gt;=$H18+AC18,1,"NOT MET"))),"")</f>
        <v>3</v>
      </c>
      <c r="AF18" s="52" t="str">
        <f t="shared" si="1"/>
        <v>Yes</v>
      </c>
      <c r="AG18" s="52">
        <f t="shared" si="2"/>
        <v>3</v>
      </c>
      <c r="AH18" s="52"/>
    </row>
    <row r="19" spans="2:34" s="51" customFormat="1" ht="20.100000000000001" customHeight="1">
      <c r="B19" s="1007"/>
      <c r="C19" s="1001">
        <v>4</v>
      </c>
      <c r="D19" s="1001" t="s">
        <v>704</v>
      </c>
      <c r="E19" s="1001" t="s">
        <v>182</v>
      </c>
      <c r="F19" s="157" t="s">
        <v>227</v>
      </c>
      <c r="G19" s="157" t="str">
        <f>_xlfn.CONCAT("(", $AH$5, " Point", IF($AH$5&gt; 1,"s) ",") "),VLOOKUP($E19,$C$234:$F$241,1+$AH$5,FALSE), RIGHT(F19,4))</f>
        <v>(2 Points) 40 dBA</v>
      </c>
      <c r="H19" s="159">
        <v>42.6</v>
      </c>
      <c r="I19" s="157" t="str">
        <f t="shared" si="0"/>
        <v>4 dB</v>
      </c>
      <c r="J19" s="1002" t="s">
        <v>1456</v>
      </c>
      <c r="K19" s="1003"/>
      <c r="L19" s="1003"/>
      <c r="N19" s="52"/>
      <c r="O19" s="3" t="str">
        <f>IF($C19&lt;&gt;"","Show","Hide")</f>
        <v>Show</v>
      </c>
      <c r="P19" s="1004"/>
      <c r="AB19" s="52">
        <v>0</v>
      </c>
      <c r="AC19" s="52">
        <v>-4</v>
      </c>
      <c r="AD19" s="52">
        <f>IFERROR(IF(VLOOKUP($E19,$A$178:$E$185,3,FALSE)&gt;=$H19+AB19,3,IF(VLOOKUP($E19,$A$178:$E$185,4,FALSE)&gt;=$H19+AB19,2,IF(VLOOKUP($E19,$A$178:$E$185,5,FALSE)&gt;=$H19+AB19,1,"NOT MET"))),"")</f>
        <v>1</v>
      </c>
      <c r="AE19" s="52">
        <f>IFERROR(IF(VLOOKUP($E19,$A$178:$E$185,3,FALSE)&gt;=$H19+AC19,3,IF(VLOOKUP($E19,$A$178:$E$185,4,FALSE)&gt;=$H19+AC19,2,IF(VLOOKUP($E19,$A$178:$E$185,5,FALSE)&gt;=$H19+AC19,1,"NOT MET"))),"")</f>
        <v>2</v>
      </c>
      <c r="AF19" s="52" t="str">
        <f t="shared" si="1"/>
        <v>No</v>
      </c>
      <c r="AG19" s="52">
        <f t="shared" si="2"/>
        <v>2</v>
      </c>
      <c r="AH19" s="52"/>
    </row>
    <row r="20" spans="2:34" s="51" customFormat="1" ht="20.100000000000001" customHeight="1">
      <c r="B20" s="1007"/>
      <c r="C20" s="1001"/>
      <c r="D20" s="1001"/>
      <c r="E20" s="1001"/>
      <c r="F20" s="157" t="s">
        <v>226</v>
      </c>
      <c r="G20" s="157" t="str">
        <f>_xlfn.CONCAT("(", $AH$5, " Point", IF($AH$5&gt; 1,"s) ",") "),VLOOKUP($E19,$C$244:$F$250,1+$AH$5,FALSE), RIGHT(F20,4))</f>
        <v>(2 Points) 65 dBC</v>
      </c>
      <c r="H20" s="159">
        <v>52.1</v>
      </c>
      <c r="I20" s="157" t="str">
        <f t="shared" si="0"/>
        <v/>
      </c>
      <c r="J20" s="1002"/>
      <c r="K20" s="1003"/>
      <c r="L20" s="1003"/>
      <c r="N20" s="52"/>
      <c r="O20" s="3" t="str">
        <f>IF($C19&lt;&gt;"","Show","Hide")</f>
        <v>Show</v>
      </c>
      <c r="P20" s="1004"/>
      <c r="AB20" s="52">
        <v>0</v>
      </c>
      <c r="AC20" s="52">
        <v>-4</v>
      </c>
      <c r="AD20" s="52">
        <f>IFERROR(IF(VLOOKUP($E19,$A$188:$E$195,3,FALSE)&gt;=$H20+AB20,3,IF(VLOOKUP($E19,$A$188:$E$195,4,FALSE)&gt;=$H20+AB20,2,IF(VLOOKUP($E19,$A$188:$E$195,5,FALSE)&gt;=$H20+AB20,1,"NOT MET"))),"")</f>
        <v>3</v>
      </c>
      <c r="AE20" s="52">
        <f>IFERROR(IF(VLOOKUP($E19,$A$188:$E$195,3,FALSE)&gt;=$H20+AC20,3,IF(VLOOKUP($E19,$A$188:$E$195,4,FALSE)&gt;=$H20+AC20,2,IF(VLOOKUP($E19,$A$188:$E$195,5,FALSE)&gt;=$H20+AC20,1,"NOT MET"))),"")</f>
        <v>3</v>
      </c>
      <c r="AF20" s="52" t="str">
        <f t="shared" si="1"/>
        <v>No</v>
      </c>
      <c r="AG20" s="52">
        <f t="shared" si="2"/>
        <v>3</v>
      </c>
      <c r="AH20" s="52"/>
    </row>
    <row r="21" spans="2:34" s="51" customFormat="1" ht="20.100000000000001" customHeight="1">
      <c r="B21" s="1007"/>
      <c r="C21" s="1001"/>
      <c r="D21" s="1001"/>
      <c r="E21" s="1001"/>
      <c r="F21" s="157" t="s">
        <v>225</v>
      </c>
      <c r="G21" s="157" t="str">
        <f>IF($AH$5=1, "NA",_xlfn.CONCAT("(", $AH$5, " Point", IF($AH$5&gt; 1,"s) ",") "),VLOOKUP($E19,$C$254:$F$260,1+$AH$5,FALSE), RIGHT(F21,4)))</f>
        <v>(2 Points) 50 dBA</v>
      </c>
      <c r="H21" s="159">
        <v>43</v>
      </c>
      <c r="I21" s="157" t="str">
        <f t="shared" si="0"/>
        <v/>
      </c>
      <c r="J21" s="1002"/>
      <c r="K21" s="1003"/>
      <c r="L21" s="1003"/>
      <c r="N21" s="52"/>
      <c r="O21" s="3" t="str">
        <f>IF($C19&lt;&gt;"","Show","Hide")</f>
        <v>Show</v>
      </c>
      <c r="P21" s="1004"/>
      <c r="AB21" s="52">
        <v>0</v>
      </c>
      <c r="AC21" s="52">
        <v>-9</v>
      </c>
      <c r="AD21" s="52">
        <f>IFERROR(IF(VLOOKUP($E19,$A$198:$E$205,3,FALSE)&gt;=$H21+AB21,3,IF(VLOOKUP($E19,$A$198:$E$205,4,FALSE)&gt;=$H21+AB21,2,IF(VLOOKUP($E19,$A$198:$E$205,5,FALSE)&gt;=$H21+AB21,1,"NOT MET"))),"")</f>
        <v>3</v>
      </c>
      <c r="AE21" s="52">
        <f>IFERROR(IF(VLOOKUP($E19,$A$198:$E$205,3,FALSE)&gt;=$H21+AC21,3,IF(VLOOKUP($E19,$A$198:$E$205,4,FALSE)&gt;=$H21+AC21,2,IF(VLOOKUP($E19,$A$198:$E$205,5,FALSE)&gt;=$H21+AC21,1,"NOT MET"))),"")</f>
        <v>3</v>
      </c>
      <c r="AF21" s="52" t="str">
        <f t="shared" si="1"/>
        <v>Yes</v>
      </c>
      <c r="AG21" s="52">
        <f t="shared" si="2"/>
        <v>3</v>
      </c>
      <c r="AH21" s="52"/>
    </row>
    <row r="22" spans="2:34" s="51" customFormat="1" ht="20.100000000000001" customHeight="1">
      <c r="B22" s="1007"/>
      <c r="C22" s="1001"/>
      <c r="D22" s="1001"/>
      <c r="E22" s="1001"/>
      <c r="F22" s="157" t="s">
        <v>224</v>
      </c>
      <c r="G22" s="157" t="str">
        <f>IF($AH$5=1,"NA",_xlfn.CONCAT("(",$AH$5," Point",IF($AH$5&gt;1,"s) ",") "),VLOOKUP($E19,$C$264:$F$270,1+$AH$5,FALSE),RIGHT(F22,4)))</f>
        <v>(2 Points) 75 dBC</v>
      </c>
      <c r="H22" s="159">
        <v>53.6</v>
      </c>
      <c r="I22" s="157" t="str">
        <f t="shared" si="0"/>
        <v/>
      </c>
      <c r="J22" s="1002"/>
      <c r="K22" s="1003"/>
      <c r="L22" s="1003"/>
      <c r="N22" s="52"/>
      <c r="O22" s="3" t="str">
        <f>IF($C19&lt;&gt;"","Show","Hide")</f>
        <v>Show</v>
      </c>
      <c r="P22" s="1004"/>
      <c r="AB22" s="52">
        <v>0</v>
      </c>
      <c r="AC22" s="52">
        <v>-9</v>
      </c>
      <c r="AD22" s="52">
        <f>IFERROR(IF(VLOOKUP($E19,$A$208:$E$215,3,FALSE)&gt;=$H22+AB22,3,IF(VLOOKUP($E19,$A$208:$E$215,4,FALSE)&gt;=$H22+AB22,2,IF(VLOOKUP($E19,$A$208:$E$215,5,FALSE)&gt;=$H22+AB22,1,"NOT MET"))),"")</f>
        <v>3</v>
      </c>
      <c r="AE22" s="52">
        <f>IFERROR(IF(VLOOKUP($E19,$A$208:$E$215,3,FALSE)&gt;=$H22+AC22,3,IF(VLOOKUP($E19,$A$208:$E$215,4,FALSE)&gt;=$H22+AC22,2,IF(VLOOKUP($E19,$A$208:$E$215,5,FALSE)&gt;=$H22+AC22,1,"NOT MET"))),"")</f>
        <v>3</v>
      </c>
      <c r="AF22" s="52" t="str">
        <f t="shared" si="1"/>
        <v>Yes</v>
      </c>
      <c r="AG22" s="52">
        <f t="shared" si="2"/>
        <v>3</v>
      </c>
      <c r="AH22" s="52"/>
    </row>
    <row r="23" spans="2:34" s="51" customFormat="1" ht="20.100000000000001" customHeight="1">
      <c r="B23" s="1007"/>
      <c r="C23" s="1001">
        <v>5</v>
      </c>
      <c r="D23" s="1001" t="s">
        <v>705</v>
      </c>
      <c r="E23" s="1001" t="s">
        <v>185</v>
      </c>
      <c r="F23" s="157" t="s">
        <v>227</v>
      </c>
      <c r="G23" s="157" t="str">
        <f>_xlfn.CONCAT("(", $AH$5, " Point", IF($AH$5&gt; 1,"s) ",") "),VLOOKUP($E23,$C$234:$F$241,1+$AH$5,FALSE), RIGHT(F23,4))</f>
        <v>(2 Points) 45 dBA</v>
      </c>
      <c r="H23" s="159">
        <v>39</v>
      </c>
      <c r="I23" s="157" t="str">
        <f t="shared" si="0"/>
        <v/>
      </c>
      <c r="J23" s="1002" t="s">
        <v>1456</v>
      </c>
      <c r="K23" s="1003"/>
      <c r="L23" s="1003"/>
      <c r="N23" s="52"/>
      <c r="O23" s="3" t="str">
        <f>IF($C23&lt;&gt;"","Show","Hide")</f>
        <v>Show</v>
      </c>
      <c r="P23" s="1004"/>
      <c r="AB23" s="52">
        <v>0</v>
      </c>
      <c r="AC23" s="52">
        <v>-4</v>
      </c>
      <c r="AD23" s="52">
        <f>IFERROR(IF(VLOOKUP($E23,$A$178:$E$185,3,FALSE)&gt;=$H23+AB23,3,IF(VLOOKUP($E23,$A$178:$E$185,4,FALSE)&gt;=$H23+AB23,2,IF(VLOOKUP($E23,$A$178:$E$185,5,FALSE)&gt;=$H23+AB23,1,"NOT MET"))),"")</f>
        <v>3</v>
      </c>
      <c r="AE23" s="52">
        <f>IFERROR(IF(VLOOKUP($E23,$A$178:$E$185,3,FALSE)&gt;=$H23+AC23,3,IF(VLOOKUP($E23,$A$178:$E$185,4,FALSE)&gt;=$H23+AC23,2,IF(VLOOKUP($E23,$A$178:$E$185,5,FALSE)&gt;=$H23+AC23,1,"NOT MET"))),"")</f>
        <v>3</v>
      </c>
      <c r="AF23" s="52" t="str">
        <f t="shared" si="1"/>
        <v>No</v>
      </c>
      <c r="AG23" s="52">
        <f t="shared" si="2"/>
        <v>3</v>
      </c>
      <c r="AH23" s="52"/>
    </row>
    <row r="24" spans="2:34" s="51" customFormat="1" ht="20.100000000000001" customHeight="1">
      <c r="B24" s="1007"/>
      <c r="C24" s="1001"/>
      <c r="D24" s="1001"/>
      <c r="E24" s="1001"/>
      <c r="F24" s="157" t="s">
        <v>226</v>
      </c>
      <c r="G24" s="157" t="str">
        <f>_xlfn.CONCAT("(", $AH$5, " Point", IF($AH$5&gt; 1,"s) ",") "),VLOOKUP($E23,$C$244:$F$250,1+$AH$5,FALSE), RIGHT(F24,4))</f>
        <v>(2 Points) 70 dBC</v>
      </c>
      <c r="H24" s="159">
        <v>51.9</v>
      </c>
      <c r="I24" s="157" t="str">
        <f t="shared" si="0"/>
        <v/>
      </c>
      <c r="J24" s="1002"/>
      <c r="K24" s="1003"/>
      <c r="L24" s="1003"/>
      <c r="N24" s="52"/>
      <c r="O24" s="3" t="str">
        <f>IF($C23&lt;&gt;"","Show","Hide")</f>
        <v>Show</v>
      </c>
      <c r="AB24" s="52">
        <v>0</v>
      </c>
      <c r="AC24" s="52">
        <v>-4</v>
      </c>
      <c r="AD24" s="52">
        <f>IFERROR(IF(VLOOKUP($E23,$A$188:$E$195,3,FALSE)&gt;=$H24+AB24,3,IF(VLOOKUP($E23,$A$188:$E$195,4,FALSE)&gt;=$H24+AB24,2,IF(VLOOKUP($E23,$A$188:$E$195,5,FALSE)&gt;=$H24+AB24,1,"NOT MET"))),"")</f>
        <v>3</v>
      </c>
      <c r="AE24" s="52">
        <f>IFERROR(IF(VLOOKUP($E23,$A$188:$E$195,3,FALSE)&gt;=$H24+AC24,3,IF(VLOOKUP($E23,$A$188:$E$195,4,FALSE)&gt;=$H24+AC24,2,IF(VLOOKUP($E23,$A$188:$E$195,5,FALSE)&gt;=$H24+AC24,1,"NOT MET"))),"")</f>
        <v>3</v>
      </c>
      <c r="AF24" s="52" t="str">
        <f t="shared" si="1"/>
        <v>No</v>
      </c>
      <c r="AG24" s="52">
        <f t="shared" si="2"/>
        <v>3</v>
      </c>
      <c r="AH24" s="52"/>
    </row>
    <row r="25" spans="2:34" s="51" customFormat="1" ht="20.100000000000001" customHeight="1">
      <c r="B25" s="1007"/>
      <c r="C25" s="1001"/>
      <c r="D25" s="1001"/>
      <c r="E25" s="1001"/>
      <c r="F25" s="157" t="s">
        <v>225</v>
      </c>
      <c r="G25" s="157" t="str">
        <f>IF($AH$5=1, "NA",_xlfn.CONCAT("(", $AH$5, " Point", IF($AH$5&gt; 1,"s) ",") "),VLOOKUP($E23,$C$254:$F$260,1+$AH$5,FALSE), RIGHT(F25,4)))</f>
        <v>(2 Points) 55 dBA</v>
      </c>
      <c r="H25" s="159">
        <v>40.200000000000003</v>
      </c>
      <c r="I25" s="157" t="str">
        <f t="shared" si="0"/>
        <v/>
      </c>
      <c r="J25" s="1002"/>
      <c r="K25" s="1003"/>
      <c r="L25" s="1003"/>
      <c r="N25" s="52"/>
      <c r="O25" s="3" t="str">
        <f>IF($C23&lt;&gt;"","Show","Hide")</f>
        <v>Show</v>
      </c>
      <c r="AB25" s="52">
        <v>0</v>
      </c>
      <c r="AC25" s="52">
        <v>-9</v>
      </c>
      <c r="AD25" s="52">
        <f>IFERROR(IF(VLOOKUP($E23,$A$198:$E$205,3,FALSE)&gt;=$H25+AB25,3,IF(VLOOKUP($E23,$A$198:$E$205,4,FALSE)&gt;=$H25+AB25,2,IF(VLOOKUP($E23,$A$198:$E$205,5,FALSE)&gt;=$H25+AB25,1,"NOT MET"))),"")</f>
        <v>3</v>
      </c>
      <c r="AE25" s="52">
        <f>IFERROR(IF(VLOOKUP($E23,$A$198:$E$205,3,FALSE)&gt;=$H25+AC25,3,IF(VLOOKUP($E23,$A$198:$E$205,4,FALSE)&gt;=$H25+AC25,2,IF(VLOOKUP($E23,$A$198:$E$205,5,FALSE)&gt;=$H25+AC25,1,"NOT MET"))),"")</f>
        <v>3</v>
      </c>
      <c r="AF25" s="52" t="str">
        <f t="shared" si="1"/>
        <v>Yes</v>
      </c>
      <c r="AG25" s="52">
        <f t="shared" si="2"/>
        <v>3</v>
      </c>
      <c r="AH25" s="52"/>
    </row>
    <row r="26" spans="2:34" s="51" customFormat="1" ht="20.100000000000001" customHeight="1">
      <c r="B26" s="1007"/>
      <c r="C26" s="1001"/>
      <c r="D26" s="1001"/>
      <c r="E26" s="1001"/>
      <c r="F26" s="157" t="s">
        <v>224</v>
      </c>
      <c r="G26" s="157" t="str">
        <f>IF($AH$5=1,"NA",_xlfn.CONCAT("(",$AH$5," Point",IF($AH$5&gt;1,"s) ",") "),VLOOKUP($E23,$C$264:$F$270,1+$AH$5,FALSE),RIGHT(F26,4)))</f>
        <v>(2 Points) 80 dBC</v>
      </c>
      <c r="H26" s="159">
        <v>57.3</v>
      </c>
      <c r="I26" s="157" t="str">
        <f t="shared" si="0"/>
        <v/>
      </c>
      <c r="J26" s="1002"/>
      <c r="K26" s="1003"/>
      <c r="L26" s="1003"/>
      <c r="N26" s="52"/>
      <c r="O26" s="3" t="str">
        <f>IF($C23&lt;&gt;"","Show","Hide")</f>
        <v>Show</v>
      </c>
      <c r="AB26" s="52">
        <v>0</v>
      </c>
      <c r="AC26" s="52">
        <v>-9</v>
      </c>
      <c r="AD26" s="52">
        <f>IFERROR(IF(VLOOKUP($E23,$A$208:$E$215,3,FALSE)&gt;=$H26+AB26,3,IF(VLOOKUP($E23,$A$208:$E$215,4,FALSE)&gt;=$H26+AB26,2,IF(VLOOKUP($E23,$A$208:$E$215,5,FALSE)&gt;=$H26+AB26,1,"NOT MET"))),"")</f>
        <v>3</v>
      </c>
      <c r="AE26" s="52">
        <f>IFERROR(IF(VLOOKUP($E23,$A$208:$E$215,3,FALSE)&gt;=$H26+AC26,3,IF(VLOOKUP($E23,$A$208:$E$215,4,FALSE)&gt;=$H26+AC26,2,IF(VLOOKUP($E23,$A$208:$E$215,5,FALSE)&gt;=$H26+AC26,1,"NOT MET"))),"")</f>
        <v>3</v>
      </c>
      <c r="AF26" s="52" t="str">
        <f t="shared" si="1"/>
        <v>Yes</v>
      </c>
      <c r="AG26" s="52">
        <f t="shared" si="2"/>
        <v>3</v>
      </c>
      <c r="AH26" s="52"/>
    </row>
    <row r="27" spans="2:34" s="51" customFormat="1" ht="20.100000000000001" customHeight="1">
      <c r="B27" s="1007"/>
      <c r="C27" s="1001">
        <v>6</v>
      </c>
      <c r="D27" s="1001" t="s">
        <v>706</v>
      </c>
      <c r="E27" s="1001" t="s">
        <v>183</v>
      </c>
      <c r="F27" s="157" t="s">
        <v>227</v>
      </c>
      <c r="G27" s="157" t="str">
        <f>_xlfn.CONCAT("(", $AH$5, " Point", IF($AH$5&gt; 1,"s) ",") "),VLOOKUP($E27,$C$234:$F$241,1+$AH$5,FALSE), RIGHT(F27,4))</f>
        <v>(2 Points) 40 dBA</v>
      </c>
      <c r="H27" s="159">
        <v>31.1</v>
      </c>
      <c r="I27" s="157" t="str">
        <f t="shared" si="0"/>
        <v/>
      </c>
      <c r="J27" s="1002" t="s">
        <v>1456</v>
      </c>
      <c r="K27" s="1003"/>
      <c r="L27" s="1003"/>
      <c r="N27" s="52"/>
      <c r="O27" s="3" t="str">
        <f>IF($C27&lt;&gt;"","Show","Hide")</f>
        <v>Show</v>
      </c>
      <c r="AB27" s="52">
        <v>0</v>
      </c>
      <c r="AC27" s="52">
        <v>-4</v>
      </c>
      <c r="AD27" s="52">
        <f>IFERROR(IF(VLOOKUP($E27,$A$178:$E$185,3,FALSE)&gt;=$H27+AB27,3,IF(VLOOKUP($E27,$A$178:$E$185,4,FALSE)&gt;=$H27+AB27,2,IF(VLOOKUP($E27,$A$178:$E$185,5,FALSE)&gt;=$H27+AB27,1,"NOT MET"))),"")</f>
        <v>3</v>
      </c>
      <c r="AE27" s="52">
        <f>IFERROR(IF(VLOOKUP($E27,$A$178:$E$185,3,FALSE)&gt;=$H27+AC27,3,IF(VLOOKUP($E27,$A$178:$E$185,4,FALSE)&gt;=$H27+AC27,2,IF(VLOOKUP($E27,$A$178:$E$185,5,FALSE)&gt;=$H27+AC27,1,"NOT MET"))),"")</f>
        <v>3</v>
      </c>
      <c r="AF27" s="52" t="str">
        <f t="shared" si="1"/>
        <v>No</v>
      </c>
      <c r="AG27" s="52">
        <f t="shared" si="2"/>
        <v>3</v>
      </c>
      <c r="AH27" s="52"/>
    </row>
    <row r="28" spans="2:34" s="51" customFormat="1" ht="20.100000000000001" customHeight="1">
      <c r="B28" s="1007"/>
      <c r="C28" s="1001"/>
      <c r="D28" s="1001"/>
      <c r="E28" s="1001"/>
      <c r="F28" s="157" t="s">
        <v>226</v>
      </c>
      <c r="G28" s="157" t="str">
        <f>_xlfn.CONCAT("(", $AH$5, " Point", IF($AH$5&gt; 1,"s) ",") "),VLOOKUP($E27,$C$244:$F$250,1+$AH$5,FALSE), RIGHT(F28,4))</f>
        <v>(2 Points) 65 dBC</v>
      </c>
      <c r="H28" s="159">
        <v>47.4</v>
      </c>
      <c r="I28" s="157" t="str">
        <f t="shared" si="0"/>
        <v/>
      </c>
      <c r="J28" s="1002"/>
      <c r="K28" s="1003"/>
      <c r="L28" s="1003"/>
      <c r="N28" s="52"/>
      <c r="O28" s="3" t="str">
        <f>IF($C27&lt;&gt;"","Show","Hide")</f>
        <v>Show</v>
      </c>
      <c r="AB28" s="52">
        <v>0</v>
      </c>
      <c r="AC28" s="52">
        <v>-4</v>
      </c>
      <c r="AD28" s="52">
        <f>IFERROR(IF(VLOOKUP($E27,$A$188:$E$195,3,FALSE)&gt;=$H28+AB28,3,IF(VLOOKUP($E27,$A$188:$E$195,4,FALSE)&gt;=$H28+AB28,2,IF(VLOOKUP($E27,$A$188:$E$195,5,FALSE)&gt;=$H28+AB28,1,"NOT MET"))),"")</f>
        <v>3</v>
      </c>
      <c r="AE28" s="52">
        <f>IFERROR(IF(VLOOKUP($E27,$A$188:$E$195,3,FALSE)&gt;=$H28+AC28,3,IF(VLOOKUP($E27,$A$188:$E$195,4,FALSE)&gt;=$H28+AC28,2,IF(VLOOKUP($E27,$A$188:$E$195,5,FALSE)&gt;=$H28+AC28,1,"NOT MET"))),"")</f>
        <v>3</v>
      </c>
      <c r="AF28" s="52" t="str">
        <f t="shared" si="1"/>
        <v>No</v>
      </c>
      <c r="AG28" s="52">
        <f t="shared" si="2"/>
        <v>3</v>
      </c>
      <c r="AH28" s="52"/>
    </row>
    <row r="29" spans="2:34" s="51" customFormat="1" ht="20.100000000000001" customHeight="1">
      <c r="B29" s="1007"/>
      <c r="C29" s="1001"/>
      <c r="D29" s="1001"/>
      <c r="E29" s="1001"/>
      <c r="F29" s="157" t="s">
        <v>225</v>
      </c>
      <c r="G29" s="157" t="str">
        <f>IF($AH$5=1, "NA",_xlfn.CONCAT("(", $AH$5, " Point", IF($AH$5&gt; 1,"s) ",") "),VLOOKUP($E27,$C$254:$F$260,1+$AH$5,FALSE), RIGHT(F29,4)))</f>
        <v>(2 Points) 50 dBA</v>
      </c>
      <c r="H29" s="159">
        <v>34</v>
      </c>
      <c r="I29" s="157" t="str">
        <f t="shared" si="0"/>
        <v/>
      </c>
      <c r="J29" s="1002"/>
      <c r="K29" s="1003"/>
      <c r="L29" s="1003"/>
      <c r="N29" s="52"/>
      <c r="O29" s="3" t="str">
        <f>IF($C27&lt;&gt;"","Show","Hide")</f>
        <v>Show</v>
      </c>
      <c r="AB29" s="52">
        <v>0</v>
      </c>
      <c r="AC29" s="52">
        <v>-9</v>
      </c>
      <c r="AD29" s="52">
        <f>IFERROR(IF(VLOOKUP($E27,$A$198:$E$205,3,FALSE)&gt;=$H29+AB29,3,IF(VLOOKUP($E27,$A$198:$E$205,4,FALSE)&gt;=$H29+AB29,2,IF(VLOOKUP($E27,$A$198:$E$205,5,FALSE)&gt;=$H29+AB29,1,"NOT MET"))),"")</f>
        <v>3</v>
      </c>
      <c r="AE29" s="52">
        <f>IFERROR(IF(VLOOKUP($E27,$A$198:$E$205,3,FALSE)&gt;=$H29+AC29,3,IF(VLOOKUP($E27,$A$198:$E$205,4,FALSE)&gt;=$H29+AC29,2,IF(VLOOKUP($E27,$A$198:$E$205,5,FALSE)&gt;=$H29+AC29,1,"NOT MET"))),"")</f>
        <v>3</v>
      </c>
      <c r="AF29" s="52" t="str">
        <f t="shared" si="1"/>
        <v>Yes</v>
      </c>
      <c r="AG29" s="52">
        <f t="shared" si="2"/>
        <v>3</v>
      </c>
      <c r="AH29" s="52"/>
    </row>
    <row r="30" spans="2:34" s="51" customFormat="1" ht="20.100000000000001" customHeight="1">
      <c r="B30" s="1007"/>
      <c r="C30" s="1001"/>
      <c r="D30" s="1001"/>
      <c r="E30" s="1001"/>
      <c r="F30" s="157" t="s">
        <v>224</v>
      </c>
      <c r="G30" s="157" t="str">
        <f>IF($AH$5=1,"NA",_xlfn.CONCAT("(",$AH$5," Point",IF($AH$5&gt;1,"s) ",") "),VLOOKUP($E27,$C$264:$F$270,1+$AH$5,FALSE),RIGHT(F30,4)))</f>
        <v>(2 Points) 75 dBC</v>
      </c>
      <c r="H30" s="159">
        <v>52.9</v>
      </c>
      <c r="I30" s="157" t="str">
        <f t="shared" si="0"/>
        <v/>
      </c>
      <c r="J30" s="1002"/>
      <c r="K30" s="1003"/>
      <c r="L30" s="1003"/>
      <c r="N30" s="52"/>
      <c r="O30" s="3" t="str">
        <f>IF($C27&lt;&gt;"","Show","Hide")</f>
        <v>Show</v>
      </c>
      <c r="AB30" s="52">
        <v>0</v>
      </c>
      <c r="AC30" s="52">
        <v>-9</v>
      </c>
      <c r="AD30" s="52">
        <f>IFERROR(IF(VLOOKUP($E27,$A$208:$E$215,3,FALSE)&gt;=$H30+AB30,3,IF(VLOOKUP($E27,$A$208:$E$215,4,FALSE)&gt;=$H30+AB30,2,IF(VLOOKUP($E27,$A$208:$E$215,5,FALSE)&gt;=$H30+AB30,1,"NOT MET"))),"")</f>
        <v>3</v>
      </c>
      <c r="AE30" s="52">
        <f>IFERROR(IF(VLOOKUP($E27,$A$208:$E$215,3,FALSE)&gt;=$H30+AC30,3,IF(VLOOKUP($E27,$A$208:$E$215,4,FALSE)&gt;=$H30+AC30,2,IF(VLOOKUP($E27,$A$208:$E$215,5,FALSE)&gt;=$H30+AC30,1,"NOT MET"))),"")</f>
        <v>3</v>
      </c>
      <c r="AF30" s="52" t="str">
        <f t="shared" si="1"/>
        <v>Yes</v>
      </c>
      <c r="AG30" s="52">
        <f t="shared" si="2"/>
        <v>3</v>
      </c>
      <c r="AH30" s="52"/>
    </row>
    <row r="31" spans="2:34" s="51" customFormat="1" ht="20.100000000000001" customHeight="1">
      <c r="B31" s="1007"/>
      <c r="C31" s="1001">
        <v>7</v>
      </c>
      <c r="D31" s="1001" t="s">
        <v>707</v>
      </c>
      <c r="E31" s="1001" t="s">
        <v>187</v>
      </c>
      <c r="F31" s="157" t="s">
        <v>227</v>
      </c>
      <c r="G31" s="157" t="str">
        <f>_xlfn.CONCAT("(", $AH$5, " Point", IF($AH$5&gt; 1,"s) ",") "),VLOOKUP($E31,$C$234:$F$241,1+$AH$5,FALSE), RIGHT(F31,4))</f>
        <v>(2 Points) 50 dBA</v>
      </c>
      <c r="H31" s="158">
        <v>40.299999999999997</v>
      </c>
      <c r="I31" s="157" t="str">
        <f t="shared" si="0"/>
        <v/>
      </c>
      <c r="J31" s="1002" t="s">
        <v>1456</v>
      </c>
      <c r="K31" s="1003"/>
      <c r="L31" s="1003"/>
      <c r="N31" s="52"/>
      <c r="O31" s="3" t="str">
        <f>IF($C31&lt;&gt;"","Show","Hide")</f>
        <v>Show</v>
      </c>
      <c r="AB31" s="52">
        <v>0</v>
      </c>
      <c r="AC31" s="52">
        <v>-4</v>
      </c>
      <c r="AD31" s="52">
        <f>IFERROR(IF(VLOOKUP($E31,$A$178:$E$185,3,FALSE)&gt;=$H31+AB31,3,IF(VLOOKUP($E31,$A$178:$E$185,4,FALSE)&gt;=$H31+AB31,2,IF(VLOOKUP($E31,$A$178:$E$185,5,FALSE)&gt;=$H31+AB31,1,"NOT MET"))),"")</f>
        <v>3</v>
      </c>
      <c r="AE31" s="52">
        <f>IFERROR(IF(VLOOKUP($E31,$A$178:$E$185,3,FALSE)&gt;=$H31+AC31,3,IF(VLOOKUP($E31,$A$178:$E$185,4,FALSE)&gt;=$H31+AC31,2,IF(VLOOKUP($E31,$A$178:$E$185,5,FALSE)&gt;=$H31+AC31,1,"NOT MET"))),"")</f>
        <v>3</v>
      </c>
      <c r="AF31" s="52" t="str">
        <f t="shared" si="1"/>
        <v>No</v>
      </c>
      <c r="AG31" s="52">
        <f t="shared" si="2"/>
        <v>3</v>
      </c>
      <c r="AH31" s="52"/>
    </row>
    <row r="32" spans="2:34" s="51" customFormat="1" ht="20.100000000000001" customHeight="1">
      <c r="B32" s="1007"/>
      <c r="C32" s="1001"/>
      <c r="D32" s="1001"/>
      <c r="E32" s="1001"/>
      <c r="F32" s="157" t="s">
        <v>226</v>
      </c>
      <c r="G32" s="157" t="str">
        <f>_xlfn.CONCAT("(", $AH$5, " Point", IF($AH$5&gt; 1,"s) ",") "),VLOOKUP($E31,$C$244:$F$250,1+$AH$5,FALSE), RIGHT(F32,4))</f>
        <v>(2 Points) 75 dBC</v>
      </c>
      <c r="H32" s="158">
        <v>53.9</v>
      </c>
      <c r="I32" s="157" t="str">
        <f t="shared" si="0"/>
        <v/>
      </c>
      <c r="J32" s="1002"/>
      <c r="K32" s="1003"/>
      <c r="L32" s="1003"/>
      <c r="N32" s="52"/>
      <c r="O32" s="3" t="str">
        <f>IF($C31&lt;&gt;"","Show","Hide")</f>
        <v>Show</v>
      </c>
      <c r="AB32" s="52">
        <v>0</v>
      </c>
      <c r="AC32" s="52">
        <v>-4</v>
      </c>
      <c r="AD32" s="52">
        <f>IFERROR(IF(VLOOKUP($E31,$A$188:$E$195,3,FALSE)&gt;=$H32+AB32,3,IF(VLOOKUP($E31,$A$188:$E$195,4,FALSE)&gt;=$H32+AB32,2,IF(VLOOKUP($E31,$A$188:$E$195,5,FALSE)&gt;=$H32+AB32,1,"NOT MET"))),"")</f>
        <v>3</v>
      </c>
      <c r="AE32" s="52">
        <f>IFERROR(IF(VLOOKUP($E31,$A$188:$E$195,3,FALSE)&gt;=$H32+AC32,3,IF(VLOOKUP($E31,$A$188:$E$195,4,FALSE)&gt;=$H32+AC32,2,IF(VLOOKUP($E31,$A$188:$E$195,5,FALSE)&gt;=$H32+AC32,1,"NOT MET"))),"")</f>
        <v>3</v>
      </c>
      <c r="AF32" s="52" t="str">
        <f t="shared" si="1"/>
        <v>No</v>
      </c>
      <c r="AG32" s="52">
        <f t="shared" si="2"/>
        <v>3</v>
      </c>
      <c r="AH32" s="52"/>
    </row>
    <row r="33" spans="2:34" s="51" customFormat="1" ht="20.100000000000001" customHeight="1">
      <c r="B33" s="1007"/>
      <c r="C33" s="1001"/>
      <c r="D33" s="1001"/>
      <c r="E33" s="1001"/>
      <c r="F33" s="157" t="s">
        <v>225</v>
      </c>
      <c r="G33" s="157" t="str">
        <f>IF($AH$5=1, "NA",_xlfn.CONCAT("(", $AH$5, " Point", IF($AH$5&gt; 1,"s) ",") "),VLOOKUP($E31,$C$254:$F$260,1+$AH$5,FALSE), RIGHT(F33,4)))</f>
        <v>(2 Points) 60 dBA</v>
      </c>
      <c r="H33" s="158">
        <v>42.1</v>
      </c>
      <c r="I33" s="157" t="str">
        <f t="shared" si="0"/>
        <v/>
      </c>
      <c r="J33" s="1002"/>
      <c r="K33" s="1003"/>
      <c r="L33" s="1003"/>
      <c r="N33" s="52"/>
      <c r="O33" s="3" t="str">
        <f>IF($C31&lt;&gt;"","Show","Hide")</f>
        <v>Show</v>
      </c>
      <c r="AB33" s="52">
        <v>0</v>
      </c>
      <c r="AC33" s="52">
        <v>-9</v>
      </c>
      <c r="AD33" s="52">
        <f>IFERROR(IF(VLOOKUP($E31,$A$198:$E$205,3,FALSE)&gt;=$H33+AB33,3,IF(VLOOKUP($E31,$A$198:$E$205,4,FALSE)&gt;=$H33+AB33,2,IF(VLOOKUP($E31,$A$198:$E$205,5,FALSE)&gt;=$H33+AB33,1,"NOT MET"))),"")</f>
        <v>3</v>
      </c>
      <c r="AE33" s="52">
        <f>IFERROR(IF(VLOOKUP($E31,$A$198:$E$205,3,FALSE)&gt;=$H33+AC33,3,IF(VLOOKUP($E31,$A$198:$E$205,4,FALSE)&gt;=$H33+AC33,2,IF(VLOOKUP($E31,$A$198:$E$205,5,FALSE)&gt;=$H33+AC33,1,"NOT MET"))),"")</f>
        <v>3</v>
      </c>
      <c r="AF33" s="52" t="str">
        <f t="shared" si="1"/>
        <v>Yes</v>
      </c>
      <c r="AG33" s="52">
        <f t="shared" si="2"/>
        <v>3</v>
      </c>
      <c r="AH33" s="52"/>
    </row>
    <row r="34" spans="2:34" s="51" customFormat="1" ht="20.100000000000001" customHeight="1">
      <c r="B34" s="1007"/>
      <c r="C34" s="1001"/>
      <c r="D34" s="1001"/>
      <c r="E34" s="1001"/>
      <c r="F34" s="157" t="s">
        <v>224</v>
      </c>
      <c r="G34" s="157" t="str">
        <f>IF($AH$5=1,"NA",_xlfn.CONCAT("(",$AH$5," Point",IF($AH$5&gt;1,"s) ",") "),VLOOKUP($E31,$C$264:$F$270,1+$AH$5,FALSE),RIGHT(F34,4)))</f>
        <v>(2 Points) 85 dBC</v>
      </c>
      <c r="H34" s="158">
        <v>57.2</v>
      </c>
      <c r="I34" s="157" t="str">
        <f t="shared" si="0"/>
        <v/>
      </c>
      <c r="J34" s="1002"/>
      <c r="K34" s="1003"/>
      <c r="L34" s="1003"/>
      <c r="N34" s="52"/>
      <c r="O34" s="3" t="str">
        <f>IF($C31&lt;&gt;"","Show","Hide")</f>
        <v>Show</v>
      </c>
      <c r="AB34" s="52">
        <v>0</v>
      </c>
      <c r="AC34" s="52">
        <v>-9</v>
      </c>
      <c r="AD34" s="52">
        <f>IFERROR(IF(VLOOKUP($E31,$A$208:$E$215,3,FALSE)&gt;=$H34+AB34,3,IF(VLOOKUP($E31,$A$208:$E$215,4,FALSE)&gt;=$H34+AB34,2,IF(VLOOKUP($E31,$A$208:$E$215,5,FALSE)&gt;=$H34+AB34,1,"NOT MET"))),"")</f>
        <v>3</v>
      </c>
      <c r="AE34" s="52">
        <f>IFERROR(IF(VLOOKUP($E31,$A$208:$E$215,3,FALSE)&gt;=$H34+AC34,3,IF(VLOOKUP($E31,$A$208:$E$215,4,FALSE)&gt;=$H34+AC34,2,IF(VLOOKUP($E31,$A$208:$E$215,5,FALSE)&gt;=$H34+AC34,1,"NOT MET"))),"")</f>
        <v>3</v>
      </c>
      <c r="AF34" s="52" t="str">
        <f t="shared" si="1"/>
        <v>Yes</v>
      </c>
      <c r="AG34" s="52">
        <f t="shared" si="2"/>
        <v>3</v>
      </c>
      <c r="AH34" s="52"/>
    </row>
    <row r="35" spans="2:34" s="51" customFormat="1" ht="20.100000000000001" customHeight="1">
      <c r="B35" s="1007"/>
      <c r="C35" s="1001">
        <v>8</v>
      </c>
      <c r="D35" s="1001" t="s">
        <v>708</v>
      </c>
      <c r="E35" s="1001" t="s">
        <v>185</v>
      </c>
      <c r="F35" s="157" t="s">
        <v>227</v>
      </c>
      <c r="G35" s="157" t="str">
        <f>_xlfn.CONCAT("(", $AH$5, " Point", IF($AH$5&gt; 1,"s) ",") "),VLOOKUP($E35,$C$234:$F$241,1+$AH$5,FALSE), RIGHT(F35,4))</f>
        <v>(2 Points) 45 dBA</v>
      </c>
      <c r="H35" s="159">
        <v>28.5</v>
      </c>
      <c r="I35" s="157" t="str">
        <f t="shared" si="0"/>
        <v/>
      </c>
      <c r="J35" s="1002" t="s">
        <v>1456</v>
      </c>
      <c r="K35" s="1003"/>
      <c r="L35" s="1003"/>
      <c r="N35" s="52"/>
      <c r="O35" s="3" t="str">
        <f>IF($C35&lt;&gt;"","Show","Hide")</f>
        <v>Show</v>
      </c>
      <c r="AB35" s="52">
        <v>0</v>
      </c>
      <c r="AC35" s="52">
        <v>-4</v>
      </c>
      <c r="AD35" s="52">
        <f>IFERROR(IF(VLOOKUP($E35,$A$178:$E$185,3,FALSE)&gt;=$H35+AB35,3,IF(VLOOKUP($E35,$A$178:$E$185,4,FALSE)&gt;=$H35+AB35,2,IF(VLOOKUP($E35,$A$178:$E$185,5,FALSE)&gt;=$H35+AB35,1,"NOT MET"))),"")</f>
        <v>3</v>
      </c>
      <c r="AE35" s="52">
        <f>IFERROR(IF(VLOOKUP($E35,$A$178:$E$185,3,FALSE)&gt;=$H35+AC35,3,IF(VLOOKUP($E35,$A$178:$E$185,4,FALSE)&gt;=$H35+AC35,2,IF(VLOOKUP($E35,$A$178:$E$185,5,FALSE)&gt;=$H35+AC35,1,"NOT MET"))),"")</f>
        <v>3</v>
      </c>
      <c r="AF35" s="52" t="str">
        <f t="shared" si="1"/>
        <v>No</v>
      </c>
      <c r="AG35" s="52">
        <f t="shared" si="2"/>
        <v>3</v>
      </c>
      <c r="AH35" s="52"/>
    </row>
    <row r="36" spans="2:34" s="51" customFormat="1" ht="20.100000000000001" customHeight="1">
      <c r="B36" s="1007"/>
      <c r="C36" s="1001"/>
      <c r="D36" s="1001"/>
      <c r="E36" s="1001"/>
      <c r="F36" s="157" t="s">
        <v>226</v>
      </c>
      <c r="G36" s="157" t="str">
        <f>_xlfn.CONCAT("(", $AH$5, " Point", IF($AH$5&gt; 1,"s) ",") "),VLOOKUP($E35,$C$244:$F$250,1+$AH$5,FALSE), RIGHT(F36,4))</f>
        <v>(2 Points) 70 dBC</v>
      </c>
      <c r="H36" s="159">
        <v>42</v>
      </c>
      <c r="I36" s="157" t="str">
        <f t="shared" si="0"/>
        <v/>
      </c>
      <c r="J36" s="1002"/>
      <c r="K36" s="1003"/>
      <c r="L36" s="1003"/>
      <c r="N36" s="52"/>
      <c r="O36" s="3" t="str">
        <f>IF($C35&lt;&gt;"","Show","Hide")</f>
        <v>Show</v>
      </c>
      <c r="AB36" s="52">
        <v>0</v>
      </c>
      <c r="AC36" s="52">
        <v>-4</v>
      </c>
      <c r="AD36" s="52">
        <f>IFERROR(IF(VLOOKUP($E35,$A$188:$E$195,3,FALSE)&gt;=$H36+AB36,3,IF(VLOOKUP($E35,$A$188:$E$195,4,FALSE)&gt;=$H36+AB36,2,IF(VLOOKUP($E35,$A$188:$E$195,5,FALSE)&gt;=$H36+AB36,1,"NOT MET"))),"")</f>
        <v>3</v>
      </c>
      <c r="AE36" s="52">
        <f>IFERROR(IF(VLOOKUP($E35,$A$188:$E$195,3,FALSE)&gt;=$H36+AC36,3,IF(VLOOKUP($E35,$A$188:$E$195,4,FALSE)&gt;=$H36+AC36,2,IF(VLOOKUP($E35,$A$188:$E$195,5,FALSE)&gt;=$H36+AC36,1,"NOT MET"))),"")</f>
        <v>3</v>
      </c>
      <c r="AF36" s="52" t="str">
        <f t="shared" si="1"/>
        <v>No</v>
      </c>
      <c r="AG36" s="52">
        <f t="shared" si="2"/>
        <v>3</v>
      </c>
      <c r="AH36" s="52"/>
    </row>
    <row r="37" spans="2:34" s="51" customFormat="1" ht="20.100000000000001" customHeight="1">
      <c r="B37" s="1007"/>
      <c r="C37" s="1001"/>
      <c r="D37" s="1001"/>
      <c r="E37" s="1001"/>
      <c r="F37" s="157" t="s">
        <v>225</v>
      </c>
      <c r="G37" s="157" t="str">
        <f>IF($AH$5=1, "NA",_xlfn.CONCAT("(", $AH$5, " Point", IF($AH$5&gt; 1,"s) ",") "),VLOOKUP($E35,$C$254:$F$260,1+$AH$5,FALSE), RIGHT(F37,4)))</f>
        <v>(2 Points) 55 dBA</v>
      </c>
      <c r="H37" s="159">
        <v>30.3</v>
      </c>
      <c r="I37" s="157" t="str">
        <f t="shared" si="0"/>
        <v/>
      </c>
      <c r="J37" s="1002"/>
      <c r="K37" s="1003"/>
      <c r="L37" s="1003"/>
      <c r="N37" s="52"/>
      <c r="O37" s="3" t="str">
        <f>IF($C35&lt;&gt;"","Show","Hide")</f>
        <v>Show</v>
      </c>
      <c r="AB37" s="52">
        <v>0</v>
      </c>
      <c r="AC37" s="52">
        <v>-9</v>
      </c>
      <c r="AD37" s="52">
        <f>IFERROR(IF(VLOOKUP($E35,$A$198:$E$205,3,FALSE)&gt;=$H37+AB37,3,IF(VLOOKUP($E35,$A$198:$E$205,4,FALSE)&gt;=$H37+AB37,2,IF(VLOOKUP($E35,$A$198:$E$205,5,FALSE)&gt;=$H37+AB37,1,"NOT MET"))),"")</f>
        <v>3</v>
      </c>
      <c r="AE37" s="52">
        <f>IFERROR(IF(VLOOKUP($E35,$A$198:$E$205,3,FALSE)&gt;=$H37+AC37,3,IF(VLOOKUP($E35,$A$198:$E$205,4,FALSE)&gt;=$H37+AC37,2,IF(VLOOKUP($E35,$A$198:$E$205,5,FALSE)&gt;=$H37+AC37,1,"NOT MET"))),"")</f>
        <v>3</v>
      </c>
      <c r="AF37" s="52" t="str">
        <f t="shared" si="1"/>
        <v>Yes</v>
      </c>
      <c r="AG37" s="52">
        <f t="shared" si="2"/>
        <v>3</v>
      </c>
      <c r="AH37" s="52"/>
    </row>
    <row r="38" spans="2:34" s="51" customFormat="1" ht="20.100000000000001" customHeight="1">
      <c r="B38" s="1007"/>
      <c r="C38" s="1001"/>
      <c r="D38" s="1001"/>
      <c r="E38" s="1001"/>
      <c r="F38" s="157" t="s">
        <v>224</v>
      </c>
      <c r="G38" s="157" t="str">
        <f>IF($AH$5=1,"NA",_xlfn.CONCAT("(",$AH$5," Point",IF($AH$5&gt;1,"s) ",") "),VLOOKUP($E35,$C$264:$F$270,1+$AH$5,FALSE),RIGHT(F38,4)))</f>
        <v>(2 Points) 80 dBC</v>
      </c>
      <c r="H38" s="159">
        <v>43.6</v>
      </c>
      <c r="I38" s="157" t="str">
        <f t="shared" si="0"/>
        <v/>
      </c>
      <c r="J38" s="1002"/>
      <c r="K38" s="1003"/>
      <c r="L38" s="1003"/>
      <c r="N38" s="52"/>
      <c r="O38" s="3" t="str">
        <f>IF($C35&lt;&gt;"","Show","Hide")</f>
        <v>Show</v>
      </c>
      <c r="AB38" s="52">
        <v>0</v>
      </c>
      <c r="AC38" s="52">
        <v>-9</v>
      </c>
      <c r="AD38" s="52">
        <f>IFERROR(IF(VLOOKUP($E35,$A$208:$E$215,3,FALSE)&gt;=$H38+AB38,3,IF(VLOOKUP($E35,$A$208:$E$215,4,FALSE)&gt;=$H38+AB38,2,IF(VLOOKUP($E35,$A$208:$E$215,5,FALSE)&gt;=$H38+AB38,1,"NOT MET"))),"")</f>
        <v>3</v>
      </c>
      <c r="AE38" s="52">
        <f>IFERROR(IF(VLOOKUP($E35,$A$208:$E$215,3,FALSE)&gt;=$H38+AC38,3,IF(VLOOKUP($E35,$A$208:$E$215,4,FALSE)&gt;=$H38+AC38,2,IF(VLOOKUP($E35,$A$208:$E$215,5,FALSE)&gt;=$H38+AC38,1,"NOT MET"))),"")</f>
        <v>3</v>
      </c>
      <c r="AF38" s="52" t="str">
        <f t="shared" si="1"/>
        <v>Yes</v>
      </c>
      <c r="AG38" s="52">
        <f t="shared" si="2"/>
        <v>3</v>
      </c>
      <c r="AH38" s="52"/>
    </row>
    <row r="39" spans="2:34" s="51" customFormat="1" ht="20.100000000000001" customHeight="1">
      <c r="B39" s="1007"/>
      <c r="C39" s="1001">
        <v>9</v>
      </c>
      <c r="D39" s="1001" t="s">
        <v>709</v>
      </c>
      <c r="E39" s="1001" t="s">
        <v>183</v>
      </c>
      <c r="F39" s="157" t="s">
        <v>227</v>
      </c>
      <c r="G39" s="157" t="str">
        <f>_xlfn.CONCAT("(", $AH$5, " Point", IF($AH$5&gt; 1,"s) ",") "),VLOOKUP($E39,$C$234:$F$241,1+$AH$5,FALSE), RIGHT(F39,4))</f>
        <v>(2 Points) 40 dBA</v>
      </c>
      <c r="H39" s="159">
        <v>40.700000000000003</v>
      </c>
      <c r="I39" s="157" t="str">
        <f t="shared" si="0"/>
        <v>4 dB</v>
      </c>
      <c r="J39" s="1002" t="s">
        <v>1456</v>
      </c>
      <c r="K39" s="1003"/>
      <c r="L39" s="1003"/>
      <c r="N39" s="52"/>
      <c r="O39" s="3" t="str">
        <f>IF($C39&lt;&gt;"","Show","Hide")</f>
        <v>Show</v>
      </c>
      <c r="AB39" s="52">
        <v>0</v>
      </c>
      <c r="AC39" s="52">
        <v>-4</v>
      </c>
      <c r="AD39" s="52">
        <f>IFERROR(IF(VLOOKUP($E39,$A$178:$E$185,3,FALSE)&gt;=$H39+AB39,3,IF(VLOOKUP($E39,$A$178:$E$185,4,FALSE)&gt;=$H39+AB39,2,IF(VLOOKUP($E39,$A$178:$E$185,5,FALSE)&gt;=$H39+AB39,1,"NOT MET"))),"")</f>
        <v>1</v>
      </c>
      <c r="AE39" s="52">
        <f>IFERROR(IF(VLOOKUP($E39,$A$178:$E$185,3,FALSE)&gt;=$H39+AC39,3,IF(VLOOKUP($E39,$A$178:$E$185,4,FALSE)&gt;=$H39+AC39,2,IF(VLOOKUP($E39,$A$178:$E$185,5,FALSE)&gt;=$H39+AC39,1,"NOT MET"))),"")</f>
        <v>2</v>
      </c>
      <c r="AF39" s="52" t="str">
        <f t="shared" si="1"/>
        <v>No</v>
      </c>
      <c r="AG39" s="52">
        <f t="shared" si="2"/>
        <v>2</v>
      </c>
      <c r="AH39" s="52"/>
    </row>
    <row r="40" spans="2:34" s="51" customFormat="1" ht="20.100000000000001" customHeight="1">
      <c r="B40" s="1007"/>
      <c r="C40" s="1001"/>
      <c r="D40" s="1001"/>
      <c r="E40" s="1001"/>
      <c r="F40" s="157" t="s">
        <v>226</v>
      </c>
      <c r="G40" s="157" t="str">
        <f>_xlfn.CONCAT("(", $AH$5, " Point", IF($AH$5&gt; 1,"s) ",") "),VLOOKUP($E39,$C$244:$F$250,1+$AH$5,FALSE), RIGHT(F40,4))</f>
        <v>(2 Points) 65 dBC</v>
      </c>
      <c r="H40" s="159">
        <v>51.6</v>
      </c>
      <c r="I40" s="157" t="str">
        <f t="shared" si="0"/>
        <v/>
      </c>
      <c r="J40" s="1002"/>
      <c r="K40" s="1003"/>
      <c r="L40" s="1003"/>
      <c r="N40" s="52"/>
      <c r="O40" s="3" t="str">
        <f>IF($C39&lt;&gt;"","Show","Hide")</f>
        <v>Show</v>
      </c>
      <c r="AB40" s="52">
        <v>0</v>
      </c>
      <c r="AC40" s="52">
        <v>-4</v>
      </c>
      <c r="AD40" s="52">
        <f>IFERROR(IF(VLOOKUP($E39,$A$188:$E$195,3,FALSE)&gt;=$H40+AB40,3,IF(VLOOKUP($E39,$A$188:$E$195,4,FALSE)&gt;=$H40+AB40,2,IF(VLOOKUP($E39,$A$188:$E$195,5,FALSE)&gt;=$H40+AB40,1,"NOT MET"))),"")</f>
        <v>3</v>
      </c>
      <c r="AE40" s="52">
        <f>IFERROR(IF(VLOOKUP($E39,$A$188:$E$195,3,FALSE)&gt;=$H40+AC40,3,IF(VLOOKUP($E39,$A$188:$E$195,4,FALSE)&gt;=$H40+AC40,2,IF(VLOOKUP($E39,$A$188:$E$195,5,FALSE)&gt;=$H40+AC40,1,"NOT MET"))),"")</f>
        <v>3</v>
      </c>
      <c r="AF40" s="52" t="str">
        <f t="shared" si="1"/>
        <v>No</v>
      </c>
      <c r="AG40" s="52">
        <f t="shared" si="2"/>
        <v>3</v>
      </c>
      <c r="AH40" s="52"/>
    </row>
    <row r="41" spans="2:34" s="51" customFormat="1" ht="20.100000000000001" customHeight="1">
      <c r="B41" s="1007"/>
      <c r="C41" s="1001"/>
      <c r="D41" s="1001"/>
      <c r="E41" s="1001"/>
      <c r="F41" s="157" t="s">
        <v>225</v>
      </c>
      <c r="G41" s="157" t="str">
        <f>IF($AH$5=1, "NA",_xlfn.CONCAT("(", $AH$5, " Point", IF($AH$5&gt; 1,"s) ",") "),VLOOKUP($E39,$C$254:$F$260,1+$AH$5,FALSE), RIGHT(F41,4)))</f>
        <v>(2 Points) 50 dBA</v>
      </c>
      <c r="H41" s="159">
        <v>41.2</v>
      </c>
      <c r="I41" s="157" t="str">
        <f t="shared" si="0"/>
        <v/>
      </c>
      <c r="J41" s="1002"/>
      <c r="K41" s="1003"/>
      <c r="L41" s="1003"/>
      <c r="N41" s="52"/>
      <c r="O41" s="3" t="str">
        <f>IF($C39&lt;&gt;"","Show","Hide")</f>
        <v>Show</v>
      </c>
      <c r="AB41" s="52">
        <v>0</v>
      </c>
      <c r="AC41" s="52">
        <v>-9</v>
      </c>
      <c r="AD41" s="52">
        <f>IFERROR(IF(VLOOKUP($E39,$A$198:$E$205,3,FALSE)&gt;=$H41+AB41,3,IF(VLOOKUP($E39,$A$198:$E$205,4,FALSE)&gt;=$H41+AB41,2,IF(VLOOKUP($E39,$A$198:$E$205,5,FALSE)&gt;=$H41+AB41,1,"NOT MET"))),"")</f>
        <v>3</v>
      </c>
      <c r="AE41" s="52">
        <f>IFERROR(IF(VLOOKUP($E39,$A$198:$E$205,3,FALSE)&gt;=$H41+AC41,3,IF(VLOOKUP($E39,$A$198:$E$205,4,FALSE)&gt;=$H41+AC41,2,IF(VLOOKUP($E39,$A$198:$E$205,5,FALSE)&gt;=$H41+AC41,1,"NOT MET"))),"")</f>
        <v>3</v>
      </c>
      <c r="AF41" s="52" t="str">
        <f t="shared" si="1"/>
        <v>Yes</v>
      </c>
      <c r="AG41" s="52">
        <f t="shared" si="2"/>
        <v>3</v>
      </c>
      <c r="AH41" s="52"/>
    </row>
    <row r="42" spans="2:34" s="51" customFormat="1" ht="20.100000000000001" customHeight="1">
      <c r="B42" s="1007"/>
      <c r="C42" s="1001"/>
      <c r="D42" s="1001"/>
      <c r="E42" s="1001"/>
      <c r="F42" s="157" t="s">
        <v>224</v>
      </c>
      <c r="G42" s="157" t="str">
        <f>IF($AH$5=1,"NA",_xlfn.CONCAT("(",$AH$5," Point",IF($AH$5&gt;1,"s) ",") "),VLOOKUP($E39,$C$264:$F$270,1+$AH$5,FALSE),RIGHT(F42,4)))</f>
        <v>(2 Points) 75 dBC</v>
      </c>
      <c r="H42" s="159">
        <v>56.7</v>
      </c>
      <c r="I42" s="157" t="str">
        <f t="shared" si="0"/>
        <v/>
      </c>
      <c r="J42" s="1002"/>
      <c r="K42" s="1003"/>
      <c r="L42" s="1003"/>
      <c r="N42" s="52"/>
      <c r="O42" s="3" t="str">
        <f>IF($C39&lt;&gt;"","Show","Hide")</f>
        <v>Show</v>
      </c>
      <c r="AB42" s="52">
        <v>0</v>
      </c>
      <c r="AC42" s="52">
        <v>-9</v>
      </c>
      <c r="AD42" s="52">
        <f>IFERROR(IF(VLOOKUP($E39,$A$208:$E$215,3,FALSE)&gt;=$H42+AB42,3,IF(VLOOKUP($E39,$A$208:$E$215,4,FALSE)&gt;=$H42+AB42,2,IF(VLOOKUP($E39,$A$208:$E$215,5,FALSE)&gt;=$H42+AB42,1,"NOT MET"))),"")</f>
        <v>3</v>
      </c>
      <c r="AE42" s="52">
        <f>IFERROR(IF(VLOOKUP($E39,$A$208:$E$215,3,FALSE)&gt;=$H42+AC42,3,IF(VLOOKUP($E39,$A$208:$E$215,4,FALSE)&gt;=$H42+AC42,2,IF(VLOOKUP($E39,$A$208:$E$215,5,FALSE)&gt;=$H42+AC42,1,"NOT MET"))),"")</f>
        <v>3</v>
      </c>
      <c r="AF42" s="52" t="str">
        <f t="shared" si="1"/>
        <v>Yes</v>
      </c>
      <c r="AG42" s="52">
        <f t="shared" si="2"/>
        <v>3</v>
      </c>
      <c r="AH42" s="52"/>
    </row>
    <row r="43" spans="2:34" s="51" customFormat="1" ht="20.100000000000001" customHeight="1">
      <c r="B43" s="1007"/>
      <c r="C43" s="1001">
        <v>10</v>
      </c>
      <c r="D43" s="1001" t="s">
        <v>710</v>
      </c>
      <c r="E43" s="1001" t="s">
        <v>185</v>
      </c>
      <c r="F43" s="157" t="s">
        <v>227</v>
      </c>
      <c r="G43" s="157" t="str">
        <f>_xlfn.CONCAT("(", $AH$5, " Point", IF($AH$5&gt; 1,"s) ",") "),VLOOKUP($E43,$C$234:$F$241,1+$AH$5,FALSE), RIGHT(F43,4))</f>
        <v>(2 Points) 45 dBA</v>
      </c>
      <c r="H43" s="158">
        <v>43.5</v>
      </c>
      <c r="I43" s="157" t="str">
        <f t="shared" si="0"/>
        <v/>
      </c>
      <c r="J43" s="1002" t="s">
        <v>1456</v>
      </c>
      <c r="K43" s="1003"/>
      <c r="L43" s="1003"/>
      <c r="N43" s="52"/>
      <c r="O43" s="3" t="str">
        <f>IF($C43&lt;&gt;"","Show","Hide")</f>
        <v>Show</v>
      </c>
      <c r="AB43" s="52">
        <v>0</v>
      </c>
      <c r="AC43" s="52">
        <v>-4</v>
      </c>
      <c r="AD43" s="52">
        <f>IFERROR(IF(VLOOKUP($E43,$A$178:$E$185,3,FALSE)&gt;=$H43+AB43,3,IF(VLOOKUP($E43,$A$178:$E$185,4,FALSE)&gt;=$H43+AB43,2,IF(VLOOKUP($E43,$A$178:$E$185,5,FALSE)&gt;=$H43+AB43,1,"NOT MET"))),"")</f>
        <v>2</v>
      </c>
      <c r="AE43" s="52">
        <f>IFERROR(IF(VLOOKUP($E43,$A$178:$E$185,3,FALSE)&gt;=$H43+AC43,3,IF(VLOOKUP($E43,$A$178:$E$185,4,FALSE)&gt;=$H43+AC43,2,IF(VLOOKUP($E43,$A$178:$E$185,5,FALSE)&gt;=$H43+AC43,1,"NOT MET"))),"")</f>
        <v>3</v>
      </c>
      <c r="AF43" s="52" t="str">
        <f t="shared" si="1"/>
        <v>No</v>
      </c>
      <c r="AG43" s="52">
        <f t="shared" si="2"/>
        <v>3</v>
      </c>
      <c r="AH43" s="52"/>
    </row>
    <row r="44" spans="2:34" s="51" customFormat="1" ht="20.100000000000001" customHeight="1">
      <c r="B44" s="1007"/>
      <c r="C44" s="1001"/>
      <c r="D44" s="1001"/>
      <c r="E44" s="1001"/>
      <c r="F44" s="157" t="s">
        <v>226</v>
      </c>
      <c r="G44" s="157" t="str">
        <f>_xlfn.CONCAT("(", $AH$5, " Point", IF($AH$5&gt; 1,"s) ",") "),VLOOKUP($E43,$C$244:$F$250,1+$AH$5,FALSE), RIGHT(F44,4))</f>
        <v>(2 Points) 70 dBC</v>
      </c>
      <c r="H44" s="158">
        <v>56.2</v>
      </c>
      <c r="I44" s="157" t="str">
        <f t="shared" si="0"/>
        <v/>
      </c>
      <c r="J44" s="1002"/>
      <c r="K44" s="1003"/>
      <c r="L44" s="1003"/>
      <c r="N44" s="52"/>
      <c r="O44" s="3" t="str">
        <f>IF($C43&lt;&gt;"","Show","Hide")</f>
        <v>Show</v>
      </c>
      <c r="AB44" s="52">
        <v>0</v>
      </c>
      <c r="AC44" s="52">
        <v>-4</v>
      </c>
      <c r="AD44" s="52">
        <f>IFERROR(IF(VLOOKUP($E43,$A$188:$E$195,3,FALSE)&gt;=$H44+AB44,3,IF(VLOOKUP($E43,$A$188:$E$195,4,FALSE)&gt;=$H44+AB44,2,IF(VLOOKUP($E43,$A$188:$E$195,5,FALSE)&gt;=$H44+AB44,1,"NOT MET"))),"")</f>
        <v>3</v>
      </c>
      <c r="AE44" s="52">
        <f>IFERROR(IF(VLOOKUP($E43,$A$188:$E$195,3,FALSE)&gt;=$H44+AC44,3,IF(VLOOKUP($E43,$A$188:$E$195,4,FALSE)&gt;=$H44+AC44,2,IF(VLOOKUP($E43,$A$188:$E$195,5,FALSE)&gt;=$H44+AC44,1,"NOT MET"))),"")</f>
        <v>3</v>
      </c>
      <c r="AF44" s="52" t="str">
        <f t="shared" si="1"/>
        <v>No</v>
      </c>
      <c r="AG44" s="52">
        <f t="shared" si="2"/>
        <v>3</v>
      </c>
      <c r="AH44" s="52"/>
    </row>
    <row r="45" spans="2:34" s="51" customFormat="1" ht="20.100000000000001" customHeight="1">
      <c r="B45" s="1007"/>
      <c r="C45" s="1001"/>
      <c r="D45" s="1001"/>
      <c r="E45" s="1001"/>
      <c r="F45" s="157" t="s">
        <v>225</v>
      </c>
      <c r="G45" s="157" t="str">
        <f>IF($AH$5=1, "NA",_xlfn.CONCAT("(", $AH$5, " Point", IF($AH$5&gt; 1,"s) ",") "),VLOOKUP($E43,$C$254:$F$260,1+$AH$5,FALSE), RIGHT(F45,4)))</f>
        <v>(2 Points) 55 dBA</v>
      </c>
      <c r="H45" s="158">
        <v>45.6</v>
      </c>
      <c r="I45" s="157" t="str">
        <f t="shared" si="0"/>
        <v/>
      </c>
      <c r="J45" s="1002"/>
      <c r="K45" s="1003"/>
      <c r="L45" s="1003"/>
      <c r="N45" s="52"/>
      <c r="O45" s="3" t="str">
        <f>IF($C43&lt;&gt;"","Show","Hide")</f>
        <v>Show</v>
      </c>
      <c r="AB45" s="52">
        <v>0</v>
      </c>
      <c r="AC45" s="52">
        <v>-9</v>
      </c>
      <c r="AD45" s="52">
        <f>IFERROR(IF(VLOOKUP($E43,$A$198:$E$205,3,FALSE)&gt;=$H45+AB45,3,IF(VLOOKUP($E43,$A$198:$E$205,4,FALSE)&gt;=$H45+AB45,2,IF(VLOOKUP($E43,$A$198:$E$205,5,FALSE)&gt;=$H45+AB45,1,"NOT MET"))),"")</f>
        <v>3</v>
      </c>
      <c r="AE45" s="52">
        <f>IFERROR(IF(VLOOKUP($E43,$A$198:$E$205,3,FALSE)&gt;=$H45+AC45,3,IF(VLOOKUP($E43,$A$198:$E$205,4,FALSE)&gt;=$H45+AC45,2,IF(VLOOKUP($E43,$A$198:$E$205,5,FALSE)&gt;=$H45+AC45,1,"NOT MET"))),"")</f>
        <v>3</v>
      </c>
      <c r="AF45" s="52" t="str">
        <f t="shared" si="1"/>
        <v>Yes</v>
      </c>
      <c r="AG45" s="52">
        <f t="shared" si="2"/>
        <v>3</v>
      </c>
      <c r="AH45" s="52"/>
    </row>
    <row r="46" spans="2:34" s="51" customFormat="1" ht="20.100000000000001" customHeight="1">
      <c r="B46" s="1007"/>
      <c r="C46" s="1001"/>
      <c r="D46" s="1001"/>
      <c r="E46" s="1001"/>
      <c r="F46" s="157" t="s">
        <v>224</v>
      </c>
      <c r="G46" s="157" t="str">
        <f>IF($AH$5=1,"NA",_xlfn.CONCAT("(",$AH$5," Point",IF($AH$5&gt;1,"s) ",") "),VLOOKUP($E43,$C$264:$F$270,1+$AH$5,FALSE),RIGHT(F46,4)))</f>
        <v>(2 Points) 80 dBC</v>
      </c>
      <c r="H46" s="158">
        <v>58</v>
      </c>
      <c r="I46" s="157" t="str">
        <f t="shared" si="0"/>
        <v/>
      </c>
      <c r="J46" s="1002"/>
      <c r="K46" s="1003"/>
      <c r="L46" s="1003"/>
      <c r="N46" s="52"/>
      <c r="O46" s="3" t="str">
        <f>IF($C43&lt;&gt;"","Show","Hide")</f>
        <v>Show</v>
      </c>
      <c r="AB46" s="52">
        <v>0</v>
      </c>
      <c r="AC46" s="52">
        <v>-9</v>
      </c>
      <c r="AD46" s="52">
        <f>IFERROR(IF(VLOOKUP($E43,$A$208:$E$215,3,FALSE)&gt;=$H46+AB46,3,IF(VLOOKUP($E43,$A$208:$E$215,4,FALSE)&gt;=$H46+AB46,2,IF(VLOOKUP($E43,$A$208:$E$215,5,FALSE)&gt;=$H46+AB46,1,"NOT MET"))),"")</f>
        <v>3</v>
      </c>
      <c r="AE46" s="52">
        <f>IFERROR(IF(VLOOKUP($E43,$A$208:$E$215,3,FALSE)&gt;=$H46+AC46,3,IF(VLOOKUP($E43,$A$208:$E$215,4,FALSE)&gt;=$H46+AC46,2,IF(VLOOKUP($E43,$A$208:$E$215,5,FALSE)&gt;=$H46+AC46,1,"NOT MET"))),"")</f>
        <v>3</v>
      </c>
      <c r="AF46" s="52" t="str">
        <f t="shared" si="1"/>
        <v>Yes</v>
      </c>
      <c r="AG46" s="52">
        <f t="shared" si="2"/>
        <v>3</v>
      </c>
      <c r="AH46" s="52"/>
    </row>
    <row r="47" spans="2:34" s="51" customFormat="1" ht="20.100000000000001" customHeight="1">
      <c r="B47" s="1007"/>
      <c r="C47" s="1001">
        <v>11</v>
      </c>
      <c r="D47" s="1001" t="s">
        <v>711</v>
      </c>
      <c r="E47" s="1001" t="s">
        <v>183</v>
      </c>
      <c r="F47" s="157" t="s">
        <v>227</v>
      </c>
      <c r="G47" s="157" t="str">
        <f>_xlfn.CONCAT("(", $AH$5, " Point", IF($AH$5&gt; 1,"s) ",") "),VLOOKUP($E47,$C$234:$F$241,1+$AH$5,FALSE), RIGHT(F47,4))</f>
        <v>(2 Points) 40 dBA</v>
      </c>
      <c r="H47" s="159">
        <v>23.7</v>
      </c>
      <c r="I47" s="157" t="str">
        <f t="shared" si="0"/>
        <v/>
      </c>
      <c r="J47" s="1002" t="s">
        <v>1456</v>
      </c>
      <c r="K47" s="1003"/>
      <c r="L47" s="1003"/>
      <c r="N47" s="52"/>
      <c r="O47" s="3" t="str">
        <f>IF($C47&lt;&gt;"","Show","Hide")</f>
        <v>Show</v>
      </c>
      <c r="AB47" s="52">
        <v>0</v>
      </c>
      <c r="AC47" s="52">
        <v>-4</v>
      </c>
      <c r="AD47" s="52">
        <f>IFERROR(IF(VLOOKUP($E47,$A$178:$E$185,3,FALSE)&gt;=$H47+AB47,3,IF(VLOOKUP($E47,$A$178:$E$185,4,FALSE)&gt;=$H47+AB47,2,IF(VLOOKUP($E47,$A$178:$E$185,5,FALSE)&gt;=$H47+AB47,1,"NOT MET"))),"")</f>
        <v>3</v>
      </c>
      <c r="AE47" s="52">
        <f>IFERROR(IF(VLOOKUP($E47,$A$178:$E$185,3,FALSE)&gt;=$H47+AC47,3,IF(VLOOKUP($E47,$A$178:$E$185,4,FALSE)&gt;=$H47+AC47,2,IF(VLOOKUP($E47,$A$178:$E$185,5,FALSE)&gt;=$H47+AC47,1,"NOT MET"))),"")</f>
        <v>3</v>
      </c>
      <c r="AF47" s="52" t="str">
        <f t="shared" si="1"/>
        <v>No</v>
      </c>
      <c r="AG47" s="52">
        <f t="shared" si="2"/>
        <v>3</v>
      </c>
      <c r="AH47" s="52"/>
    </row>
    <row r="48" spans="2:34" s="51" customFormat="1" ht="20.100000000000001" customHeight="1">
      <c r="B48" s="1007"/>
      <c r="C48" s="1001"/>
      <c r="D48" s="1001"/>
      <c r="E48" s="1001"/>
      <c r="F48" s="157" t="s">
        <v>226</v>
      </c>
      <c r="G48" s="157" t="str">
        <f>_xlfn.CONCAT("(", $AH$5, " Point", IF($AH$5&gt; 1,"s) ",") "),VLOOKUP($E47,$C$244:$F$250,1+$AH$5,FALSE), RIGHT(F48,4))</f>
        <v>(2 Points) 65 dBC</v>
      </c>
      <c r="H48" s="159">
        <v>40</v>
      </c>
      <c r="I48" s="157" t="str">
        <f t="shared" si="0"/>
        <v/>
      </c>
      <c r="J48" s="1002"/>
      <c r="K48" s="1003"/>
      <c r="L48" s="1003"/>
      <c r="N48" s="52"/>
      <c r="O48" s="3" t="str">
        <f>IF($C47&lt;&gt;"","Show","Hide")</f>
        <v>Show</v>
      </c>
      <c r="AB48" s="52">
        <v>0</v>
      </c>
      <c r="AC48" s="52">
        <v>-4</v>
      </c>
      <c r="AD48" s="52">
        <f>IFERROR(IF(VLOOKUP($E47,$A$188:$E$195,3,FALSE)&gt;=$H48+AB48,3,IF(VLOOKUP($E47,$A$188:$E$195,4,FALSE)&gt;=$H48+AB48,2,IF(VLOOKUP($E47,$A$188:$E$195,5,FALSE)&gt;=$H48+AB48,1,"NOT MET"))),"")</f>
        <v>3</v>
      </c>
      <c r="AE48" s="52">
        <f>IFERROR(IF(VLOOKUP($E47,$A$188:$E$195,3,FALSE)&gt;=$H48+AC48,3,IF(VLOOKUP($E47,$A$188:$E$195,4,FALSE)&gt;=$H48+AC48,2,IF(VLOOKUP($E47,$A$188:$E$195,5,FALSE)&gt;=$H48+AC48,1,"NOT MET"))),"")</f>
        <v>3</v>
      </c>
      <c r="AF48" s="52" t="str">
        <f t="shared" si="1"/>
        <v>No</v>
      </c>
      <c r="AG48" s="52">
        <f t="shared" si="2"/>
        <v>3</v>
      </c>
      <c r="AH48" s="52"/>
    </row>
    <row r="49" spans="2:34" s="51" customFormat="1" ht="20.100000000000001" customHeight="1">
      <c r="B49" s="1007"/>
      <c r="C49" s="1001"/>
      <c r="D49" s="1001"/>
      <c r="E49" s="1001"/>
      <c r="F49" s="157" t="s">
        <v>225</v>
      </c>
      <c r="G49" s="157" t="str">
        <f>IF($AH$5=1, "NA",_xlfn.CONCAT("(", $AH$5, " Point", IF($AH$5&gt; 1,"s) ",") "),VLOOKUP($E47,$C$254:$F$260,1+$AH$5,FALSE), RIGHT(F49,4)))</f>
        <v>(2 Points) 50 dBA</v>
      </c>
      <c r="H49" s="159">
        <v>26.7</v>
      </c>
      <c r="I49" s="157" t="str">
        <f t="shared" si="0"/>
        <v/>
      </c>
      <c r="J49" s="1002"/>
      <c r="K49" s="1003"/>
      <c r="L49" s="1003"/>
      <c r="N49" s="52"/>
      <c r="O49" s="3" t="str">
        <f>IF($C47&lt;&gt;"","Show","Hide")</f>
        <v>Show</v>
      </c>
      <c r="AB49" s="52">
        <v>0</v>
      </c>
      <c r="AC49" s="52">
        <v>-9</v>
      </c>
      <c r="AD49" s="52">
        <f>IFERROR(IF(VLOOKUP($E47,$A$198:$E$205,3,FALSE)&gt;=$H49+AB49,3,IF(VLOOKUP($E47,$A$198:$E$205,4,FALSE)&gt;=$H49+AB49,2,IF(VLOOKUP($E47,$A$198:$E$205,5,FALSE)&gt;=$H49+AB49,1,"NOT MET"))),"")</f>
        <v>3</v>
      </c>
      <c r="AE49" s="52">
        <f>IFERROR(IF(VLOOKUP($E47,$A$198:$E$205,3,FALSE)&gt;=$H49+AC49,3,IF(VLOOKUP($E47,$A$198:$E$205,4,FALSE)&gt;=$H49+AC49,2,IF(VLOOKUP($E47,$A$198:$E$205,5,FALSE)&gt;=$H49+AC49,1,"NOT MET"))),"")</f>
        <v>3</v>
      </c>
      <c r="AF49" s="52" t="str">
        <f t="shared" si="1"/>
        <v>Yes</v>
      </c>
      <c r="AG49" s="52">
        <f t="shared" si="2"/>
        <v>3</v>
      </c>
      <c r="AH49" s="52"/>
    </row>
    <row r="50" spans="2:34" s="51" customFormat="1" ht="20.100000000000001" customHeight="1">
      <c r="B50" s="1007"/>
      <c r="C50" s="1001"/>
      <c r="D50" s="1001"/>
      <c r="E50" s="1001"/>
      <c r="F50" s="157" t="s">
        <v>224</v>
      </c>
      <c r="G50" s="157" t="str">
        <f>IF($AH$5=1,"NA",_xlfn.CONCAT("(",$AH$5," Point",IF($AH$5&gt;1,"s) ",") "),VLOOKUP($E47,$C$264:$F$270,1+$AH$5,FALSE),RIGHT(F50,4)))</f>
        <v>(2 Points) 75 dBC</v>
      </c>
      <c r="H50" s="159">
        <v>42.7</v>
      </c>
      <c r="I50" s="157" t="str">
        <f t="shared" si="0"/>
        <v/>
      </c>
      <c r="J50" s="1002"/>
      <c r="K50" s="1003"/>
      <c r="L50" s="1003"/>
      <c r="N50" s="52"/>
      <c r="O50" s="3" t="str">
        <f>IF($C47&lt;&gt;"","Show","Hide")</f>
        <v>Show</v>
      </c>
      <c r="AB50" s="52">
        <v>0</v>
      </c>
      <c r="AC50" s="52">
        <v>-9</v>
      </c>
      <c r="AD50" s="52">
        <f>IFERROR(IF(VLOOKUP($E47,$A$208:$E$215,3,FALSE)&gt;=$H50+AB50,3,IF(VLOOKUP($E47,$A$208:$E$215,4,FALSE)&gt;=$H50+AB50,2,IF(VLOOKUP($E47,$A$208:$E$215,5,FALSE)&gt;=$H50+AB50,1,"NOT MET"))),"")</f>
        <v>3</v>
      </c>
      <c r="AE50" s="52">
        <f>IFERROR(IF(VLOOKUP($E47,$A$208:$E$215,3,FALSE)&gt;=$H50+AC50,3,IF(VLOOKUP($E47,$A$208:$E$215,4,FALSE)&gt;=$H50+AC50,2,IF(VLOOKUP($E47,$A$208:$E$215,5,FALSE)&gt;=$H50+AC50,1,"NOT MET"))),"")</f>
        <v>3</v>
      </c>
      <c r="AF50" s="52" t="str">
        <f t="shared" si="1"/>
        <v>Yes</v>
      </c>
      <c r="AG50" s="52">
        <f t="shared" si="2"/>
        <v>3</v>
      </c>
      <c r="AH50" s="52"/>
    </row>
    <row r="51" spans="2:34" s="51" customFormat="1" ht="20.100000000000001" customHeight="1">
      <c r="B51" s="1007"/>
      <c r="C51" s="1001">
        <v>12</v>
      </c>
      <c r="D51" s="1001" t="s">
        <v>712</v>
      </c>
      <c r="E51" s="1001" t="s">
        <v>187</v>
      </c>
      <c r="F51" s="157" t="s">
        <v>227</v>
      </c>
      <c r="G51" s="157" t="str">
        <f>_xlfn.CONCAT("(", $AH$5, " Point", IF($AH$5&gt; 1,"s) ",") "),VLOOKUP($E51,$C$234:$F$241,1+$AH$5,FALSE), RIGHT(F51,4))</f>
        <v>(2 Points) 50 dBA</v>
      </c>
      <c r="H51" s="159">
        <v>38.200000000000003</v>
      </c>
      <c r="I51" s="157" t="str">
        <f t="shared" si="0"/>
        <v/>
      </c>
      <c r="J51" s="1002" t="s">
        <v>1456</v>
      </c>
      <c r="K51" s="1003"/>
      <c r="L51" s="1003"/>
      <c r="N51" s="52"/>
      <c r="O51" s="3" t="str">
        <f>IF($C51&lt;&gt;"","Show","Hide")</f>
        <v>Show</v>
      </c>
      <c r="AB51" s="52">
        <v>0</v>
      </c>
      <c r="AC51" s="52">
        <v>-4</v>
      </c>
      <c r="AD51" s="52">
        <f>IFERROR(IF(VLOOKUP($E51,$A$178:$E$185,3,FALSE)&gt;=$H51+AB51,3,IF(VLOOKUP($E51,$A$178:$E$185,4,FALSE)&gt;=$H51+AB51,2,IF(VLOOKUP($E51,$A$178:$E$185,5,FALSE)&gt;=$H51+AB51,1,"NOT MET"))),"")</f>
        <v>3</v>
      </c>
      <c r="AE51" s="52">
        <f>IFERROR(IF(VLOOKUP($E51,$A$178:$E$185,3,FALSE)&gt;=$H51+AC51,3,IF(VLOOKUP($E51,$A$178:$E$185,4,FALSE)&gt;=$H51+AC51,2,IF(VLOOKUP($E51,$A$178:$E$185,5,FALSE)&gt;=$H51+AC51,1,"NOT MET"))),"")</f>
        <v>3</v>
      </c>
      <c r="AF51" s="52" t="str">
        <f t="shared" si="1"/>
        <v>No</v>
      </c>
      <c r="AG51" s="52">
        <f t="shared" si="2"/>
        <v>3</v>
      </c>
      <c r="AH51" s="52"/>
    </row>
    <row r="52" spans="2:34" s="51" customFormat="1" ht="20.100000000000001" customHeight="1">
      <c r="B52" s="1007"/>
      <c r="C52" s="1001"/>
      <c r="D52" s="1001"/>
      <c r="E52" s="1001"/>
      <c r="F52" s="157" t="s">
        <v>226</v>
      </c>
      <c r="G52" s="157" t="str">
        <f>_xlfn.CONCAT("(", $AH$5, " Point", IF($AH$5&gt; 1,"s) ",") "),VLOOKUP($E51,$C$244:$F$250,1+$AH$5,FALSE), RIGHT(F52,4))</f>
        <v>(2 Points) 75 dBC</v>
      </c>
      <c r="H52" s="159">
        <v>50</v>
      </c>
      <c r="I52" s="157" t="str">
        <f t="shared" si="0"/>
        <v/>
      </c>
      <c r="J52" s="1002"/>
      <c r="K52" s="1003"/>
      <c r="L52" s="1003"/>
      <c r="N52" s="52"/>
      <c r="O52" s="3" t="str">
        <f>IF($C51&lt;&gt;"","Show","Hide")</f>
        <v>Show</v>
      </c>
      <c r="AB52" s="52">
        <v>0</v>
      </c>
      <c r="AC52" s="52">
        <v>-4</v>
      </c>
      <c r="AD52" s="52">
        <f>IFERROR(IF(VLOOKUP($E51,$A$188:$E$195,3,FALSE)&gt;=$H52+AB52,3,IF(VLOOKUP($E51,$A$188:$E$195,4,FALSE)&gt;=$H52+AB52,2,IF(VLOOKUP($E51,$A$188:$E$195,5,FALSE)&gt;=$H52+AB52,1,"NOT MET"))),"")</f>
        <v>3</v>
      </c>
      <c r="AE52" s="52">
        <f>IFERROR(IF(VLOOKUP($E51,$A$188:$E$195,3,FALSE)&gt;=$H52+AC52,3,IF(VLOOKUP($E51,$A$188:$E$195,4,FALSE)&gt;=$H52+AC52,2,IF(VLOOKUP($E51,$A$188:$E$195,5,FALSE)&gt;=$H52+AC52,1,"NOT MET"))),"")</f>
        <v>3</v>
      </c>
      <c r="AF52" s="52" t="str">
        <f t="shared" si="1"/>
        <v>No</v>
      </c>
      <c r="AG52" s="52">
        <f t="shared" si="2"/>
        <v>3</v>
      </c>
      <c r="AH52" s="52"/>
    </row>
    <row r="53" spans="2:34" s="51" customFormat="1" ht="20.100000000000001" customHeight="1">
      <c r="B53" s="1007"/>
      <c r="C53" s="1001"/>
      <c r="D53" s="1001"/>
      <c r="E53" s="1001"/>
      <c r="F53" s="157" t="s">
        <v>225</v>
      </c>
      <c r="G53" s="157" t="str">
        <f>IF($AH$5=1, "NA",_xlfn.CONCAT("(", $AH$5, " Point", IF($AH$5&gt; 1,"s) ",") "),VLOOKUP($E51,$C$254:$F$260,1+$AH$5,FALSE), RIGHT(F53,4)))</f>
        <v>(2 Points) 60 dBA</v>
      </c>
      <c r="H53" s="159">
        <v>40.5</v>
      </c>
      <c r="I53" s="157" t="str">
        <f t="shared" si="0"/>
        <v/>
      </c>
      <c r="J53" s="1002"/>
      <c r="K53" s="1003"/>
      <c r="L53" s="1003"/>
      <c r="N53" s="52"/>
      <c r="O53" s="3" t="str">
        <f>IF($C51&lt;&gt;"","Show","Hide")</f>
        <v>Show</v>
      </c>
      <c r="AB53" s="52">
        <v>0</v>
      </c>
      <c r="AC53" s="52">
        <v>-9</v>
      </c>
      <c r="AD53" s="52">
        <f>IFERROR(IF(VLOOKUP($E51,$A$198:$E$205,3,FALSE)&gt;=$H53+AB53,3,IF(VLOOKUP($E51,$A$198:$E$205,4,FALSE)&gt;=$H53+AB53,2,IF(VLOOKUP($E51,$A$198:$E$205,5,FALSE)&gt;=$H53+AB53,1,"NOT MET"))),"")</f>
        <v>3</v>
      </c>
      <c r="AE53" s="52">
        <f>IFERROR(IF(VLOOKUP($E51,$A$198:$E$205,3,FALSE)&gt;=$H53+AC53,3,IF(VLOOKUP($E51,$A$198:$E$205,4,FALSE)&gt;=$H53+AC53,2,IF(VLOOKUP($E51,$A$198:$E$205,5,FALSE)&gt;=$H53+AC53,1,"NOT MET"))),"")</f>
        <v>3</v>
      </c>
      <c r="AF53" s="52" t="str">
        <f t="shared" si="1"/>
        <v>Yes</v>
      </c>
      <c r="AG53" s="52">
        <f t="shared" si="2"/>
        <v>3</v>
      </c>
      <c r="AH53" s="52"/>
    </row>
    <row r="54" spans="2:34" s="51" customFormat="1" ht="20.100000000000001" customHeight="1">
      <c r="B54" s="1007"/>
      <c r="C54" s="1001"/>
      <c r="D54" s="1001"/>
      <c r="E54" s="1001"/>
      <c r="F54" s="157" t="s">
        <v>224</v>
      </c>
      <c r="G54" s="157" t="str">
        <f>IF($AH$5=1,"NA",_xlfn.CONCAT("(",$AH$5," Point",IF($AH$5&gt;1,"s) ",") "),VLOOKUP($E51,$C$264:$F$270,1+$AH$5,FALSE),RIGHT(F54,4)))</f>
        <v>(2 Points) 85 dBC</v>
      </c>
      <c r="H54" s="159">
        <v>51.8</v>
      </c>
      <c r="I54" s="157" t="str">
        <f t="shared" si="0"/>
        <v/>
      </c>
      <c r="J54" s="1002"/>
      <c r="K54" s="1003"/>
      <c r="L54" s="1003"/>
      <c r="N54" s="52"/>
      <c r="O54" s="3" t="str">
        <f>IF($C51&lt;&gt;"","Show","Hide")</f>
        <v>Show</v>
      </c>
      <c r="AB54" s="52">
        <v>0</v>
      </c>
      <c r="AC54" s="52">
        <v>-9</v>
      </c>
      <c r="AD54" s="52">
        <f>IFERROR(IF(VLOOKUP($E51,$A$208:$E$215,3,FALSE)&gt;=$H54+AB54,3,IF(VLOOKUP($E51,$A$208:$E$215,4,FALSE)&gt;=$H54+AB54,2,IF(VLOOKUP($E51,$A$208:$E$215,5,FALSE)&gt;=$H54+AB54,1,"NOT MET"))),"")</f>
        <v>3</v>
      </c>
      <c r="AE54" s="52">
        <f>IFERROR(IF(VLOOKUP($E51,$A$208:$E$215,3,FALSE)&gt;=$H54+AC54,3,IF(VLOOKUP($E51,$A$208:$E$215,4,FALSE)&gt;=$H54+AC54,2,IF(VLOOKUP($E51,$A$208:$E$215,5,FALSE)&gt;=$H54+AC54,1,"NOT MET"))),"")</f>
        <v>3</v>
      </c>
      <c r="AF54" s="52" t="str">
        <f t="shared" si="1"/>
        <v>Yes</v>
      </c>
      <c r="AG54" s="52">
        <f t="shared" si="2"/>
        <v>3</v>
      </c>
      <c r="AH54" s="52"/>
    </row>
    <row r="55" spans="2:34" s="51" customFormat="1" ht="20.100000000000001" customHeight="1">
      <c r="B55" s="1007"/>
      <c r="C55" s="1001">
        <v>13</v>
      </c>
      <c r="D55" s="1001" t="s">
        <v>713</v>
      </c>
      <c r="E55" s="1001" t="s">
        <v>185</v>
      </c>
      <c r="F55" s="157" t="s">
        <v>227</v>
      </c>
      <c r="G55" s="157" t="str">
        <f>_xlfn.CONCAT("(", $AH$5, " Point", IF($AH$5&gt; 1,"s) ",") "),VLOOKUP($E55,$C$234:$F$241,1+$AH$5,FALSE), RIGHT(F55,4))</f>
        <v>(2 Points) 45 dBA</v>
      </c>
      <c r="H55" s="159">
        <v>42</v>
      </c>
      <c r="I55" s="157" t="str">
        <f t="shared" si="0"/>
        <v/>
      </c>
      <c r="J55" s="1002" t="s">
        <v>1456</v>
      </c>
      <c r="K55" s="1003"/>
      <c r="L55" s="1003"/>
      <c r="N55" s="52"/>
      <c r="O55" s="3" t="str">
        <f>IF($C55&lt;&gt;"","Show","Hide")</f>
        <v>Show</v>
      </c>
      <c r="AB55" s="52">
        <v>0</v>
      </c>
      <c r="AC55" s="52">
        <v>-4</v>
      </c>
      <c r="AD55" s="52">
        <f>IFERROR(IF(VLOOKUP($E55,$A$178:$E$185,3,FALSE)&gt;=$H55+AB55,3,IF(VLOOKUP($E55,$A$178:$E$185,4,FALSE)&gt;=$H55+AB55,2,IF(VLOOKUP($E55,$A$178:$E$185,5,FALSE)&gt;=$H55+AB55,1,"NOT MET"))),"")</f>
        <v>2</v>
      </c>
      <c r="AE55" s="52">
        <f>IFERROR(IF(VLOOKUP($E55,$A$178:$E$185,3,FALSE)&gt;=$H55+AC55,3,IF(VLOOKUP($E55,$A$178:$E$185,4,FALSE)&gt;=$H55+AC55,2,IF(VLOOKUP($E55,$A$178:$E$185,5,FALSE)&gt;=$H55+AC55,1,"NOT MET"))),"")</f>
        <v>3</v>
      </c>
      <c r="AF55" s="52" t="str">
        <f t="shared" si="1"/>
        <v>No</v>
      </c>
      <c r="AG55" s="52">
        <f t="shared" si="2"/>
        <v>3</v>
      </c>
      <c r="AH55" s="52"/>
    </row>
    <row r="56" spans="2:34" s="51" customFormat="1" ht="20.100000000000001" customHeight="1">
      <c r="B56" s="1007"/>
      <c r="C56" s="1001"/>
      <c r="D56" s="1001"/>
      <c r="E56" s="1001"/>
      <c r="F56" s="157" t="s">
        <v>226</v>
      </c>
      <c r="G56" s="157" t="str">
        <f>_xlfn.CONCAT("(", $AH$5, " Point", IF($AH$5&gt; 1,"s) ",") "),VLOOKUP($E55,$C$244:$F$250,1+$AH$5,FALSE), RIGHT(F56,4))</f>
        <v>(2 Points) 70 dBC</v>
      </c>
      <c r="H56" s="159">
        <v>54.1</v>
      </c>
      <c r="I56" s="157" t="str">
        <f t="shared" si="0"/>
        <v/>
      </c>
      <c r="J56" s="1002"/>
      <c r="K56" s="1003"/>
      <c r="L56" s="1003"/>
      <c r="N56" s="52"/>
      <c r="O56" s="3" t="str">
        <f>IF($C55&lt;&gt;"","Show","Hide")</f>
        <v>Show</v>
      </c>
      <c r="AB56" s="52">
        <v>0</v>
      </c>
      <c r="AC56" s="52">
        <v>-4</v>
      </c>
      <c r="AD56" s="52">
        <f>IFERROR(IF(VLOOKUP($E55,$A$188:$E$195,3,FALSE)&gt;=$H56+AB56,3,IF(VLOOKUP($E55,$A$188:$E$195,4,FALSE)&gt;=$H56+AB56,2,IF(VLOOKUP($E55,$A$188:$E$195,5,FALSE)&gt;=$H56+AB56,1,"NOT MET"))),"")</f>
        <v>3</v>
      </c>
      <c r="AE56" s="52">
        <f>IFERROR(IF(VLOOKUP($E55,$A$188:$E$195,3,FALSE)&gt;=$H56+AC56,3,IF(VLOOKUP($E55,$A$188:$E$195,4,FALSE)&gt;=$H56+AC56,2,IF(VLOOKUP($E55,$A$188:$E$195,5,FALSE)&gt;=$H56+AC56,1,"NOT MET"))),"")</f>
        <v>3</v>
      </c>
      <c r="AF56" s="52" t="str">
        <f t="shared" si="1"/>
        <v>No</v>
      </c>
      <c r="AG56" s="52">
        <f t="shared" si="2"/>
        <v>3</v>
      </c>
      <c r="AH56" s="52"/>
    </row>
    <row r="57" spans="2:34" s="51" customFormat="1" ht="20.100000000000001" customHeight="1">
      <c r="B57" s="1007"/>
      <c r="C57" s="1001"/>
      <c r="D57" s="1001"/>
      <c r="E57" s="1001"/>
      <c r="F57" s="157" t="s">
        <v>225</v>
      </c>
      <c r="G57" s="157" t="str">
        <f>IF($AH$5=1, "NA",_xlfn.CONCAT("(", $AH$5, " Point", IF($AH$5&gt; 1,"s) ",") "),VLOOKUP($E55,$C$254:$F$260,1+$AH$5,FALSE), RIGHT(F57,4)))</f>
        <v>(2 Points) 55 dBA</v>
      </c>
      <c r="H57" s="159">
        <v>42.5</v>
      </c>
      <c r="I57" s="157" t="str">
        <f t="shared" si="0"/>
        <v/>
      </c>
      <c r="J57" s="1002"/>
      <c r="K57" s="1003"/>
      <c r="L57" s="1003"/>
      <c r="N57" s="52"/>
      <c r="O57" s="3" t="str">
        <f>IF($C55&lt;&gt;"","Show","Hide")</f>
        <v>Show</v>
      </c>
      <c r="AB57" s="52">
        <v>0</v>
      </c>
      <c r="AC57" s="52">
        <v>-9</v>
      </c>
      <c r="AD57" s="52">
        <f>IFERROR(IF(VLOOKUP($E55,$A$198:$E$205,3,FALSE)&gt;=$H57+AB57,3,IF(VLOOKUP($E55,$A$198:$E$205,4,FALSE)&gt;=$H57+AB57,2,IF(VLOOKUP($E55,$A$198:$E$205,5,FALSE)&gt;=$H57+AB57,1,"NOT MET"))),"")</f>
        <v>3</v>
      </c>
      <c r="AE57" s="52">
        <f>IFERROR(IF(VLOOKUP($E55,$A$198:$E$205,3,FALSE)&gt;=$H57+AC57,3,IF(VLOOKUP($E55,$A$198:$E$205,4,FALSE)&gt;=$H57+AC57,2,IF(VLOOKUP($E55,$A$198:$E$205,5,FALSE)&gt;=$H57+AC57,1,"NOT MET"))),"")</f>
        <v>3</v>
      </c>
      <c r="AF57" s="52" t="str">
        <f t="shared" si="1"/>
        <v>Yes</v>
      </c>
      <c r="AG57" s="52">
        <f t="shared" si="2"/>
        <v>3</v>
      </c>
      <c r="AH57" s="52"/>
    </row>
    <row r="58" spans="2:34" s="51" customFormat="1" ht="20.100000000000001" customHeight="1">
      <c r="B58" s="1007"/>
      <c r="C58" s="1001"/>
      <c r="D58" s="1001"/>
      <c r="E58" s="1001"/>
      <c r="F58" s="157" t="s">
        <v>224</v>
      </c>
      <c r="G58" s="157" t="str">
        <f>IF($AH$5=1,"NA",_xlfn.CONCAT("(",$AH$5," Point",IF($AH$5&gt;1,"s) ",") "),VLOOKUP($E55,$C$264:$F$270,1+$AH$5,FALSE),RIGHT(F58,4)))</f>
        <v>(2 Points) 80 dBC</v>
      </c>
      <c r="H58" s="159">
        <v>55.4</v>
      </c>
      <c r="I58" s="157" t="str">
        <f t="shared" si="0"/>
        <v/>
      </c>
      <c r="J58" s="1002"/>
      <c r="K58" s="1003"/>
      <c r="L58" s="1003"/>
      <c r="N58" s="52"/>
      <c r="O58" s="3" t="str">
        <f>IF($C55&lt;&gt;"","Show","Hide")</f>
        <v>Show</v>
      </c>
      <c r="AB58" s="52">
        <v>0</v>
      </c>
      <c r="AC58" s="52">
        <v>-9</v>
      </c>
      <c r="AD58" s="52">
        <f>IFERROR(IF(VLOOKUP($E55,$A$208:$E$215,3,FALSE)&gt;=$H58+AB58,3,IF(VLOOKUP($E55,$A$208:$E$215,4,FALSE)&gt;=$H58+AB58,2,IF(VLOOKUP($E55,$A$208:$E$215,5,FALSE)&gt;=$H58+AB58,1,"NOT MET"))),"")</f>
        <v>3</v>
      </c>
      <c r="AE58" s="52">
        <f>IFERROR(IF(VLOOKUP($E55,$A$208:$E$215,3,FALSE)&gt;=$H58+AC58,3,IF(VLOOKUP($E55,$A$208:$E$215,4,FALSE)&gt;=$H58+AC58,2,IF(VLOOKUP($E55,$A$208:$E$215,5,FALSE)&gt;=$H58+AC58,1,"NOT MET"))),"")</f>
        <v>3</v>
      </c>
      <c r="AF58" s="52" t="str">
        <f t="shared" si="1"/>
        <v>Yes</v>
      </c>
      <c r="AG58" s="52">
        <f t="shared" si="2"/>
        <v>3</v>
      </c>
      <c r="AH58" s="52"/>
    </row>
    <row r="59" spans="2:34" s="51" customFormat="1" ht="20.100000000000001" customHeight="1">
      <c r="B59" s="1007"/>
      <c r="C59" s="1001">
        <v>14</v>
      </c>
      <c r="D59" s="1001" t="s">
        <v>714</v>
      </c>
      <c r="E59" s="1001" t="s">
        <v>183</v>
      </c>
      <c r="F59" s="157" t="s">
        <v>227</v>
      </c>
      <c r="G59" s="157" t="str">
        <f>_xlfn.CONCAT("(", $AH$5, " Point", IF($AH$5&gt; 1,"s) ",") "),VLOOKUP($E59,$C$234:$F$241,1+$AH$5,FALSE), RIGHT(F59,4))</f>
        <v>(2 Points) 40 dBA</v>
      </c>
      <c r="H59" s="159">
        <v>38.4</v>
      </c>
      <c r="I59" s="157" t="str">
        <f t="shared" ref="I59:I90" si="3">IF($AH$5&gt;IF(AD59="NOT MET",0,AD59),_xlfn.CONCAT(AC59*-1, " dB"),"")</f>
        <v/>
      </c>
      <c r="J59" s="1002" t="s">
        <v>1456</v>
      </c>
      <c r="K59" s="1003"/>
      <c r="L59" s="1003"/>
      <c r="N59" s="52"/>
      <c r="O59" s="3" t="str">
        <f>IF($C59&lt;&gt;"","Show","Hide")</f>
        <v>Show</v>
      </c>
      <c r="AB59" s="52">
        <v>0</v>
      </c>
      <c r="AC59" s="52">
        <v>-4</v>
      </c>
      <c r="AD59" s="52">
        <f>IFERROR(IF(VLOOKUP($E59,$A$178:$E$185,3,FALSE)&gt;=$H59+AB59,3,IF(VLOOKUP($E59,$A$178:$E$185,4,FALSE)&gt;=$H59+AB59,2,IF(VLOOKUP($E59,$A$178:$E$185,5,FALSE)&gt;=$H59+AB59,1,"NOT MET"))),"")</f>
        <v>2</v>
      </c>
      <c r="AE59" s="52">
        <f>IFERROR(IF(VLOOKUP($E59,$A$178:$E$185,3,FALSE)&gt;=$H59+AC59,3,IF(VLOOKUP($E59,$A$178:$E$185,4,FALSE)&gt;=$H59+AC59,2,IF(VLOOKUP($E59,$A$178:$E$185,5,FALSE)&gt;=$H59+AC59,1,"NOT MET"))),"")</f>
        <v>3</v>
      </c>
      <c r="AF59" s="52" t="str">
        <f t="shared" ref="AF59:AF90" si="4">IF(IF(LEFT(F59,4) = "Lmax", "Yes","No") = "Yes", IF(AE59="NOT MET","NOT MET", "Yes"),"No")</f>
        <v>No</v>
      </c>
      <c r="AG59" s="52">
        <f t="shared" ref="AG59:AG90" si="5">IF(AF59="NOT MET",1,AE59)</f>
        <v>3</v>
      </c>
      <c r="AH59" s="52"/>
    </row>
    <row r="60" spans="2:34" s="51" customFormat="1" ht="20.100000000000001" customHeight="1">
      <c r="B60" s="1007"/>
      <c r="C60" s="1001"/>
      <c r="D60" s="1001"/>
      <c r="E60" s="1001"/>
      <c r="F60" s="157" t="s">
        <v>226</v>
      </c>
      <c r="G60" s="157" t="str">
        <f>_xlfn.CONCAT("(", $AH$5, " Point", IF($AH$5&gt; 1,"s) ",") "),VLOOKUP($E59,$C$244:$F$250,1+$AH$5,FALSE), RIGHT(F60,4))</f>
        <v>(2 Points) 65 dBC</v>
      </c>
      <c r="H60" s="159">
        <v>49.1</v>
      </c>
      <c r="I60" s="157" t="str">
        <f t="shared" si="3"/>
        <v/>
      </c>
      <c r="J60" s="1002"/>
      <c r="K60" s="1003"/>
      <c r="L60" s="1003"/>
      <c r="N60" s="52"/>
      <c r="O60" s="3" t="str">
        <f>IF($C59&lt;&gt;"","Show","Hide")</f>
        <v>Show</v>
      </c>
      <c r="AB60" s="52">
        <v>0</v>
      </c>
      <c r="AC60" s="52">
        <v>-4</v>
      </c>
      <c r="AD60" s="52">
        <f>IFERROR(IF(VLOOKUP($E59,$A$188:$E$195,3,FALSE)&gt;=$H60+AB60,3,IF(VLOOKUP($E59,$A$188:$E$195,4,FALSE)&gt;=$H60+AB60,2,IF(VLOOKUP($E59,$A$188:$E$195,5,FALSE)&gt;=$H60+AB60,1,"NOT MET"))),"")</f>
        <v>3</v>
      </c>
      <c r="AE60" s="52">
        <f>IFERROR(IF(VLOOKUP($E59,$A$188:$E$195,3,FALSE)&gt;=$H60+AC60,3,IF(VLOOKUP($E59,$A$188:$E$195,4,FALSE)&gt;=$H60+AC60,2,IF(VLOOKUP($E59,$A$188:$E$195,5,FALSE)&gt;=$H60+AC60,1,"NOT MET"))),"")</f>
        <v>3</v>
      </c>
      <c r="AF60" s="52" t="str">
        <f t="shared" si="4"/>
        <v>No</v>
      </c>
      <c r="AG60" s="52">
        <f t="shared" si="5"/>
        <v>3</v>
      </c>
      <c r="AH60" s="52"/>
    </row>
    <row r="61" spans="2:34" s="51" customFormat="1" ht="20.100000000000001" customHeight="1">
      <c r="B61" s="1007"/>
      <c r="C61" s="1001"/>
      <c r="D61" s="1001"/>
      <c r="E61" s="1001"/>
      <c r="F61" s="157" t="s">
        <v>225</v>
      </c>
      <c r="G61" s="157" t="str">
        <f>IF($AH$5=1, "NA",_xlfn.CONCAT("(", $AH$5, " Point", IF($AH$5&gt; 1,"s) ",") "),VLOOKUP($E59,$C$254:$F$260,1+$AH$5,FALSE), RIGHT(F61,4)))</f>
        <v>(2 Points) 50 dBA</v>
      </c>
      <c r="H61" s="159">
        <v>38.799999999999997</v>
      </c>
      <c r="I61" s="157" t="str">
        <f t="shared" si="3"/>
        <v/>
      </c>
      <c r="J61" s="1002"/>
      <c r="K61" s="1003"/>
      <c r="L61" s="1003"/>
      <c r="N61" s="52"/>
      <c r="O61" s="3" t="str">
        <f>IF($C59&lt;&gt;"","Show","Hide")</f>
        <v>Show</v>
      </c>
      <c r="AB61" s="52">
        <v>0</v>
      </c>
      <c r="AC61" s="52">
        <v>-9</v>
      </c>
      <c r="AD61" s="52">
        <f>IFERROR(IF(VLOOKUP($E59,$A$198:$E$205,3,FALSE)&gt;=$H61+AB61,3,IF(VLOOKUP($E59,$A$198:$E$205,4,FALSE)&gt;=$H61+AB61,2,IF(VLOOKUP($E59,$A$198:$E$205,5,FALSE)&gt;=$H61+AB61,1,"NOT MET"))),"")</f>
        <v>3</v>
      </c>
      <c r="AE61" s="52">
        <f>IFERROR(IF(VLOOKUP($E59,$A$198:$E$205,3,FALSE)&gt;=$H61+AC61,3,IF(VLOOKUP($E59,$A$198:$E$205,4,FALSE)&gt;=$H61+AC61,2,IF(VLOOKUP($E59,$A$198:$E$205,5,FALSE)&gt;=$H61+AC61,1,"NOT MET"))),"")</f>
        <v>3</v>
      </c>
      <c r="AF61" s="52" t="str">
        <f t="shared" si="4"/>
        <v>Yes</v>
      </c>
      <c r="AG61" s="52">
        <f t="shared" si="5"/>
        <v>3</v>
      </c>
      <c r="AH61" s="52"/>
    </row>
    <row r="62" spans="2:34" s="51" customFormat="1" ht="20.100000000000001" customHeight="1">
      <c r="B62" s="1007"/>
      <c r="C62" s="1001"/>
      <c r="D62" s="1001"/>
      <c r="E62" s="1001"/>
      <c r="F62" s="157" t="s">
        <v>224</v>
      </c>
      <c r="G62" s="157" t="str">
        <f>IF($AH$5=1,"NA",_xlfn.CONCAT("(",$AH$5," Point",IF($AH$5&gt;1,"s) ",") "),VLOOKUP($E59,$C$264:$F$270,1+$AH$5,FALSE),RIGHT(F62,4)))</f>
        <v>(2 Points) 75 dBC</v>
      </c>
      <c r="H62" s="159">
        <v>51.7</v>
      </c>
      <c r="I62" s="157" t="str">
        <f t="shared" si="3"/>
        <v/>
      </c>
      <c r="J62" s="1002"/>
      <c r="K62" s="1003"/>
      <c r="L62" s="1003"/>
      <c r="N62" s="52"/>
      <c r="O62" s="3" t="str">
        <f>IF($C59&lt;&gt;"","Show","Hide")</f>
        <v>Show</v>
      </c>
      <c r="AB62" s="52">
        <v>0</v>
      </c>
      <c r="AC62" s="52">
        <v>-9</v>
      </c>
      <c r="AD62" s="52">
        <f>IFERROR(IF(VLOOKUP($E59,$A$208:$E$215,3,FALSE)&gt;=$H62+AB62,3,IF(VLOOKUP($E59,$A$208:$E$215,4,FALSE)&gt;=$H62+AB62,2,IF(VLOOKUP($E59,$A$208:$E$215,5,FALSE)&gt;=$H62+AB62,1,"NOT MET"))),"")</f>
        <v>3</v>
      </c>
      <c r="AE62" s="52">
        <f>IFERROR(IF(VLOOKUP($E59,$A$208:$E$215,3,FALSE)&gt;=$H62+AC62,3,IF(VLOOKUP($E59,$A$208:$E$215,4,FALSE)&gt;=$H62+AC62,2,IF(VLOOKUP($E59,$A$208:$E$215,5,FALSE)&gt;=$H62+AC62,1,"NOT MET"))),"")</f>
        <v>3</v>
      </c>
      <c r="AF62" s="52" t="str">
        <f t="shared" si="4"/>
        <v>Yes</v>
      </c>
      <c r="AG62" s="52">
        <f t="shared" si="5"/>
        <v>3</v>
      </c>
      <c r="AH62" s="52"/>
    </row>
    <row r="63" spans="2:34" s="51" customFormat="1" ht="20.100000000000001" customHeight="1">
      <c r="B63" s="1007"/>
      <c r="C63" s="1001">
        <v>15</v>
      </c>
      <c r="D63" s="1001" t="s">
        <v>715</v>
      </c>
      <c r="E63" s="1001" t="s">
        <v>187</v>
      </c>
      <c r="F63" s="157" t="s">
        <v>227</v>
      </c>
      <c r="G63" s="157" t="str">
        <f>_xlfn.CONCAT("(", $AH$5, " Point", IF($AH$5&gt; 1,"s) ",") "),VLOOKUP($E63,$C$234:$F$241,1+$AH$5,FALSE), RIGHT(F63,4))</f>
        <v>(2 Points) 50 dBA</v>
      </c>
      <c r="H63" s="159">
        <v>38.6</v>
      </c>
      <c r="I63" s="157" t="str">
        <f t="shared" si="3"/>
        <v/>
      </c>
      <c r="J63" s="1002" t="s">
        <v>1456</v>
      </c>
      <c r="K63" s="1003"/>
      <c r="L63" s="1003"/>
      <c r="N63" s="52"/>
      <c r="O63" s="3" t="str">
        <f>IF($C63&lt;&gt;"","Show","Hide")</f>
        <v>Show</v>
      </c>
      <c r="AB63" s="52">
        <v>0</v>
      </c>
      <c r="AC63" s="52">
        <v>-4</v>
      </c>
      <c r="AD63" s="52">
        <f>IFERROR(IF(VLOOKUP($E63,$A$178:$E$185,3,FALSE)&gt;=$H63+AB63,3,IF(VLOOKUP($E63,$A$178:$E$185,4,FALSE)&gt;=$H63+AB63,2,IF(VLOOKUP($E63,$A$178:$E$185,5,FALSE)&gt;=$H63+AB63,1,"NOT MET"))),"")</f>
        <v>3</v>
      </c>
      <c r="AE63" s="52">
        <f>IFERROR(IF(VLOOKUP($E63,$A$178:$E$185,3,FALSE)&gt;=$H63+AC63,3,IF(VLOOKUP($E63,$A$178:$E$185,4,FALSE)&gt;=$H63+AC63,2,IF(VLOOKUP($E63,$A$178:$E$185,5,FALSE)&gt;=$H63+AC63,1,"NOT MET"))),"")</f>
        <v>3</v>
      </c>
      <c r="AF63" s="52" t="str">
        <f t="shared" si="4"/>
        <v>No</v>
      </c>
      <c r="AG63" s="52">
        <f t="shared" si="5"/>
        <v>3</v>
      </c>
      <c r="AH63" s="52"/>
    </row>
    <row r="64" spans="2:34" s="51" customFormat="1" ht="20.100000000000001" customHeight="1">
      <c r="B64" s="1007"/>
      <c r="C64" s="1001"/>
      <c r="D64" s="1001"/>
      <c r="E64" s="1001"/>
      <c r="F64" s="157" t="s">
        <v>226</v>
      </c>
      <c r="G64" s="157" t="str">
        <f>_xlfn.CONCAT("(", $AH$5, " Point", IF($AH$5&gt; 1,"s) ",") "),VLOOKUP($E63,$C$244:$F$250,1+$AH$5,FALSE), RIGHT(F64,4))</f>
        <v>(2 Points) 75 dBC</v>
      </c>
      <c r="H64" s="159">
        <v>51.2</v>
      </c>
      <c r="I64" s="157" t="str">
        <f t="shared" si="3"/>
        <v/>
      </c>
      <c r="J64" s="1002"/>
      <c r="K64" s="1003"/>
      <c r="L64" s="1003"/>
      <c r="N64" s="52"/>
      <c r="O64" s="3" t="str">
        <f>IF($C63&lt;&gt;"","Show","Hide")</f>
        <v>Show</v>
      </c>
      <c r="AB64" s="52">
        <v>0</v>
      </c>
      <c r="AC64" s="52">
        <v>-4</v>
      </c>
      <c r="AD64" s="52">
        <f>IFERROR(IF(VLOOKUP($E63,$A$188:$E$195,3,FALSE)&gt;=$H64+AB64,3,IF(VLOOKUP($E63,$A$188:$E$195,4,FALSE)&gt;=$H64+AB64,2,IF(VLOOKUP($E63,$A$188:$E$195,5,FALSE)&gt;=$H64+AB64,1,"NOT MET"))),"")</f>
        <v>3</v>
      </c>
      <c r="AE64" s="52">
        <f>IFERROR(IF(VLOOKUP($E63,$A$188:$E$195,3,FALSE)&gt;=$H64+AC64,3,IF(VLOOKUP($E63,$A$188:$E$195,4,FALSE)&gt;=$H64+AC64,2,IF(VLOOKUP($E63,$A$188:$E$195,5,FALSE)&gt;=$H64+AC64,1,"NOT MET"))),"")</f>
        <v>3</v>
      </c>
      <c r="AF64" s="52" t="str">
        <f t="shared" si="4"/>
        <v>No</v>
      </c>
      <c r="AG64" s="52">
        <f t="shared" si="5"/>
        <v>3</v>
      </c>
      <c r="AH64" s="52"/>
    </row>
    <row r="65" spans="2:34" s="51" customFormat="1" ht="20.100000000000001" customHeight="1">
      <c r="B65" s="1007"/>
      <c r="C65" s="1001"/>
      <c r="D65" s="1001"/>
      <c r="E65" s="1001"/>
      <c r="F65" s="157" t="s">
        <v>225</v>
      </c>
      <c r="G65" s="157" t="str">
        <f>IF($AH$5=1, "NA",_xlfn.CONCAT("(", $AH$5, " Point", IF($AH$5&gt; 1,"s) ",") "),VLOOKUP($E63,$C$254:$F$260,1+$AH$5,FALSE), RIGHT(F65,4)))</f>
        <v>(2 Points) 60 dBA</v>
      </c>
      <c r="H65" s="159">
        <v>41.3</v>
      </c>
      <c r="I65" s="157" t="str">
        <f t="shared" si="3"/>
        <v/>
      </c>
      <c r="J65" s="1002"/>
      <c r="K65" s="1003"/>
      <c r="L65" s="1003"/>
      <c r="N65" s="52"/>
      <c r="O65" s="3" t="str">
        <f>IF($C63&lt;&gt;"","Show","Hide")</f>
        <v>Show</v>
      </c>
      <c r="P65" s="126"/>
      <c r="AB65" s="52">
        <v>0</v>
      </c>
      <c r="AC65" s="52">
        <v>-9</v>
      </c>
      <c r="AD65" s="52">
        <f>IFERROR(IF(VLOOKUP($E63,$A$198:$E$205,3,FALSE)&gt;=$H65+AB65,3,IF(VLOOKUP($E63,$A$198:$E$205,4,FALSE)&gt;=$H65+AB65,2,IF(VLOOKUP($E63,$A$198:$E$205,5,FALSE)&gt;=$H65+AB65,1,"NOT MET"))),"")</f>
        <v>3</v>
      </c>
      <c r="AE65" s="52">
        <f>IFERROR(IF(VLOOKUP($E63,$A$198:$E$205,3,FALSE)&gt;=$H65+AC65,3,IF(VLOOKUP($E63,$A$198:$E$205,4,FALSE)&gt;=$H65+AC65,2,IF(VLOOKUP($E63,$A$198:$E$205,5,FALSE)&gt;=$H65+AC65,1,"NOT MET"))),"")</f>
        <v>3</v>
      </c>
      <c r="AF65" s="52" t="str">
        <f t="shared" si="4"/>
        <v>Yes</v>
      </c>
      <c r="AG65" s="52">
        <f t="shared" si="5"/>
        <v>3</v>
      </c>
      <c r="AH65" s="52"/>
    </row>
    <row r="66" spans="2:34" s="51" customFormat="1" ht="20.100000000000001" customHeight="1">
      <c r="B66" s="1007"/>
      <c r="C66" s="1001"/>
      <c r="D66" s="1001"/>
      <c r="E66" s="1001"/>
      <c r="F66" s="157" t="s">
        <v>224</v>
      </c>
      <c r="G66" s="157" t="str">
        <f>IF($AH$5=1,"NA",_xlfn.CONCAT("(",$AH$5," Point",IF($AH$5&gt;1,"s) ",") "),VLOOKUP($E63,$C$264:$F$270,1+$AH$5,FALSE),RIGHT(F66,4)))</f>
        <v>(2 Points) 85 dBC</v>
      </c>
      <c r="H66" s="159">
        <v>52.8</v>
      </c>
      <c r="I66" s="157" t="str">
        <f t="shared" si="3"/>
        <v/>
      </c>
      <c r="J66" s="1002"/>
      <c r="K66" s="1003"/>
      <c r="L66" s="1003"/>
      <c r="N66" s="52"/>
      <c r="O66" s="3" t="str">
        <f>IF($C63&lt;&gt;"","Show","Hide")</f>
        <v>Show</v>
      </c>
      <c r="AB66" s="52">
        <v>0</v>
      </c>
      <c r="AC66" s="52">
        <v>-9</v>
      </c>
      <c r="AD66" s="52">
        <f>IFERROR(IF(VLOOKUP($E63,$A$208:$E$215,3,FALSE)&gt;=$H66+AB66,3,IF(VLOOKUP($E63,$A$208:$E$215,4,FALSE)&gt;=$H66+AB66,2,IF(VLOOKUP($E63,$A$208:$E$215,5,FALSE)&gt;=$H66+AB66,1,"NOT MET"))),"")</f>
        <v>3</v>
      </c>
      <c r="AE66" s="52">
        <f>IFERROR(IF(VLOOKUP($E63,$A$208:$E$215,3,FALSE)&gt;=$H66+AC66,3,IF(VLOOKUP($E63,$A$208:$E$215,4,FALSE)&gt;=$H66+AC66,2,IF(VLOOKUP($E63,$A$208:$E$215,5,FALSE)&gt;=$H66+AC66,1,"NOT MET"))),"")</f>
        <v>3</v>
      </c>
      <c r="AF66" s="52" t="str">
        <f t="shared" si="4"/>
        <v>Yes</v>
      </c>
      <c r="AG66" s="52">
        <f t="shared" si="5"/>
        <v>3</v>
      </c>
      <c r="AH66" s="52"/>
    </row>
    <row r="67" spans="2:34" s="51" customFormat="1" ht="20.100000000000001" customHeight="1">
      <c r="B67" s="1007"/>
      <c r="C67" s="1001">
        <v>16</v>
      </c>
      <c r="D67" s="1001" t="s">
        <v>716</v>
      </c>
      <c r="E67" s="1001" t="s">
        <v>185</v>
      </c>
      <c r="F67" s="157" t="s">
        <v>227</v>
      </c>
      <c r="G67" s="157" t="str">
        <f>_xlfn.CONCAT("(", $AH$5, " Point", IF($AH$5&gt; 1,"s) ",") "),VLOOKUP($E67,$C$234:$F$241,1+$AH$5,FALSE), RIGHT(F67,4))</f>
        <v>(2 Points) 45 dBA</v>
      </c>
      <c r="H67" s="159">
        <v>42.5</v>
      </c>
      <c r="I67" s="157" t="str">
        <f t="shared" si="3"/>
        <v/>
      </c>
      <c r="J67" s="1002" t="s">
        <v>1456</v>
      </c>
      <c r="K67" s="1003"/>
      <c r="L67" s="1003"/>
      <c r="N67" s="52"/>
      <c r="O67" s="3" t="str">
        <f>IF($C67&lt;&gt;"","Show","Hide")</f>
        <v>Show</v>
      </c>
      <c r="AB67" s="52">
        <v>0</v>
      </c>
      <c r="AC67" s="52">
        <v>-4</v>
      </c>
      <c r="AD67" s="52">
        <f>IFERROR(IF(VLOOKUP($E67,$A$178:$E$185,3,FALSE)&gt;=$H67+AB67,3,IF(VLOOKUP($E67,$A$178:$E$185,4,FALSE)&gt;=$H67+AB67,2,IF(VLOOKUP($E67,$A$178:$E$185,5,FALSE)&gt;=$H67+AB67,1,"NOT MET"))),"")</f>
        <v>2</v>
      </c>
      <c r="AE67" s="52">
        <f>IFERROR(IF(VLOOKUP($E67,$A$178:$E$185,3,FALSE)&gt;=$H67+AC67,3,IF(VLOOKUP($E67,$A$178:$E$185,4,FALSE)&gt;=$H67+AC67,2,IF(VLOOKUP($E67,$A$178:$E$185,5,FALSE)&gt;=$H67+AC67,1,"NOT MET"))),"")</f>
        <v>3</v>
      </c>
      <c r="AF67" s="52" t="str">
        <f t="shared" si="4"/>
        <v>No</v>
      </c>
      <c r="AG67" s="52">
        <f t="shared" si="5"/>
        <v>3</v>
      </c>
      <c r="AH67" s="52"/>
    </row>
    <row r="68" spans="2:34" s="51" customFormat="1" ht="20.100000000000001" customHeight="1">
      <c r="B68" s="1007"/>
      <c r="C68" s="1001"/>
      <c r="D68" s="1001"/>
      <c r="E68" s="1001"/>
      <c r="F68" s="157" t="s">
        <v>226</v>
      </c>
      <c r="G68" s="157" t="str">
        <f>_xlfn.CONCAT("(", $AH$5, " Point", IF($AH$5&gt; 1,"s) ",") "),VLOOKUP($E67,$C$244:$F$250,1+$AH$5,FALSE), RIGHT(F68,4))</f>
        <v>(2 Points) 70 dBC</v>
      </c>
      <c r="H68" s="159">
        <v>56.4</v>
      </c>
      <c r="I68" s="157" t="str">
        <f t="shared" si="3"/>
        <v/>
      </c>
      <c r="J68" s="1002"/>
      <c r="K68" s="1003"/>
      <c r="L68" s="1003"/>
      <c r="N68" s="52"/>
      <c r="O68" s="3" t="str">
        <f>IF($C67&lt;&gt;"","Show","Hide")</f>
        <v>Show</v>
      </c>
      <c r="AB68" s="52">
        <v>0</v>
      </c>
      <c r="AC68" s="52">
        <v>-4</v>
      </c>
      <c r="AD68" s="52">
        <f>IFERROR(IF(VLOOKUP($E67,$A$188:$E$195,3,FALSE)&gt;=$H68+AB68,3,IF(VLOOKUP($E67,$A$188:$E$195,4,FALSE)&gt;=$H68+AB68,2,IF(VLOOKUP($E67,$A$188:$E$195,5,FALSE)&gt;=$H68+AB68,1,"NOT MET"))),"")</f>
        <v>3</v>
      </c>
      <c r="AE68" s="52">
        <f>IFERROR(IF(VLOOKUP($E67,$A$188:$E$195,3,FALSE)&gt;=$H68+AC68,3,IF(VLOOKUP($E67,$A$188:$E$195,4,FALSE)&gt;=$H68+AC68,2,IF(VLOOKUP($E67,$A$188:$E$195,5,FALSE)&gt;=$H68+AC68,1,"NOT MET"))),"")</f>
        <v>3</v>
      </c>
      <c r="AF68" s="52" t="str">
        <f t="shared" si="4"/>
        <v>No</v>
      </c>
      <c r="AG68" s="52">
        <f t="shared" si="5"/>
        <v>3</v>
      </c>
      <c r="AH68" s="52"/>
    </row>
    <row r="69" spans="2:34" s="51" customFormat="1" ht="20.100000000000001" customHeight="1">
      <c r="B69" s="1007"/>
      <c r="C69" s="1001"/>
      <c r="D69" s="1001"/>
      <c r="E69" s="1001"/>
      <c r="F69" s="157" t="s">
        <v>225</v>
      </c>
      <c r="G69" s="157" t="str">
        <f>IF($AH$5=1, "NA",_xlfn.CONCAT("(", $AH$5, " Point", IF($AH$5&gt; 1,"s) ",") "),VLOOKUP($E67,$C$254:$F$260,1+$AH$5,FALSE), RIGHT(F69,4)))</f>
        <v>(2 Points) 55 dBA</v>
      </c>
      <c r="H69" s="159">
        <v>43.3</v>
      </c>
      <c r="I69" s="157" t="str">
        <f t="shared" si="3"/>
        <v/>
      </c>
      <c r="J69" s="1002"/>
      <c r="K69" s="1003"/>
      <c r="L69" s="1003"/>
      <c r="N69" s="52"/>
      <c r="O69" s="3" t="str">
        <f>IF($C67&lt;&gt;"","Show","Hide")</f>
        <v>Show</v>
      </c>
      <c r="AB69" s="52">
        <v>0</v>
      </c>
      <c r="AC69" s="52">
        <v>-9</v>
      </c>
      <c r="AD69" s="52">
        <f>IFERROR(IF(VLOOKUP($E67,$A$198:$E$205,3,FALSE)&gt;=$H69+AB69,3,IF(VLOOKUP($E67,$A$198:$E$205,4,FALSE)&gt;=$H69+AB69,2,IF(VLOOKUP($E67,$A$198:$E$205,5,FALSE)&gt;=$H69+AB69,1,"NOT MET"))),"")</f>
        <v>3</v>
      </c>
      <c r="AE69" s="52">
        <f>IFERROR(IF(VLOOKUP($E67,$A$198:$E$205,3,FALSE)&gt;=$H69+AC69,3,IF(VLOOKUP($E67,$A$198:$E$205,4,FALSE)&gt;=$H69+AC69,2,IF(VLOOKUP($E67,$A$198:$E$205,5,FALSE)&gt;=$H69+AC69,1,"NOT MET"))),"")</f>
        <v>3</v>
      </c>
      <c r="AF69" s="52" t="str">
        <f t="shared" si="4"/>
        <v>Yes</v>
      </c>
      <c r="AG69" s="52">
        <f t="shared" si="5"/>
        <v>3</v>
      </c>
      <c r="AH69" s="52"/>
    </row>
    <row r="70" spans="2:34" s="51" customFormat="1" ht="20.100000000000001" customHeight="1">
      <c r="B70" s="1007"/>
      <c r="C70" s="1001"/>
      <c r="D70" s="1001"/>
      <c r="E70" s="1001"/>
      <c r="F70" s="157" t="s">
        <v>224</v>
      </c>
      <c r="G70" s="157" t="str">
        <f>IF($AH$5=1,"NA",_xlfn.CONCAT("(",$AH$5," Point",IF($AH$5&gt;1,"s) ",") "),VLOOKUP($E67,$C$264:$F$270,1+$AH$5,FALSE),RIGHT(F70,4)))</f>
        <v>(2 Points) 80 dBC</v>
      </c>
      <c r="H70" s="159">
        <v>58.2</v>
      </c>
      <c r="I70" s="157" t="str">
        <f t="shared" si="3"/>
        <v/>
      </c>
      <c r="J70" s="1002"/>
      <c r="K70" s="1003"/>
      <c r="L70" s="1003"/>
      <c r="N70" s="52"/>
      <c r="O70" s="3" t="str">
        <f>IF($C67&lt;&gt;"","Show","Hide")</f>
        <v>Show</v>
      </c>
      <c r="AB70" s="52">
        <v>0</v>
      </c>
      <c r="AC70" s="52">
        <v>-9</v>
      </c>
      <c r="AD70" s="52">
        <f>IFERROR(IF(VLOOKUP($E67,$A$208:$E$215,3,FALSE)&gt;=$H70+AB70,3,IF(VLOOKUP($E67,$A$208:$E$215,4,FALSE)&gt;=$H70+AB70,2,IF(VLOOKUP($E67,$A$208:$E$215,5,FALSE)&gt;=$H70+AB70,1,"NOT MET"))),"")</f>
        <v>3</v>
      </c>
      <c r="AE70" s="52">
        <f>IFERROR(IF(VLOOKUP($E67,$A$208:$E$215,3,FALSE)&gt;=$H70+AC70,3,IF(VLOOKUP($E67,$A$208:$E$215,4,FALSE)&gt;=$H70+AC70,2,IF(VLOOKUP($E67,$A$208:$E$215,5,FALSE)&gt;=$H70+AC70,1,"NOT MET"))),"")</f>
        <v>3</v>
      </c>
      <c r="AF70" s="52" t="str">
        <f t="shared" si="4"/>
        <v>Yes</v>
      </c>
      <c r="AG70" s="52">
        <f t="shared" si="5"/>
        <v>3</v>
      </c>
      <c r="AH70" s="52"/>
    </row>
    <row r="71" spans="2:34" s="51" customFormat="1" ht="20.100000000000001" customHeight="1">
      <c r="B71" s="1007"/>
      <c r="C71" s="1001">
        <v>17</v>
      </c>
      <c r="D71" s="1001" t="s">
        <v>717</v>
      </c>
      <c r="E71" s="1001" t="s">
        <v>183</v>
      </c>
      <c r="F71" s="157" t="s">
        <v>227</v>
      </c>
      <c r="G71" s="157" t="str">
        <f>_xlfn.CONCAT("(", $AH$5, " Point", IF($AH$5&gt; 1,"s) ",") "),VLOOKUP($E71,$C$234:$F$241,1+$AH$5,FALSE), RIGHT(F71,4))</f>
        <v>(2 Points) 40 dBA</v>
      </c>
      <c r="H71" s="159">
        <v>33.200000000000003</v>
      </c>
      <c r="I71" s="157" t="str">
        <f t="shared" si="3"/>
        <v/>
      </c>
      <c r="J71" s="1002" t="s">
        <v>1456</v>
      </c>
      <c r="K71" s="1003"/>
      <c r="L71" s="1003"/>
      <c r="N71" s="52"/>
      <c r="O71" s="3" t="str">
        <f>IF($C71&lt;&gt;"","Show","Hide")</f>
        <v>Show</v>
      </c>
      <c r="AB71" s="52">
        <v>0</v>
      </c>
      <c r="AC71" s="52">
        <v>-4</v>
      </c>
      <c r="AD71" s="52">
        <f>IFERROR(IF(VLOOKUP($E71,$A$178:$E$185,3,FALSE)&gt;=$H71+AB71,3,IF(VLOOKUP($E71,$A$178:$E$185,4,FALSE)&gt;=$H71+AB71,2,IF(VLOOKUP($E71,$A$178:$E$185,5,FALSE)&gt;=$H71+AB71,1,"NOT MET"))),"")</f>
        <v>3</v>
      </c>
      <c r="AE71" s="52">
        <f>IFERROR(IF(VLOOKUP($E71,$A$178:$E$185,3,FALSE)&gt;=$H71+AC71,3,IF(VLOOKUP($E71,$A$178:$E$185,4,FALSE)&gt;=$H71+AC71,2,IF(VLOOKUP($E71,$A$178:$E$185,5,FALSE)&gt;=$H71+AC71,1,"NOT MET"))),"")</f>
        <v>3</v>
      </c>
      <c r="AF71" s="52" t="str">
        <f t="shared" si="4"/>
        <v>No</v>
      </c>
      <c r="AG71" s="52">
        <f t="shared" si="5"/>
        <v>3</v>
      </c>
      <c r="AH71" s="52"/>
    </row>
    <row r="72" spans="2:34" s="51" customFormat="1" ht="20.100000000000001" customHeight="1">
      <c r="B72" s="1007"/>
      <c r="C72" s="1001"/>
      <c r="D72" s="1001"/>
      <c r="E72" s="1001"/>
      <c r="F72" s="157" t="s">
        <v>226</v>
      </c>
      <c r="G72" s="157" t="str">
        <f>_xlfn.CONCAT("(", $AH$5, " Point", IF($AH$5&gt; 1,"s) ",") "),VLOOKUP($E71,$C$244:$F$250,1+$AH$5,FALSE), RIGHT(F72,4))</f>
        <v>(2 Points) 65 dBC</v>
      </c>
      <c r="H72" s="159">
        <v>52.9</v>
      </c>
      <c r="I72" s="157" t="str">
        <f t="shared" si="3"/>
        <v/>
      </c>
      <c r="J72" s="1002"/>
      <c r="K72" s="1003"/>
      <c r="L72" s="1003"/>
      <c r="N72" s="52"/>
      <c r="O72" s="3" t="str">
        <f>IF($C71&lt;&gt;"","Show","Hide")</f>
        <v>Show</v>
      </c>
      <c r="AB72" s="52">
        <v>0</v>
      </c>
      <c r="AC72" s="52">
        <v>-4</v>
      </c>
      <c r="AD72" s="52">
        <f>IFERROR(IF(VLOOKUP($E71,$A$188:$E$195,3,FALSE)&gt;=$H72+AB72,3,IF(VLOOKUP($E71,$A$188:$E$195,4,FALSE)&gt;=$H72+AB72,2,IF(VLOOKUP($E71,$A$188:$E$195,5,FALSE)&gt;=$H72+AB72,1,"NOT MET"))),"")</f>
        <v>3</v>
      </c>
      <c r="AE72" s="52">
        <f>IFERROR(IF(VLOOKUP($E71,$A$188:$E$195,3,FALSE)&gt;=$H72+AC72,3,IF(VLOOKUP($E71,$A$188:$E$195,4,FALSE)&gt;=$H72+AC72,2,IF(VLOOKUP($E71,$A$188:$E$195,5,FALSE)&gt;=$H72+AC72,1,"NOT MET"))),"")</f>
        <v>3</v>
      </c>
      <c r="AF72" s="52" t="str">
        <f t="shared" si="4"/>
        <v>No</v>
      </c>
      <c r="AG72" s="52">
        <f t="shared" si="5"/>
        <v>3</v>
      </c>
      <c r="AH72" s="52"/>
    </row>
    <row r="73" spans="2:34" s="51" customFormat="1" ht="20.100000000000001" customHeight="1">
      <c r="B73" s="1007"/>
      <c r="C73" s="1001"/>
      <c r="D73" s="1001"/>
      <c r="E73" s="1001"/>
      <c r="F73" s="157" t="s">
        <v>225</v>
      </c>
      <c r="G73" s="157" t="str">
        <f>IF($AH$5=1, "NA",_xlfn.CONCAT("(", $AH$5, " Point", IF($AH$5&gt; 1,"s) ",") "),VLOOKUP($E71,$C$254:$F$260,1+$AH$5,FALSE), RIGHT(F73,4)))</f>
        <v>(2 Points) 50 dBA</v>
      </c>
      <c r="H73" s="159">
        <v>35.299999999999997</v>
      </c>
      <c r="I73" s="157" t="str">
        <f t="shared" si="3"/>
        <v/>
      </c>
      <c r="J73" s="1002"/>
      <c r="K73" s="1003"/>
      <c r="L73" s="1003"/>
      <c r="N73" s="52"/>
      <c r="O73" s="3" t="str">
        <f>IF($C71&lt;&gt;"","Show","Hide")</f>
        <v>Show</v>
      </c>
      <c r="AB73" s="52">
        <v>0</v>
      </c>
      <c r="AC73" s="52">
        <v>-9</v>
      </c>
      <c r="AD73" s="52">
        <f>IFERROR(IF(VLOOKUP($E71,$A$198:$E$205,3,FALSE)&gt;=$H73+AB73,3,IF(VLOOKUP($E71,$A$198:$E$205,4,FALSE)&gt;=$H73+AB73,2,IF(VLOOKUP($E71,$A$198:$E$205,5,FALSE)&gt;=$H73+AB73,1,"NOT MET"))),"")</f>
        <v>3</v>
      </c>
      <c r="AE73" s="52">
        <f>IFERROR(IF(VLOOKUP($E71,$A$198:$E$205,3,FALSE)&gt;=$H73+AC73,3,IF(VLOOKUP($E71,$A$198:$E$205,4,FALSE)&gt;=$H73+AC73,2,IF(VLOOKUP($E71,$A$198:$E$205,5,FALSE)&gt;=$H73+AC73,1,"NOT MET"))),"")</f>
        <v>3</v>
      </c>
      <c r="AF73" s="52" t="str">
        <f t="shared" si="4"/>
        <v>Yes</v>
      </c>
      <c r="AG73" s="52">
        <f t="shared" si="5"/>
        <v>3</v>
      </c>
      <c r="AH73" s="52"/>
    </row>
    <row r="74" spans="2:34" s="51" customFormat="1" ht="20.100000000000001" customHeight="1">
      <c r="B74" s="1007"/>
      <c r="C74" s="1001"/>
      <c r="D74" s="1001"/>
      <c r="E74" s="1001"/>
      <c r="F74" s="157" t="s">
        <v>224</v>
      </c>
      <c r="G74" s="157" t="str">
        <f>IF($AH$5=1,"NA",_xlfn.CONCAT("(",$AH$5," Point",IF($AH$5&gt;1,"s) ",") "),VLOOKUP($E71,$C$264:$F$270,1+$AH$5,FALSE),RIGHT(F74,4)))</f>
        <v>(2 Points) 75 dBC</v>
      </c>
      <c r="H74" s="159">
        <v>55.7</v>
      </c>
      <c r="I74" s="157" t="str">
        <f t="shared" si="3"/>
        <v/>
      </c>
      <c r="J74" s="1002"/>
      <c r="K74" s="1003"/>
      <c r="L74" s="1003"/>
      <c r="N74" s="52"/>
      <c r="O74" s="3" t="str">
        <f>IF($C71&lt;&gt;"","Show","Hide")</f>
        <v>Show</v>
      </c>
      <c r="AB74" s="52">
        <v>0</v>
      </c>
      <c r="AC74" s="52">
        <v>-9</v>
      </c>
      <c r="AD74" s="52">
        <f>IFERROR(IF(VLOOKUP($E71,$A$208:$E$215,3,FALSE)&gt;=$H74+AB74,3,IF(VLOOKUP($E71,$A$208:$E$215,4,FALSE)&gt;=$H74+AB74,2,IF(VLOOKUP($E71,$A$208:$E$215,5,FALSE)&gt;=$H74+AB74,1,"NOT MET"))),"")</f>
        <v>3</v>
      </c>
      <c r="AE74" s="52">
        <f>IFERROR(IF(VLOOKUP($E71,$A$208:$E$215,3,FALSE)&gt;=$H74+AC74,3,IF(VLOOKUP($E71,$A$208:$E$215,4,FALSE)&gt;=$H74+AC74,2,IF(VLOOKUP($E71,$A$208:$E$215,5,FALSE)&gt;=$H74+AC74,1,"NOT MET"))),"")</f>
        <v>3</v>
      </c>
      <c r="AF74" s="52" t="str">
        <f t="shared" si="4"/>
        <v>Yes</v>
      </c>
      <c r="AG74" s="52">
        <f t="shared" si="5"/>
        <v>3</v>
      </c>
      <c r="AH74" s="52"/>
    </row>
    <row r="75" spans="2:34" s="51" customFormat="1" ht="20.100000000000001" customHeight="1">
      <c r="B75" s="1007"/>
      <c r="C75" s="1001">
        <v>18</v>
      </c>
      <c r="D75" s="1001" t="s">
        <v>718</v>
      </c>
      <c r="E75" s="1001" t="s">
        <v>187</v>
      </c>
      <c r="F75" s="157" t="s">
        <v>227</v>
      </c>
      <c r="G75" s="157" t="str">
        <f>_xlfn.CONCAT("(", $AH$5, " Point", IF($AH$5&gt; 1,"s) ",") "),VLOOKUP($E75,$C$234:$F$241,1+$AH$5,FALSE), RIGHT(F75,4))</f>
        <v>(2 Points) 50 dBA</v>
      </c>
      <c r="H75" s="159">
        <v>42.8</v>
      </c>
      <c r="I75" s="157" t="str">
        <f t="shared" si="3"/>
        <v/>
      </c>
      <c r="J75" s="1002" t="s">
        <v>1456</v>
      </c>
      <c r="K75" s="1003"/>
      <c r="L75" s="1003"/>
      <c r="N75" s="52"/>
      <c r="O75" s="3" t="str">
        <f>IF($C75&lt;&gt;"","Show","Hide")</f>
        <v>Show</v>
      </c>
      <c r="AB75" s="52">
        <v>0</v>
      </c>
      <c r="AC75" s="52">
        <v>-4</v>
      </c>
      <c r="AD75" s="52">
        <f>IFERROR(IF(VLOOKUP($E75,$A$178:$E$185,3,FALSE)&gt;=$H75+AB75,3,IF(VLOOKUP($E75,$A$178:$E$185,4,FALSE)&gt;=$H75+AB75,2,IF(VLOOKUP($E75,$A$178:$E$185,5,FALSE)&gt;=$H75+AB75,1,"NOT MET"))),"")</f>
        <v>3</v>
      </c>
      <c r="AE75" s="52">
        <f>IFERROR(IF(VLOOKUP($E75,$A$178:$E$185,3,FALSE)&gt;=$H75+AC75,3,IF(VLOOKUP($E75,$A$178:$E$185,4,FALSE)&gt;=$H75+AC75,2,IF(VLOOKUP($E75,$A$178:$E$185,5,FALSE)&gt;=$H75+AC75,1,"NOT MET"))),"")</f>
        <v>3</v>
      </c>
      <c r="AF75" s="52" t="str">
        <f t="shared" si="4"/>
        <v>No</v>
      </c>
      <c r="AG75" s="52">
        <f t="shared" si="5"/>
        <v>3</v>
      </c>
      <c r="AH75" s="52"/>
    </row>
    <row r="76" spans="2:34" s="51" customFormat="1" ht="20.100000000000001" customHeight="1">
      <c r="B76" s="1007"/>
      <c r="C76" s="1001"/>
      <c r="D76" s="1001"/>
      <c r="E76" s="1001"/>
      <c r="F76" s="157" t="s">
        <v>226</v>
      </c>
      <c r="G76" s="157" t="str">
        <f>_xlfn.CONCAT("(", $AH$5, " Point", IF($AH$5&gt; 1,"s) ",") "),VLOOKUP($E75,$C$244:$F$250,1+$AH$5,FALSE), RIGHT(F76,4))</f>
        <v>(2 Points) 75 dBC</v>
      </c>
      <c r="H76" s="159">
        <v>54.8</v>
      </c>
      <c r="I76" s="157" t="str">
        <f t="shared" si="3"/>
        <v/>
      </c>
      <c r="J76" s="1002"/>
      <c r="K76" s="1003"/>
      <c r="L76" s="1003"/>
      <c r="N76" s="52"/>
      <c r="O76" s="3" t="str">
        <f>IF($C75&lt;&gt;"","Show","Hide")</f>
        <v>Show</v>
      </c>
      <c r="AB76" s="52">
        <v>0</v>
      </c>
      <c r="AC76" s="52">
        <v>-4</v>
      </c>
      <c r="AD76" s="52">
        <f>IFERROR(IF(VLOOKUP($E75,$A$188:$E$195,3,FALSE)&gt;=$H76+AB76,3,IF(VLOOKUP($E75,$A$188:$E$195,4,FALSE)&gt;=$H76+AB76,2,IF(VLOOKUP($E75,$A$188:$E$195,5,FALSE)&gt;=$H76+AB76,1,"NOT MET"))),"")</f>
        <v>3</v>
      </c>
      <c r="AE76" s="52">
        <f>IFERROR(IF(VLOOKUP($E75,$A$188:$E$195,3,FALSE)&gt;=$H76+AC76,3,IF(VLOOKUP($E75,$A$188:$E$195,4,FALSE)&gt;=$H76+AC76,2,IF(VLOOKUP($E75,$A$188:$E$195,5,FALSE)&gt;=$H76+AC76,1,"NOT MET"))),"")</f>
        <v>3</v>
      </c>
      <c r="AF76" s="52" t="str">
        <f t="shared" si="4"/>
        <v>No</v>
      </c>
      <c r="AG76" s="52">
        <f t="shared" si="5"/>
        <v>3</v>
      </c>
      <c r="AH76" s="52"/>
    </row>
    <row r="77" spans="2:34" s="51" customFormat="1" ht="20.100000000000001" customHeight="1">
      <c r="B77" s="1007"/>
      <c r="C77" s="1001"/>
      <c r="D77" s="1001"/>
      <c r="E77" s="1001"/>
      <c r="F77" s="157" t="s">
        <v>225</v>
      </c>
      <c r="G77" s="157" t="str">
        <f>IF($AH$5=1, "NA",_xlfn.CONCAT("(", $AH$5, " Point", IF($AH$5&gt; 1,"s) ",") "),VLOOKUP($E75,$C$254:$F$260,1+$AH$5,FALSE), RIGHT(F77,4)))</f>
        <v>(2 Points) 60 dBA</v>
      </c>
      <c r="H77" s="159">
        <v>45.7</v>
      </c>
      <c r="I77" s="157" t="str">
        <f t="shared" si="3"/>
        <v/>
      </c>
      <c r="J77" s="1002"/>
      <c r="K77" s="1003"/>
      <c r="L77" s="1003"/>
      <c r="N77" s="52"/>
      <c r="O77" s="3" t="str">
        <f>IF($C75&lt;&gt;"","Show","Hide")</f>
        <v>Show</v>
      </c>
      <c r="AB77" s="52">
        <v>0</v>
      </c>
      <c r="AC77" s="52">
        <v>-9</v>
      </c>
      <c r="AD77" s="52">
        <f>IFERROR(IF(VLOOKUP($E75,$A$198:$E$205,3,FALSE)&gt;=$H77+AB77,3,IF(VLOOKUP($E75,$A$198:$E$205,4,FALSE)&gt;=$H77+AB77,2,IF(VLOOKUP($E75,$A$198:$E$205,5,FALSE)&gt;=$H77+AB77,1,"NOT MET"))),"")</f>
        <v>3</v>
      </c>
      <c r="AE77" s="52">
        <f>IFERROR(IF(VLOOKUP($E75,$A$198:$E$205,3,FALSE)&gt;=$H77+AC77,3,IF(VLOOKUP($E75,$A$198:$E$205,4,FALSE)&gt;=$H77+AC77,2,IF(VLOOKUP($E75,$A$198:$E$205,5,FALSE)&gt;=$H77+AC77,1,"NOT MET"))),"")</f>
        <v>3</v>
      </c>
      <c r="AF77" s="52" t="str">
        <f t="shared" si="4"/>
        <v>Yes</v>
      </c>
      <c r="AG77" s="52">
        <f t="shared" si="5"/>
        <v>3</v>
      </c>
      <c r="AH77" s="52"/>
    </row>
    <row r="78" spans="2:34" s="51" customFormat="1" ht="20.100000000000001" customHeight="1">
      <c r="B78" s="1007"/>
      <c r="C78" s="1001"/>
      <c r="D78" s="1001"/>
      <c r="E78" s="1001"/>
      <c r="F78" s="157" t="s">
        <v>224</v>
      </c>
      <c r="G78" s="157" t="str">
        <f>IF($AH$5=1,"NA",_xlfn.CONCAT("(",$AH$5," Point",IF($AH$5&gt;1,"s) ",") "),VLOOKUP($E75,$C$264:$F$270,1+$AH$5,FALSE),RIGHT(F78,4)))</f>
        <v>(2 Points) 85 dBC</v>
      </c>
      <c r="H78" s="159">
        <v>56</v>
      </c>
      <c r="I78" s="157" t="str">
        <f t="shared" si="3"/>
        <v/>
      </c>
      <c r="J78" s="1002"/>
      <c r="K78" s="1003"/>
      <c r="L78" s="1003"/>
      <c r="N78" s="52"/>
      <c r="O78" s="3" t="str">
        <f>IF($C75&lt;&gt;"","Show","Hide")</f>
        <v>Show</v>
      </c>
      <c r="AB78" s="52">
        <v>0</v>
      </c>
      <c r="AC78" s="52">
        <v>-9</v>
      </c>
      <c r="AD78" s="52">
        <f>IFERROR(IF(VLOOKUP($E75,$A$208:$E$215,3,FALSE)&gt;=$H78+AB78,3,IF(VLOOKUP($E75,$A$208:$E$215,4,FALSE)&gt;=$H78+AB78,2,IF(VLOOKUP($E75,$A$208:$E$215,5,FALSE)&gt;=$H78+AB78,1,"NOT MET"))),"")</f>
        <v>3</v>
      </c>
      <c r="AE78" s="52">
        <f>IFERROR(IF(VLOOKUP($E75,$A$208:$E$215,3,FALSE)&gt;=$H78+AC78,3,IF(VLOOKUP($E75,$A$208:$E$215,4,FALSE)&gt;=$H78+AC78,2,IF(VLOOKUP($E75,$A$208:$E$215,5,FALSE)&gt;=$H78+AC78,1,"NOT MET"))),"")</f>
        <v>3</v>
      </c>
      <c r="AF78" s="52" t="str">
        <f t="shared" si="4"/>
        <v>Yes</v>
      </c>
      <c r="AG78" s="52">
        <f t="shared" si="5"/>
        <v>3</v>
      </c>
      <c r="AH78" s="52"/>
    </row>
    <row r="79" spans="2:34" s="51" customFormat="1" ht="20.100000000000001" customHeight="1">
      <c r="B79" s="1007"/>
      <c r="C79" s="1001">
        <v>19</v>
      </c>
      <c r="D79" s="1001" t="s">
        <v>719</v>
      </c>
      <c r="E79" s="1001" t="s">
        <v>185</v>
      </c>
      <c r="F79" s="157" t="s">
        <v>227</v>
      </c>
      <c r="G79" s="157" t="str">
        <f>_xlfn.CONCAT("(", $AH$5, " Point", IF($AH$5&gt; 1,"s) ",") "),VLOOKUP($E79,$C$234:$F$241,1+$AH$5,FALSE), RIGHT(F79,4))</f>
        <v>(2 Points) 45 dBA</v>
      </c>
      <c r="H79" s="159">
        <v>25.1</v>
      </c>
      <c r="I79" s="157" t="str">
        <f t="shared" si="3"/>
        <v/>
      </c>
      <c r="J79" s="1002" t="s">
        <v>1456</v>
      </c>
      <c r="K79" s="1003"/>
      <c r="L79" s="1003"/>
      <c r="N79" s="52"/>
      <c r="O79" s="3" t="str">
        <f>IF($C79&lt;&gt;"","Show","Hide")</f>
        <v>Show</v>
      </c>
      <c r="AB79" s="52">
        <v>0</v>
      </c>
      <c r="AC79" s="52">
        <v>-4</v>
      </c>
      <c r="AD79" s="52">
        <f>IFERROR(IF(VLOOKUP($E79,$A$178:$E$185,3,FALSE)&gt;=$H79+AB79,3,IF(VLOOKUP($E79,$A$178:$E$185,4,FALSE)&gt;=$H79+AB79,2,IF(VLOOKUP($E79,$A$178:$E$185,5,FALSE)&gt;=$H79+AB79,1,"NOT MET"))),"")</f>
        <v>3</v>
      </c>
      <c r="AE79" s="52">
        <f>IFERROR(IF(VLOOKUP($E79,$A$178:$E$185,3,FALSE)&gt;=$H79+AC79,3,IF(VLOOKUP($E79,$A$178:$E$185,4,FALSE)&gt;=$H79+AC79,2,IF(VLOOKUP($E79,$A$178:$E$185,5,FALSE)&gt;=$H79+AC79,1,"NOT MET"))),"")</f>
        <v>3</v>
      </c>
      <c r="AF79" s="52" t="str">
        <f t="shared" si="4"/>
        <v>No</v>
      </c>
      <c r="AG79" s="52">
        <f t="shared" si="5"/>
        <v>3</v>
      </c>
      <c r="AH79" s="52"/>
    </row>
    <row r="80" spans="2:34" s="51" customFormat="1" ht="20.100000000000001" customHeight="1">
      <c r="B80" s="1007"/>
      <c r="C80" s="1001"/>
      <c r="D80" s="1001"/>
      <c r="E80" s="1001"/>
      <c r="F80" s="157" t="s">
        <v>226</v>
      </c>
      <c r="G80" s="157" t="str">
        <f>_xlfn.CONCAT("(", $AH$5, " Point", IF($AH$5&gt; 1,"s) ",") "),VLOOKUP($E79,$C$244:$F$250,1+$AH$5,FALSE), RIGHT(F80,4))</f>
        <v>(2 Points) 70 dBC</v>
      </c>
      <c r="H80" s="159">
        <v>46.9</v>
      </c>
      <c r="I80" s="157" t="str">
        <f t="shared" si="3"/>
        <v/>
      </c>
      <c r="J80" s="1002"/>
      <c r="K80" s="1003"/>
      <c r="L80" s="1003"/>
      <c r="N80" s="52"/>
      <c r="O80" s="3" t="str">
        <f>IF($C79&lt;&gt;"","Show","Hide")</f>
        <v>Show</v>
      </c>
      <c r="AB80" s="52">
        <v>0</v>
      </c>
      <c r="AC80" s="52">
        <v>-4</v>
      </c>
      <c r="AD80" s="52">
        <f>IFERROR(IF(VLOOKUP($E79,$A$188:$E$195,3,FALSE)&gt;=$H80+AB80,3,IF(VLOOKUP($E79,$A$188:$E$195,4,FALSE)&gt;=$H80+AB80,2,IF(VLOOKUP($E79,$A$188:$E$195,5,FALSE)&gt;=$H80+AB80,1,"NOT MET"))),"")</f>
        <v>3</v>
      </c>
      <c r="AE80" s="52">
        <f>IFERROR(IF(VLOOKUP($E79,$A$188:$E$195,3,FALSE)&gt;=$H80+AC80,3,IF(VLOOKUP($E79,$A$188:$E$195,4,FALSE)&gt;=$H80+AC80,2,IF(VLOOKUP($E79,$A$188:$E$195,5,FALSE)&gt;=$H80+AC80,1,"NOT MET"))),"")</f>
        <v>3</v>
      </c>
      <c r="AF80" s="52" t="str">
        <f t="shared" si="4"/>
        <v>No</v>
      </c>
      <c r="AG80" s="52">
        <f t="shared" si="5"/>
        <v>3</v>
      </c>
      <c r="AH80" s="52"/>
    </row>
    <row r="81" spans="2:34" s="51" customFormat="1" ht="20.100000000000001" customHeight="1">
      <c r="B81" s="1007"/>
      <c r="C81" s="1001"/>
      <c r="D81" s="1001"/>
      <c r="E81" s="1001"/>
      <c r="F81" s="157" t="s">
        <v>225</v>
      </c>
      <c r="G81" s="157" t="str">
        <f>IF($AH$5=1, "NA",_xlfn.CONCAT("(", $AH$5, " Point", IF($AH$5&gt; 1,"s) ",") "),VLOOKUP($E79,$C$254:$F$260,1+$AH$5,FALSE), RIGHT(F81,4)))</f>
        <v>(2 Points) 55 dBA</v>
      </c>
      <c r="H81" s="159">
        <v>29.9</v>
      </c>
      <c r="I81" s="157" t="str">
        <f t="shared" si="3"/>
        <v/>
      </c>
      <c r="J81" s="1002"/>
      <c r="K81" s="1003"/>
      <c r="L81" s="1003"/>
      <c r="N81" s="52"/>
      <c r="O81" s="3" t="str">
        <f>IF($C79&lt;&gt;"","Show","Hide")</f>
        <v>Show</v>
      </c>
      <c r="AB81" s="52">
        <v>0</v>
      </c>
      <c r="AC81" s="52">
        <v>-9</v>
      </c>
      <c r="AD81" s="52">
        <f>IFERROR(IF(VLOOKUP($E79,$A$198:$E$205,3,FALSE)&gt;=$H81+AB81,3,IF(VLOOKUP($E79,$A$198:$E$205,4,FALSE)&gt;=$H81+AB81,2,IF(VLOOKUP($E79,$A$198:$E$205,5,FALSE)&gt;=$H81+AB81,1,"NOT MET"))),"")</f>
        <v>3</v>
      </c>
      <c r="AE81" s="52">
        <f>IFERROR(IF(VLOOKUP($E79,$A$198:$E$205,3,FALSE)&gt;=$H81+AC81,3,IF(VLOOKUP($E79,$A$198:$E$205,4,FALSE)&gt;=$H81+AC81,2,IF(VLOOKUP($E79,$A$198:$E$205,5,FALSE)&gt;=$H81+AC81,1,"NOT MET"))),"")</f>
        <v>3</v>
      </c>
      <c r="AF81" s="52" t="str">
        <f t="shared" si="4"/>
        <v>Yes</v>
      </c>
      <c r="AG81" s="52">
        <f t="shared" si="5"/>
        <v>3</v>
      </c>
      <c r="AH81" s="52"/>
    </row>
    <row r="82" spans="2:34" s="51" customFormat="1" ht="20.100000000000001" customHeight="1">
      <c r="B82" s="1007"/>
      <c r="C82" s="1001"/>
      <c r="D82" s="1001"/>
      <c r="E82" s="1001"/>
      <c r="F82" s="157" t="s">
        <v>224</v>
      </c>
      <c r="G82" s="157" t="str">
        <f>IF($AH$5=1,"NA",_xlfn.CONCAT("(",$AH$5," Point",IF($AH$5&gt;1,"s) ",") "),VLOOKUP($E79,$C$264:$F$270,1+$AH$5,FALSE),RIGHT(F82,4)))</f>
        <v>(2 Points) 80 dBC</v>
      </c>
      <c r="H82" s="159">
        <v>56.1</v>
      </c>
      <c r="I82" s="157" t="str">
        <f t="shared" si="3"/>
        <v/>
      </c>
      <c r="J82" s="1002"/>
      <c r="K82" s="1003"/>
      <c r="L82" s="1003"/>
      <c r="N82" s="52"/>
      <c r="O82" s="3" t="str">
        <f>IF($C79&lt;&gt;"","Show","Hide")</f>
        <v>Show</v>
      </c>
      <c r="AB82" s="52">
        <v>0</v>
      </c>
      <c r="AC82" s="52">
        <v>-9</v>
      </c>
      <c r="AD82" s="52">
        <f>IFERROR(IF(VLOOKUP($E79,$A$208:$E$215,3,FALSE)&gt;=$H82+AB82,3,IF(VLOOKUP($E79,$A$208:$E$215,4,FALSE)&gt;=$H82+AB82,2,IF(VLOOKUP($E79,$A$208:$E$215,5,FALSE)&gt;=$H82+AB82,1,"NOT MET"))),"")</f>
        <v>3</v>
      </c>
      <c r="AE82" s="52">
        <f>IFERROR(IF(VLOOKUP($E79,$A$208:$E$215,3,FALSE)&gt;=$H82+AC82,3,IF(VLOOKUP($E79,$A$208:$E$215,4,FALSE)&gt;=$H82+AC82,2,IF(VLOOKUP($E79,$A$208:$E$215,5,FALSE)&gt;=$H82+AC82,1,"NOT MET"))),"")</f>
        <v>3</v>
      </c>
      <c r="AF82" s="52" t="str">
        <f t="shared" si="4"/>
        <v>Yes</v>
      </c>
      <c r="AG82" s="52">
        <f t="shared" si="5"/>
        <v>3</v>
      </c>
      <c r="AH82" s="52"/>
    </row>
    <row r="83" spans="2:34" s="51" customFormat="1" ht="20.100000000000001" customHeight="1">
      <c r="B83" s="1007"/>
      <c r="C83" s="1001">
        <v>20</v>
      </c>
      <c r="D83" s="1001" t="s">
        <v>720</v>
      </c>
      <c r="E83" s="1001" t="s">
        <v>183</v>
      </c>
      <c r="F83" s="157" t="s">
        <v>227</v>
      </c>
      <c r="G83" s="157" t="str">
        <f>_xlfn.CONCAT("(", $AH$5, " Point", IF($AH$5&gt; 1,"s) ",") "),VLOOKUP($E83,$C$234:$F$241,1+$AH$5,FALSE), RIGHT(F83,4))</f>
        <v>(2 Points) 40 dBA</v>
      </c>
      <c r="H83" s="158">
        <v>26.6</v>
      </c>
      <c r="I83" s="157" t="str">
        <f t="shared" si="3"/>
        <v/>
      </c>
      <c r="J83" s="1002" t="s">
        <v>1456</v>
      </c>
      <c r="K83" s="1003"/>
      <c r="L83" s="1003"/>
      <c r="N83" s="52"/>
      <c r="O83" s="3" t="str">
        <f>IF($C83&lt;&gt;"","Show","Hide")</f>
        <v>Show</v>
      </c>
      <c r="AB83" s="52">
        <v>0</v>
      </c>
      <c r="AC83" s="52">
        <v>-4</v>
      </c>
      <c r="AD83" s="52">
        <f>IFERROR(IF(VLOOKUP($E83,$A$178:$E$185,3,FALSE)&gt;=$H83+AB83,3,IF(VLOOKUP($E83,$A$178:$E$185,4,FALSE)&gt;=$H83+AB83,2,IF(VLOOKUP($E83,$A$178:$E$185,5,FALSE)&gt;=$H83+AB83,1,"NOT MET"))),"")</f>
        <v>3</v>
      </c>
      <c r="AE83" s="52">
        <f>IFERROR(IF(VLOOKUP($E83,$A$178:$E$185,3,FALSE)&gt;=$H83+AC83,3,IF(VLOOKUP($E83,$A$178:$E$185,4,FALSE)&gt;=$H83+AC83,2,IF(VLOOKUP($E83,$A$178:$E$185,5,FALSE)&gt;=$H83+AC83,1,"NOT MET"))),"")</f>
        <v>3</v>
      </c>
      <c r="AF83" s="52" t="str">
        <f t="shared" si="4"/>
        <v>No</v>
      </c>
      <c r="AG83" s="52">
        <f t="shared" si="5"/>
        <v>3</v>
      </c>
      <c r="AH83" s="52"/>
    </row>
    <row r="84" spans="2:34" s="51" customFormat="1" ht="20.100000000000001" customHeight="1">
      <c r="B84" s="1007"/>
      <c r="C84" s="1001"/>
      <c r="D84" s="1001"/>
      <c r="E84" s="1001"/>
      <c r="F84" s="157" t="s">
        <v>226</v>
      </c>
      <c r="G84" s="157" t="str">
        <f>_xlfn.CONCAT("(", $AH$5, " Point", IF($AH$5&gt; 1,"s) ",") "),VLOOKUP($E83,$C$244:$F$250,1+$AH$5,FALSE), RIGHT(F84,4))</f>
        <v>(2 Points) 65 dBC</v>
      </c>
      <c r="H84" s="158">
        <v>46.8</v>
      </c>
      <c r="I84" s="157" t="str">
        <f t="shared" si="3"/>
        <v/>
      </c>
      <c r="J84" s="1002"/>
      <c r="K84" s="1003"/>
      <c r="L84" s="1003"/>
      <c r="N84" s="52"/>
      <c r="O84" s="3" t="str">
        <f>IF($C83&lt;&gt;"","Show","Hide")</f>
        <v>Show</v>
      </c>
      <c r="AB84" s="52">
        <v>0</v>
      </c>
      <c r="AC84" s="52">
        <v>-4</v>
      </c>
      <c r="AD84" s="52">
        <f>IFERROR(IF(VLOOKUP($E83,$A$188:$E$195,3,FALSE)&gt;=$H84+AB84,3,IF(VLOOKUP($E83,$A$188:$E$195,4,FALSE)&gt;=$H84+AB84,2,IF(VLOOKUP($E83,$A$188:$E$195,5,FALSE)&gt;=$H84+AB84,1,"NOT MET"))),"")</f>
        <v>3</v>
      </c>
      <c r="AE84" s="52">
        <f>IFERROR(IF(VLOOKUP($E83,$A$188:$E$195,3,FALSE)&gt;=$H84+AC84,3,IF(VLOOKUP($E83,$A$188:$E$195,4,FALSE)&gt;=$H84+AC84,2,IF(VLOOKUP($E83,$A$188:$E$195,5,FALSE)&gt;=$H84+AC84,1,"NOT MET"))),"")</f>
        <v>3</v>
      </c>
      <c r="AF84" s="52" t="str">
        <f t="shared" si="4"/>
        <v>No</v>
      </c>
      <c r="AG84" s="52">
        <f t="shared" si="5"/>
        <v>3</v>
      </c>
      <c r="AH84" s="52"/>
    </row>
    <row r="85" spans="2:34" s="51" customFormat="1" ht="20.100000000000001" customHeight="1">
      <c r="B85" s="1007"/>
      <c r="C85" s="1001"/>
      <c r="D85" s="1001"/>
      <c r="E85" s="1001"/>
      <c r="F85" s="157" t="s">
        <v>225</v>
      </c>
      <c r="G85" s="157" t="str">
        <f>IF($AH$5=1, "NA",_xlfn.CONCAT("(", $AH$5, " Point", IF($AH$5&gt; 1,"s) ",") "),VLOOKUP($E83,$C$254:$F$260,1+$AH$5,FALSE), RIGHT(F85,4)))</f>
        <v>(2 Points) 50 dBA</v>
      </c>
      <c r="H85" s="158">
        <v>30.9</v>
      </c>
      <c r="I85" s="157" t="str">
        <f t="shared" si="3"/>
        <v/>
      </c>
      <c r="J85" s="1002"/>
      <c r="K85" s="1003"/>
      <c r="L85" s="1003"/>
      <c r="N85" s="52"/>
      <c r="O85" s="3" t="str">
        <f>IF($C83&lt;&gt;"","Show","Hide")</f>
        <v>Show</v>
      </c>
      <c r="AB85" s="52">
        <v>0</v>
      </c>
      <c r="AC85" s="52">
        <v>-9</v>
      </c>
      <c r="AD85" s="52">
        <f>IFERROR(IF(VLOOKUP($E83,$A$198:$E$205,3,FALSE)&gt;=$H85+AB85,3,IF(VLOOKUP($E83,$A$198:$E$205,4,FALSE)&gt;=$H85+AB85,2,IF(VLOOKUP($E83,$A$198:$E$205,5,FALSE)&gt;=$H85+AB85,1,"NOT MET"))),"")</f>
        <v>3</v>
      </c>
      <c r="AE85" s="52">
        <f>IFERROR(IF(VLOOKUP($E83,$A$198:$E$205,3,FALSE)&gt;=$H85+AC85,3,IF(VLOOKUP($E83,$A$198:$E$205,4,FALSE)&gt;=$H85+AC85,2,IF(VLOOKUP($E83,$A$198:$E$205,5,FALSE)&gt;=$H85+AC85,1,"NOT MET"))),"")</f>
        <v>3</v>
      </c>
      <c r="AF85" s="52" t="str">
        <f t="shared" si="4"/>
        <v>Yes</v>
      </c>
      <c r="AG85" s="52">
        <f t="shared" si="5"/>
        <v>3</v>
      </c>
      <c r="AH85" s="52"/>
    </row>
    <row r="86" spans="2:34" s="51" customFormat="1" ht="20.100000000000001" customHeight="1">
      <c r="B86" s="1007"/>
      <c r="C86" s="1001"/>
      <c r="D86" s="1001"/>
      <c r="E86" s="1001"/>
      <c r="F86" s="157" t="s">
        <v>224</v>
      </c>
      <c r="G86" s="157" t="str">
        <f>IF($AH$5=1,"NA",_xlfn.CONCAT("(",$AH$5," Point",IF($AH$5&gt;1,"s) ",") "),VLOOKUP($E83,$C$264:$F$270,1+$AH$5,FALSE),RIGHT(F86,4)))</f>
        <v>(2 Points) 75 dBC</v>
      </c>
      <c r="H86" s="158">
        <v>49.3</v>
      </c>
      <c r="I86" s="157" t="str">
        <f t="shared" si="3"/>
        <v/>
      </c>
      <c r="J86" s="1002"/>
      <c r="K86" s="1003"/>
      <c r="L86" s="1003"/>
      <c r="N86" s="52"/>
      <c r="O86" s="3" t="str">
        <f>IF($C83&lt;&gt;"","Show","Hide")</f>
        <v>Show</v>
      </c>
      <c r="AB86" s="52">
        <v>0</v>
      </c>
      <c r="AC86" s="52">
        <v>-9</v>
      </c>
      <c r="AD86" s="52">
        <f>IFERROR(IF(VLOOKUP($E83,$A$208:$E$215,3,FALSE)&gt;=$H86+AB86,3,IF(VLOOKUP($E83,$A$208:$E$215,4,FALSE)&gt;=$H86+AB86,2,IF(VLOOKUP($E83,$A$208:$E$215,5,FALSE)&gt;=$H86+AB86,1,"NOT MET"))),"")</f>
        <v>3</v>
      </c>
      <c r="AE86" s="52">
        <f>IFERROR(IF(VLOOKUP($E83,$A$208:$E$215,3,FALSE)&gt;=$H86+AC86,3,IF(VLOOKUP($E83,$A$208:$E$215,4,FALSE)&gt;=$H86+AC86,2,IF(VLOOKUP($E83,$A$208:$E$215,5,FALSE)&gt;=$H86+AC86,1,"NOT MET"))),"")</f>
        <v>3</v>
      </c>
      <c r="AF86" s="52" t="str">
        <f t="shared" si="4"/>
        <v>Yes</v>
      </c>
      <c r="AG86" s="52">
        <f t="shared" si="5"/>
        <v>3</v>
      </c>
      <c r="AH86" s="52"/>
    </row>
    <row r="87" spans="2:34" s="51" customFormat="1" ht="20.100000000000001" customHeight="1">
      <c r="B87" s="1006"/>
      <c r="C87" s="1001">
        <v>21</v>
      </c>
      <c r="D87" s="1001" t="s">
        <v>721</v>
      </c>
      <c r="E87" s="1001" t="s">
        <v>187</v>
      </c>
      <c r="F87" s="157" t="s">
        <v>227</v>
      </c>
      <c r="G87" s="157" t="str">
        <f>_xlfn.CONCAT("(", $AH$5, " Point", IF($AH$5&gt; 1,"s) ",") "),VLOOKUP($E87,$C$234:$F$241,1+$AH$5,FALSE), RIGHT(F87,4))</f>
        <v>(2 Points) 50 dBA</v>
      </c>
      <c r="H87" s="159">
        <v>32.9</v>
      </c>
      <c r="I87" s="157" t="str">
        <f t="shared" si="3"/>
        <v/>
      </c>
      <c r="J87" s="1002" t="s">
        <v>1456</v>
      </c>
      <c r="K87" s="1003"/>
      <c r="L87" s="1003"/>
      <c r="N87" s="52"/>
      <c r="O87" s="3" t="str">
        <f>IF($C87&lt;&gt;"","Show","Hide")</f>
        <v>Show</v>
      </c>
      <c r="AB87" s="52">
        <v>0</v>
      </c>
      <c r="AC87" s="52">
        <v>-4</v>
      </c>
      <c r="AD87" s="52">
        <f>IFERROR(IF(VLOOKUP($E87,$A$178:$E$185,3,FALSE)&gt;=$H87+AB87,3,IF(VLOOKUP($E87,$A$178:$E$185,4,FALSE)&gt;=$H87+AB87,2,IF(VLOOKUP($E87,$A$178:$E$185,5,FALSE)&gt;=$H87+AB87,1,"NOT MET"))),"")</f>
        <v>3</v>
      </c>
      <c r="AE87" s="52">
        <f>IFERROR(IF(VLOOKUP($E87,$A$178:$E$185,3,FALSE)&gt;=$H87+AC87,3,IF(VLOOKUP($E87,$A$178:$E$185,4,FALSE)&gt;=$H87+AC87,2,IF(VLOOKUP($E87,$A$178:$E$185,5,FALSE)&gt;=$H87+AC87,1,"NOT MET"))),"")</f>
        <v>3</v>
      </c>
      <c r="AF87" s="52" t="str">
        <f t="shared" si="4"/>
        <v>No</v>
      </c>
      <c r="AG87" s="52">
        <f t="shared" si="5"/>
        <v>3</v>
      </c>
      <c r="AH87" s="52"/>
    </row>
    <row r="88" spans="2:34" s="51" customFormat="1" ht="20.100000000000001" customHeight="1">
      <c r="B88" s="1006"/>
      <c r="C88" s="1001"/>
      <c r="D88" s="1001"/>
      <c r="E88" s="1001"/>
      <c r="F88" s="157" t="s">
        <v>226</v>
      </c>
      <c r="G88" s="157" t="str">
        <f>_xlfn.CONCAT("(", $AH$5, " Point", IF($AH$5&gt; 1,"s) ",") "),VLOOKUP($E87,$C$244:$F$250,1+$AH$5,FALSE), RIGHT(F88,4))</f>
        <v>(2 Points) 75 dBC</v>
      </c>
      <c r="H88" s="159">
        <v>54.6</v>
      </c>
      <c r="I88" s="157" t="str">
        <f t="shared" si="3"/>
        <v/>
      </c>
      <c r="J88" s="1002"/>
      <c r="K88" s="1003"/>
      <c r="L88" s="1003"/>
      <c r="N88" s="52"/>
      <c r="O88" s="3" t="str">
        <f>IF($C87&lt;&gt;"","Show","Hide")</f>
        <v>Show</v>
      </c>
      <c r="AB88" s="52">
        <v>0</v>
      </c>
      <c r="AC88" s="52">
        <v>-4</v>
      </c>
      <c r="AD88" s="52">
        <f>IFERROR(IF(VLOOKUP($E87,$A$188:$E$195,3,FALSE)&gt;=$H88+AB88,3,IF(VLOOKUP($E87,$A$188:$E$195,4,FALSE)&gt;=$H88+AB88,2,IF(VLOOKUP($E87,$A$188:$E$195,5,FALSE)&gt;=$H88+AB88,1,"NOT MET"))),"")</f>
        <v>3</v>
      </c>
      <c r="AE88" s="52">
        <f>IFERROR(IF(VLOOKUP($E87,$A$188:$E$195,3,FALSE)&gt;=$H88+AC88,3,IF(VLOOKUP($E87,$A$188:$E$195,4,FALSE)&gt;=$H88+AC88,2,IF(VLOOKUP($E87,$A$188:$E$195,5,FALSE)&gt;=$H88+AC88,1,"NOT MET"))),"")</f>
        <v>3</v>
      </c>
      <c r="AF88" s="52" t="str">
        <f t="shared" si="4"/>
        <v>No</v>
      </c>
      <c r="AG88" s="52">
        <f t="shared" si="5"/>
        <v>3</v>
      </c>
      <c r="AH88" s="52"/>
    </row>
    <row r="89" spans="2:34" s="51" customFormat="1" ht="20.100000000000001" customHeight="1">
      <c r="B89" s="1006"/>
      <c r="C89" s="1001"/>
      <c r="D89" s="1001"/>
      <c r="E89" s="1001"/>
      <c r="F89" s="157" t="s">
        <v>225</v>
      </c>
      <c r="G89" s="157" t="str">
        <f>IF($AH$5=1, "NA",_xlfn.CONCAT("(", $AH$5, " Point", IF($AH$5&gt; 1,"s) ",") "),VLOOKUP($E87,$C$254:$F$260,1+$AH$5,FALSE), RIGHT(F89,4)))</f>
        <v>(2 Points) 60 dBA</v>
      </c>
      <c r="H89" s="159">
        <v>36.1</v>
      </c>
      <c r="I89" s="157" t="str">
        <f t="shared" si="3"/>
        <v/>
      </c>
      <c r="J89" s="1002"/>
      <c r="K89" s="1003"/>
      <c r="L89" s="1003"/>
      <c r="N89" s="52"/>
      <c r="O89" s="3" t="str">
        <f>IF($C87&lt;&gt;"","Show","Hide")</f>
        <v>Show</v>
      </c>
      <c r="AB89" s="52">
        <v>0</v>
      </c>
      <c r="AC89" s="52">
        <v>-9</v>
      </c>
      <c r="AD89" s="52">
        <f>IFERROR(IF(VLOOKUP($E87,$A$198:$E$205,3,FALSE)&gt;=$H89+AB89,3,IF(VLOOKUP($E87,$A$198:$E$205,4,FALSE)&gt;=$H89+AB89,2,IF(VLOOKUP($E87,$A$198:$E$205,5,FALSE)&gt;=$H89+AB89,1,"NOT MET"))),"")</f>
        <v>3</v>
      </c>
      <c r="AE89" s="52">
        <f>IFERROR(IF(VLOOKUP($E87,$A$198:$E$205,3,FALSE)&gt;=$H89+AC89,3,IF(VLOOKUP($E87,$A$198:$E$205,4,FALSE)&gt;=$H89+AC89,2,IF(VLOOKUP($E87,$A$198:$E$205,5,FALSE)&gt;=$H89+AC89,1,"NOT MET"))),"")</f>
        <v>3</v>
      </c>
      <c r="AF89" s="52" t="str">
        <f t="shared" si="4"/>
        <v>Yes</v>
      </c>
      <c r="AG89" s="52">
        <f t="shared" si="5"/>
        <v>3</v>
      </c>
      <c r="AH89" s="52"/>
    </row>
    <row r="90" spans="2:34" s="51" customFormat="1" ht="20.100000000000001" customHeight="1">
      <c r="B90" s="1006"/>
      <c r="C90" s="1001"/>
      <c r="D90" s="1001"/>
      <c r="E90" s="1001"/>
      <c r="F90" s="157" t="s">
        <v>224</v>
      </c>
      <c r="G90" s="157" t="str">
        <f>IF($AH$5=1,"NA",_xlfn.CONCAT("(",$AH$5," Point",IF($AH$5&gt;1,"s) ",") "),VLOOKUP($E87,$C$264:$F$270,1+$AH$5,FALSE),RIGHT(F90,4)))</f>
        <v>(2 Points) 85 dBC</v>
      </c>
      <c r="H90" s="159">
        <v>56.2</v>
      </c>
      <c r="I90" s="157" t="str">
        <f t="shared" si="3"/>
        <v/>
      </c>
      <c r="J90" s="1002"/>
      <c r="K90" s="1003"/>
      <c r="L90" s="1003"/>
      <c r="N90" s="52"/>
      <c r="O90" s="3" t="str">
        <f>IF($C87&lt;&gt;"","Show","Hide")</f>
        <v>Show</v>
      </c>
      <c r="AB90" s="52">
        <v>0</v>
      </c>
      <c r="AC90" s="52">
        <v>-9</v>
      </c>
      <c r="AD90" s="52">
        <f>IFERROR(IF(VLOOKUP($E87,$A$208:$E$215,3,FALSE)&gt;=$H90+AB90,3,IF(VLOOKUP($E87,$A$208:$E$215,4,FALSE)&gt;=$H90+AB90,2,IF(VLOOKUP($E87,$A$208:$E$215,5,FALSE)&gt;=$H90+AB90,1,"NOT MET"))),"")</f>
        <v>3</v>
      </c>
      <c r="AE90" s="52">
        <f>IFERROR(IF(VLOOKUP($E87,$A$208:$E$215,3,FALSE)&gt;=$H90+AC90,3,IF(VLOOKUP($E87,$A$208:$E$215,4,FALSE)&gt;=$H90+AC90,2,IF(VLOOKUP($E87,$A$208:$E$215,5,FALSE)&gt;=$H90+AC90,1,"NOT MET"))),"")</f>
        <v>3</v>
      </c>
      <c r="AF90" s="52" t="str">
        <f t="shared" si="4"/>
        <v>Yes</v>
      </c>
      <c r="AG90" s="52">
        <f t="shared" si="5"/>
        <v>3</v>
      </c>
      <c r="AH90" s="52"/>
    </row>
    <row r="91" spans="2:34" s="51" customFormat="1" ht="20.100000000000001" hidden="1" customHeight="1">
      <c r="B91" s="1006"/>
      <c r="C91" s="1001"/>
      <c r="D91" s="1001"/>
      <c r="E91" s="1001"/>
      <c r="F91" s="157" t="s">
        <v>227</v>
      </c>
      <c r="G91" s="157" t="e">
        <f>_xlfn.CONCAT("(", $AH$5, " Point", IF($AH$5&gt; 1,"s) ",") "),VLOOKUP($E91,$C$234:$F$241,1+$AH$5,FALSE), RIGHT(F91,4))</f>
        <v>#N/A</v>
      </c>
      <c r="H91" s="159"/>
      <c r="I91" s="157" t="str">
        <f t="shared" ref="I91:I98" si="6">IF($AH$5&gt;IF(AD91="NOT MET",0,AD91),_xlfn.CONCAT(AC91*-1, " dB"),"")</f>
        <v/>
      </c>
      <c r="J91" s="1002"/>
      <c r="K91" s="1003"/>
      <c r="L91" s="1003"/>
      <c r="N91" s="52"/>
      <c r="O91" s="3" t="str">
        <f>IF($C91&lt;&gt;"","Show","Hide")</f>
        <v>Hide</v>
      </c>
      <c r="AB91" s="52">
        <v>0</v>
      </c>
      <c r="AC91" s="52">
        <v>-4</v>
      </c>
      <c r="AD91" s="52" t="str">
        <f>IFERROR(IF(VLOOKUP($E91,$A$178:$E$185,3,FALSE)&gt;=$H91+AB91,3,IF(VLOOKUP($E91,$A$178:$E$185,4,FALSE)&gt;=$H91+AB91,2,IF(VLOOKUP($E91,$A$178:$E$185,5,FALSE)&gt;=$H91+AB91,1,"NOT MET"))),"")</f>
        <v/>
      </c>
      <c r="AE91" s="52" t="str">
        <f>IFERROR(IF(VLOOKUP($E91,$A$178:$E$185,3,FALSE)&gt;=$H91+AC91,3,IF(VLOOKUP($E91,$A$178:$E$185,4,FALSE)&gt;=$H91+AC91,2,IF(VLOOKUP($E91,$A$178:$E$185,5,FALSE)&gt;=$H91+AC91,1,"NOT MET"))),"")</f>
        <v/>
      </c>
      <c r="AF91" s="52" t="str">
        <f t="shared" ref="AF91:AF98" si="7">IF(IF(LEFT(F91,4) = "Lmax", "Yes","No") = "Yes", IF(AE91="NOT MET","NOT MET", "Yes"),"No")</f>
        <v>No</v>
      </c>
      <c r="AG91" s="52" t="str">
        <f t="shared" ref="AG91:AG98" si="8">IF(AF91="NOT MET",1,AE91)</f>
        <v/>
      </c>
      <c r="AH91" s="52"/>
    </row>
    <row r="92" spans="2:34" s="51" customFormat="1" ht="20.100000000000001" hidden="1" customHeight="1">
      <c r="B92" s="1006"/>
      <c r="C92" s="1001"/>
      <c r="D92" s="1001"/>
      <c r="E92" s="1001"/>
      <c r="F92" s="157" t="s">
        <v>226</v>
      </c>
      <c r="G92" s="157" t="e">
        <f>_xlfn.CONCAT("(", $AH$5, " Point", IF($AH$5&gt; 1,"s) ",") "),VLOOKUP($E91,$C$244:$F$250,1+$AH$5,FALSE), RIGHT(F92,4))</f>
        <v>#N/A</v>
      </c>
      <c r="H92" s="159"/>
      <c r="I92" s="157" t="str">
        <f t="shared" si="6"/>
        <v/>
      </c>
      <c r="J92" s="1002"/>
      <c r="K92" s="1003"/>
      <c r="L92" s="1003"/>
      <c r="N92" s="52"/>
      <c r="O92" s="3" t="str">
        <f>IF($C91&lt;&gt;"","Show","Hide")</f>
        <v>Hide</v>
      </c>
      <c r="AB92" s="52">
        <v>0</v>
      </c>
      <c r="AC92" s="52">
        <v>-4</v>
      </c>
      <c r="AD92" s="52" t="str">
        <f>IFERROR(IF(VLOOKUP($E91,$A$188:$E$195,3,FALSE)&gt;=$H92+AB92,3,IF(VLOOKUP($E91,$A$188:$E$195,4,FALSE)&gt;=$H92+AB92,2,IF(VLOOKUP($E91,$A$188:$E$195,5,FALSE)&gt;=$H92+AB92,1,"NOT MET"))),"")</f>
        <v/>
      </c>
      <c r="AE92" s="52" t="str">
        <f>IFERROR(IF(VLOOKUP($E91,$A$188:$E$195,3,FALSE)&gt;=$H92+AC92,3,IF(VLOOKUP($E91,$A$188:$E$195,4,FALSE)&gt;=$H92+AC92,2,IF(VLOOKUP($E91,$A$188:$E$195,5,FALSE)&gt;=$H92+AC92,1,"NOT MET"))),"")</f>
        <v/>
      </c>
      <c r="AF92" s="52" t="str">
        <f t="shared" si="7"/>
        <v>No</v>
      </c>
      <c r="AG92" s="52" t="str">
        <f t="shared" si="8"/>
        <v/>
      </c>
      <c r="AH92" s="52"/>
    </row>
    <row r="93" spans="2:34" s="51" customFormat="1" ht="20.100000000000001" hidden="1" customHeight="1">
      <c r="B93" s="1006"/>
      <c r="C93" s="1001"/>
      <c r="D93" s="1001"/>
      <c r="E93" s="1001"/>
      <c r="F93" s="157" t="s">
        <v>225</v>
      </c>
      <c r="G93" s="157" t="e">
        <f>IF($AH$5=1, "NA",_xlfn.CONCAT("(", $AH$5, " Point", IF($AH$5&gt; 1,"s) ",") "),VLOOKUP($E91,$C$254:$F$260,1+$AH$5,FALSE), RIGHT(F93,4)))</f>
        <v>#N/A</v>
      </c>
      <c r="H93" s="159"/>
      <c r="I93" s="157" t="str">
        <f t="shared" si="6"/>
        <v/>
      </c>
      <c r="J93" s="1002"/>
      <c r="K93" s="1003"/>
      <c r="L93" s="1003"/>
      <c r="N93" s="52"/>
      <c r="O93" s="3" t="str">
        <f>IF($C91&lt;&gt;"","Show","Hide")</f>
        <v>Hide</v>
      </c>
      <c r="AB93" s="52">
        <v>0</v>
      </c>
      <c r="AC93" s="52">
        <v>-9</v>
      </c>
      <c r="AD93" s="52" t="str">
        <f>IFERROR(IF(VLOOKUP($E91,$A$198:$E$205,3,FALSE)&gt;=$H93+AB93,3,IF(VLOOKUP($E91,$A$198:$E$205,4,FALSE)&gt;=$H93+AB93,2,IF(VLOOKUP($E91,$A$198:$E$205,5,FALSE)&gt;=$H93+AB93,1,"NOT MET"))),"")</f>
        <v/>
      </c>
      <c r="AE93" s="52" t="str">
        <f>IFERROR(IF(VLOOKUP($E91,$A$198:$E$205,3,FALSE)&gt;=$H93+AC93,3,IF(VLOOKUP($E91,$A$198:$E$205,4,FALSE)&gt;=$H93+AC93,2,IF(VLOOKUP($E91,$A$198:$E$205,5,FALSE)&gt;=$H93+AC93,1,"NOT MET"))),"")</f>
        <v/>
      </c>
      <c r="AF93" s="52" t="str">
        <f t="shared" si="7"/>
        <v>Yes</v>
      </c>
      <c r="AG93" s="52" t="str">
        <f t="shared" si="8"/>
        <v/>
      </c>
      <c r="AH93" s="52"/>
    </row>
    <row r="94" spans="2:34" s="51" customFormat="1" ht="20.100000000000001" hidden="1" customHeight="1">
      <c r="B94" s="1006"/>
      <c r="C94" s="1001"/>
      <c r="D94" s="1001"/>
      <c r="E94" s="1001"/>
      <c r="F94" s="157" t="s">
        <v>224</v>
      </c>
      <c r="G94" s="157" t="e">
        <f>IF($AH$5=1,"NA",_xlfn.CONCAT("(",$AH$5," Point",IF($AH$5&gt;1,"s) ",") "),VLOOKUP($E91,$C$264:$F$270,1+$AH$5,FALSE),RIGHT(F94,4)))</f>
        <v>#N/A</v>
      </c>
      <c r="H94" s="159"/>
      <c r="I94" s="157" t="str">
        <f t="shared" si="6"/>
        <v/>
      </c>
      <c r="J94" s="1002"/>
      <c r="K94" s="1003"/>
      <c r="L94" s="1003"/>
      <c r="N94" s="52"/>
      <c r="O94" s="3" t="str">
        <f>IF($C91&lt;&gt;"","Show","Hide")</f>
        <v>Hide</v>
      </c>
      <c r="AB94" s="52">
        <v>0</v>
      </c>
      <c r="AC94" s="52">
        <v>-9</v>
      </c>
      <c r="AD94" s="52" t="str">
        <f>IFERROR(IF(VLOOKUP($E91,$A$208:$E$215,3,FALSE)&gt;=$H94+AB94,3,IF(VLOOKUP($E91,$A$208:$E$215,4,FALSE)&gt;=$H94+AB94,2,IF(VLOOKUP($E91,$A$208:$E$215,5,FALSE)&gt;=$H94+AB94,1,"NOT MET"))),"")</f>
        <v/>
      </c>
      <c r="AE94" s="52" t="str">
        <f>IFERROR(IF(VLOOKUP($E91,$A$208:$E$215,3,FALSE)&gt;=$H94+AC94,3,IF(VLOOKUP($E91,$A$208:$E$215,4,FALSE)&gt;=$H94+AC94,2,IF(VLOOKUP($E91,$A$208:$E$215,5,FALSE)&gt;=$H94+AC94,1,"NOT MET"))),"")</f>
        <v/>
      </c>
      <c r="AF94" s="52" t="str">
        <f t="shared" si="7"/>
        <v>Yes</v>
      </c>
      <c r="AG94" s="52" t="str">
        <f t="shared" si="8"/>
        <v/>
      </c>
      <c r="AH94" s="52"/>
    </row>
    <row r="95" spans="2:34" s="51" customFormat="1" ht="20.100000000000001" hidden="1" customHeight="1">
      <c r="B95" s="1006"/>
      <c r="C95" s="1001"/>
      <c r="D95" s="1001"/>
      <c r="E95" s="1001"/>
      <c r="F95" s="157" t="s">
        <v>227</v>
      </c>
      <c r="G95" s="157" t="e">
        <f>_xlfn.CONCAT("(", $AH$5, " Point", IF($AH$5&gt; 1,"s) ",") "),VLOOKUP($E95,$C$234:$F$241,1+$AH$5,FALSE), RIGHT(F95,4))</f>
        <v>#N/A</v>
      </c>
      <c r="H95" s="158"/>
      <c r="I95" s="157" t="str">
        <f t="shared" si="6"/>
        <v/>
      </c>
      <c r="J95" s="1002"/>
      <c r="K95" s="1003"/>
      <c r="L95" s="1003"/>
      <c r="N95" s="52"/>
      <c r="O95" s="3" t="str">
        <f>IF($C95&lt;&gt;"","Show","Hide")</f>
        <v>Hide</v>
      </c>
      <c r="AB95" s="52">
        <v>0</v>
      </c>
      <c r="AC95" s="52">
        <v>-4</v>
      </c>
      <c r="AD95" s="52" t="str">
        <f>IFERROR(IF(VLOOKUP($E95,$A$178:$E$185,3,FALSE)&gt;=$H95+AB95,3,IF(VLOOKUP($E95,$A$178:$E$185,4,FALSE)&gt;=$H95+AB95,2,IF(VLOOKUP($E95,$A$178:$E$185,5,FALSE)&gt;=$H95+AB95,1,"NOT MET"))),"")</f>
        <v/>
      </c>
      <c r="AE95" s="52" t="str">
        <f>IFERROR(IF(VLOOKUP($E95,$A$178:$E$185,3,FALSE)&gt;=$H95+AC95,3,IF(VLOOKUP($E95,$A$178:$E$185,4,FALSE)&gt;=$H95+AC95,2,IF(VLOOKUP($E95,$A$178:$E$185,5,FALSE)&gt;=$H95+AC95,1,"NOT MET"))),"")</f>
        <v/>
      </c>
      <c r="AF95" s="52" t="str">
        <f t="shared" si="7"/>
        <v>No</v>
      </c>
      <c r="AG95" s="52" t="str">
        <f t="shared" si="8"/>
        <v/>
      </c>
      <c r="AH95" s="52"/>
    </row>
    <row r="96" spans="2:34" s="51" customFormat="1" ht="20.100000000000001" hidden="1" customHeight="1">
      <c r="B96" s="1006"/>
      <c r="C96" s="1001"/>
      <c r="D96" s="1001"/>
      <c r="E96" s="1001"/>
      <c r="F96" s="157" t="s">
        <v>226</v>
      </c>
      <c r="G96" s="157" t="e">
        <f>_xlfn.CONCAT("(", $AH$5, " Point", IF($AH$5&gt; 1,"s) ",") "),VLOOKUP($E95,$C$244:$F$250,1+$AH$5,FALSE), RIGHT(F96,4))</f>
        <v>#N/A</v>
      </c>
      <c r="H96" s="158"/>
      <c r="I96" s="157" t="str">
        <f t="shared" si="6"/>
        <v/>
      </c>
      <c r="J96" s="1002"/>
      <c r="K96" s="1003"/>
      <c r="L96" s="1003"/>
      <c r="N96" s="52"/>
      <c r="O96" s="3" t="str">
        <f>IF($C95&lt;&gt;"","Show","Hide")</f>
        <v>Hide</v>
      </c>
      <c r="AB96" s="52">
        <v>0</v>
      </c>
      <c r="AC96" s="52">
        <v>-4</v>
      </c>
      <c r="AD96" s="52" t="str">
        <f>IFERROR(IF(VLOOKUP($E95,$A$188:$E$195,3,FALSE)&gt;=$H96+AB96,3,IF(VLOOKUP($E95,$A$188:$E$195,4,FALSE)&gt;=$H96+AB96,2,IF(VLOOKUP($E95,$A$188:$E$195,5,FALSE)&gt;=$H96+AB96,1,"NOT MET"))),"")</f>
        <v/>
      </c>
      <c r="AE96" s="52" t="str">
        <f>IFERROR(IF(VLOOKUP($E95,$A$188:$E$195,3,FALSE)&gt;=$H96+AC96,3,IF(VLOOKUP($E95,$A$188:$E$195,4,FALSE)&gt;=$H96+AC96,2,IF(VLOOKUP($E95,$A$188:$E$195,5,FALSE)&gt;=$H96+AC96,1,"NOT MET"))),"")</f>
        <v/>
      </c>
      <c r="AF96" s="52" t="str">
        <f t="shared" si="7"/>
        <v>No</v>
      </c>
      <c r="AG96" s="52" t="str">
        <f t="shared" si="8"/>
        <v/>
      </c>
      <c r="AH96" s="52"/>
    </row>
    <row r="97" spans="2:34" s="51" customFormat="1" ht="20.100000000000001" hidden="1" customHeight="1">
      <c r="B97" s="1006"/>
      <c r="C97" s="1001"/>
      <c r="D97" s="1001"/>
      <c r="E97" s="1001"/>
      <c r="F97" s="157" t="s">
        <v>225</v>
      </c>
      <c r="G97" s="157" t="e">
        <f>IF($AH$5=1, "NA",_xlfn.CONCAT("(", $AH$5, " Point", IF($AH$5&gt; 1,"s) ",") "),VLOOKUP($E95,$C$254:$F$260,1+$AH$5,FALSE), RIGHT(F97,4)))</f>
        <v>#N/A</v>
      </c>
      <c r="H97" s="158"/>
      <c r="I97" s="157" t="str">
        <f t="shared" si="6"/>
        <v/>
      </c>
      <c r="J97" s="1002"/>
      <c r="K97" s="1003"/>
      <c r="L97" s="1003"/>
      <c r="N97" s="52"/>
      <c r="O97" s="3" t="str">
        <f>IF($C95&lt;&gt;"","Show","Hide")</f>
        <v>Hide</v>
      </c>
      <c r="AB97" s="52">
        <v>0</v>
      </c>
      <c r="AC97" s="52">
        <v>-9</v>
      </c>
      <c r="AD97" s="52" t="str">
        <f>IFERROR(IF(VLOOKUP($E95,$A$198:$E$205,3,FALSE)&gt;=$H97+AB97,3,IF(VLOOKUP($E95,$A$198:$E$205,4,FALSE)&gt;=$H97+AB97,2,IF(VLOOKUP($E95,$A$198:$E$205,5,FALSE)&gt;=$H97+AB97,1,"NOT MET"))),"")</f>
        <v/>
      </c>
      <c r="AE97" s="52" t="str">
        <f>IFERROR(IF(VLOOKUP($E95,$A$198:$E$205,3,FALSE)&gt;=$H97+AC97,3,IF(VLOOKUP($E95,$A$198:$E$205,4,FALSE)&gt;=$H97+AC97,2,IF(VLOOKUP($E95,$A$198:$E$205,5,FALSE)&gt;=$H97+AC97,1,"NOT MET"))),"")</f>
        <v/>
      </c>
      <c r="AF97" s="52" t="str">
        <f t="shared" si="7"/>
        <v>Yes</v>
      </c>
      <c r="AG97" s="52" t="str">
        <f t="shared" si="8"/>
        <v/>
      </c>
      <c r="AH97" s="52"/>
    </row>
    <row r="98" spans="2:34" s="51" customFormat="1" ht="20.100000000000001" hidden="1" customHeight="1">
      <c r="B98" s="1006"/>
      <c r="C98" s="1001"/>
      <c r="D98" s="1001"/>
      <c r="E98" s="1001"/>
      <c r="F98" s="157" t="s">
        <v>224</v>
      </c>
      <c r="G98" s="157" t="e">
        <f>IF($AH$5=1,"NA",_xlfn.CONCAT("(",$AH$5," Point",IF($AH$5&gt;1,"s) ",") "),VLOOKUP($E95,$C$264:$F$270,1+$AH$5,FALSE),RIGHT(F98,4)))</f>
        <v>#N/A</v>
      </c>
      <c r="H98" s="158"/>
      <c r="I98" s="157" t="str">
        <f t="shared" si="6"/>
        <v/>
      </c>
      <c r="J98" s="1002"/>
      <c r="K98" s="1003"/>
      <c r="L98" s="1003"/>
      <c r="N98" s="52"/>
      <c r="O98" s="3" t="str">
        <f>IF($C95&lt;&gt;"","Show","Hide")</f>
        <v>Hide</v>
      </c>
      <c r="AB98" s="52">
        <v>0</v>
      </c>
      <c r="AC98" s="52">
        <v>-9</v>
      </c>
      <c r="AD98" s="52" t="str">
        <f>IFERROR(IF(VLOOKUP($E95,$A$208:$E$215,3,FALSE)&gt;=$H98+AB98,3,IF(VLOOKUP($E95,$A$208:$E$215,4,FALSE)&gt;=$H98+AB98,2,IF(VLOOKUP($E95,$A$208:$E$215,5,FALSE)&gt;=$H98+AB98,1,"NOT MET"))),"")</f>
        <v/>
      </c>
      <c r="AE98" s="52" t="str">
        <f>IFERROR(IF(VLOOKUP($E95,$A$208:$E$215,3,FALSE)&gt;=$H98+AC98,3,IF(VLOOKUP($E95,$A$208:$E$215,4,FALSE)&gt;=$H98+AC98,2,IF(VLOOKUP($E95,$A$208:$E$215,5,FALSE)&gt;=$H98+AC98,1,"NOT MET"))),"")</f>
        <v/>
      </c>
      <c r="AF98" s="52" t="str">
        <f t="shared" si="7"/>
        <v>Yes</v>
      </c>
      <c r="AG98" s="52" t="str">
        <f t="shared" si="8"/>
        <v/>
      </c>
      <c r="AH98" s="52"/>
    </row>
    <row r="99" spans="2:34" s="51" customFormat="1" ht="24" hidden="1" customHeight="1">
      <c r="B99" s="1006"/>
      <c r="C99" s="1015" t="s">
        <v>223</v>
      </c>
      <c r="D99" s="1016"/>
      <c r="E99" s="1016"/>
      <c r="F99" s="1016"/>
      <c r="G99" s="1016"/>
      <c r="H99" s="1016"/>
      <c r="I99" s="1016"/>
      <c r="J99" s="1016"/>
      <c r="K99" s="1016"/>
      <c r="L99" s="1016"/>
      <c r="N99" s="52"/>
      <c r="O99" s="3" t="str">
        <f>IF(C$101&lt;&gt;"","Show","Hide")</f>
        <v>Hide</v>
      </c>
      <c r="AE99" s="52"/>
      <c r="AF99" s="52"/>
      <c r="AG99" s="52"/>
    </row>
    <row r="100" spans="2:34" s="51" customFormat="1" ht="45.6" hidden="1" customHeight="1">
      <c r="B100" s="1007"/>
      <c r="C100" s="150" t="s">
        <v>49</v>
      </c>
      <c r="D100" s="150" t="s">
        <v>222</v>
      </c>
      <c r="E100" s="150" t="s">
        <v>221</v>
      </c>
      <c r="F100" s="150" t="s">
        <v>220</v>
      </c>
      <c r="G100" s="150" t="s">
        <v>219</v>
      </c>
      <c r="H100" s="151" t="s">
        <v>218</v>
      </c>
      <c r="I100" s="150" t="s">
        <v>1</v>
      </c>
      <c r="J100" s="1017" t="s">
        <v>107</v>
      </c>
      <c r="K100" s="1018"/>
      <c r="L100" s="1019"/>
      <c r="N100" s="52"/>
      <c r="O100" s="3" t="str">
        <f t="shared" ref="O100" si="9">IF(C$101&lt;&gt;"","Show","Hide")</f>
        <v>Hide</v>
      </c>
      <c r="P100" s="111" t="s">
        <v>217</v>
      </c>
    </row>
    <row r="101" spans="2:34" s="51" customFormat="1" ht="20.100000000000001" hidden="1" customHeight="1">
      <c r="B101" s="1007"/>
      <c r="C101" s="148"/>
      <c r="D101" s="146"/>
      <c r="E101" s="146"/>
      <c r="F101" s="157" t="s">
        <v>215</v>
      </c>
      <c r="G101" s="154"/>
      <c r="H101" s="156"/>
      <c r="I101" s="155"/>
      <c r="J101" s="1012"/>
      <c r="K101" s="1013"/>
      <c r="L101" s="1014"/>
      <c r="N101" s="52"/>
      <c r="O101" s="3" t="str">
        <f>IF(C101&lt;&gt;"","Show","Hide")</f>
        <v>Hide</v>
      </c>
    </row>
    <row r="102" spans="2:34" s="51" customFormat="1" ht="20.100000000000001" hidden="1" customHeight="1">
      <c r="B102" s="1007"/>
      <c r="C102" s="148"/>
      <c r="D102" s="146"/>
      <c r="E102" s="146"/>
      <c r="F102" s="157" t="s">
        <v>215</v>
      </c>
      <c r="G102" s="154"/>
      <c r="H102" s="156"/>
      <c r="I102" s="155"/>
      <c r="J102" s="1012"/>
      <c r="K102" s="1013"/>
      <c r="L102" s="1014"/>
      <c r="N102" s="52"/>
      <c r="O102" s="3" t="str">
        <f t="shared" ref="O102:O109" si="10">IF(C102&lt;&gt;"","Show","Hide")</f>
        <v>Hide</v>
      </c>
      <c r="P102" s="1000" t="s">
        <v>216</v>
      </c>
    </row>
    <row r="103" spans="2:34" s="51" customFormat="1" ht="20.100000000000001" hidden="1" customHeight="1">
      <c r="B103" s="1007"/>
      <c r="C103" s="148"/>
      <c r="D103" s="146"/>
      <c r="E103" s="146"/>
      <c r="F103" s="157" t="s">
        <v>215</v>
      </c>
      <c r="G103" s="154"/>
      <c r="H103" s="156"/>
      <c r="I103" s="155"/>
      <c r="J103" s="1012"/>
      <c r="K103" s="1013"/>
      <c r="L103" s="1014"/>
      <c r="N103" s="52"/>
      <c r="O103" s="3" t="str">
        <f t="shared" si="10"/>
        <v>Hide</v>
      </c>
      <c r="P103" s="1000"/>
    </row>
    <row r="104" spans="2:34" s="51" customFormat="1" ht="20.100000000000001" hidden="1" customHeight="1">
      <c r="B104" s="1007"/>
      <c r="C104" s="148"/>
      <c r="D104" s="146"/>
      <c r="E104" s="146"/>
      <c r="F104" s="157" t="s">
        <v>215</v>
      </c>
      <c r="G104" s="154"/>
      <c r="H104" s="156"/>
      <c r="I104" s="155"/>
      <c r="J104" s="1012"/>
      <c r="K104" s="1013"/>
      <c r="L104" s="1014"/>
      <c r="N104" s="52"/>
      <c r="O104" s="3" t="str">
        <f t="shared" si="10"/>
        <v>Hide</v>
      </c>
    </row>
    <row r="105" spans="2:34" s="51" customFormat="1" ht="20.100000000000001" hidden="1" customHeight="1">
      <c r="B105" s="1007"/>
      <c r="C105" s="148"/>
      <c r="D105" s="146"/>
      <c r="E105" s="146"/>
      <c r="F105" s="157" t="s">
        <v>215</v>
      </c>
      <c r="G105" s="154"/>
      <c r="H105" s="156"/>
      <c r="I105" s="155"/>
      <c r="J105" s="1012"/>
      <c r="K105" s="1013"/>
      <c r="L105" s="1014"/>
      <c r="N105" s="52"/>
      <c r="O105" s="3" t="str">
        <f t="shared" si="10"/>
        <v>Hide</v>
      </c>
    </row>
    <row r="106" spans="2:34" s="51" customFormat="1" ht="20.100000000000001" hidden="1" customHeight="1">
      <c r="B106" s="1007"/>
      <c r="C106" s="148"/>
      <c r="D106" s="146"/>
      <c r="E106" s="146"/>
      <c r="F106" s="157" t="s">
        <v>215</v>
      </c>
      <c r="G106" s="154"/>
      <c r="H106" s="156"/>
      <c r="I106" s="155"/>
      <c r="J106" s="1012"/>
      <c r="K106" s="1013"/>
      <c r="L106" s="1014"/>
      <c r="N106" s="52"/>
      <c r="O106" s="3" t="str">
        <f t="shared" si="10"/>
        <v>Hide</v>
      </c>
    </row>
    <row r="107" spans="2:34" s="51" customFormat="1" ht="20.100000000000001" hidden="1" customHeight="1">
      <c r="B107" s="1007"/>
      <c r="C107" s="148"/>
      <c r="D107" s="146"/>
      <c r="E107" s="146"/>
      <c r="F107" s="157" t="s">
        <v>215</v>
      </c>
      <c r="G107" s="154"/>
      <c r="H107" s="156"/>
      <c r="I107" s="155"/>
      <c r="J107" s="1012"/>
      <c r="K107" s="1013"/>
      <c r="L107" s="1014"/>
      <c r="N107" s="52"/>
      <c r="O107" s="3" t="str">
        <f t="shared" si="10"/>
        <v>Hide</v>
      </c>
    </row>
    <row r="108" spans="2:34" s="51" customFormat="1" ht="20.100000000000001" hidden="1" customHeight="1">
      <c r="B108" s="1007"/>
      <c r="C108" s="148"/>
      <c r="D108" s="146"/>
      <c r="E108" s="146"/>
      <c r="F108" s="157" t="s">
        <v>215</v>
      </c>
      <c r="G108" s="154"/>
      <c r="H108" s="156"/>
      <c r="I108" s="155"/>
      <c r="J108" s="1012"/>
      <c r="K108" s="1013"/>
      <c r="L108" s="1014"/>
      <c r="N108" s="52"/>
      <c r="O108" s="3" t="str">
        <f t="shared" si="10"/>
        <v>Hide</v>
      </c>
    </row>
    <row r="109" spans="2:34" s="51" customFormat="1" ht="20.100000000000001" hidden="1" customHeight="1">
      <c r="B109" s="1007"/>
      <c r="C109" s="148"/>
      <c r="D109" s="146"/>
      <c r="E109" s="146"/>
      <c r="F109" s="157" t="s">
        <v>215</v>
      </c>
      <c r="G109" s="154"/>
      <c r="H109" s="156"/>
      <c r="I109" s="155"/>
      <c r="J109" s="1012"/>
      <c r="K109" s="1013"/>
      <c r="L109" s="1014"/>
      <c r="N109" s="52"/>
      <c r="O109" s="3" t="str">
        <f t="shared" si="10"/>
        <v>Hide</v>
      </c>
    </row>
    <row r="110" spans="2:34" s="51" customFormat="1" ht="24" hidden="1" customHeight="1">
      <c r="B110" s="1006"/>
      <c r="C110" s="1015" t="s">
        <v>214</v>
      </c>
      <c r="D110" s="1016"/>
      <c r="E110" s="1016"/>
      <c r="F110" s="1016"/>
      <c r="G110" s="1016"/>
      <c r="H110" s="1016"/>
      <c r="I110" s="1016"/>
      <c r="J110" s="1016"/>
      <c r="K110" s="1016"/>
      <c r="L110" s="1016"/>
      <c r="N110" s="52"/>
      <c r="O110" s="3" t="str">
        <f>IF(C$112&lt;&gt;"","Show","Hide")</f>
        <v>Hide</v>
      </c>
    </row>
    <row r="111" spans="2:34" s="51" customFormat="1" ht="45.6" hidden="1" customHeight="1">
      <c r="B111" s="1007"/>
      <c r="C111" s="150" t="s">
        <v>49</v>
      </c>
      <c r="D111" s="150" t="s">
        <v>111</v>
      </c>
      <c r="E111" s="150" t="s">
        <v>178</v>
      </c>
      <c r="F111" s="150" t="s">
        <v>213</v>
      </c>
      <c r="G111" s="150" t="s">
        <v>212</v>
      </c>
      <c r="H111" s="151" t="s">
        <v>211</v>
      </c>
      <c r="I111" s="150" t="s">
        <v>1</v>
      </c>
      <c r="J111" s="1017" t="s">
        <v>107</v>
      </c>
      <c r="K111" s="1018"/>
      <c r="L111" s="1019"/>
      <c r="N111" s="52"/>
      <c r="O111" s="3" t="str">
        <f t="shared" ref="O111" si="11">IF(C$112&lt;&gt;"","Show","Hide")</f>
        <v>Hide</v>
      </c>
    </row>
    <row r="112" spans="2:34" s="51" customFormat="1" ht="20.100000000000001" hidden="1" customHeight="1">
      <c r="B112" s="1007"/>
      <c r="C112" s="147"/>
      <c r="D112" s="144"/>
      <c r="E112" s="154"/>
      <c r="F112" s="154"/>
      <c r="G112" s="153" t="e">
        <f t="shared" ref="G112:G127" si="12">VLOOKUP(_xlfn.CONCAT(E112,F112),$H$275:$I$286,2,FALSE)</f>
        <v>#N/A</v>
      </c>
      <c r="H112" s="146"/>
      <c r="I112" s="155"/>
      <c r="J112" s="1020"/>
      <c r="K112" s="1021"/>
      <c r="L112" s="1022"/>
      <c r="N112" s="52"/>
      <c r="O112" s="3" t="str">
        <f t="shared" ref="O112:O127" si="13">IF(C112&lt;&gt;"","Show","Hide")</f>
        <v>Hide</v>
      </c>
    </row>
    <row r="113" spans="2:15" s="51" customFormat="1" ht="20.100000000000001" hidden="1" customHeight="1">
      <c r="B113" s="1007"/>
      <c r="C113" s="148"/>
      <c r="D113" s="144"/>
      <c r="E113" s="154"/>
      <c r="F113" s="154"/>
      <c r="G113" s="153" t="e">
        <f t="shared" si="12"/>
        <v>#N/A</v>
      </c>
      <c r="H113" s="146"/>
      <c r="I113" s="155"/>
      <c r="J113" s="1020"/>
      <c r="K113" s="1021"/>
      <c r="L113" s="1022"/>
      <c r="N113" s="52"/>
      <c r="O113" s="3" t="str">
        <f t="shared" si="13"/>
        <v>Hide</v>
      </c>
    </row>
    <row r="114" spans="2:15" s="51" customFormat="1" ht="20.100000000000001" hidden="1" customHeight="1">
      <c r="B114" s="1007"/>
      <c r="C114" s="148"/>
      <c r="D114" s="144"/>
      <c r="E114" s="154"/>
      <c r="F114" s="154"/>
      <c r="G114" s="153" t="e">
        <f t="shared" si="12"/>
        <v>#N/A</v>
      </c>
      <c r="H114" s="146"/>
      <c r="I114" s="155"/>
      <c r="J114" s="1020"/>
      <c r="K114" s="1021"/>
      <c r="L114" s="1022"/>
      <c r="N114" s="52"/>
      <c r="O114" s="3" t="str">
        <f t="shared" si="13"/>
        <v>Hide</v>
      </c>
    </row>
    <row r="115" spans="2:15" s="51" customFormat="1" ht="20.100000000000001" hidden="1" customHeight="1">
      <c r="B115" s="1007"/>
      <c r="C115" s="148"/>
      <c r="D115" s="144"/>
      <c r="E115" s="154"/>
      <c r="F115" s="154"/>
      <c r="G115" s="153" t="e">
        <f t="shared" si="12"/>
        <v>#N/A</v>
      </c>
      <c r="H115" s="146"/>
      <c r="I115" s="155"/>
      <c r="J115" s="1020"/>
      <c r="K115" s="1021"/>
      <c r="L115" s="1022"/>
      <c r="N115" s="52"/>
      <c r="O115" s="3" t="str">
        <f t="shared" si="13"/>
        <v>Hide</v>
      </c>
    </row>
    <row r="116" spans="2:15" s="51" customFormat="1" ht="20.100000000000001" hidden="1" customHeight="1">
      <c r="B116" s="1007"/>
      <c r="C116" s="148"/>
      <c r="D116" s="144"/>
      <c r="E116" s="154"/>
      <c r="F116" s="154"/>
      <c r="G116" s="153" t="e">
        <f t="shared" si="12"/>
        <v>#N/A</v>
      </c>
      <c r="H116" s="146"/>
      <c r="I116" s="155"/>
      <c r="J116" s="1020"/>
      <c r="K116" s="1021"/>
      <c r="L116" s="1022"/>
      <c r="N116" s="52"/>
      <c r="O116" s="3" t="str">
        <f t="shared" si="13"/>
        <v>Hide</v>
      </c>
    </row>
    <row r="117" spans="2:15" s="51" customFormat="1" ht="20.100000000000001" hidden="1" customHeight="1">
      <c r="B117" s="1007"/>
      <c r="C117" s="148"/>
      <c r="D117" s="144"/>
      <c r="E117" s="154"/>
      <c r="F117" s="154"/>
      <c r="G117" s="153" t="e">
        <f t="shared" si="12"/>
        <v>#N/A</v>
      </c>
      <c r="H117" s="146"/>
      <c r="I117" s="155"/>
      <c r="J117" s="1020"/>
      <c r="K117" s="1021"/>
      <c r="L117" s="1022"/>
      <c r="N117" s="52"/>
      <c r="O117" s="3" t="str">
        <f t="shared" si="13"/>
        <v>Hide</v>
      </c>
    </row>
    <row r="118" spans="2:15" s="51" customFormat="1" ht="20.100000000000001" hidden="1" customHeight="1">
      <c r="B118" s="1007"/>
      <c r="C118" s="148"/>
      <c r="D118" s="144"/>
      <c r="E118" s="154"/>
      <c r="F118" s="154"/>
      <c r="G118" s="153" t="e">
        <f t="shared" si="12"/>
        <v>#N/A</v>
      </c>
      <c r="H118" s="146"/>
      <c r="I118" s="155"/>
      <c r="J118" s="1020"/>
      <c r="K118" s="1021"/>
      <c r="L118" s="1022"/>
      <c r="N118" s="52"/>
      <c r="O118" s="3" t="str">
        <f t="shared" si="13"/>
        <v>Hide</v>
      </c>
    </row>
    <row r="119" spans="2:15" s="51" customFormat="1" ht="20.100000000000001" hidden="1" customHeight="1">
      <c r="B119" s="1007"/>
      <c r="C119" s="148"/>
      <c r="D119" s="144"/>
      <c r="E119" s="154"/>
      <c r="F119" s="154"/>
      <c r="G119" s="153" t="e">
        <f t="shared" si="12"/>
        <v>#N/A</v>
      </c>
      <c r="H119" s="146"/>
      <c r="I119" s="155"/>
      <c r="J119" s="1020"/>
      <c r="K119" s="1021"/>
      <c r="L119" s="1022"/>
      <c r="N119" s="52"/>
      <c r="O119" s="3" t="str">
        <f t="shared" si="13"/>
        <v>Hide</v>
      </c>
    </row>
    <row r="120" spans="2:15" s="51" customFormat="1" ht="20.100000000000001" hidden="1" customHeight="1">
      <c r="B120" s="1007"/>
      <c r="C120" s="148"/>
      <c r="D120" s="144"/>
      <c r="E120" s="154"/>
      <c r="F120" s="154"/>
      <c r="G120" s="153" t="e">
        <f t="shared" si="12"/>
        <v>#N/A</v>
      </c>
      <c r="H120" s="146"/>
      <c r="I120" s="155"/>
      <c r="J120" s="1020"/>
      <c r="K120" s="1021"/>
      <c r="L120" s="1022"/>
      <c r="N120" s="52"/>
      <c r="O120" s="3" t="str">
        <f t="shared" si="13"/>
        <v>Hide</v>
      </c>
    </row>
    <row r="121" spans="2:15" s="51" customFormat="1" ht="20.100000000000001" hidden="1" customHeight="1">
      <c r="B121" s="1007"/>
      <c r="C121" s="148"/>
      <c r="D121" s="144"/>
      <c r="E121" s="154"/>
      <c r="F121" s="154"/>
      <c r="G121" s="153" t="e">
        <f t="shared" si="12"/>
        <v>#N/A</v>
      </c>
      <c r="H121" s="146"/>
      <c r="I121" s="155"/>
      <c r="J121" s="1020"/>
      <c r="K121" s="1021"/>
      <c r="L121" s="1022"/>
      <c r="N121" s="52"/>
      <c r="O121" s="3" t="str">
        <f t="shared" si="13"/>
        <v>Hide</v>
      </c>
    </row>
    <row r="122" spans="2:15" s="51" customFormat="1" ht="20.100000000000001" hidden="1" customHeight="1">
      <c r="B122" s="1007"/>
      <c r="C122" s="148"/>
      <c r="D122" s="144"/>
      <c r="E122" s="154"/>
      <c r="F122" s="154"/>
      <c r="G122" s="153" t="e">
        <f t="shared" si="12"/>
        <v>#N/A</v>
      </c>
      <c r="H122" s="146"/>
      <c r="I122" s="155"/>
      <c r="J122" s="1020"/>
      <c r="K122" s="1021"/>
      <c r="L122" s="1022"/>
      <c r="N122" s="52"/>
      <c r="O122" s="3" t="str">
        <f t="shared" si="13"/>
        <v>Hide</v>
      </c>
    </row>
    <row r="123" spans="2:15" s="51" customFormat="1" ht="20.100000000000001" hidden="1" customHeight="1">
      <c r="B123" s="1007"/>
      <c r="C123" s="148"/>
      <c r="D123" s="144"/>
      <c r="E123" s="154"/>
      <c r="F123" s="154"/>
      <c r="G123" s="153" t="e">
        <f t="shared" si="12"/>
        <v>#N/A</v>
      </c>
      <c r="H123" s="146"/>
      <c r="I123" s="155"/>
      <c r="J123" s="1020"/>
      <c r="K123" s="1021"/>
      <c r="L123" s="1022"/>
      <c r="N123" s="52"/>
      <c r="O123" s="3" t="str">
        <f t="shared" si="13"/>
        <v>Hide</v>
      </c>
    </row>
    <row r="124" spans="2:15" s="51" customFormat="1" ht="20.100000000000001" hidden="1" customHeight="1">
      <c r="B124" s="1007"/>
      <c r="C124" s="148"/>
      <c r="D124" s="144"/>
      <c r="E124" s="154"/>
      <c r="F124" s="154"/>
      <c r="G124" s="153" t="e">
        <f t="shared" si="12"/>
        <v>#N/A</v>
      </c>
      <c r="H124" s="146"/>
      <c r="I124" s="155"/>
      <c r="J124" s="1020"/>
      <c r="K124" s="1021"/>
      <c r="L124" s="1022"/>
      <c r="N124" s="52"/>
      <c r="O124" s="3" t="str">
        <f t="shared" si="13"/>
        <v>Hide</v>
      </c>
    </row>
    <row r="125" spans="2:15" s="51" customFormat="1" ht="20.100000000000001" hidden="1" customHeight="1">
      <c r="B125" s="1007"/>
      <c r="C125" s="148"/>
      <c r="D125" s="144"/>
      <c r="E125" s="154"/>
      <c r="F125" s="154"/>
      <c r="G125" s="153" t="e">
        <f t="shared" si="12"/>
        <v>#N/A</v>
      </c>
      <c r="H125" s="146"/>
      <c r="I125" s="155"/>
      <c r="J125" s="1020"/>
      <c r="K125" s="1021"/>
      <c r="L125" s="1022"/>
      <c r="N125" s="52"/>
      <c r="O125" s="3" t="str">
        <f t="shared" si="13"/>
        <v>Hide</v>
      </c>
    </row>
    <row r="126" spans="2:15" s="51" customFormat="1" ht="20.100000000000001" hidden="1" customHeight="1">
      <c r="B126" s="1007"/>
      <c r="C126" s="148"/>
      <c r="D126" s="144"/>
      <c r="E126" s="154"/>
      <c r="F126" s="154"/>
      <c r="G126" s="153" t="e">
        <f t="shared" si="12"/>
        <v>#N/A</v>
      </c>
      <c r="H126" s="146"/>
      <c r="I126" s="155"/>
      <c r="J126" s="1020"/>
      <c r="K126" s="1021"/>
      <c r="L126" s="1022"/>
      <c r="N126" s="52"/>
      <c r="O126" s="3" t="str">
        <f t="shared" si="13"/>
        <v>Hide</v>
      </c>
    </row>
    <row r="127" spans="2:15" s="51" customFormat="1" ht="20.100000000000001" hidden="1" customHeight="1">
      <c r="B127" s="1007"/>
      <c r="C127" s="148"/>
      <c r="D127" s="144"/>
      <c r="E127" s="154"/>
      <c r="F127" s="154"/>
      <c r="G127" s="153" t="e">
        <f t="shared" si="12"/>
        <v>#N/A</v>
      </c>
      <c r="H127" s="146"/>
      <c r="I127" s="152"/>
      <c r="J127" s="1020"/>
      <c r="K127" s="1021"/>
      <c r="L127" s="1022"/>
      <c r="N127" s="52"/>
      <c r="O127" s="3" t="str">
        <f t="shared" si="13"/>
        <v>Hide</v>
      </c>
    </row>
    <row r="128" spans="2:15" s="51" customFormat="1" ht="24" hidden="1" customHeight="1">
      <c r="B128" s="1006"/>
      <c r="C128" s="1015" t="s">
        <v>210</v>
      </c>
      <c r="D128" s="1016"/>
      <c r="E128" s="1016"/>
      <c r="F128" s="1016"/>
      <c r="G128" s="1016"/>
      <c r="H128" s="1016"/>
      <c r="I128" s="1016"/>
      <c r="J128" s="1016"/>
      <c r="K128" s="1016"/>
      <c r="L128" s="1016"/>
      <c r="N128" s="52"/>
      <c r="O128" s="3" t="str">
        <f>IF(C$130&lt;&gt;"","Show","Hide")</f>
        <v>Hide</v>
      </c>
    </row>
    <row r="129" spans="1:15" s="51" customFormat="1" ht="60" hidden="1" customHeight="1">
      <c r="B129" s="1007"/>
      <c r="C129" s="150" t="s">
        <v>49</v>
      </c>
      <c r="D129" s="150" t="s">
        <v>111</v>
      </c>
      <c r="E129" s="150" t="s">
        <v>209</v>
      </c>
      <c r="F129" s="150" t="s">
        <v>208</v>
      </c>
      <c r="G129" s="151" t="s">
        <v>207</v>
      </c>
      <c r="H129" s="150" t="s">
        <v>206</v>
      </c>
      <c r="I129" s="150" t="s">
        <v>1</v>
      </c>
      <c r="J129" s="1011" t="s">
        <v>107</v>
      </c>
      <c r="K129" s="1011"/>
      <c r="L129" s="1011"/>
      <c r="N129" s="52"/>
      <c r="O129" s="3" t="str">
        <f t="shared" ref="O129" si="14">IF(C$130&lt;&gt;"","Show","Hide")</f>
        <v>Hide</v>
      </c>
    </row>
    <row r="130" spans="1:15" s="51" customFormat="1" ht="20.100000000000001" hidden="1" customHeight="1">
      <c r="B130" s="1007"/>
      <c r="C130" s="147"/>
      <c r="D130" s="144"/>
      <c r="E130" s="149"/>
      <c r="F130" s="145"/>
      <c r="G130" s="145"/>
      <c r="H130" s="144"/>
      <c r="I130" s="143"/>
      <c r="J130" s="1023"/>
      <c r="K130" s="1023"/>
      <c r="L130" s="1023"/>
      <c r="N130" s="52"/>
      <c r="O130" s="3" t="str">
        <f t="shared" ref="O130:O135" si="15">IF(C130&lt;&gt;"","Show","Hide")</f>
        <v>Hide</v>
      </c>
    </row>
    <row r="131" spans="1:15" s="51" customFormat="1" ht="20.100000000000001" hidden="1" customHeight="1">
      <c r="B131" s="1007"/>
      <c r="C131" s="148"/>
      <c r="D131" s="146"/>
      <c r="E131" s="144"/>
      <c r="F131" s="145"/>
      <c r="G131" s="145"/>
      <c r="H131" s="144"/>
      <c r="I131" s="143"/>
      <c r="J131" s="1023"/>
      <c r="K131" s="1023"/>
      <c r="L131" s="1023"/>
      <c r="N131" s="52"/>
      <c r="O131" s="3" t="str">
        <f t="shared" si="15"/>
        <v>Hide</v>
      </c>
    </row>
    <row r="132" spans="1:15" s="51" customFormat="1" ht="20.100000000000001" hidden="1" customHeight="1">
      <c r="B132" s="1007"/>
      <c r="C132" s="147"/>
      <c r="D132" s="146"/>
      <c r="E132" s="144"/>
      <c r="F132" s="145"/>
      <c r="G132" s="145"/>
      <c r="H132" s="144"/>
      <c r="I132" s="143"/>
      <c r="J132" s="1023"/>
      <c r="K132" s="1023"/>
      <c r="L132" s="1023"/>
      <c r="N132" s="52"/>
      <c r="O132" s="3" t="str">
        <f t="shared" si="15"/>
        <v>Hide</v>
      </c>
    </row>
    <row r="133" spans="1:15" s="51" customFormat="1" ht="20.100000000000001" hidden="1" customHeight="1">
      <c r="B133" s="1007"/>
      <c r="C133" s="147"/>
      <c r="D133" s="146"/>
      <c r="E133" s="144"/>
      <c r="F133" s="145"/>
      <c r="G133" s="145"/>
      <c r="H133" s="144"/>
      <c r="I133" s="143"/>
      <c r="J133" s="1023"/>
      <c r="K133" s="1023"/>
      <c r="L133" s="1023"/>
      <c r="N133" s="52"/>
      <c r="O133" s="3" t="str">
        <f t="shared" si="15"/>
        <v>Hide</v>
      </c>
    </row>
    <row r="134" spans="1:15" s="51" customFormat="1" ht="20.100000000000001" hidden="1" customHeight="1">
      <c r="B134" s="1007"/>
      <c r="C134" s="147"/>
      <c r="D134" s="146"/>
      <c r="E134" s="144"/>
      <c r="F134" s="145"/>
      <c r="G134" s="145"/>
      <c r="H134" s="144"/>
      <c r="I134" s="143"/>
      <c r="J134" s="1023"/>
      <c r="K134" s="1023"/>
      <c r="L134" s="1023"/>
      <c r="N134" s="52"/>
      <c r="O134" s="3" t="str">
        <f t="shared" si="15"/>
        <v>Hide</v>
      </c>
    </row>
    <row r="135" spans="1:15" s="51" customFormat="1" ht="20.100000000000001" hidden="1" customHeight="1">
      <c r="B135" s="1008"/>
      <c r="C135" s="147"/>
      <c r="D135" s="146"/>
      <c r="E135" s="144"/>
      <c r="F135" s="145"/>
      <c r="G135" s="145"/>
      <c r="H135" s="144"/>
      <c r="I135" s="143"/>
      <c r="J135" s="1023"/>
      <c r="K135" s="1023"/>
      <c r="L135" s="1023"/>
      <c r="N135" s="52"/>
      <c r="O135" s="3" t="str">
        <f t="shared" si="15"/>
        <v>Hide</v>
      </c>
    </row>
    <row r="136" spans="1:15" s="51" customFormat="1">
      <c r="C136" s="52"/>
      <c r="D136" s="52"/>
      <c r="E136" s="52"/>
      <c r="F136" s="52"/>
      <c r="G136" s="52"/>
      <c r="H136" s="52"/>
      <c r="I136" s="52"/>
      <c r="J136" s="52"/>
      <c r="N136" s="52"/>
      <c r="O136" s="3" t="s">
        <v>500</v>
      </c>
    </row>
    <row r="143" spans="1:15" s="51" customFormat="1" ht="46.2">
      <c r="A143" s="1024" t="s">
        <v>205</v>
      </c>
      <c r="B143" s="1024"/>
      <c r="C143" s="1024"/>
      <c r="D143" s="1024"/>
      <c r="E143" s="1024"/>
      <c r="F143" s="1024"/>
      <c r="G143" s="1024"/>
      <c r="H143" s="1024"/>
      <c r="I143" s="1024"/>
      <c r="J143" s="1024"/>
      <c r="K143" s="1024"/>
      <c r="L143" s="1024"/>
      <c r="M143" s="1024"/>
      <c r="N143" s="142"/>
      <c r="O143" s="3"/>
    </row>
    <row r="144" spans="1:15" s="51" customFormat="1" ht="46.2">
      <c r="A144" s="1024"/>
      <c r="B144" s="1024"/>
      <c r="C144" s="1024"/>
      <c r="D144" s="1024"/>
      <c r="E144" s="1024"/>
      <c r="F144" s="1024"/>
      <c r="G144" s="1024"/>
      <c r="H144" s="1024"/>
      <c r="I144" s="1024"/>
      <c r="J144" s="1024"/>
      <c r="K144" s="1024"/>
      <c r="L144" s="1024"/>
      <c r="M144" s="1024"/>
      <c r="N144" s="142"/>
      <c r="O144" s="3"/>
    </row>
    <row r="145" spans="1:15" s="51" customFormat="1" ht="46.2">
      <c r="A145" s="1024"/>
      <c r="B145" s="1024"/>
      <c r="C145" s="1024"/>
      <c r="D145" s="1024"/>
      <c r="E145" s="1024"/>
      <c r="F145" s="1024"/>
      <c r="G145" s="1024"/>
      <c r="H145" s="1024"/>
      <c r="I145" s="1024"/>
      <c r="J145" s="1024"/>
      <c r="K145" s="1024"/>
      <c r="L145" s="1024"/>
      <c r="M145" s="1024"/>
      <c r="N145" s="142"/>
      <c r="O145" s="3"/>
    </row>
    <row r="146" spans="1:15" s="51" customFormat="1" ht="46.2">
      <c r="A146" s="1024"/>
      <c r="B146" s="1024"/>
      <c r="C146" s="1024"/>
      <c r="D146" s="1024"/>
      <c r="E146" s="1024"/>
      <c r="F146" s="1024"/>
      <c r="G146" s="1024"/>
      <c r="H146" s="1024"/>
      <c r="I146" s="1024"/>
      <c r="J146" s="1024"/>
      <c r="K146" s="1024"/>
      <c r="L146" s="1024"/>
      <c r="M146" s="1024"/>
      <c r="N146" s="142"/>
      <c r="O146" s="3"/>
    </row>
    <row r="147" spans="1:15" s="51" customFormat="1" ht="46.2">
      <c r="A147" s="1024"/>
      <c r="B147" s="1024"/>
      <c r="C147" s="1024"/>
      <c r="D147" s="1024"/>
      <c r="E147" s="1024"/>
      <c r="F147" s="1024"/>
      <c r="G147" s="1024"/>
      <c r="H147" s="1024"/>
      <c r="I147" s="1024"/>
      <c r="J147" s="1024"/>
      <c r="K147" s="1024"/>
      <c r="L147" s="1024"/>
      <c r="M147" s="1024"/>
      <c r="N147" s="142"/>
      <c r="O147" s="3"/>
    </row>
    <row r="148" spans="1:15" s="51" customFormat="1" ht="46.2">
      <c r="A148" s="1024"/>
      <c r="B148" s="1024"/>
      <c r="C148" s="1024"/>
      <c r="D148" s="1024"/>
      <c r="E148" s="1024"/>
      <c r="F148" s="1024"/>
      <c r="G148" s="1024"/>
      <c r="H148" s="1024"/>
      <c r="I148" s="1024"/>
      <c r="J148" s="1024"/>
      <c r="K148" s="1024"/>
      <c r="L148" s="1024"/>
      <c r="M148" s="1024"/>
      <c r="N148" s="142"/>
      <c r="O148" s="3"/>
    </row>
    <row r="149" spans="1:15" hidden="1">
      <c r="B149"/>
      <c r="C149"/>
      <c r="D149"/>
    </row>
    <row r="150" spans="1:15" s="51" customFormat="1" hidden="1">
      <c r="B150" s="141"/>
      <c r="C150" s="141"/>
      <c r="D150" s="140"/>
      <c r="N150" s="52"/>
      <c r="O150" s="3"/>
    </row>
    <row r="151" spans="1:15" s="51" customFormat="1" hidden="1">
      <c r="A151" s="113"/>
      <c r="B151" s="141"/>
      <c r="D151" s="140"/>
      <c r="E151" s="139" t="s">
        <v>204</v>
      </c>
      <c r="F151" s="138"/>
      <c r="G151" s="137" t="s">
        <v>203</v>
      </c>
      <c r="H151" s="137" t="s">
        <v>185</v>
      </c>
      <c r="I151" s="137" t="s">
        <v>202</v>
      </c>
      <c r="J151" s="136" t="s">
        <v>201</v>
      </c>
      <c r="N151" s="52"/>
      <c r="O151" s="3"/>
    </row>
    <row r="152" spans="1:15" s="51" customFormat="1" hidden="1">
      <c r="E152" s="135"/>
      <c r="F152" s="134"/>
      <c r="G152" s="132" t="s">
        <v>186</v>
      </c>
      <c r="H152" s="132" t="s">
        <v>184</v>
      </c>
      <c r="I152" s="132" t="s">
        <v>200</v>
      </c>
      <c r="J152" s="132"/>
      <c r="N152" s="52"/>
      <c r="O152" s="3"/>
    </row>
    <row r="153" spans="1:15" s="51" customFormat="1" hidden="1">
      <c r="E153" s="135"/>
      <c r="F153" s="134"/>
      <c r="G153" s="132"/>
      <c r="H153" s="132"/>
      <c r="I153" s="133" t="s">
        <v>199</v>
      </c>
      <c r="J153" s="132"/>
      <c r="N153" s="52"/>
      <c r="O153" s="3"/>
    </row>
    <row r="154" spans="1:15" s="51" customFormat="1" hidden="1">
      <c r="E154" s="1025" t="s">
        <v>197</v>
      </c>
      <c r="F154" s="125" t="s">
        <v>192</v>
      </c>
      <c r="G154" s="125">
        <v>45</v>
      </c>
      <c r="H154" s="125">
        <v>40</v>
      </c>
      <c r="I154" s="125">
        <v>35</v>
      </c>
      <c r="J154" s="1025">
        <v>3</v>
      </c>
      <c r="N154" s="52"/>
      <c r="O154" s="3"/>
    </row>
    <row r="155" spans="1:15" s="51" customFormat="1" hidden="1">
      <c r="E155" s="1026"/>
      <c r="F155" s="125" t="s">
        <v>191</v>
      </c>
      <c r="G155" s="125">
        <v>70</v>
      </c>
      <c r="H155" s="125">
        <v>65</v>
      </c>
      <c r="I155" s="125">
        <v>60</v>
      </c>
      <c r="J155" s="1027"/>
      <c r="N155" s="52"/>
      <c r="O155" s="3"/>
    </row>
    <row r="156" spans="1:15" s="51" customFormat="1" hidden="1">
      <c r="E156" s="1025" t="s">
        <v>196</v>
      </c>
      <c r="F156" s="125" t="s">
        <v>190</v>
      </c>
      <c r="G156" s="125">
        <v>55</v>
      </c>
      <c r="H156" s="125">
        <v>50</v>
      </c>
      <c r="I156" s="125">
        <v>45</v>
      </c>
      <c r="J156" s="1027"/>
      <c r="N156" s="52"/>
      <c r="O156" s="3"/>
    </row>
    <row r="157" spans="1:15" s="51" customFormat="1" hidden="1">
      <c r="E157" s="1026"/>
      <c r="F157" s="125" t="s">
        <v>188</v>
      </c>
      <c r="G157" s="125">
        <v>80</v>
      </c>
      <c r="H157" s="125">
        <v>75</v>
      </c>
      <c r="I157" s="125">
        <v>70</v>
      </c>
      <c r="J157" s="1026"/>
      <c r="N157" s="52"/>
      <c r="O157" s="3"/>
    </row>
    <row r="158" spans="1:15" s="51" customFormat="1" hidden="1">
      <c r="E158" s="1025" t="s">
        <v>198</v>
      </c>
      <c r="F158" s="125" t="s">
        <v>192</v>
      </c>
      <c r="G158" s="125">
        <v>50</v>
      </c>
      <c r="H158" s="125">
        <v>45</v>
      </c>
      <c r="I158" s="125">
        <v>40</v>
      </c>
      <c r="J158" s="1025">
        <v>2</v>
      </c>
      <c r="N158" s="52"/>
      <c r="O158" s="3"/>
    </row>
    <row r="159" spans="1:15" s="51" customFormat="1" hidden="1">
      <c r="E159" s="1026"/>
      <c r="F159" s="125" t="s">
        <v>191</v>
      </c>
      <c r="G159" s="125">
        <v>75</v>
      </c>
      <c r="H159" s="125">
        <v>70</v>
      </c>
      <c r="I159" s="125">
        <v>65</v>
      </c>
      <c r="J159" s="1027"/>
      <c r="N159" s="52"/>
      <c r="O159" s="3"/>
    </row>
    <row r="160" spans="1:15" s="51" customFormat="1" ht="29.1" hidden="1" customHeight="1">
      <c r="E160" s="1025" t="s">
        <v>196</v>
      </c>
      <c r="F160" s="125" t="s">
        <v>190</v>
      </c>
      <c r="G160" s="125">
        <v>60</v>
      </c>
      <c r="H160" s="125">
        <v>55</v>
      </c>
      <c r="I160" s="125">
        <v>50</v>
      </c>
      <c r="J160" s="1027"/>
      <c r="N160" s="52"/>
      <c r="O160" s="3"/>
    </row>
    <row r="161" spans="1:15" s="51" customFormat="1" hidden="1">
      <c r="E161" s="1026"/>
      <c r="F161" s="125" t="s">
        <v>188</v>
      </c>
      <c r="G161" s="125">
        <v>85</v>
      </c>
      <c r="H161" s="125">
        <v>80</v>
      </c>
      <c r="I161" s="125">
        <v>75</v>
      </c>
      <c r="J161" s="1026"/>
      <c r="N161" s="52"/>
      <c r="O161" s="3"/>
    </row>
    <row r="162" spans="1:15" s="51" customFormat="1" hidden="1">
      <c r="E162" s="1025" t="s">
        <v>197</v>
      </c>
      <c r="F162" s="125" t="s">
        <v>192</v>
      </c>
      <c r="G162" s="125">
        <v>55</v>
      </c>
      <c r="H162" s="125">
        <v>50</v>
      </c>
      <c r="I162" s="125">
        <v>45</v>
      </c>
      <c r="J162" s="1025">
        <v>1</v>
      </c>
      <c r="N162" s="52"/>
      <c r="O162" s="3"/>
    </row>
    <row r="163" spans="1:15" s="51" customFormat="1" hidden="1">
      <c r="E163" s="1026"/>
      <c r="F163" s="125" t="s">
        <v>191</v>
      </c>
      <c r="G163" s="125">
        <v>80</v>
      </c>
      <c r="H163" s="125">
        <v>75</v>
      </c>
      <c r="I163" s="125">
        <v>70</v>
      </c>
      <c r="J163" s="1026"/>
      <c r="N163" s="52"/>
      <c r="O163" s="3"/>
    </row>
    <row r="164" spans="1:15" s="51" customFormat="1" hidden="1">
      <c r="E164" s="1025" t="s">
        <v>196</v>
      </c>
      <c r="F164" s="125" t="s">
        <v>190</v>
      </c>
      <c r="G164" s="125">
        <v>60</v>
      </c>
      <c r="H164" s="125">
        <v>55</v>
      </c>
      <c r="I164" s="125">
        <v>50</v>
      </c>
      <c r="J164" s="1028" t="s">
        <v>71</v>
      </c>
      <c r="N164" s="52"/>
      <c r="O164" s="3"/>
    </row>
    <row r="165" spans="1:15" s="51" customFormat="1" hidden="1">
      <c r="E165" s="1026"/>
      <c r="F165" s="125" t="s">
        <v>188</v>
      </c>
      <c r="G165" s="125">
        <v>85</v>
      </c>
      <c r="H165" s="125">
        <v>80</v>
      </c>
      <c r="I165" s="125">
        <v>75</v>
      </c>
      <c r="J165" s="1029"/>
      <c r="N165" s="52"/>
      <c r="O165" s="3"/>
    </row>
    <row r="166" spans="1:15" s="51" customFormat="1" hidden="1">
      <c r="C166" s="51" t="s">
        <v>195</v>
      </c>
      <c r="E166" s="127"/>
      <c r="F166" s="127"/>
      <c r="G166" s="127"/>
      <c r="H166" s="127"/>
      <c r="I166" s="127"/>
      <c r="J166" s="131"/>
      <c r="N166" s="52"/>
      <c r="O166" s="3"/>
    </row>
    <row r="167" spans="1:15" s="51" customFormat="1" ht="28.8" hidden="1">
      <c r="B167" s="51" t="s">
        <v>194</v>
      </c>
      <c r="C167" s="129">
        <v>3</v>
      </c>
      <c r="D167" s="129">
        <v>3</v>
      </c>
      <c r="E167" s="128">
        <v>3</v>
      </c>
      <c r="F167" s="128">
        <v>3</v>
      </c>
      <c r="G167" s="128">
        <v>2</v>
      </c>
      <c r="H167" s="128">
        <v>2</v>
      </c>
      <c r="I167" s="128">
        <v>2</v>
      </c>
      <c r="J167" s="128">
        <v>2</v>
      </c>
      <c r="K167" s="129">
        <v>1</v>
      </c>
      <c r="L167" s="128">
        <v>1</v>
      </c>
      <c r="M167" s="128" t="s">
        <v>71</v>
      </c>
      <c r="N167" s="128"/>
      <c r="O167" s="3"/>
    </row>
    <row r="168" spans="1:15" s="51" customFormat="1" ht="100.8" hidden="1">
      <c r="A168" s="1030" t="s">
        <v>189</v>
      </c>
      <c r="B168" s="1030"/>
      <c r="C168" s="125" t="s">
        <v>192</v>
      </c>
      <c r="D168" s="125" t="s">
        <v>191</v>
      </c>
      <c r="E168" s="125" t="s">
        <v>190</v>
      </c>
      <c r="F168" s="125" t="s">
        <v>188</v>
      </c>
      <c r="G168" s="125" t="s">
        <v>192</v>
      </c>
      <c r="H168" s="125" t="s">
        <v>191</v>
      </c>
      <c r="I168" s="125" t="s">
        <v>190</v>
      </c>
      <c r="J168" s="125" t="s">
        <v>188</v>
      </c>
      <c r="K168" s="125" t="s">
        <v>192</v>
      </c>
      <c r="L168" s="125" t="s">
        <v>191</v>
      </c>
      <c r="M168" s="125" t="s">
        <v>190</v>
      </c>
      <c r="N168" s="130"/>
      <c r="O168" s="3"/>
    </row>
    <row r="169" spans="1:15" s="51" customFormat="1" hidden="1">
      <c r="A169" s="1031" t="s">
        <v>187</v>
      </c>
      <c r="B169" s="1031"/>
      <c r="C169" s="125">
        <v>45</v>
      </c>
      <c r="D169" s="125">
        <v>70</v>
      </c>
      <c r="E169" s="125">
        <v>55</v>
      </c>
      <c r="F169" s="125">
        <v>80</v>
      </c>
      <c r="G169" s="125">
        <v>50</v>
      </c>
      <c r="H169" s="125">
        <v>75</v>
      </c>
      <c r="I169" s="125">
        <v>60</v>
      </c>
      <c r="J169" s="125">
        <v>85</v>
      </c>
      <c r="K169" s="125">
        <v>55</v>
      </c>
      <c r="L169" s="125">
        <v>80</v>
      </c>
      <c r="M169" s="125">
        <v>60</v>
      </c>
      <c r="N169" s="130"/>
      <c r="O169" s="3"/>
    </row>
    <row r="170" spans="1:15" s="51" customFormat="1" hidden="1">
      <c r="A170" s="1031" t="s">
        <v>186</v>
      </c>
      <c r="B170" s="1031"/>
      <c r="C170" s="125">
        <v>45</v>
      </c>
      <c r="D170" s="125">
        <v>70</v>
      </c>
      <c r="E170" s="125">
        <v>55</v>
      </c>
      <c r="F170" s="125">
        <v>80</v>
      </c>
      <c r="G170" s="125">
        <v>50</v>
      </c>
      <c r="H170" s="125">
        <v>75</v>
      </c>
      <c r="I170" s="125">
        <v>60</v>
      </c>
      <c r="J170" s="125">
        <v>85</v>
      </c>
      <c r="K170" s="125">
        <v>55</v>
      </c>
      <c r="L170" s="125">
        <v>80</v>
      </c>
      <c r="M170" s="125">
        <v>60</v>
      </c>
      <c r="N170" s="130"/>
      <c r="O170" s="3"/>
    </row>
    <row r="171" spans="1:15" s="51" customFormat="1" hidden="1">
      <c r="A171" s="1031" t="s">
        <v>185</v>
      </c>
      <c r="B171" s="1031"/>
      <c r="C171" s="125">
        <v>40</v>
      </c>
      <c r="D171" s="125">
        <v>65</v>
      </c>
      <c r="E171" s="125">
        <v>50</v>
      </c>
      <c r="F171" s="125">
        <v>75</v>
      </c>
      <c r="G171" s="125">
        <v>45</v>
      </c>
      <c r="H171" s="125">
        <v>70</v>
      </c>
      <c r="I171" s="125">
        <v>55</v>
      </c>
      <c r="J171" s="125">
        <v>80</v>
      </c>
      <c r="K171" s="125">
        <v>50</v>
      </c>
      <c r="L171" s="125">
        <v>75</v>
      </c>
      <c r="M171" s="125">
        <v>55</v>
      </c>
      <c r="N171" s="130"/>
      <c r="O171" s="3"/>
    </row>
    <row r="172" spans="1:15" s="51" customFormat="1" hidden="1">
      <c r="A172" s="1031" t="s">
        <v>184</v>
      </c>
      <c r="B172" s="1031"/>
      <c r="C172" s="125">
        <v>40</v>
      </c>
      <c r="D172" s="125">
        <v>65</v>
      </c>
      <c r="E172" s="125">
        <v>50</v>
      </c>
      <c r="F172" s="125">
        <v>75</v>
      </c>
      <c r="G172" s="125">
        <v>45</v>
      </c>
      <c r="H172" s="125">
        <v>70</v>
      </c>
      <c r="I172" s="125">
        <v>55</v>
      </c>
      <c r="J172" s="125">
        <v>80</v>
      </c>
      <c r="K172" s="125">
        <v>50</v>
      </c>
      <c r="L172" s="125">
        <v>75</v>
      </c>
      <c r="M172" s="125">
        <v>55</v>
      </c>
      <c r="N172" s="130"/>
      <c r="O172" s="3"/>
    </row>
    <row r="173" spans="1:15" s="51" customFormat="1" hidden="1">
      <c r="A173" s="1031" t="s">
        <v>183</v>
      </c>
      <c r="B173" s="1031"/>
      <c r="C173" s="125">
        <v>35</v>
      </c>
      <c r="D173" s="125">
        <v>60</v>
      </c>
      <c r="E173" s="125">
        <v>45</v>
      </c>
      <c r="F173" s="125">
        <v>70</v>
      </c>
      <c r="G173" s="125">
        <v>40</v>
      </c>
      <c r="H173" s="125">
        <v>65</v>
      </c>
      <c r="I173" s="125">
        <v>50</v>
      </c>
      <c r="J173" s="125">
        <v>75</v>
      </c>
      <c r="K173" s="125">
        <v>45</v>
      </c>
      <c r="L173" s="125">
        <v>70</v>
      </c>
      <c r="M173" s="125">
        <v>50</v>
      </c>
      <c r="N173" s="130"/>
      <c r="O173" s="3"/>
    </row>
    <row r="174" spans="1:15" s="51" customFormat="1" hidden="1">
      <c r="A174" s="1031" t="s">
        <v>182</v>
      </c>
      <c r="B174" s="1031"/>
      <c r="C174" s="125">
        <v>35</v>
      </c>
      <c r="D174" s="125">
        <v>60</v>
      </c>
      <c r="E174" s="125">
        <v>45</v>
      </c>
      <c r="F174" s="125">
        <v>70</v>
      </c>
      <c r="G174" s="125">
        <v>40</v>
      </c>
      <c r="H174" s="125">
        <v>65</v>
      </c>
      <c r="I174" s="125">
        <v>50</v>
      </c>
      <c r="J174" s="125">
        <v>75</v>
      </c>
      <c r="K174" s="125">
        <v>45</v>
      </c>
      <c r="L174" s="125">
        <v>70</v>
      </c>
      <c r="M174" s="125">
        <v>50</v>
      </c>
      <c r="N174" s="130"/>
      <c r="O174" s="3"/>
    </row>
    <row r="175" spans="1:15" s="51" customFormat="1" hidden="1">
      <c r="A175" s="1031" t="s">
        <v>181</v>
      </c>
      <c r="B175" s="1031"/>
      <c r="C175" s="125">
        <v>35</v>
      </c>
      <c r="D175" s="125">
        <v>60</v>
      </c>
      <c r="E175" s="125">
        <v>45</v>
      </c>
      <c r="F175" s="125">
        <v>70</v>
      </c>
      <c r="G175" s="125">
        <v>40</v>
      </c>
      <c r="H175" s="125">
        <v>65</v>
      </c>
      <c r="I175" s="125">
        <v>50</v>
      </c>
      <c r="J175" s="125">
        <v>75</v>
      </c>
      <c r="K175" s="125">
        <v>45</v>
      </c>
      <c r="L175" s="125">
        <v>70</v>
      </c>
      <c r="M175" s="125">
        <v>50</v>
      </c>
      <c r="N175" s="130"/>
      <c r="O175" s="3"/>
    </row>
    <row r="176" spans="1:15" s="51" customFormat="1" hidden="1">
      <c r="C176" s="51" t="s">
        <v>193</v>
      </c>
      <c r="N176" s="52"/>
      <c r="O176" s="3"/>
    </row>
    <row r="177" spans="1:15" s="51" customFormat="1" hidden="1">
      <c r="C177" s="51">
        <v>3</v>
      </c>
      <c r="D177" s="127">
        <v>2</v>
      </c>
      <c r="E177" s="127">
        <v>1</v>
      </c>
      <c r="F177" s="113"/>
      <c r="G177" s="113"/>
      <c r="H177" s="113"/>
      <c r="I177" s="113"/>
      <c r="J177" s="113"/>
      <c r="K177" s="113"/>
      <c r="L177" s="113"/>
      <c r="M177" s="113"/>
      <c r="N177" s="113"/>
      <c r="O177" s="3"/>
    </row>
    <row r="178" spans="1:15" s="51" customFormat="1" hidden="1">
      <c r="A178" s="1030" t="s">
        <v>189</v>
      </c>
      <c r="B178" s="1030"/>
      <c r="C178" s="125" t="s">
        <v>192</v>
      </c>
      <c r="D178" s="125" t="s">
        <v>192</v>
      </c>
      <c r="E178" s="125" t="s">
        <v>192</v>
      </c>
      <c r="F178" s="113"/>
      <c r="G178" s="113"/>
      <c r="H178" s="113"/>
      <c r="I178" s="113"/>
      <c r="J178" s="113"/>
      <c r="K178" s="113"/>
      <c r="L178" s="113"/>
      <c r="M178" s="113"/>
      <c r="N178" s="113"/>
      <c r="O178" s="3"/>
    </row>
    <row r="179" spans="1:15" s="51" customFormat="1" hidden="1">
      <c r="A179" s="1031" t="s">
        <v>187</v>
      </c>
      <c r="B179" s="1031"/>
      <c r="C179" s="125">
        <v>45</v>
      </c>
      <c r="D179" s="125">
        <v>50</v>
      </c>
      <c r="E179" s="125">
        <v>55</v>
      </c>
      <c r="F179" s="113"/>
      <c r="G179" s="113"/>
      <c r="H179" s="113"/>
      <c r="I179" s="113"/>
      <c r="J179" s="113"/>
      <c r="K179" s="113"/>
      <c r="L179" s="113"/>
      <c r="M179" s="113"/>
      <c r="N179" s="113"/>
      <c r="O179" s="3"/>
    </row>
    <row r="180" spans="1:15" s="51" customFormat="1" hidden="1">
      <c r="A180" s="1031" t="s">
        <v>186</v>
      </c>
      <c r="B180" s="1031"/>
      <c r="C180" s="125">
        <v>45</v>
      </c>
      <c r="D180" s="125">
        <v>50</v>
      </c>
      <c r="E180" s="125">
        <v>55</v>
      </c>
      <c r="F180" s="113"/>
      <c r="G180" s="113"/>
      <c r="H180" s="113"/>
      <c r="I180" s="113"/>
      <c r="J180" s="113"/>
      <c r="K180" s="113"/>
      <c r="L180" s="113"/>
      <c r="M180" s="113"/>
      <c r="N180" s="113"/>
      <c r="O180" s="3"/>
    </row>
    <row r="181" spans="1:15" s="51" customFormat="1" hidden="1">
      <c r="A181" s="1031" t="s">
        <v>185</v>
      </c>
      <c r="B181" s="1031"/>
      <c r="C181" s="125">
        <v>40</v>
      </c>
      <c r="D181" s="125">
        <v>45</v>
      </c>
      <c r="E181" s="125">
        <v>50</v>
      </c>
      <c r="F181" s="113"/>
      <c r="G181" s="113"/>
      <c r="H181" s="113"/>
      <c r="I181" s="113"/>
      <c r="J181" s="113"/>
      <c r="K181" s="113"/>
      <c r="L181" s="113"/>
      <c r="M181" s="113"/>
      <c r="N181" s="113"/>
      <c r="O181" s="3"/>
    </row>
    <row r="182" spans="1:15" s="51" customFormat="1" hidden="1">
      <c r="A182" s="1031" t="s">
        <v>184</v>
      </c>
      <c r="B182" s="1031"/>
      <c r="C182" s="125">
        <v>40</v>
      </c>
      <c r="D182" s="125">
        <v>45</v>
      </c>
      <c r="E182" s="125">
        <v>50</v>
      </c>
      <c r="F182" s="113"/>
      <c r="G182" s="113"/>
      <c r="H182" s="113"/>
      <c r="I182" s="113"/>
      <c r="J182" s="113"/>
      <c r="K182" s="113"/>
      <c r="L182" s="113"/>
      <c r="M182" s="113"/>
      <c r="N182" s="113"/>
      <c r="O182" s="3"/>
    </row>
    <row r="183" spans="1:15" s="51" customFormat="1" hidden="1">
      <c r="A183" s="1031" t="s">
        <v>183</v>
      </c>
      <c r="B183" s="1031"/>
      <c r="C183" s="125">
        <v>35</v>
      </c>
      <c r="D183" s="125">
        <v>40</v>
      </c>
      <c r="E183" s="125">
        <v>45</v>
      </c>
      <c r="F183" s="113"/>
      <c r="G183" s="113"/>
      <c r="H183" s="113"/>
      <c r="I183" s="113"/>
      <c r="J183" s="113"/>
      <c r="K183" s="113"/>
      <c r="L183" s="113"/>
      <c r="M183" s="113"/>
      <c r="N183" s="113"/>
      <c r="O183" s="3"/>
    </row>
    <row r="184" spans="1:15" s="51" customFormat="1" hidden="1">
      <c r="A184" s="1031" t="s">
        <v>182</v>
      </c>
      <c r="B184" s="1031"/>
      <c r="C184" s="125">
        <v>35</v>
      </c>
      <c r="D184" s="125">
        <v>40</v>
      </c>
      <c r="E184" s="125">
        <v>45</v>
      </c>
      <c r="F184" s="113"/>
      <c r="G184" s="113"/>
      <c r="H184" s="113"/>
      <c r="I184" s="113"/>
      <c r="J184" s="113"/>
      <c r="K184" s="113"/>
      <c r="L184" s="113"/>
      <c r="M184" s="113"/>
      <c r="N184" s="113"/>
      <c r="O184" s="3"/>
    </row>
    <row r="185" spans="1:15" s="51" customFormat="1" hidden="1">
      <c r="A185" s="1031" t="s">
        <v>181</v>
      </c>
      <c r="B185" s="1031"/>
      <c r="C185" s="125">
        <v>35</v>
      </c>
      <c r="D185" s="125">
        <v>40</v>
      </c>
      <c r="E185" s="125">
        <v>45</v>
      </c>
      <c r="F185" s="113"/>
      <c r="G185" s="113"/>
      <c r="H185" s="113"/>
      <c r="I185" s="113"/>
      <c r="J185" s="113"/>
      <c r="K185" s="113"/>
      <c r="L185" s="113"/>
      <c r="M185" s="113"/>
      <c r="N185" s="113"/>
      <c r="O185" s="3"/>
    </row>
    <row r="186" spans="1:15" s="51" customFormat="1" hidden="1">
      <c r="F186" s="113"/>
      <c r="G186" s="113"/>
      <c r="H186" s="113"/>
      <c r="I186" s="113"/>
      <c r="J186" s="113"/>
      <c r="K186" s="113"/>
      <c r="L186" s="113"/>
      <c r="M186" s="113"/>
      <c r="N186" s="113"/>
      <c r="O186" s="3"/>
    </row>
    <row r="187" spans="1:15" s="51" customFormat="1" hidden="1">
      <c r="C187" s="127">
        <v>3</v>
      </c>
      <c r="D187" s="127">
        <v>2</v>
      </c>
      <c r="E187" s="51">
        <v>1</v>
      </c>
      <c r="F187" s="113"/>
      <c r="G187" s="113"/>
      <c r="H187" s="113"/>
      <c r="I187" s="113"/>
      <c r="J187" s="113"/>
      <c r="K187" s="113"/>
      <c r="L187" s="113"/>
      <c r="M187" s="113"/>
      <c r="N187" s="113"/>
      <c r="O187" s="3"/>
    </row>
    <row r="188" spans="1:15" s="51" customFormat="1" hidden="1">
      <c r="A188" s="1030" t="s">
        <v>189</v>
      </c>
      <c r="B188" s="1030"/>
      <c r="C188" s="125" t="s">
        <v>191</v>
      </c>
      <c r="D188" s="125" t="s">
        <v>191</v>
      </c>
      <c r="E188" s="125" t="s">
        <v>191</v>
      </c>
      <c r="F188" s="113"/>
      <c r="G188" s="113"/>
      <c r="H188" s="113"/>
      <c r="I188" s="113"/>
      <c r="J188" s="113"/>
      <c r="K188" s="113"/>
      <c r="L188" s="113"/>
      <c r="M188" s="113"/>
      <c r="N188" s="113"/>
      <c r="O188" s="3"/>
    </row>
    <row r="189" spans="1:15" s="51" customFormat="1" hidden="1">
      <c r="A189" s="1031" t="s">
        <v>187</v>
      </c>
      <c r="B189" s="1031"/>
      <c r="C189" s="125">
        <v>70</v>
      </c>
      <c r="D189" s="125">
        <v>75</v>
      </c>
      <c r="E189" s="125">
        <v>80</v>
      </c>
      <c r="F189" s="113"/>
      <c r="G189" s="113"/>
      <c r="H189" s="113"/>
      <c r="I189" s="113"/>
      <c r="J189" s="113"/>
      <c r="K189" s="113"/>
      <c r="L189" s="113"/>
      <c r="M189" s="113"/>
      <c r="N189" s="113"/>
      <c r="O189" s="3"/>
    </row>
    <row r="190" spans="1:15" s="51" customFormat="1" hidden="1">
      <c r="A190" s="1031" t="s">
        <v>186</v>
      </c>
      <c r="B190" s="1031"/>
      <c r="C190" s="125">
        <v>70</v>
      </c>
      <c r="D190" s="125">
        <v>75</v>
      </c>
      <c r="E190" s="125">
        <v>80</v>
      </c>
      <c r="F190" s="113"/>
      <c r="G190" s="113"/>
      <c r="H190" s="113"/>
      <c r="I190" s="113"/>
      <c r="J190" s="113"/>
      <c r="K190" s="113"/>
      <c r="L190" s="113"/>
      <c r="M190" s="113"/>
      <c r="N190" s="113"/>
      <c r="O190" s="3"/>
    </row>
    <row r="191" spans="1:15" s="51" customFormat="1" hidden="1">
      <c r="A191" s="1031" t="s">
        <v>185</v>
      </c>
      <c r="B191" s="1031"/>
      <c r="C191" s="125">
        <v>65</v>
      </c>
      <c r="D191" s="125">
        <v>70</v>
      </c>
      <c r="E191" s="125">
        <v>75</v>
      </c>
      <c r="F191" s="113"/>
      <c r="G191" s="113"/>
      <c r="H191" s="113"/>
      <c r="I191" s="113"/>
      <c r="J191" s="113"/>
      <c r="K191" s="113"/>
      <c r="L191" s="113"/>
      <c r="M191" s="113"/>
      <c r="N191" s="113"/>
      <c r="O191" s="3"/>
    </row>
    <row r="192" spans="1:15" s="51" customFormat="1" hidden="1">
      <c r="A192" s="1031" t="s">
        <v>184</v>
      </c>
      <c r="B192" s="1031"/>
      <c r="C192" s="125">
        <v>65</v>
      </c>
      <c r="D192" s="125">
        <v>70</v>
      </c>
      <c r="E192" s="125">
        <v>75</v>
      </c>
      <c r="F192" s="113"/>
      <c r="G192" s="113"/>
      <c r="H192" s="113"/>
      <c r="I192" s="113"/>
      <c r="J192" s="113"/>
      <c r="K192" s="113"/>
      <c r="L192" s="113"/>
      <c r="M192" s="113"/>
      <c r="N192" s="113"/>
      <c r="O192" s="3"/>
    </row>
    <row r="193" spans="1:15" s="51" customFormat="1" hidden="1">
      <c r="A193" s="1031" t="s">
        <v>183</v>
      </c>
      <c r="B193" s="1031"/>
      <c r="C193" s="125">
        <v>60</v>
      </c>
      <c r="D193" s="125">
        <v>65</v>
      </c>
      <c r="E193" s="125">
        <v>70</v>
      </c>
      <c r="F193" s="113"/>
      <c r="G193" s="113"/>
      <c r="H193" s="113"/>
      <c r="I193" s="113"/>
      <c r="J193" s="113"/>
      <c r="K193" s="113"/>
      <c r="L193" s="113"/>
      <c r="M193" s="113"/>
      <c r="N193" s="113"/>
      <c r="O193" s="3"/>
    </row>
    <row r="194" spans="1:15" s="51" customFormat="1" hidden="1">
      <c r="A194" s="1031" t="s">
        <v>182</v>
      </c>
      <c r="B194" s="1031"/>
      <c r="C194" s="125">
        <v>60</v>
      </c>
      <c r="D194" s="125">
        <v>65</v>
      </c>
      <c r="E194" s="125">
        <v>70</v>
      </c>
      <c r="F194" s="113"/>
      <c r="G194" s="113"/>
      <c r="H194" s="113"/>
      <c r="I194" s="113"/>
      <c r="J194" s="113"/>
      <c r="K194" s="113"/>
      <c r="L194" s="113"/>
      <c r="M194" s="113"/>
      <c r="N194" s="113"/>
      <c r="O194" s="3"/>
    </row>
    <row r="195" spans="1:15" s="51" customFormat="1" hidden="1">
      <c r="A195" s="1031" t="s">
        <v>181</v>
      </c>
      <c r="B195" s="1031"/>
      <c r="C195" s="125">
        <v>60</v>
      </c>
      <c r="D195" s="125">
        <v>65</v>
      </c>
      <c r="E195" s="125">
        <v>70</v>
      </c>
      <c r="F195" s="113"/>
      <c r="G195" s="113"/>
      <c r="H195" s="113"/>
      <c r="I195" s="113"/>
      <c r="J195" s="113"/>
      <c r="K195" s="113"/>
      <c r="L195" s="113"/>
      <c r="M195" s="113"/>
      <c r="N195" s="113"/>
      <c r="O195" s="3"/>
    </row>
    <row r="196" spans="1:15" s="51" customFormat="1" hidden="1">
      <c r="F196" s="113"/>
      <c r="G196" s="113"/>
      <c r="H196" s="113"/>
      <c r="I196" s="113"/>
      <c r="J196" s="113"/>
      <c r="K196" s="113"/>
      <c r="L196" s="113"/>
      <c r="M196" s="113"/>
      <c r="N196" s="113"/>
      <c r="O196" s="3"/>
    </row>
    <row r="197" spans="1:15" s="51" customFormat="1" hidden="1">
      <c r="C197" s="127">
        <v>3</v>
      </c>
      <c r="D197" s="51">
        <v>2</v>
      </c>
      <c r="E197" s="51" t="s">
        <v>71</v>
      </c>
      <c r="F197" s="113"/>
      <c r="G197" s="113"/>
      <c r="H197" s="113"/>
      <c r="I197" s="113"/>
      <c r="J197" s="113"/>
      <c r="K197" s="113"/>
      <c r="L197" s="113"/>
      <c r="M197" s="113"/>
      <c r="N197" s="113"/>
      <c r="O197" s="3"/>
    </row>
    <row r="198" spans="1:15" s="51" customFormat="1" hidden="1">
      <c r="A198" s="126" t="s">
        <v>189</v>
      </c>
      <c r="B198" s="126"/>
      <c r="C198" s="125" t="s">
        <v>190</v>
      </c>
      <c r="D198" s="125" t="s">
        <v>190</v>
      </c>
      <c r="E198" s="125" t="s">
        <v>190</v>
      </c>
      <c r="F198" s="113"/>
      <c r="G198" s="113"/>
      <c r="H198" s="113"/>
      <c r="I198" s="113"/>
      <c r="J198" s="113"/>
      <c r="K198" s="113"/>
      <c r="L198" s="113"/>
      <c r="M198" s="113"/>
      <c r="N198" s="113"/>
      <c r="O198" s="3"/>
    </row>
    <row r="199" spans="1:15" s="51" customFormat="1" hidden="1">
      <c r="A199" s="51" t="s">
        <v>187</v>
      </c>
      <c r="C199" s="125">
        <v>55</v>
      </c>
      <c r="D199" s="125">
        <v>60</v>
      </c>
      <c r="E199" s="125"/>
      <c r="F199" s="113"/>
      <c r="G199" s="113"/>
      <c r="H199" s="113"/>
      <c r="I199" s="113"/>
      <c r="J199" s="113"/>
      <c r="K199" s="113"/>
      <c r="L199" s="113"/>
      <c r="M199" s="113"/>
      <c r="N199" s="113"/>
      <c r="O199" s="3"/>
    </row>
    <row r="200" spans="1:15" s="51" customFormat="1" hidden="1">
      <c r="A200" s="51" t="s">
        <v>186</v>
      </c>
      <c r="C200" s="125">
        <v>55</v>
      </c>
      <c r="D200" s="125">
        <v>60</v>
      </c>
      <c r="E200" s="125"/>
      <c r="F200" s="113"/>
      <c r="G200" s="113"/>
      <c r="H200" s="113"/>
      <c r="I200" s="113"/>
      <c r="J200" s="113"/>
      <c r="K200" s="113"/>
      <c r="L200" s="113"/>
      <c r="M200" s="113"/>
      <c r="N200" s="113"/>
      <c r="O200" s="3"/>
    </row>
    <row r="201" spans="1:15" s="51" customFormat="1" hidden="1">
      <c r="A201" s="51" t="s">
        <v>185</v>
      </c>
      <c r="C201" s="125">
        <v>50</v>
      </c>
      <c r="D201" s="125">
        <v>55</v>
      </c>
      <c r="E201" s="125"/>
      <c r="F201" s="113"/>
      <c r="G201" s="113"/>
      <c r="H201" s="113"/>
      <c r="I201" s="113"/>
      <c r="J201" s="113"/>
      <c r="K201" s="113"/>
      <c r="L201" s="113"/>
      <c r="M201" s="113"/>
      <c r="N201" s="113"/>
      <c r="O201" s="3"/>
    </row>
    <row r="202" spans="1:15" s="51" customFormat="1" hidden="1">
      <c r="A202" s="51" t="s">
        <v>184</v>
      </c>
      <c r="C202" s="125">
        <v>50</v>
      </c>
      <c r="D202" s="125">
        <v>55</v>
      </c>
      <c r="E202" s="125"/>
      <c r="F202" s="113"/>
      <c r="G202" s="113"/>
      <c r="H202" s="113"/>
      <c r="I202" s="113"/>
      <c r="J202" s="113"/>
      <c r="K202" s="113"/>
      <c r="L202" s="113"/>
      <c r="M202" s="113"/>
      <c r="N202" s="113"/>
      <c r="O202" s="3"/>
    </row>
    <row r="203" spans="1:15" s="51" customFormat="1" hidden="1">
      <c r="A203" s="51" t="s">
        <v>183</v>
      </c>
      <c r="C203" s="125">
        <v>45</v>
      </c>
      <c r="D203" s="125">
        <v>50</v>
      </c>
      <c r="E203" s="125"/>
      <c r="F203" s="113"/>
      <c r="G203" s="113"/>
      <c r="H203" s="113"/>
      <c r="I203" s="113"/>
      <c r="J203" s="113"/>
      <c r="K203" s="113"/>
      <c r="L203" s="113"/>
      <c r="M203" s="113"/>
      <c r="N203" s="113"/>
      <c r="O203" s="3"/>
    </row>
    <row r="204" spans="1:15" s="51" customFormat="1" hidden="1">
      <c r="A204" s="51" t="s">
        <v>182</v>
      </c>
      <c r="C204" s="125">
        <v>45</v>
      </c>
      <c r="D204" s="125">
        <v>50</v>
      </c>
      <c r="E204" s="125"/>
      <c r="F204" s="113"/>
      <c r="G204" s="113"/>
      <c r="H204" s="113"/>
      <c r="I204" s="113"/>
      <c r="J204" s="113"/>
      <c r="K204" s="113"/>
      <c r="L204" s="113"/>
      <c r="M204" s="113"/>
      <c r="N204" s="113"/>
      <c r="O204" s="3"/>
    </row>
    <row r="205" spans="1:15" s="51" customFormat="1" hidden="1">
      <c r="A205" s="51" t="s">
        <v>181</v>
      </c>
      <c r="C205" s="125">
        <v>45</v>
      </c>
      <c r="D205" s="125">
        <v>50</v>
      </c>
      <c r="E205" s="125"/>
      <c r="F205" s="113"/>
      <c r="G205" s="113"/>
      <c r="H205" s="113"/>
      <c r="I205" s="113"/>
      <c r="J205" s="113"/>
      <c r="K205" s="113"/>
      <c r="L205" s="113"/>
      <c r="M205" s="113"/>
      <c r="N205" s="113"/>
      <c r="O205" s="3"/>
    </row>
    <row r="206" spans="1:15" s="51" customFormat="1" hidden="1">
      <c r="F206" s="113"/>
      <c r="G206" s="113"/>
      <c r="H206" s="113"/>
      <c r="I206" s="113"/>
      <c r="J206" s="113"/>
      <c r="K206" s="113"/>
      <c r="L206" s="113"/>
      <c r="M206" s="113"/>
      <c r="N206" s="113"/>
      <c r="O206" s="3"/>
    </row>
    <row r="207" spans="1:15" s="51" customFormat="1" hidden="1">
      <c r="C207" s="127">
        <v>3</v>
      </c>
      <c r="D207" s="127">
        <v>2</v>
      </c>
      <c r="E207" s="51" t="s">
        <v>71</v>
      </c>
      <c r="F207" s="113"/>
      <c r="G207" s="113"/>
      <c r="H207" s="113"/>
      <c r="I207" s="113"/>
      <c r="J207" s="113"/>
      <c r="K207" s="113"/>
      <c r="L207" s="113"/>
      <c r="M207" s="113"/>
      <c r="N207" s="113"/>
      <c r="O207" s="3"/>
    </row>
    <row r="208" spans="1:15" s="51" customFormat="1" hidden="1">
      <c r="A208" s="126" t="s">
        <v>189</v>
      </c>
      <c r="B208" s="126"/>
      <c r="C208" s="125" t="s">
        <v>188</v>
      </c>
      <c r="D208" s="125" t="s">
        <v>188</v>
      </c>
      <c r="E208" s="125" t="s">
        <v>188</v>
      </c>
      <c r="F208" s="113"/>
      <c r="G208" s="113"/>
      <c r="H208" s="113"/>
      <c r="I208" s="113"/>
      <c r="J208" s="113"/>
      <c r="K208" s="113"/>
      <c r="L208" s="113"/>
      <c r="M208" s="113"/>
      <c r="N208" s="113"/>
      <c r="O208" s="3"/>
    </row>
    <row r="209" spans="1:15" s="51" customFormat="1" hidden="1">
      <c r="A209" s="51" t="s">
        <v>187</v>
      </c>
      <c r="C209" s="125">
        <v>80</v>
      </c>
      <c r="D209" s="125">
        <v>85</v>
      </c>
      <c r="E209" s="125"/>
      <c r="L209" s="113"/>
      <c r="M209" s="113"/>
      <c r="N209" s="113"/>
      <c r="O209" s="3"/>
    </row>
    <row r="210" spans="1:15" s="51" customFormat="1" hidden="1">
      <c r="A210" s="51" t="s">
        <v>186</v>
      </c>
      <c r="C210" s="125">
        <v>80</v>
      </c>
      <c r="D210" s="125">
        <v>85</v>
      </c>
      <c r="E210" s="125"/>
      <c r="L210" s="113"/>
      <c r="M210" s="113"/>
      <c r="N210" s="113"/>
      <c r="O210" s="3"/>
    </row>
    <row r="211" spans="1:15" s="51" customFormat="1" hidden="1">
      <c r="A211" s="51" t="s">
        <v>185</v>
      </c>
      <c r="C211" s="125">
        <v>75</v>
      </c>
      <c r="D211" s="125">
        <v>80</v>
      </c>
      <c r="E211" s="125"/>
      <c r="L211" s="113"/>
      <c r="M211" s="113"/>
      <c r="N211" s="113"/>
      <c r="O211" s="3"/>
    </row>
    <row r="212" spans="1:15" s="51" customFormat="1" hidden="1">
      <c r="A212" s="51" t="s">
        <v>184</v>
      </c>
      <c r="C212" s="125">
        <v>75</v>
      </c>
      <c r="D212" s="125">
        <v>80</v>
      </c>
      <c r="E212" s="125"/>
      <c r="L212" s="113"/>
      <c r="M212" s="113"/>
      <c r="N212" s="113"/>
      <c r="O212" s="3"/>
    </row>
    <row r="213" spans="1:15" s="51" customFormat="1" hidden="1">
      <c r="A213" s="51" t="s">
        <v>183</v>
      </c>
      <c r="C213" s="125">
        <v>70</v>
      </c>
      <c r="D213" s="125">
        <v>75</v>
      </c>
      <c r="E213" s="125"/>
      <c r="L213" s="113"/>
      <c r="M213" s="113"/>
      <c r="N213" s="113"/>
      <c r="O213" s="3"/>
    </row>
    <row r="214" spans="1:15" s="51" customFormat="1" hidden="1">
      <c r="A214" s="51" t="s">
        <v>182</v>
      </c>
      <c r="C214" s="125">
        <v>70</v>
      </c>
      <c r="D214" s="125">
        <v>75</v>
      </c>
      <c r="E214" s="125"/>
      <c r="L214" s="113"/>
      <c r="M214" s="113"/>
      <c r="N214" s="113"/>
      <c r="O214" s="3"/>
    </row>
    <row r="215" spans="1:15" s="51" customFormat="1" hidden="1">
      <c r="A215" s="51" t="s">
        <v>181</v>
      </c>
      <c r="C215" s="125">
        <v>70</v>
      </c>
      <c r="D215" s="125">
        <v>75</v>
      </c>
      <c r="E215" s="125"/>
      <c r="L215" s="113"/>
      <c r="M215" s="113"/>
      <c r="N215" s="113"/>
      <c r="O215" s="3"/>
    </row>
    <row r="216" spans="1:15" s="51" customFormat="1" hidden="1">
      <c r="L216" s="113"/>
      <c r="M216" s="113"/>
      <c r="N216" s="113"/>
      <c r="O216" s="3"/>
    </row>
    <row r="217" spans="1:15" s="51" customFormat="1" hidden="1">
      <c r="L217" s="113"/>
      <c r="M217" s="113"/>
      <c r="N217" s="113"/>
      <c r="O217" s="3"/>
    </row>
    <row r="218" spans="1:15" s="51" customFormat="1" hidden="1">
      <c r="C218" s="129">
        <v>3</v>
      </c>
      <c r="D218" s="125" t="s">
        <v>192</v>
      </c>
      <c r="E218" s="125">
        <v>45</v>
      </c>
      <c r="F218" s="125">
        <v>45</v>
      </c>
      <c r="G218" s="125">
        <v>40</v>
      </c>
      <c r="H218" s="125">
        <v>40</v>
      </c>
      <c r="I218" s="125">
        <v>35</v>
      </c>
      <c r="J218" s="125">
        <v>35</v>
      </c>
      <c r="K218" s="125">
        <v>35</v>
      </c>
      <c r="L218" s="113"/>
      <c r="M218" s="113"/>
      <c r="N218" s="113"/>
      <c r="O218" s="3"/>
    </row>
    <row r="219" spans="1:15" s="51" customFormat="1" hidden="1">
      <c r="C219" s="129">
        <v>3</v>
      </c>
      <c r="D219" s="125" t="s">
        <v>191</v>
      </c>
      <c r="E219" s="125">
        <v>70</v>
      </c>
      <c r="F219" s="125">
        <v>70</v>
      </c>
      <c r="G219" s="125">
        <v>65</v>
      </c>
      <c r="H219" s="125">
        <v>65</v>
      </c>
      <c r="I219" s="125">
        <v>60</v>
      </c>
      <c r="J219" s="125">
        <v>60</v>
      </c>
      <c r="K219" s="125">
        <v>60</v>
      </c>
      <c r="L219" s="113"/>
      <c r="M219" s="113"/>
      <c r="N219" s="113"/>
      <c r="O219" s="3"/>
    </row>
    <row r="220" spans="1:15" s="51" customFormat="1" hidden="1">
      <c r="C220" s="128">
        <v>3</v>
      </c>
      <c r="D220" s="125" t="s">
        <v>190</v>
      </c>
      <c r="E220" s="125">
        <v>55</v>
      </c>
      <c r="F220" s="125">
        <v>55</v>
      </c>
      <c r="G220" s="125">
        <v>50</v>
      </c>
      <c r="H220" s="125">
        <v>50</v>
      </c>
      <c r="I220" s="125">
        <v>45</v>
      </c>
      <c r="J220" s="125">
        <v>45</v>
      </c>
      <c r="K220" s="125">
        <v>45</v>
      </c>
      <c r="L220" s="113"/>
      <c r="M220" s="113"/>
      <c r="N220" s="113"/>
      <c r="O220" s="3"/>
    </row>
    <row r="221" spans="1:15" s="51" customFormat="1" hidden="1">
      <c r="C221" s="128">
        <v>3</v>
      </c>
      <c r="D221" s="125" t="s">
        <v>188</v>
      </c>
      <c r="E221" s="125">
        <v>80</v>
      </c>
      <c r="F221" s="125">
        <v>80</v>
      </c>
      <c r="G221" s="125">
        <v>75</v>
      </c>
      <c r="H221" s="125">
        <v>75</v>
      </c>
      <c r="I221" s="125">
        <v>70</v>
      </c>
      <c r="J221" s="125">
        <v>70</v>
      </c>
      <c r="K221" s="125">
        <v>70</v>
      </c>
      <c r="L221" s="113"/>
      <c r="M221" s="113"/>
      <c r="N221" s="113"/>
      <c r="O221" s="3"/>
    </row>
    <row r="222" spans="1:15" s="51" customFormat="1" hidden="1">
      <c r="C222" s="128">
        <v>2</v>
      </c>
      <c r="D222" s="125" t="s">
        <v>192</v>
      </c>
      <c r="E222" s="125">
        <v>50</v>
      </c>
      <c r="F222" s="125">
        <v>50</v>
      </c>
      <c r="G222" s="125">
        <v>45</v>
      </c>
      <c r="H222" s="125">
        <v>45</v>
      </c>
      <c r="I222" s="125">
        <v>40</v>
      </c>
      <c r="J222" s="125">
        <v>40</v>
      </c>
      <c r="K222" s="125">
        <v>40</v>
      </c>
      <c r="L222" s="113"/>
      <c r="M222" s="113"/>
      <c r="N222" s="113"/>
      <c r="O222" s="3"/>
    </row>
    <row r="223" spans="1:15" s="51" customFormat="1" hidden="1">
      <c r="C223" s="128">
        <v>2</v>
      </c>
      <c r="D223" s="125" t="s">
        <v>191</v>
      </c>
      <c r="E223" s="125">
        <v>75</v>
      </c>
      <c r="F223" s="125">
        <v>75</v>
      </c>
      <c r="G223" s="125">
        <v>70</v>
      </c>
      <c r="H223" s="125">
        <v>70</v>
      </c>
      <c r="I223" s="125">
        <v>65</v>
      </c>
      <c r="J223" s="125">
        <v>65</v>
      </c>
      <c r="K223" s="125">
        <v>65</v>
      </c>
      <c r="L223" s="113"/>
      <c r="M223" s="113"/>
      <c r="N223" s="113"/>
      <c r="O223" s="3"/>
    </row>
    <row r="224" spans="1:15" s="51" customFormat="1" hidden="1">
      <c r="C224" s="128">
        <v>2</v>
      </c>
      <c r="D224" s="125" t="s">
        <v>190</v>
      </c>
      <c r="E224" s="125">
        <v>60</v>
      </c>
      <c r="F224" s="125">
        <v>60</v>
      </c>
      <c r="G224" s="125">
        <v>55</v>
      </c>
      <c r="H224" s="125">
        <v>55</v>
      </c>
      <c r="I224" s="125">
        <v>50</v>
      </c>
      <c r="J224" s="125">
        <v>50</v>
      </c>
      <c r="K224" s="125">
        <v>50</v>
      </c>
      <c r="L224" s="113"/>
      <c r="M224" s="113"/>
      <c r="N224" s="113"/>
      <c r="O224" s="3"/>
    </row>
    <row r="225" spans="3:15" s="51" customFormat="1" hidden="1">
      <c r="C225" s="128">
        <v>2</v>
      </c>
      <c r="D225" s="125" t="s">
        <v>188</v>
      </c>
      <c r="E225" s="125">
        <v>85</v>
      </c>
      <c r="F225" s="125">
        <v>85</v>
      </c>
      <c r="G225" s="125">
        <v>80</v>
      </c>
      <c r="H225" s="125">
        <v>80</v>
      </c>
      <c r="I225" s="125">
        <v>75</v>
      </c>
      <c r="J225" s="125">
        <v>75</v>
      </c>
      <c r="K225" s="125">
        <v>75</v>
      </c>
      <c r="L225" s="113"/>
      <c r="M225" s="113"/>
      <c r="N225" s="113"/>
      <c r="O225" s="3"/>
    </row>
    <row r="226" spans="3:15" s="51" customFormat="1" hidden="1">
      <c r="C226" s="129">
        <v>1</v>
      </c>
      <c r="D226" s="125" t="s">
        <v>192</v>
      </c>
      <c r="E226" s="125">
        <v>55</v>
      </c>
      <c r="F226" s="125">
        <v>55</v>
      </c>
      <c r="G226" s="125">
        <v>50</v>
      </c>
      <c r="H226" s="125">
        <v>50</v>
      </c>
      <c r="I226" s="125">
        <v>45</v>
      </c>
      <c r="J226" s="125">
        <v>45</v>
      </c>
      <c r="K226" s="125">
        <v>45</v>
      </c>
      <c r="L226" s="113"/>
      <c r="M226" s="113"/>
      <c r="N226" s="113"/>
      <c r="O226" s="3"/>
    </row>
    <row r="227" spans="3:15" s="51" customFormat="1" hidden="1">
      <c r="C227" s="128">
        <v>1</v>
      </c>
      <c r="D227" s="125" t="s">
        <v>191</v>
      </c>
      <c r="E227" s="125">
        <v>80</v>
      </c>
      <c r="F227" s="125">
        <v>80</v>
      </c>
      <c r="G227" s="125">
        <v>75</v>
      </c>
      <c r="H227" s="125">
        <v>75</v>
      </c>
      <c r="I227" s="125">
        <v>70</v>
      </c>
      <c r="J227" s="125">
        <v>70</v>
      </c>
      <c r="K227" s="125">
        <v>70</v>
      </c>
      <c r="L227" s="113"/>
      <c r="M227" s="113"/>
      <c r="N227" s="113"/>
      <c r="O227" s="3"/>
    </row>
    <row r="228" spans="3:15" s="51" customFormat="1" hidden="1">
      <c r="C228" s="128" t="s">
        <v>71</v>
      </c>
      <c r="D228" s="125" t="s">
        <v>190</v>
      </c>
      <c r="E228" s="125">
        <v>60</v>
      </c>
      <c r="F228" s="125">
        <v>60</v>
      </c>
      <c r="G228" s="125">
        <v>55</v>
      </c>
      <c r="H228" s="125">
        <v>55</v>
      </c>
      <c r="I228" s="125">
        <v>50</v>
      </c>
      <c r="J228" s="125">
        <v>50</v>
      </c>
      <c r="K228" s="125">
        <v>50</v>
      </c>
      <c r="L228" s="113"/>
      <c r="M228" s="113"/>
      <c r="N228" s="113"/>
      <c r="O228" s="3"/>
    </row>
    <row r="229" spans="3:15" s="51" customFormat="1" hidden="1">
      <c r="C229" s="128" t="s">
        <v>71</v>
      </c>
      <c r="D229" s="125" t="s">
        <v>188</v>
      </c>
      <c r="E229" s="125">
        <v>85</v>
      </c>
      <c r="F229" s="125">
        <v>85</v>
      </c>
      <c r="G229" s="125">
        <v>80</v>
      </c>
      <c r="H229" s="125">
        <v>80</v>
      </c>
      <c r="I229" s="125">
        <v>75</v>
      </c>
      <c r="J229" s="125">
        <v>75</v>
      </c>
      <c r="K229" s="125">
        <v>75</v>
      </c>
      <c r="L229" s="113"/>
      <c r="M229" s="113"/>
      <c r="N229" s="113"/>
      <c r="O229" s="3"/>
    </row>
    <row r="230" spans="3:15" s="51" customFormat="1" hidden="1">
      <c r="L230" s="113"/>
      <c r="M230" s="113"/>
      <c r="N230" s="113"/>
      <c r="O230" s="3"/>
    </row>
    <row r="231" spans="3:15" s="51" customFormat="1" hidden="1">
      <c r="L231" s="113"/>
      <c r="M231" s="113"/>
      <c r="N231" s="113"/>
      <c r="O231" s="3"/>
    </row>
    <row r="232" spans="3:15" s="51" customFormat="1" hidden="1">
      <c r="D232" s="127">
        <v>1</v>
      </c>
      <c r="E232" s="127">
        <v>2</v>
      </c>
      <c r="F232" s="127">
        <v>3</v>
      </c>
      <c r="L232" s="113"/>
      <c r="M232" s="113"/>
      <c r="N232" s="113"/>
      <c r="O232" s="3"/>
    </row>
    <row r="233" spans="3:15" s="51" customFormat="1" hidden="1">
      <c r="C233" s="126" t="s">
        <v>189</v>
      </c>
      <c r="D233" s="125" t="s">
        <v>192</v>
      </c>
      <c r="E233" s="125" t="s">
        <v>192</v>
      </c>
      <c r="F233" s="125" t="s">
        <v>192</v>
      </c>
      <c r="L233" s="113"/>
      <c r="M233" s="113"/>
      <c r="N233" s="113"/>
      <c r="O233" s="3"/>
    </row>
    <row r="234" spans="3:15" s="51" customFormat="1" hidden="1">
      <c r="C234" s="51" t="s">
        <v>187</v>
      </c>
      <c r="D234" s="125">
        <v>55</v>
      </c>
      <c r="E234" s="125">
        <v>50</v>
      </c>
      <c r="F234" s="125">
        <v>45</v>
      </c>
      <c r="L234" s="113"/>
      <c r="M234" s="113"/>
      <c r="N234" s="113"/>
      <c r="O234" s="3"/>
    </row>
    <row r="235" spans="3:15" s="51" customFormat="1" hidden="1">
      <c r="C235" s="51" t="s">
        <v>186</v>
      </c>
      <c r="D235" s="125">
        <v>55</v>
      </c>
      <c r="E235" s="125">
        <v>50</v>
      </c>
      <c r="F235" s="125">
        <v>45</v>
      </c>
      <c r="L235" s="113"/>
      <c r="M235" s="113"/>
      <c r="N235" s="113"/>
      <c r="O235" s="3"/>
    </row>
    <row r="236" spans="3:15" s="51" customFormat="1" hidden="1">
      <c r="C236" s="51" t="s">
        <v>185</v>
      </c>
      <c r="D236" s="125">
        <v>50</v>
      </c>
      <c r="E236" s="125">
        <v>45</v>
      </c>
      <c r="F236" s="125">
        <v>40</v>
      </c>
      <c r="L236" s="113"/>
      <c r="M236" s="113"/>
      <c r="N236" s="113"/>
      <c r="O236" s="3"/>
    </row>
    <row r="237" spans="3:15" s="51" customFormat="1" hidden="1">
      <c r="C237" s="51" t="s">
        <v>184</v>
      </c>
      <c r="D237" s="125">
        <v>50</v>
      </c>
      <c r="E237" s="125">
        <v>45</v>
      </c>
      <c r="F237" s="125">
        <v>40</v>
      </c>
      <c r="L237" s="113"/>
      <c r="M237" s="113"/>
      <c r="N237" s="113"/>
      <c r="O237" s="3"/>
    </row>
    <row r="238" spans="3:15" s="51" customFormat="1" hidden="1">
      <c r="C238" s="51" t="s">
        <v>183</v>
      </c>
      <c r="D238" s="125">
        <v>45</v>
      </c>
      <c r="E238" s="125">
        <v>40</v>
      </c>
      <c r="F238" s="125">
        <v>35</v>
      </c>
      <c r="L238" s="113"/>
      <c r="M238" s="113"/>
      <c r="N238" s="113"/>
      <c r="O238" s="3"/>
    </row>
    <row r="239" spans="3:15" s="51" customFormat="1" hidden="1">
      <c r="C239" s="51" t="s">
        <v>182</v>
      </c>
      <c r="D239" s="125">
        <v>45</v>
      </c>
      <c r="E239" s="125">
        <v>40</v>
      </c>
      <c r="F239" s="125">
        <v>35</v>
      </c>
      <c r="L239" s="113"/>
      <c r="M239" s="113"/>
      <c r="N239" s="113"/>
      <c r="O239" s="3"/>
    </row>
    <row r="240" spans="3:15" s="51" customFormat="1" hidden="1">
      <c r="C240" s="51" t="s">
        <v>181</v>
      </c>
      <c r="D240" s="125">
        <v>45</v>
      </c>
      <c r="E240" s="125">
        <v>40</v>
      </c>
      <c r="F240" s="125">
        <v>35</v>
      </c>
      <c r="L240" s="113"/>
      <c r="M240" s="113"/>
      <c r="N240" s="113"/>
      <c r="O240" s="3"/>
    </row>
    <row r="241" spans="3:15" s="51" customFormat="1" hidden="1">
      <c r="G241" s="113"/>
      <c r="H241" s="113"/>
      <c r="I241" s="113"/>
      <c r="J241" s="113"/>
      <c r="K241" s="113"/>
      <c r="L241" s="113"/>
      <c r="M241" s="113"/>
      <c r="N241" s="113"/>
      <c r="O241" s="3"/>
    </row>
    <row r="242" spans="3:15" s="51" customFormat="1" hidden="1">
      <c r="D242" s="51">
        <v>1</v>
      </c>
      <c r="E242" s="127">
        <v>2</v>
      </c>
      <c r="F242" s="127">
        <v>3</v>
      </c>
      <c r="G242" s="113"/>
      <c r="H242" s="113"/>
      <c r="I242" s="113"/>
      <c r="J242" s="113"/>
      <c r="K242" s="113"/>
      <c r="L242" s="113"/>
      <c r="M242" s="113"/>
      <c r="N242" s="113"/>
      <c r="O242" s="3"/>
    </row>
    <row r="243" spans="3:15" s="51" customFormat="1" hidden="1">
      <c r="C243" s="126" t="s">
        <v>189</v>
      </c>
      <c r="D243" s="125" t="s">
        <v>191</v>
      </c>
      <c r="E243" s="125" t="s">
        <v>191</v>
      </c>
      <c r="F243" s="125" t="s">
        <v>191</v>
      </c>
      <c r="G243" s="113"/>
      <c r="H243" s="113"/>
      <c r="I243" s="113"/>
      <c r="J243" s="113"/>
      <c r="K243" s="113"/>
      <c r="L243" s="113"/>
      <c r="M243" s="113"/>
      <c r="N243" s="113"/>
      <c r="O243" s="3"/>
    </row>
    <row r="244" spans="3:15" s="51" customFormat="1" hidden="1">
      <c r="C244" s="51" t="s">
        <v>187</v>
      </c>
      <c r="D244" s="125">
        <v>80</v>
      </c>
      <c r="E244" s="125">
        <v>75</v>
      </c>
      <c r="F244" s="125">
        <v>70</v>
      </c>
      <c r="G244" s="113"/>
      <c r="H244" s="113"/>
      <c r="I244" s="113"/>
      <c r="J244" s="113"/>
      <c r="K244" s="113"/>
      <c r="L244" s="113"/>
      <c r="M244" s="113"/>
      <c r="N244" s="113"/>
      <c r="O244" s="3"/>
    </row>
    <row r="245" spans="3:15" s="51" customFormat="1" hidden="1">
      <c r="C245" s="51" t="s">
        <v>186</v>
      </c>
      <c r="D245" s="125">
        <v>80</v>
      </c>
      <c r="E245" s="125">
        <v>75</v>
      </c>
      <c r="F245" s="125">
        <v>70</v>
      </c>
      <c r="G245" s="113"/>
      <c r="H245" s="113"/>
      <c r="I245" s="113"/>
      <c r="J245" s="113"/>
      <c r="K245" s="113"/>
      <c r="L245" s="113"/>
      <c r="M245" s="113"/>
      <c r="N245" s="113"/>
      <c r="O245" s="3"/>
    </row>
    <row r="246" spans="3:15" s="51" customFormat="1" hidden="1">
      <c r="C246" s="51" t="s">
        <v>185</v>
      </c>
      <c r="D246" s="125">
        <v>75</v>
      </c>
      <c r="E246" s="125">
        <v>70</v>
      </c>
      <c r="F246" s="125">
        <v>65</v>
      </c>
      <c r="G246" s="113"/>
      <c r="H246" s="113"/>
      <c r="I246" s="113"/>
      <c r="J246" s="113"/>
      <c r="K246" s="113"/>
      <c r="L246" s="113"/>
      <c r="M246" s="113"/>
      <c r="N246" s="113"/>
      <c r="O246" s="3"/>
    </row>
    <row r="247" spans="3:15" s="51" customFormat="1" hidden="1">
      <c r="C247" s="51" t="s">
        <v>184</v>
      </c>
      <c r="D247" s="125">
        <v>75</v>
      </c>
      <c r="E247" s="125">
        <v>70</v>
      </c>
      <c r="F247" s="125">
        <v>65</v>
      </c>
      <c r="G247" s="113"/>
      <c r="H247" s="113"/>
      <c r="I247" s="113"/>
      <c r="J247" s="113"/>
      <c r="K247" s="113"/>
      <c r="L247" s="113"/>
      <c r="M247" s="113"/>
      <c r="N247" s="113"/>
      <c r="O247" s="3"/>
    </row>
    <row r="248" spans="3:15" s="51" customFormat="1" hidden="1">
      <c r="C248" s="51" t="s">
        <v>183</v>
      </c>
      <c r="D248" s="125">
        <v>70</v>
      </c>
      <c r="E248" s="125">
        <v>65</v>
      </c>
      <c r="F248" s="125">
        <v>60</v>
      </c>
      <c r="G248" s="113"/>
      <c r="H248" s="113"/>
      <c r="I248" s="113"/>
      <c r="J248" s="113"/>
      <c r="K248" s="113"/>
      <c r="L248" s="113"/>
      <c r="M248" s="113"/>
      <c r="N248" s="113"/>
      <c r="O248" s="3"/>
    </row>
    <row r="249" spans="3:15" s="51" customFormat="1" hidden="1">
      <c r="C249" s="51" t="s">
        <v>182</v>
      </c>
      <c r="D249" s="125">
        <v>70</v>
      </c>
      <c r="E249" s="125">
        <v>65</v>
      </c>
      <c r="F249" s="125">
        <v>60</v>
      </c>
      <c r="G249" s="113"/>
      <c r="H249" s="113"/>
      <c r="I249" s="113"/>
      <c r="J249" s="113"/>
      <c r="K249" s="113"/>
      <c r="L249" s="113"/>
      <c r="M249" s="113"/>
      <c r="N249" s="113"/>
      <c r="O249" s="3"/>
    </row>
    <row r="250" spans="3:15" s="51" customFormat="1" hidden="1">
      <c r="C250" s="51" t="s">
        <v>181</v>
      </c>
      <c r="D250" s="125">
        <v>70</v>
      </c>
      <c r="E250" s="125">
        <v>65</v>
      </c>
      <c r="F250" s="125">
        <v>60</v>
      </c>
      <c r="G250" s="113"/>
      <c r="H250" s="113"/>
      <c r="I250" s="113"/>
      <c r="J250" s="113"/>
      <c r="K250" s="113"/>
      <c r="L250" s="113"/>
      <c r="M250" s="113"/>
      <c r="N250" s="113"/>
      <c r="O250" s="3"/>
    </row>
    <row r="251" spans="3:15" s="51" customFormat="1" hidden="1">
      <c r="G251" s="113"/>
      <c r="H251" s="113"/>
      <c r="I251" s="113"/>
      <c r="J251" s="113"/>
      <c r="K251" s="113"/>
      <c r="L251" s="113"/>
      <c r="M251" s="113"/>
      <c r="N251" s="113"/>
      <c r="O251" s="3"/>
    </row>
    <row r="252" spans="3:15" s="51" customFormat="1" hidden="1">
      <c r="D252" s="51" t="s">
        <v>71</v>
      </c>
      <c r="E252" s="51">
        <v>2</v>
      </c>
      <c r="F252" s="127">
        <v>3</v>
      </c>
      <c r="G252" s="113"/>
      <c r="H252" s="113"/>
      <c r="I252" s="113"/>
      <c r="J252" s="113"/>
      <c r="K252" s="113"/>
      <c r="L252" s="113"/>
      <c r="M252" s="113"/>
      <c r="N252" s="113"/>
      <c r="O252" s="3"/>
    </row>
    <row r="253" spans="3:15" s="51" customFormat="1" hidden="1">
      <c r="C253" s="126" t="s">
        <v>189</v>
      </c>
      <c r="D253" s="125" t="s">
        <v>190</v>
      </c>
      <c r="E253" s="125" t="s">
        <v>190</v>
      </c>
      <c r="F253" s="125" t="s">
        <v>190</v>
      </c>
      <c r="G253" s="113"/>
      <c r="H253" s="113"/>
      <c r="I253" s="113"/>
      <c r="J253" s="113"/>
      <c r="K253" s="113"/>
      <c r="L253" s="113"/>
      <c r="M253" s="113"/>
      <c r="N253" s="113"/>
      <c r="O253" s="3"/>
    </row>
    <row r="254" spans="3:15" s="51" customFormat="1" hidden="1">
      <c r="C254" s="51" t="s">
        <v>187</v>
      </c>
      <c r="D254" s="125"/>
      <c r="E254" s="125">
        <v>60</v>
      </c>
      <c r="F254" s="125">
        <v>55</v>
      </c>
      <c r="G254" s="113"/>
      <c r="H254" s="113"/>
      <c r="I254" s="113"/>
      <c r="J254" s="113"/>
      <c r="K254" s="113"/>
      <c r="L254" s="113"/>
      <c r="M254" s="113"/>
      <c r="N254" s="113"/>
      <c r="O254" s="3"/>
    </row>
    <row r="255" spans="3:15" s="51" customFormat="1" hidden="1">
      <c r="C255" s="51" t="s">
        <v>186</v>
      </c>
      <c r="D255" s="125"/>
      <c r="E255" s="125">
        <v>60</v>
      </c>
      <c r="F255" s="125">
        <v>55</v>
      </c>
      <c r="G255" s="113"/>
      <c r="H255" s="113"/>
      <c r="I255" s="113"/>
      <c r="J255" s="113"/>
      <c r="K255" s="113"/>
      <c r="L255" s="113"/>
      <c r="M255" s="113"/>
      <c r="N255" s="113"/>
      <c r="O255" s="3"/>
    </row>
    <row r="256" spans="3:15" s="51" customFormat="1" hidden="1">
      <c r="C256" s="51" t="s">
        <v>185</v>
      </c>
      <c r="D256" s="125"/>
      <c r="E256" s="125">
        <v>55</v>
      </c>
      <c r="F256" s="125">
        <v>50</v>
      </c>
      <c r="G256" s="113"/>
      <c r="H256" s="113"/>
      <c r="I256" s="113"/>
      <c r="J256" s="113"/>
      <c r="K256" s="113"/>
      <c r="L256" s="113"/>
      <c r="M256" s="113"/>
      <c r="N256" s="113"/>
      <c r="O256" s="3"/>
    </row>
    <row r="257" spans="3:15" s="51" customFormat="1" hidden="1">
      <c r="C257" s="51" t="s">
        <v>184</v>
      </c>
      <c r="D257" s="125"/>
      <c r="E257" s="125">
        <v>55</v>
      </c>
      <c r="F257" s="125">
        <v>50</v>
      </c>
      <c r="G257" s="113"/>
      <c r="H257" s="113"/>
      <c r="I257" s="113"/>
      <c r="J257" s="113"/>
      <c r="K257" s="113"/>
      <c r="L257" s="113"/>
      <c r="M257" s="113"/>
      <c r="N257" s="113"/>
      <c r="O257" s="3"/>
    </row>
    <row r="258" spans="3:15" s="51" customFormat="1" hidden="1">
      <c r="C258" s="51" t="s">
        <v>183</v>
      </c>
      <c r="D258" s="125"/>
      <c r="E258" s="125">
        <v>50</v>
      </c>
      <c r="F258" s="125">
        <v>45</v>
      </c>
      <c r="G258" s="113"/>
      <c r="H258" s="113"/>
      <c r="I258" s="113"/>
      <c r="J258" s="113"/>
      <c r="K258" s="113"/>
      <c r="L258" s="113"/>
      <c r="M258" s="113"/>
      <c r="N258" s="113"/>
      <c r="O258" s="3"/>
    </row>
    <row r="259" spans="3:15" s="51" customFormat="1" hidden="1">
      <c r="C259" s="51" t="s">
        <v>182</v>
      </c>
      <c r="D259" s="125"/>
      <c r="E259" s="125">
        <v>50</v>
      </c>
      <c r="F259" s="125">
        <v>45</v>
      </c>
      <c r="G259" s="113"/>
      <c r="H259" s="113"/>
      <c r="I259" s="113"/>
      <c r="J259" s="113"/>
      <c r="K259" s="113"/>
      <c r="L259" s="113"/>
      <c r="M259" s="113"/>
      <c r="N259" s="113"/>
      <c r="O259" s="3"/>
    </row>
    <row r="260" spans="3:15" s="51" customFormat="1" hidden="1">
      <c r="C260" s="51" t="s">
        <v>181</v>
      </c>
      <c r="D260" s="125"/>
      <c r="E260" s="125">
        <v>50</v>
      </c>
      <c r="F260" s="125">
        <v>45</v>
      </c>
      <c r="G260" s="113"/>
      <c r="H260" s="113"/>
      <c r="I260" s="113"/>
      <c r="J260" s="113"/>
      <c r="K260" s="113"/>
      <c r="L260" s="113"/>
      <c r="M260" s="113"/>
      <c r="N260" s="113"/>
      <c r="O260" s="3"/>
    </row>
    <row r="261" spans="3:15" s="51" customFormat="1" hidden="1">
      <c r="G261" s="113"/>
      <c r="H261" s="113"/>
      <c r="I261" s="113"/>
      <c r="J261" s="113"/>
      <c r="K261" s="113"/>
      <c r="L261" s="113"/>
      <c r="M261" s="113"/>
      <c r="N261" s="113"/>
      <c r="O261" s="3"/>
    </row>
    <row r="262" spans="3:15" s="51" customFormat="1" hidden="1">
      <c r="D262" s="51" t="s">
        <v>71</v>
      </c>
      <c r="E262" s="127">
        <v>2</v>
      </c>
      <c r="F262" s="127">
        <v>3</v>
      </c>
      <c r="G262" s="113"/>
      <c r="H262" s="113"/>
      <c r="I262" s="113"/>
      <c r="J262" s="113"/>
      <c r="K262" s="113"/>
      <c r="L262" s="113"/>
      <c r="M262" s="113"/>
      <c r="N262" s="113"/>
      <c r="O262" s="3"/>
    </row>
    <row r="263" spans="3:15" s="51" customFormat="1" hidden="1">
      <c r="C263" s="126" t="s">
        <v>189</v>
      </c>
      <c r="D263" s="125" t="s">
        <v>188</v>
      </c>
      <c r="E263" s="125" t="s">
        <v>188</v>
      </c>
      <c r="F263" s="125" t="s">
        <v>188</v>
      </c>
      <c r="G263" s="113"/>
      <c r="H263" s="113"/>
      <c r="I263" s="113"/>
      <c r="J263" s="113"/>
      <c r="K263" s="113"/>
      <c r="L263" s="113"/>
      <c r="M263" s="113"/>
      <c r="N263" s="113"/>
      <c r="O263" s="3"/>
    </row>
    <row r="264" spans="3:15" s="51" customFormat="1" hidden="1">
      <c r="C264" s="51" t="s">
        <v>187</v>
      </c>
      <c r="D264" s="125"/>
      <c r="E264" s="125">
        <v>85</v>
      </c>
      <c r="F264" s="125">
        <v>80</v>
      </c>
      <c r="G264" s="113"/>
      <c r="H264" s="113"/>
      <c r="I264" s="113"/>
      <c r="J264" s="113"/>
      <c r="K264" s="113"/>
      <c r="L264" s="113"/>
      <c r="M264" s="113"/>
      <c r="N264" s="113"/>
      <c r="O264" s="3"/>
    </row>
    <row r="265" spans="3:15" s="51" customFormat="1" hidden="1">
      <c r="C265" s="51" t="s">
        <v>186</v>
      </c>
      <c r="D265" s="125"/>
      <c r="E265" s="125">
        <v>85</v>
      </c>
      <c r="F265" s="125">
        <v>80</v>
      </c>
      <c r="G265" s="113"/>
      <c r="H265" s="113"/>
      <c r="I265" s="113"/>
      <c r="J265" s="113"/>
      <c r="K265" s="113"/>
      <c r="L265" s="113"/>
      <c r="M265" s="113"/>
      <c r="N265" s="113"/>
      <c r="O265" s="3"/>
    </row>
    <row r="266" spans="3:15" s="51" customFormat="1" hidden="1">
      <c r="C266" s="51" t="s">
        <v>185</v>
      </c>
      <c r="D266" s="125"/>
      <c r="E266" s="125">
        <v>80</v>
      </c>
      <c r="F266" s="125">
        <v>75</v>
      </c>
      <c r="G266" s="113"/>
      <c r="H266" s="113"/>
      <c r="I266" s="113"/>
      <c r="J266" s="113"/>
      <c r="K266" s="113"/>
      <c r="L266" s="113"/>
      <c r="M266" s="113"/>
      <c r="N266" s="113"/>
      <c r="O266" s="3"/>
    </row>
    <row r="267" spans="3:15" s="51" customFormat="1" hidden="1">
      <c r="C267" s="51" t="s">
        <v>184</v>
      </c>
      <c r="D267" s="125"/>
      <c r="E267" s="125">
        <v>80</v>
      </c>
      <c r="F267" s="125">
        <v>75</v>
      </c>
      <c r="G267" s="113"/>
      <c r="H267" s="113"/>
      <c r="I267" s="113"/>
      <c r="J267" s="113"/>
      <c r="K267" s="113"/>
      <c r="L267" s="113"/>
      <c r="M267" s="113"/>
      <c r="N267" s="113"/>
      <c r="O267" s="3"/>
    </row>
    <row r="268" spans="3:15" s="51" customFormat="1" hidden="1">
      <c r="C268" s="51" t="s">
        <v>183</v>
      </c>
      <c r="D268" s="125"/>
      <c r="E268" s="125">
        <v>75</v>
      </c>
      <c r="F268" s="125">
        <v>70</v>
      </c>
      <c r="G268" s="113"/>
      <c r="H268" s="113"/>
      <c r="I268" s="113"/>
      <c r="J268" s="113"/>
      <c r="K268" s="113"/>
      <c r="L268" s="113"/>
      <c r="M268" s="113"/>
      <c r="N268" s="113"/>
      <c r="O268" s="3"/>
    </row>
    <row r="269" spans="3:15" s="51" customFormat="1" hidden="1">
      <c r="C269" s="51" t="s">
        <v>182</v>
      </c>
      <c r="D269" s="125"/>
      <c r="E269" s="125">
        <v>75</v>
      </c>
      <c r="F269" s="125">
        <v>70</v>
      </c>
      <c r="G269" s="113"/>
      <c r="H269" s="113"/>
      <c r="I269" s="113"/>
      <c r="J269" s="113"/>
      <c r="K269" s="113"/>
      <c r="L269" s="113"/>
      <c r="M269" s="113"/>
      <c r="N269" s="113"/>
      <c r="O269" s="3"/>
    </row>
    <row r="270" spans="3:15" s="51" customFormat="1" hidden="1">
      <c r="C270" s="51" t="s">
        <v>181</v>
      </c>
      <c r="D270" s="125"/>
      <c r="E270" s="125">
        <v>75</v>
      </c>
      <c r="F270" s="125">
        <v>70</v>
      </c>
      <c r="G270" s="113"/>
      <c r="H270" s="113"/>
      <c r="I270" s="113"/>
      <c r="J270" s="113"/>
      <c r="K270" s="113"/>
      <c r="L270" s="113"/>
      <c r="M270" s="113"/>
      <c r="N270" s="113"/>
      <c r="O270" s="3"/>
    </row>
    <row r="271" spans="3:15" s="51" customFormat="1" hidden="1">
      <c r="G271" s="113"/>
      <c r="H271" s="113"/>
      <c r="I271" s="113"/>
      <c r="J271" s="113"/>
      <c r="K271" s="113"/>
      <c r="L271" s="113"/>
      <c r="M271" s="113"/>
      <c r="N271" s="113"/>
      <c r="O271" s="3"/>
    </row>
    <row r="272" spans="3:15" hidden="1"/>
    <row r="273" spans="3:9" hidden="1">
      <c r="C273" s="76" t="s">
        <v>180</v>
      </c>
    </row>
    <row r="274" spans="3:9" hidden="1">
      <c r="C274" s="124" t="s">
        <v>179</v>
      </c>
      <c r="D274" s="76" t="s">
        <v>178</v>
      </c>
      <c r="E274" t="s">
        <v>177</v>
      </c>
      <c r="F274" t="s">
        <v>174</v>
      </c>
      <c r="G274" t="s">
        <v>176</v>
      </c>
      <c r="H274" t="s">
        <v>175</v>
      </c>
      <c r="I274" t="s">
        <v>174</v>
      </c>
    </row>
    <row r="275" spans="3:9" hidden="1">
      <c r="C275" s="115" t="s">
        <v>173</v>
      </c>
      <c r="D275" s="123" t="s">
        <v>173</v>
      </c>
      <c r="E275" s="119" t="s">
        <v>6</v>
      </c>
      <c r="F275" s="119" t="s">
        <v>172</v>
      </c>
      <c r="G275" s="119" t="s">
        <v>6</v>
      </c>
      <c r="H275" s="113" t="str">
        <f t="shared" ref="H275:H286" si="16">_xlfn.CONCAT(D275,E275)</f>
        <v>Conference roomsN/A</v>
      </c>
      <c r="I275" s="113" t="str">
        <f t="shared" ref="I275:I286" si="17">F275</f>
        <v>≤ 0.6</v>
      </c>
    </row>
    <row r="276" spans="3:9" hidden="1">
      <c r="C276" s="122" t="s">
        <v>170</v>
      </c>
      <c r="D276" s="121" t="s">
        <v>170</v>
      </c>
      <c r="E276" s="119" t="s">
        <v>161</v>
      </c>
      <c r="F276" s="119" t="s">
        <v>172</v>
      </c>
      <c r="G276" s="119" t="s">
        <v>161</v>
      </c>
      <c r="H276" s="113" t="str">
        <f t="shared" si="16"/>
        <v>Classrooms&lt; 280 m³ [10,000 ft³]</v>
      </c>
      <c r="I276" s="113" t="str">
        <f t="shared" si="17"/>
        <v>≤ 0.6</v>
      </c>
    </row>
    <row r="277" spans="3:9" ht="28.8" hidden="1">
      <c r="C277" s="122" t="s">
        <v>166</v>
      </c>
      <c r="D277" s="121" t="s">
        <v>170</v>
      </c>
      <c r="E277" s="119" t="s">
        <v>159</v>
      </c>
      <c r="F277" s="119" t="s">
        <v>171</v>
      </c>
      <c r="G277" s="119" t="s">
        <v>159</v>
      </c>
      <c r="H277" s="113" t="str">
        <f t="shared" si="16"/>
        <v>ClassroomsBetween 280 m³ [10,000 ft³] and 570m³ [20,000 ft³]</v>
      </c>
      <c r="I277" s="113" t="str">
        <f t="shared" si="17"/>
        <v>0.5 to 0.8</v>
      </c>
    </row>
    <row r="278" spans="3:9" hidden="1">
      <c r="C278" s="122" t="s">
        <v>163</v>
      </c>
      <c r="D278" s="121" t="s">
        <v>170</v>
      </c>
      <c r="E278" s="119" t="s">
        <v>156</v>
      </c>
      <c r="F278" s="119" t="s">
        <v>169</v>
      </c>
      <c r="G278" s="119" t="s">
        <v>156</v>
      </c>
      <c r="H278" s="113" t="str">
        <f t="shared" si="16"/>
        <v>Classrooms&gt; 570 m³ [20,000 ft³]</v>
      </c>
      <c r="I278" s="113" t="str">
        <f t="shared" si="17"/>
        <v>0.6 to 1.0</v>
      </c>
    </row>
    <row r="279" spans="3:9" hidden="1">
      <c r="C279" s="122" t="s">
        <v>157</v>
      </c>
      <c r="D279" s="121" t="s">
        <v>166</v>
      </c>
      <c r="E279" s="119" t="s">
        <v>161</v>
      </c>
      <c r="F279" s="119" t="s">
        <v>168</v>
      </c>
      <c r="H279" s="113" t="str">
        <f t="shared" si="16"/>
        <v>Lecture halls&lt; 280 m³ [10,000 ft³]</v>
      </c>
      <c r="I279" s="113" t="str">
        <f t="shared" si="17"/>
        <v>≤ 0.7</v>
      </c>
    </row>
    <row r="280" spans="3:9" ht="28.8" hidden="1">
      <c r="C280" s="122"/>
      <c r="D280" s="121" t="s">
        <v>166</v>
      </c>
      <c r="E280" s="119" t="s">
        <v>159</v>
      </c>
      <c r="F280" s="119" t="s">
        <v>167</v>
      </c>
      <c r="H280" s="113" t="str">
        <f t="shared" si="16"/>
        <v>Lecture hallsBetween 280 m³ [10,000 ft³] and 570m³ [20,000 ft³]</v>
      </c>
      <c r="I280" s="113" t="str">
        <f t="shared" si="17"/>
        <v>0.6 to 0.9</v>
      </c>
    </row>
    <row r="281" spans="3:9" hidden="1">
      <c r="D281" s="121" t="s">
        <v>166</v>
      </c>
      <c r="E281" s="119" t="s">
        <v>156</v>
      </c>
      <c r="F281" s="119" t="s">
        <v>165</v>
      </c>
      <c r="H281" s="113" t="str">
        <f t="shared" si="16"/>
        <v>Lecture halls&gt; 570 m³ [20,000 ft³]</v>
      </c>
      <c r="I281" s="113" t="str">
        <f t="shared" si="17"/>
        <v>0.7 to 1.3</v>
      </c>
    </row>
    <row r="282" spans="3:9" hidden="1">
      <c r="D282" s="120" t="s">
        <v>163</v>
      </c>
      <c r="E282" s="119" t="s">
        <v>161</v>
      </c>
      <c r="F282" s="119" t="s">
        <v>164</v>
      </c>
      <c r="H282" s="113" t="str">
        <f t="shared" si="16"/>
        <v>Music rehearsal spaces&lt; 280 m³ [10,000 ft³]</v>
      </c>
      <c r="I282" s="113" t="str">
        <f t="shared" si="17"/>
        <v>≤ 1.1</v>
      </c>
    </row>
    <row r="283" spans="3:9" ht="28.8" hidden="1">
      <c r="D283" s="120" t="s">
        <v>163</v>
      </c>
      <c r="E283" s="119" t="s">
        <v>159</v>
      </c>
      <c r="F283" s="119" t="s">
        <v>162</v>
      </c>
      <c r="H283" s="113" t="str">
        <f t="shared" si="16"/>
        <v>Music rehearsal spacesBetween 280 m³ [10,000 ft³] and 570m³ [20,000 ft³]</v>
      </c>
      <c r="I283" s="113" t="str">
        <f t="shared" si="17"/>
        <v>1.0 to 1.4</v>
      </c>
    </row>
    <row r="284" spans="3:9" hidden="1">
      <c r="D284" s="120" t="s">
        <v>157</v>
      </c>
      <c r="E284" s="119" t="s">
        <v>161</v>
      </c>
      <c r="F284" s="119" t="s">
        <v>160</v>
      </c>
      <c r="H284" s="113" t="str">
        <f t="shared" si="16"/>
        <v>Fitness facilities&lt; 280 m³ [10,000 ft³]</v>
      </c>
      <c r="I284" s="113" t="str">
        <f t="shared" si="17"/>
        <v>0.7 to 0.8</v>
      </c>
    </row>
    <row r="285" spans="3:9" ht="28.8" hidden="1">
      <c r="D285" s="120" t="s">
        <v>157</v>
      </c>
      <c r="E285" s="119" t="s">
        <v>159</v>
      </c>
      <c r="F285" s="119" t="s">
        <v>158</v>
      </c>
      <c r="H285" s="113" t="str">
        <f t="shared" si="16"/>
        <v>Fitness facilitiesBetween 280 m³ [10,000 ft³] and 570m³ [20,000 ft³]</v>
      </c>
      <c r="I285" s="113" t="str">
        <f t="shared" si="17"/>
        <v>0.8 to 1.1</v>
      </c>
    </row>
    <row r="286" spans="3:9" hidden="1">
      <c r="D286" s="120" t="s">
        <v>157</v>
      </c>
      <c r="E286" s="119" t="s">
        <v>156</v>
      </c>
      <c r="F286" s="119" t="s">
        <v>155</v>
      </c>
      <c r="H286" s="113" t="str">
        <f t="shared" si="16"/>
        <v>Fitness facilities&gt; 570 m³ [20,000 ft³]</v>
      </c>
      <c r="I286" s="113" t="str">
        <f t="shared" si="17"/>
        <v>1.0 to 1.8</v>
      </c>
    </row>
    <row r="287" spans="3:9" hidden="1"/>
    <row r="288" spans="3:9" hidden="1"/>
    <row r="289" spans="4:6" hidden="1"/>
    <row r="290" spans="4:6" hidden="1"/>
    <row r="291" spans="4:6" hidden="1"/>
    <row r="292" spans="4:6" hidden="1"/>
    <row r="293" spans="4:6" hidden="1"/>
    <row r="294" spans="4:6" hidden="1"/>
    <row r="295" spans="4:6" hidden="1">
      <c r="D295" s="118" t="s">
        <v>154</v>
      </c>
      <c r="E295" s="117" t="s">
        <v>153</v>
      </c>
      <c r="F295" s="117" t="s">
        <v>152</v>
      </c>
    </row>
    <row r="296" spans="4:6" hidden="1">
      <c r="D296" s="116" t="s">
        <v>151</v>
      </c>
      <c r="E296" s="116">
        <v>40</v>
      </c>
      <c r="F296" s="114">
        <v>42</v>
      </c>
    </row>
    <row r="297" spans="4:6" hidden="1">
      <c r="D297" s="116" t="s">
        <v>150</v>
      </c>
      <c r="E297" s="115">
        <v>45</v>
      </c>
      <c r="F297" s="114">
        <v>48</v>
      </c>
    </row>
    <row r="298" spans="4:6" hidden="1"/>
    <row r="299" spans="4:6" hidden="1"/>
    <row r="300" spans="4:6" hidden="1"/>
    <row r="301" spans="4:6" hidden="1"/>
    <row r="302" spans="4:6" hidden="1"/>
    <row r="303" spans="4:6" hidden="1"/>
    <row r="304" spans="4:6" hidden="1"/>
    <row r="305" hidden="1"/>
    <row r="306" hidden="1"/>
    <row r="307" hidden="1"/>
    <row r="308" hidden="1"/>
    <row r="309" hidden="1"/>
    <row r="310" hidden="1"/>
    <row r="311" hidden="1"/>
    <row r="312" hidden="1"/>
  </sheetData>
  <sheetProtection insertRows="0"/>
  <autoFilter ref="O3:P136" xr:uid="{EA2B1992-1799-4B09-B3ED-493A3A2DA692}">
    <filterColumn colId="0">
      <filters>
        <filter val="Show"/>
      </filters>
    </filterColumn>
  </autoFilter>
  <dataConsolidate/>
  <mergeCells count="264">
    <mergeCell ref="C43:C46"/>
    <mergeCell ref="D43:D46"/>
    <mergeCell ref="E43:E46"/>
    <mergeCell ref="J43:J46"/>
    <mergeCell ref="K43:L43"/>
    <mergeCell ref="K44:L44"/>
    <mergeCell ref="K45:L45"/>
    <mergeCell ref="K46:L46"/>
    <mergeCell ref="C35:C38"/>
    <mergeCell ref="D35:D38"/>
    <mergeCell ref="E35:E38"/>
    <mergeCell ref="J35:J38"/>
    <mergeCell ref="K35:L35"/>
    <mergeCell ref="K36:L36"/>
    <mergeCell ref="K37:L37"/>
    <mergeCell ref="K38:L38"/>
    <mergeCell ref="C39:C42"/>
    <mergeCell ref="D39:D42"/>
    <mergeCell ref="E39:E42"/>
    <mergeCell ref="J39:J42"/>
    <mergeCell ref="K39:L39"/>
    <mergeCell ref="K40:L40"/>
    <mergeCell ref="K41:L41"/>
    <mergeCell ref="K42:L42"/>
    <mergeCell ref="C27:C30"/>
    <mergeCell ref="D27:D30"/>
    <mergeCell ref="E27:E30"/>
    <mergeCell ref="J27:J30"/>
    <mergeCell ref="K27:L27"/>
    <mergeCell ref="K28:L28"/>
    <mergeCell ref="K29:L29"/>
    <mergeCell ref="K30:L30"/>
    <mergeCell ref="C31:C34"/>
    <mergeCell ref="D31:D34"/>
    <mergeCell ref="E31:E34"/>
    <mergeCell ref="J31:J34"/>
    <mergeCell ref="K31:L31"/>
    <mergeCell ref="K32:L32"/>
    <mergeCell ref="K33:L33"/>
    <mergeCell ref="K34:L34"/>
    <mergeCell ref="A192:B192"/>
    <mergeCell ref="A193:B193"/>
    <mergeCell ref="A194:B194"/>
    <mergeCell ref="A195:B195"/>
    <mergeCell ref="A184:B184"/>
    <mergeCell ref="A185:B185"/>
    <mergeCell ref="A188:B188"/>
    <mergeCell ref="A189:B189"/>
    <mergeCell ref="A190:B190"/>
    <mergeCell ref="A170:B170"/>
    <mergeCell ref="A171:B171"/>
    <mergeCell ref="A172:B172"/>
    <mergeCell ref="A173:B173"/>
    <mergeCell ref="A174:B174"/>
    <mergeCell ref="A175:B175"/>
    <mergeCell ref="A191:B191"/>
    <mergeCell ref="A178:B178"/>
    <mergeCell ref="A179:B179"/>
    <mergeCell ref="A180:B180"/>
    <mergeCell ref="A181:B181"/>
    <mergeCell ref="A182:B182"/>
    <mergeCell ref="A183:B183"/>
    <mergeCell ref="E158:E159"/>
    <mergeCell ref="J158:J161"/>
    <mergeCell ref="E160:E161"/>
    <mergeCell ref="E162:E163"/>
    <mergeCell ref="J162:J163"/>
    <mergeCell ref="E164:E165"/>
    <mergeCell ref="J164:J165"/>
    <mergeCell ref="A168:B168"/>
    <mergeCell ref="A169:B169"/>
    <mergeCell ref="J131:L131"/>
    <mergeCell ref="J132:L132"/>
    <mergeCell ref="J133:L133"/>
    <mergeCell ref="J134:L134"/>
    <mergeCell ref="J135:L135"/>
    <mergeCell ref="A143:M148"/>
    <mergeCell ref="E154:E155"/>
    <mergeCell ref="J154:J157"/>
    <mergeCell ref="E156:E157"/>
    <mergeCell ref="J122:L122"/>
    <mergeCell ref="J123:L123"/>
    <mergeCell ref="J124:L124"/>
    <mergeCell ref="J125:L125"/>
    <mergeCell ref="J126:L126"/>
    <mergeCell ref="J127:L127"/>
    <mergeCell ref="C128:L128"/>
    <mergeCell ref="J129:L129"/>
    <mergeCell ref="J130:L130"/>
    <mergeCell ref="J113:L113"/>
    <mergeCell ref="J114:L114"/>
    <mergeCell ref="J115:L115"/>
    <mergeCell ref="J116:L116"/>
    <mergeCell ref="J117:L117"/>
    <mergeCell ref="J118:L118"/>
    <mergeCell ref="J119:L119"/>
    <mergeCell ref="J120:L120"/>
    <mergeCell ref="J121:L121"/>
    <mergeCell ref="J105:L105"/>
    <mergeCell ref="J106:L106"/>
    <mergeCell ref="J107:L107"/>
    <mergeCell ref="J104:L104"/>
    <mergeCell ref="J108:L108"/>
    <mergeCell ref="J109:L109"/>
    <mergeCell ref="C110:L110"/>
    <mergeCell ref="J111:L111"/>
    <mergeCell ref="J112:L112"/>
    <mergeCell ref="J102:L102"/>
    <mergeCell ref="J103:L103"/>
    <mergeCell ref="C83:C86"/>
    <mergeCell ref="D83:D86"/>
    <mergeCell ref="E83:E86"/>
    <mergeCell ref="J83:J86"/>
    <mergeCell ref="K83:L83"/>
    <mergeCell ref="K84:L84"/>
    <mergeCell ref="K85:L85"/>
    <mergeCell ref="C99:L99"/>
    <mergeCell ref="J100:L100"/>
    <mergeCell ref="J101:L101"/>
    <mergeCell ref="K98:L98"/>
    <mergeCell ref="K92:L92"/>
    <mergeCell ref="K93:L93"/>
    <mergeCell ref="K94:L94"/>
    <mergeCell ref="C95:C98"/>
    <mergeCell ref="D95:D98"/>
    <mergeCell ref="E95:E98"/>
    <mergeCell ref="J95:J98"/>
    <mergeCell ref="K95:L95"/>
    <mergeCell ref="K96:L96"/>
    <mergeCell ref="K97:L97"/>
    <mergeCell ref="C91:C94"/>
    <mergeCell ref="D91:D94"/>
    <mergeCell ref="E91:E94"/>
    <mergeCell ref="J91:J94"/>
    <mergeCell ref="K91:L91"/>
    <mergeCell ref="C79:C82"/>
    <mergeCell ref="D79:D82"/>
    <mergeCell ref="E79:E82"/>
    <mergeCell ref="J79:J82"/>
    <mergeCell ref="K79:L79"/>
    <mergeCell ref="K86:L86"/>
    <mergeCell ref="C87:C90"/>
    <mergeCell ref="D87:D90"/>
    <mergeCell ref="E87:E90"/>
    <mergeCell ref="J87:J90"/>
    <mergeCell ref="K87:L87"/>
    <mergeCell ref="K88:L88"/>
    <mergeCell ref="K89:L89"/>
    <mergeCell ref="K90:L90"/>
    <mergeCell ref="K80:L80"/>
    <mergeCell ref="K81:L81"/>
    <mergeCell ref="K82:L82"/>
    <mergeCell ref="C75:C78"/>
    <mergeCell ref="D75:D78"/>
    <mergeCell ref="E75:E78"/>
    <mergeCell ref="J75:J78"/>
    <mergeCell ref="K75:L75"/>
    <mergeCell ref="K76:L76"/>
    <mergeCell ref="K77:L77"/>
    <mergeCell ref="K78:L78"/>
    <mergeCell ref="C71:C74"/>
    <mergeCell ref="D71:D74"/>
    <mergeCell ref="E71:E74"/>
    <mergeCell ref="J71:J74"/>
    <mergeCell ref="K71:L71"/>
    <mergeCell ref="K72:L72"/>
    <mergeCell ref="K73:L73"/>
    <mergeCell ref="K74:L74"/>
    <mergeCell ref="C63:C66"/>
    <mergeCell ref="D63:D66"/>
    <mergeCell ref="E63:E66"/>
    <mergeCell ref="J63:J66"/>
    <mergeCell ref="K63:L63"/>
    <mergeCell ref="K64:L64"/>
    <mergeCell ref="K65:L65"/>
    <mergeCell ref="K66:L66"/>
    <mergeCell ref="C67:C70"/>
    <mergeCell ref="D67:D70"/>
    <mergeCell ref="E67:E70"/>
    <mergeCell ref="J67:J70"/>
    <mergeCell ref="K67:L67"/>
    <mergeCell ref="K68:L68"/>
    <mergeCell ref="K69:L69"/>
    <mergeCell ref="K70:L70"/>
    <mergeCell ref="K62:L62"/>
    <mergeCell ref="C51:C54"/>
    <mergeCell ref="D51:D54"/>
    <mergeCell ref="E51:E54"/>
    <mergeCell ref="J51:J54"/>
    <mergeCell ref="K51:L51"/>
    <mergeCell ref="K52:L52"/>
    <mergeCell ref="K53:L53"/>
    <mergeCell ref="K54:L54"/>
    <mergeCell ref="A1:L1"/>
    <mergeCell ref="A2:L2"/>
    <mergeCell ref="B4:L4"/>
    <mergeCell ref="B5:B135"/>
    <mergeCell ref="C5:L5"/>
    <mergeCell ref="D15:D18"/>
    <mergeCell ref="K6:L6"/>
    <mergeCell ref="C7:C10"/>
    <mergeCell ref="D7:D10"/>
    <mergeCell ref="E7:E10"/>
    <mergeCell ref="J7:J10"/>
    <mergeCell ref="K7:L7"/>
    <mergeCell ref="K8:L8"/>
    <mergeCell ref="K14:L14"/>
    <mergeCell ref="C15:C18"/>
    <mergeCell ref="K9:L9"/>
    <mergeCell ref="C47:C50"/>
    <mergeCell ref="D47:D50"/>
    <mergeCell ref="E47:E50"/>
    <mergeCell ref="J47:J50"/>
    <mergeCell ref="K47:L47"/>
    <mergeCell ref="K48:L48"/>
    <mergeCell ref="K49:L49"/>
    <mergeCell ref="K50:L50"/>
    <mergeCell ref="K10:L10"/>
    <mergeCell ref="C11:C14"/>
    <mergeCell ref="D11:D14"/>
    <mergeCell ref="E11:E14"/>
    <mergeCell ref="J11:J14"/>
    <mergeCell ref="K11:L11"/>
    <mergeCell ref="K12:L12"/>
    <mergeCell ref="K13:L13"/>
    <mergeCell ref="P5:P23"/>
    <mergeCell ref="E15:E18"/>
    <mergeCell ref="K18:L18"/>
    <mergeCell ref="C19:C22"/>
    <mergeCell ref="D19:D22"/>
    <mergeCell ref="E19:E22"/>
    <mergeCell ref="J19:J22"/>
    <mergeCell ref="K19:L19"/>
    <mergeCell ref="K20:L20"/>
    <mergeCell ref="K21:L21"/>
    <mergeCell ref="K22:L22"/>
    <mergeCell ref="J15:J18"/>
    <mergeCell ref="K15:L15"/>
    <mergeCell ref="K16:L16"/>
    <mergeCell ref="K17:L17"/>
    <mergeCell ref="P102:P103"/>
    <mergeCell ref="C23:C26"/>
    <mergeCell ref="D23:D26"/>
    <mergeCell ref="E23:E26"/>
    <mergeCell ref="J23:J26"/>
    <mergeCell ref="K23:L23"/>
    <mergeCell ref="K24:L24"/>
    <mergeCell ref="K25:L25"/>
    <mergeCell ref="K26:L26"/>
    <mergeCell ref="C55:C58"/>
    <mergeCell ref="D55:D58"/>
    <mergeCell ref="E55:E58"/>
    <mergeCell ref="J55:J58"/>
    <mergeCell ref="K55:L55"/>
    <mergeCell ref="K56:L56"/>
    <mergeCell ref="K57:L57"/>
    <mergeCell ref="K58:L58"/>
    <mergeCell ref="C59:C62"/>
    <mergeCell ref="D59:D62"/>
    <mergeCell ref="E59:E62"/>
    <mergeCell ref="J59:J62"/>
    <mergeCell ref="K59:L59"/>
    <mergeCell ref="K60:L60"/>
    <mergeCell ref="K61:L61"/>
  </mergeCells>
  <conditionalFormatting sqref="A2">
    <cfRule type="containsBlanks" dxfId="4" priority="5">
      <formula>LEN(TRIM(A2))=0</formula>
    </cfRule>
  </conditionalFormatting>
  <conditionalFormatting sqref="C7:E98 H7:H98 J7:J98">
    <cfRule type="containsBlanks" dxfId="3" priority="4">
      <formula>LEN(TRIM(C7))=0</formula>
    </cfRule>
  </conditionalFormatting>
  <conditionalFormatting sqref="C101:E109 G101:I109">
    <cfRule type="containsBlanks" dxfId="2" priority="3">
      <formula>LEN(TRIM(C101))=0</formula>
    </cfRule>
  </conditionalFormatting>
  <conditionalFormatting sqref="C112:F127 H112:I127">
    <cfRule type="containsBlanks" dxfId="1" priority="2">
      <formula>LEN(TRIM(C112))=0</formula>
    </cfRule>
  </conditionalFormatting>
  <conditionalFormatting sqref="C130:I135">
    <cfRule type="containsBlanks" dxfId="0" priority="1">
      <formula>LEN(TRIM(C130))=0</formula>
    </cfRule>
  </conditionalFormatting>
  <dataValidations count="7">
    <dataValidation type="list" allowBlank="1" showInputMessage="1" showErrorMessage="1" sqref="I130:I135 I112:I127" xr:uid="{A5E33189-854F-4CEC-B1ED-AE3FF289C7DD}">
      <formula1>"MET,NOT MET,WITHDRAWN"</formula1>
    </dataValidation>
    <dataValidation type="list" allowBlank="1" showInputMessage="1" showErrorMessage="1" sqref="E7:E98" xr:uid="{9F45CF9F-6D03-4A20-85D3-02B1085B7D8B}">
      <formula1>$A$169:$A$175</formula1>
    </dataValidation>
    <dataValidation type="list" allowBlank="1" showInputMessage="1" showErrorMessage="1" sqref="J7:J98" xr:uid="{B3F02E03-CBA2-45EB-A535-BA8E5DFCFC68}">
      <formula1>"MET,NOT MET,TBD"</formula1>
    </dataValidation>
    <dataValidation type="list" allowBlank="1" showInputMessage="1" showErrorMessage="1" sqref="I101:I109" xr:uid="{CC0C4220-008E-459E-B010-93C04FDEA7CF}">
      <formula1>"MET,NOT MET,TBD,WITHDRAWN"</formula1>
    </dataValidation>
    <dataValidation type="list" allowBlank="1" showInputMessage="1" showErrorMessage="1" sqref="E130:E135" xr:uid="{76EAE533-85DE-4664-AAFC-FA32AC10AA41}">
      <formula1>$D$296:$D$297</formula1>
    </dataValidation>
    <dataValidation type="list" allowBlank="1" showInputMessage="1" showErrorMessage="1" sqref="E112:E127" xr:uid="{D286C885-0F23-488D-B224-1352FF7BC59C}">
      <formula1>$C$275:$C$279</formula1>
    </dataValidation>
    <dataValidation type="list" allowBlank="1" showInputMessage="1" showErrorMessage="1" sqref="F112:F127" xr:uid="{E7AB8891-12C5-4334-B3C8-B6EAB783F613}">
      <formula1>$G$275:$G$278</formula1>
    </dataValidation>
  </dataValidations>
  <pageMargins left="0.7" right="0.7" top="0.75" bottom="0.75" header="0.3" footer="0.3"/>
  <pageSetup scale="36" fitToHeight="11"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6291-3178-4EC4-B1CF-74DD4D58F986}">
  <dimension ref="A1:Q104"/>
  <sheetViews>
    <sheetView topLeftCell="J1" zoomScale="115" zoomScaleNormal="115" workbookViewId="0">
      <selection activeCell="K6" sqref="K6"/>
    </sheetView>
  </sheetViews>
  <sheetFormatPr defaultColWidth="9.109375" defaultRowHeight="13.2"/>
  <cols>
    <col min="1" max="1" width="51.6640625" style="733" customWidth="1"/>
    <col min="2" max="2" width="38.44140625" style="733" bestFit="1" customWidth="1"/>
    <col min="3" max="3" width="29.6640625" style="733" bestFit="1" customWidth="1"/>
    <col min="4" max="5" width="45.5546875" style="733" bestFit="1" customWidth="1"/>
    <col min="6" max="6" width="21.33203125" style="733" customWidth="1"/>
    <col min="7" max="7" width="45.5546875" style="733" bestFit="1" customWidth="1"/>
    <col min="8" max="8" width="35" style="733" bestFit="1" customWidth="1"/>
    <col min="9" max="9" width="30.6640625" style="733" customWidth="1"/>
    <col min="10" max="10" width="45.5546875" style="733" bestFit="1" customWidth="1"/>
    <col min="11" max="11" width="35" style="733" bestFit="1" customWidth="1"/>
    <col min="12" max="12" width="42.33203125" style="733" bestFit="1" customWidth="1"/>
    <col min="13" max="13" width="45.5546875" style="733" bestFit="1" customWidth="1"/>
    <col min="14" max="14" width="10.6640625" style="756" customWidth="1"/>
    <col min="15" max="15" width="35.6640625" style="733" customWidth="1"/>
    <col min="16" max="16" width="45.5546875" style="733" bestFit="1" customWidth="1"/>
    <col min="17" max="17" width="65.6640625" style="733" customWidth="1"/>
    <col min="18" max="16384" width="9.109375" style="733"/>
  </cols>
  <sheetData>
    <row r="1" spans="1:17">
      <c r="A1" s="721" t="s">
        <v>744</v>
      </c>
      <c r="B1" s="722" t="s">
        <v>1475</v>
      </c>
      <c r="C1" s="723" t="s">
        <v>1476</v>
      </c>
      <c r="D1" s="723" t="s">
        <v>1477</v>
      </c>
      <c r="E1" s="724" t="s">
        <v>1478</v>
      </c>
      <c r="F1" s="1036" t="s">
        <v>1479</v>
      </c>
      <c r="G1" s="725" t="s">
        <v>1480</v>
      </c>
      <c r="H1" s="726" t="s">
        <v>1476</v>
      </c>
      <c r="I1" s="727" t="s">
        <v>1481</v>
      </c>
      <c r="J1" s="725" t="s">
        <v>1482</v>
      </c>
      <c r="K1" s="728" t="s">
        <v>1483</v>
      </c>
      <c r="L1" s="729" t="s">
        <v>1484</v>
      </c>
      <c r="M1" s="729" t="s">
        <v>1485</v>
      </c>
      <c r="N1" s="730" t="s">
        <v>1486</v>
      </c>
      <c r="O1" s="729" t="s">
        <v>1487</v>
      </c>
      <c r="P1" s="731" t="s">
        <v>1488</v>
      </c>
      <c r="Q1" s="732"/>
    </row>
    <row r="2" spans="1:17" ht="13.2" customHeight="1">
      <c r="A2" s="734" t="s">
        <v>1458</v>
      </c>
      <c r="B2" s="735" t="s">
        <v>1489</v>
      </c>
      <c r="C2" s="736" t="s">
        <v>1458</v>
      </c>
      <c r="D2" s="736" t="s">
        <v>1474</v>
      </c>
      <c r="E2" s="737"/>
      <c r="F2" s="1036"/>
      <c r="G2" s="734" t="s">
        <v>1490</v>
      </c>
      <c r="H2" s="734" t="s">
        <v>1458</v>
      </c>
      <c r="I2" s="738" t="s">
        <v>1474</v>
      </c>
      <c r="J2" s="734" t="s">
        <v>1490</v>
      </c>
      <c r="K2" s="733" t="s">
        <v>1491</v>
      </c>
      <c r="L2" s="738" t="s">
        <v>1489</v>
      </c>
      <c r="M2" s="738" t="s">
        <v>1458</v>
      </c>
      <c r="N2" s="739">
        <v>1</v>
      </c>
      <c r="O2" s="740" t="str">
        <f>IF(Overview!$D$4=L2,M2,"")</f>
        <v/>
      </c>
      <c r="P2" s="741" t="str" cm="1">
        <f t="array" ref="P2">IFERROR(INDEX($O$1:$O$99,SMALL(IF($O$1:$O$99&lt;&gt;"",ROW($O$1:$O$99),999),ROW(2:2))),"")</f>
        <v>Achieved</v>
      </c>
      <c r="Q2" s="1037" t="s">
        <v>1492</v>
      </c>
    </row>
    <row r="3" spans="1:17">
      <c r="A3" s="734" t="s">
        <v>1493</v>
      </c>
      <c r="B3" s="735" t="s">
        <v>1494</v>
      </c>
      <c r="C3" s="736" t="s">
        <v>1458</v>
      </c>
      <c r="D3" s="736" t="s">
        <v>1474</v>
      </c>
      <c r="E3" s="737"/>
      <c r="F3" s="1036"/>
      <c r="G3" s="734" t="s">
        <v>733</v>
      </c>
      <c r="H3" s="734" t="s">
        <v>1493</v>
      </c>
      <c r="I3" s="738" t="s">
        <v>1495</v>
      </c>
      <c r="J3" s="734" t="s">
        <v>733</v>
      </c>
      <c r="K3" s="733" t="s">
        <v>1496</v>
      </c>
      <c r="L3" s="738" t="s">
        <v>1489</v>
      </c>
      <c r="M3" s="738" t="s">
        <v>1474</v>
      </c>
      <c r="N3" s="739">
        <v>2</v>
      </c>
      <c r="O3" s="740" t="str">
        <f>IF(Overview!$D$4=L3,M3,"")</f>
        <v/>
      </c>
      <c r="P3" s="741" t="str" cm="1">
        <f t="array" ref="P3">IFERROR(INDEX($O$1:$O$99,SMALL(IF($O$1:$O$99&lt;&gt;"",ROW($O$1:$O$99),999),ROW(3:3))),"")</f>
        <v>Not Achieved</v>
      </c>
      <c r="Q3" s="1037"/>
    </row>
    <row r="4" spans="1:17" ht="13.2" customHeight="1">
      <c r="A4" s="734" t="s">
        <v>1496</v>
      </c>
      <c r="B4" s="735" t="s">
        <v>1497</v>
      </c>
      <c r="C4" s="736" t="s">
        <v>1493</v>
      </c>
      <c r="D4" s="736" t="s">
        <v>1495</v>
      </c>
      <c r="E4" s="737" t="s">
        <v>1490</v>
      </c>
      <c r="F4" s="1036"/>
      <c r="G4" s="734"/>
      <c r="H4" s="742"/>
      <c r="I4" s="740"/>
      <c r="J4" s="734" t="s">
        <v>1498</v>
      </c>
      <c r="L4" s="738" t="s">
        <v>1489</v>
      </c>
      <c r="M4" s="738" t="s">
        <v>1299</v>
      </c>
      <c r="N4" s="739">
        <v>3</v>
      </c>
      <c r="O4" s="740" t="str">
        <f>IF(Overview!$D$4=L4,M4,"")</f>
        <v/>
      </c>
      <c r="P4" s="741" t="str" cm="1">
        <f t="array" ref="P4">IFERROR(INDEX($O$1:$O$99,SMALL(IF($O$1:$O$99&lt;&gt;"",ROW($O$1:$O$99),999),ROW(4:4))),"")</f>
        <v>Withdrawn</v>
      </c>
      <c r="Q4" s="1037"/>
    </row>
    <row r="5" spans="1:17">
      <c r="A5" s="734" t="s">
        <v>1474</v>
      </c>
      <c r="B5" s="735" t="s">
        <v>1499</v>
      </c>
      <c r="C5" s="736" t="s">
        <v>1458</v>
      </c>
      <c r="D5" s="736" t="s">
        <v>1474</v>
      </c>
      <c r="E5" s="737"/>
      <c r="F5" s="1036"/>
      <c r="H5" s="742"/>
      <c r="I5" s="740"/>
      <c r="J5" s="734" t="s">
        <v>1491</v>
      </c>
      <c r="L5" s="738" t="s">
        <v>1489</v>
      </c>
      <c r="M5" s="738" t="s">
        <v>1500</v>
      </c>
      <c r="N5" s="739">
        <v>4</v>
      </c>
      <c r="O5" s="740" t="str">
        <f>IF(Overview!$D$4=L5,M5,"")</f>
        <v/>
      </c>
      <c r="P5" s="741" t="str" cm="1">
        <f t="array" ref="P5">IFERROR(INDEX($O$1:$O$99,SMALL(IF($O$1:$O$99&lt;&gt;"",ROW($O$1:$O$99),999),ROW(5:5))),"")</f>
        <v>Not Applicable</v>
      </c>
      <c r="Q5" s="1037"/>
    </row>
    <row r="6" spans="1:17">
      <c r="A6" s="734" t="s">
        <v>1495</v>
      </c>
      <c r="B6" s="735" t="s">
        <v>1501</v>
      </c>
      <c r="C6" s="736" t="s">
        <v>1493</v>
      </c>
      <c r="D6" s="736" t="s">
        <v>1495</v>
      </c>
      <c r="E6" s="737"/>
      <c r="F6" s="1036"/>
      <c r="G6" s="725" t="s">
        <v>1502</v>
      </c>
      <c r="H6" s="743"/>
      <c r="I6" s="740"/>
      <c r="J6" s="734" t="s">
        <v>1496</v>
      </c>
      <c r="L6" s="738" t="s">
        <v>1489</v>
      </c>
      <c r="M6" s="738" t="s">
        <v>1176</v>
      </c>
      <c r="N6" s="739">
        <v>5</v>
      </c>
      <c r="O6" s="740" t="str">
        <f>IF(Overview!$D$4=L6,M6,"")</f>
        <v/>
      </c>
      <c r="P6" s="741" t="str" cm="1">
        <f t="array" ref="P6">IFERROR(INDEX($O$1:$O$99,SMALL(IF($O$1:$O$99&lt;&gt;"",ROW($O$1:$O$99),999),ROW(6:6))),"")</f>
        <v>Not Attempted</v>
      </c>
      <c r="Q6" s="1037"/>
    </row>
    <row r="7" spans="1:17">
      <c r="A7" s="734" t="s">
        <v>1500</v>
      </c>
      <c r="B7" s="735" t="s">
        <v>1503</v>
      </c>
      <c r="C7" s="736" t="s">
        <v>1458</v>
      </c>
      <c r="D7" s="736" t="s">
        <v>1474</v>
      </c>
      <c r="E7" s="737"/>
      <c r="F7" s="1036"/>
      <c r="G7" s="734" t="s">
        <v>1498</v>
      </c>
      <c r="H7" s="742"/>
      <c r="I7" s="740"/>
      <c r="J7" s="742"/>
      <c r="L7" s="738" t="s">
        <v>1494</v>
      </c>
      <c r="M7" s="738" t="s">
        <v>1458</v>
      </c>
      <c r="N7" s="739">
        <v>1</v>
      </c>
      <c r="O7" s="740" t="str">
        <f>IF(Overview!$D$4=L7,M7,"")</f>
        <v/>
      </c>
      <c r="P7" s="741" t="str" cm="1">
        <f t="array" ref="P7">IFERROR(INDEX($O$1:$O$99,SMALL(IF($O$1:$O$99&lt;&gt;"",ROW($O$1:$O$99),999),ROW(7:7))),"")</f>
        <v/>
      </c>
      <c r="Q7" s="1037"/>
    </row>
    <row r="8" spans="1:17">
      <c r="A8" s="734" t="s">
        <v>1176</v>
      </c>
      <c r="B8" s="735" t="s">
        <v>1504</v>
      </c>
      <c r="C8" s="736" t="s">
        <v>1493</v>
      </c>
      <c r="D8" s="736"/>
      <c r="E8" s="737" t="s">
        <v>1490</v>
      </c>
      <c r="F8" s="1036"/>
      <c r="H8" s="742"/>
      <c r="I8" s="740"/>
      <c r="J8" s="742"/>
      <c r="L8" s="738" t="s">
        <v>1494</v>
      </c>
      <c r="M8" s="738" t="s">
        <v>1474</v>
      </c>
      <c r="N8" s="739">
        <v>2</v>
      </c>
      <c r="O8" s="740" t="str">
        <f>IF(Overview!$D$4=L8,M8,"")</f>
        <v/>
      </c>
      <c r="P8" s="741" t="str" cm="1">
        <f t="array" ref="P8">IFERROR(INDEX($O$1:$O$99,SMALL(IF($O$1:$O$99&lt;&gt;"",ROW($O$1:$O$99),999),ROW(8:8))),"")</f>
        <v/>
      </c>
      <c r="Q8" s="1037"/>
    </row>
    <row r="9" spans="1:17">
      <c r="A9" s="734" t="s">
        <v>1505</v>
      </c>
      <c r="B9" s="735" t="s">
        <v>732</v>
      </c>
      <c r="C9" s="736" t="s">
        <v>1458</v>
      </c>
      <c r="D9" s="736" t="s">
        <v>1474</v>
      </c>
      <c r="E9" s="737" t="s">
        <v>1490</v>
      </c>
      <c r="F9" s="1036"/>
      <c r="H9" s="742"/>
      <c r="I9" s="740"/>
      <c r="J9" s="742"/>
      <c r="L9" s="738" t="s">
        <v>1494</v>
      </c>
      <c r="M9" s="738" t="s">
        <v>1299</v>
      </c>
      <c r="N9" s="739">
        <v>3</v>
      </c>
      <c r="O9" s="740" t="str">
        <f>IF(Overview!$D$4=L9,M9,"")</f>
        <v/>
      </c>
      <c r="P9" s="741" t="str" cm="1">
        <f t="array" ref="P9">IFERROR(INDEX($O$1:$O$99,SMALL(IF($O$1:$O$99&lt;&gt;"",ROW($O$1:$O$99),999),ROW(9:9))),"")</f>
        <v/>
      </c>
      <c r="Q9" s="1037"/>
    </row>
    <row r="10" spans="1:17">
      <c r="A10" s="734" t="s">
        <v>1506</v>
      </c>
      <c r="B10" s="735" t="s">
        <v>1507</v>
      </c>
      <c r="C10" s="736" t="s">
        <v>1493</v>
      </c>
      <c r="D10" s="736"/>
      <c r="E10" s="737" t="s">
        <v>1490</v>
      </c>
      <c r="F10" s="1036"/>
      <c r="H10" s="742"/>
      <c r="I10" s="740"/>
      <c r="J10" s="742"/>
      <c r="L10" s="738" t="s">
        <v>1494</v>
      </c>
      <c r="M10" s="738" t="s">
        <v>1500</v>
      </c>
      <c r="N10" s="739">
        <v>4</v>
      </c>
      <c r="O10" s="740" t="str">
        <f>IF(Overview!$D$4=L10,M10,"")</f>
        <v/>
      </c>
      <c r="P10" s="741" t="str" cm="1">
        <f t="array" ref="P10">IFERROR(INDEX($O$1:$O$99,SMALL(IF($O$1:$O$99&lt;&gt;"",ROW($O$1:$O$99),999),ROW(10:10))),"")</f>
        <v/>
      </c>
      <c r="Q10" s="1037"/>
    </row>
    <row r="11" spans="1:17">
      <c r="A11" s="734" t="s">
        <v>1490</v>
      </c>
      <c r="B11" s="735" t="s">
        <v>1508</v>
      </c>
      <c r="C11" s="736" t="s">
        <v>1493</v>
      </c>
      <c r="D11" s="736" t="s">
        <v>1495</v>
      </c>
      <c r="E11" s="737" t="s">
        <v>1490</v>
      </c>
      <c r="H11" s="1038" t="s">
        <v>1509</v>
      </c>
      <c r="I11" s="1039" t="s">
        <v>1510</v>
      </c>
      <c r="J11" s="1038" t="s">
        <v>1511</v>
      </c>
      <c r="L11" s="738" t="s">
        <v>1494</v>
      </c>
      <c r="M11" s="738" t="s">
        <v>1176</v>
      </c>
      <c r="N11" s="739">
        <v>5</v>
      </c>
      <c r="O11" s="740" t="str">
        <f>IF(Overview!$D$4=L11,M11,"")</f>
        <v/>
      </c>
      <c r="P11" s="741" t="str" cm="1">
        <f t="array" ref="P11">IFERROR(INDEX($O$1:$O$99,SMALL(IF($O$1:$O$99&lt;&gt;"",ROW($O$1:$O$99),999),ROW(11:11))),"")</f>
        <v/>
      </c>
      <c r="Q11" s="1037"/>
    </row>
    <row r="12" spans="1:17">
      <c r="A12" s="734" t="s">
        <v>733</v>
      </c>
      <c r="B12" s="735" t="s">
        <v>1512</v>
      </c>
      <c r="C12" s="736" t="s">
        <v>1458</v>
      </c>
      <c r="D12" s="736" t="s">
        <v>1495</v>
      </c>
      <c r="E12" s="737" t="s">
        <v>1490</v>
      </c>
      <c r="H12" s="1038"/>
      <c r="I12" s="1039"/>
      <c r="J12" s="1038"/>
      <c r="L12" s="738" t="s">
        <v>1497</v>
      </c>
      <c r="M12" s="738" t="s">
        <v>1493</v>
      </c>
      <c r="N12" s="739">
        <v>1</v>
      </c>
      <c r="O12" s="740" t="str">
        <f>IF(Overview!$D$4=L12,M12,"")</f>
        <v/>
      </c>
      <c r="P12" s="741" t="str" cm="1">
        <f t="array" ref="P12">IFERROR(INDEX($O$1:$O$99,SMALL(IF($O$1:$O$99&lt;&gt;"",ROW($O$1:$O$99),999),ROW(12:12))),"")</f>
        <v/>
      </c>
      <c r="Q12" s="1040" t="s">
        <v>1513</v>
      </c>
    </row>
    <row r="13" spans="1:17">
      <c r="A13" s="734" t="s">
        <v>1498</v>
      </c>
      <c r="B13" s="735" t="s">
        <v>1514</v>
      </c>
      <c r="C13" s="736" t="s">
        <v>1458</v>
      </c>
      <c r="D13" s="736" t="s">
        <v>1474</v>
      </c>
      <c r="E13" s="737"/>
      <c r="H13" s="1038"/>
      <c r="I13" s="1039"/>
      <c r="J13" s="1038"/>
      <c r="L13" s="738" t="s">
        <v>1497</v>
      </c>
      <c r="M13" s="738" t="s">
        <v>1496</v>
      </c>
      <c r="N13" s="739">
        <v>2</v>
      </c>
      <c r="O13" s="740" t="str">
        <f>IF(Overview!$D$4=L13,M13,"")</f>
        <v/>
      </c>
      <c r="P13" s="741" t="str" cm="1">
        <f t="array" ref="P13">IFERROR(INDEX($O$1:$O$99,SMALL(IF($O$1:$O$99&lt;&gt;"",ROW($O$1:$O$99),999),ROW(13:13))),"")</f>
        <v/>
      </c>
      <c r="Q13" s="1041"/>
    </row>
    <row r="14" spans="1:17">
      <c r="A14" s="734" t="s">
        <v>1491</v>
      </c>
      <c r="B14" s="744" t="s">
        <v>1515</v>
      </c>
      <c r="C14" s="736" t="s">
        <v>1493</v>
      </c>
      <c r="D14" s="745"/>
      <c r="E14" s="737" t="s">
        <v>1490</v>
      </c>
      <c r="L14" s="738" t="s">
        <v>1497</v>
      </c>
      <c r="M14" s="738" t="s">
        <v>1495</v>
      </c>
      <c r="N14" s="739">
        <v>3</v>
      </c>
      <c r="O14" s="740" t="str">
        <f>IF(Overview!$D$4=L14,M14,"")</f>
        <v/>
      </c>
      <c r="P14" s="741" t="str" cm="1">
        <f t="array" ref="P14">IFERROR(INDEX($O$1:$O$99,SMALL(IF($O$1:$O$99&lt;&gt;"",ROW($O$1:$O$99),999),ROW(14:14))),"")</f>
        <v/>
      </c>
      <c r="Q14" s="1041"/>
    </row>
    <row r="15" spans="1:17">
      <c r="A15" s="734" t="s">
        <v>1299</v>
      </c>
      <c r="B15" s="746"/>
      <c r="F15" s="747"/>
      <c r="L15" s="738" t="s">
        <v>1497</v>
      </c>
      <c r="M15" s="738" t="s">
        <v>1299</v>
      </c>
      <c r="N15" s="739">
        <v>4</v>
      </c>
      <c r="O15" s="740" t="str">
        <f>IF(Overview!$D$4=L15,M15,"")</f>
        <v/>
      </c>
      <c r="P15" s="741" t="str" cm="1">
        <f t="array" ref="P15">IFERROR(INDEX($O$1:$O$99,SMALL(IF($O$1:$O$99&lt;&gt;"",ROW($O$1:$O$99),999),ROW(15:15))),"")</f>
        <v/>
      </c>
      <c r="Q15" s="1041"/>
    </row>
    <row r="16" spans="1:17">
      <c r="A16" s="1032" t="s">
        <v>1516</v>
      </c>
      <c r="B16" s="746"/>
      <c r="F16" s="748"/>
      <c r="G16" s="746"/>
      <c r="L16" s="738" t="s">
        <v>1497</v>
      </c>
      <c r="M16" s="738" t="s">
        <v>733</v>
      </c>
      <c r="N16" s="739">
        <v>5</v>
      </c>
      <c r="O16" s="740" t="str">
        <f>IF(Overview!$D$4=L16,M16,"")</f>
        <v/>
      </c>
      <c r="P16" s="741" t="str" cm="1">
        <f t="array" ref="P16">IFERROR(INDEX($O$1:$O$99,SMALL(IF($O$1:$O$99&lt;&gt;"",ROW($O$1:$O$99),999),ROW(16:16))),"")</f>
        <v/>
      </c>
      <c r="Q16" s="1041"/>
    </row>
    <row r="17" spans="1:17">
      <c r="A17" s="1032"/>
      <c r="C17" s="746"/>
      <c r="F17" s="748"/>
      <c r="L17" s="738" t="s">
        <v>1497</v>
      </c>
      <c r="M17" s="738" t="s">
        <v>1498</v>
      </c>
      <c r="N17" s="739">
        <v>6</v>
      </c>
      <c r="O17" s="740" t="str">
        <f>IF(Overview!$D$4=L17,M17,"")</f>
        <v/>
      </c>
      <c r="P17" s="741" t="str" cm="1">
        <f t="array" ref="P17">IFERROR(INDEX($O$1:$O$99,SMALL(IF($O$1:$O$99&lt;&gt;"",ROW($O$1:$O$99),999),ROW(17:17))),"")</f>
        <v/>
      </c>
      <c r="Q17" s="1041"/>
    </row>
    <row r="18" spans="1:17">
      <c r="F18" s="748"/>
      <c r="L18" s="738" t="s">
        <v>1497</v>
      </c>
      <c r="M18" s="738" t="s">
        <v>1491</v>
      </c>
      <c r="N18" s="739">
        <v>7</v>
      </c>
      <c r="O18" s="740" t="str">
        <f>IF(Overview!$D$4=L18,M18,"")</f>
        <v/>
      </c>
      <c r="P18" s="741" t="str" cm="1">
        <f t="array" ref="P18">IFERROR(INDEX($O$1:$O$99,SMALL(IF($O$1:$O$99&lt;&gt;"",ROW($O$1:$O$99),999),ROW(18:18))),"")</f>
        <v/>
      </c>
      <c r="Q18" s="1041"/>
    </row>
    <row r="19" spans="1:17">
      <c r="B19" s="746"/>
      <c r="C19" s="728"/>
      <c r="D19" s="728"/>
      <c r="E19" s="728"/>
      <c r="F19" s="748"/>
      <c r="L19" s="738" t="s">
        <v>1499</v>
      </c>
      <c r="M19" s="738" t="s">
        <v>1458</v>
      </c>
      <c r="N19" s="739">
        <v>1</v>
      </c>
      <c r="O19" s="740" t="str">
        <f>IF(Overview!$D$4=L19,M19,"")</f>
        <v>Achieved</v>
      </c>
      <c r="P19" s="741" t="str" cm="1">
        <f t="array" ref="P19">IFERROR(INDEX($O$1:$O$99,SMALL(IF($O$1:$O$99&lt;&gt;"",ROW($O$1:$O$99),999),ROW(19:19))),"")</f>
        <v/>
      </c>
      <c r="Q19" s="1041"/>
    </row>
    <row r="20" spans="1:17">
      <c r="B20" s="746"/>
      <c r="C20" s="746"/>
      <c r="D20" s="746"/>
      <c r="F20" s="748"/>
      <c r="L20" s="738" t="s">
        <v>1499</v>
      </c>
      <c r="M20" s="738" t="s">
        <v>1474</v>
      </c>
      <c r="N20" s="739">
        <v>2</v>
      </c>
      <c r="O20" s="740" t="str">
        <f>IF(Overview!$D$4=L20,M20,"")</f>
        <v>Not Achieved</v>
      </c>
      <c r="P20" s="741" t="str" cm="1">
        <f t="array" ref="P20">IFERROR(INDEX($O$1:$O$99,SMALL(IF($O$1:$O$99&lt;&gt;"",ROW($O$1:$O$99),999),ROW(20:20))),"")</f>
        <v/>
      </c>
      <c r="Q20" s="1041"/>
    </row>
    <row r="21" spans="1:17">
      <c r="B21" s="746"/>
      <c r="C21" s="746"/>
      <c r="D21" s="746"/>
      <c r="F21" s="748"/>
      <c r="L21" s="738" t="s">
        <v>1499</v>
      </c>
      <c r="M21" s="738" t="s">
        <v>1299</v>
      </c>
      <c r="N21" s="739">
        <v>3</v>
      </c>
      <c r="O21" s="740" t="str">
        <f>IF(Overview!$D$4=L21,M21,"")</f>
        <v>Withdrawn</v>
      </c>
      <c r="P21" s="741" t="str" cm="1">
        <f t="array" ref="P21">IFERROR(INDEX($O$1:$O$99,SMALL(IF($O$1:$O$99&lt;&gt;"",ROW($O$1:$O$99),999),ROW(21:21))),"")</f>
        <v/>
      </c>
      <c r="Q21" s="1041"/>
    </row>
    <row r="22" spans="1:17">
      <c r="B22" s="746"/>
      <c r="C22" s="746"/>
      <c r="D22" s="746"/>
      <c r="F22" s="748"/>
      <c r="L22" s="738" t="s">
        <v>1499</v>
      </c>
      <c r="M22" s="738" t="s">
        <v>1500</v>
      </c>
      <c r="N22" s="739">
        <v>4</v>
      </c>
      <c r="O22" s="740" t="str">
        <f>IF(Overview!$D$4=L22,M22,"")</f>
        <v>Not Applicable</v>
      </c>
      <c r="P22" s="741" t="str" cm="1">
        <f t="array" ref="P22">IFERROR(INDEX($O$1:$O$99,SMALL(IF($O$1:$O$99&lt;&gt;"",ROW($O$1:$O$99),999),ROW(22:22))),"")</f>
        <v/>
      </c>
      <c r="Q22" s="732"/>
    </row>
    <row r="23" spans="1:17" ht="13.8">
      <c r="A23" s="749" t="s">
        <v>1475</v>
      </c>
      <c r="B23" s="1033" t="s">
        <v>1517</v>
      </c>
      <c r="C23" s="746"/>
      <c r="D23" s="746"/>
      <c r="F23" s="748"/>
      <c r="G23" s="746"/>
      <c r="H23" s="746"/>
      <c r="I23" s="746"/>
      <c r="J23" s="746"/>
      <c r="L23" s="738" t="s">
        <v>1499</v>
      </c>
      <c r="M23" s="738" t="s">
        <v>1176</v>
      </c>
      <c r="N23" s="739">
        <v>5</v>
      </c>
      <c r="O23" s="740" t="str">
        <f>IF(Overview!$D$4=L23,M23,"")</f>
        <v>Not Attempted</v>
      </c>
      <c r="P23" s="741" t="str" cm="1">
        <f t="array" ref="P23">IFERROR(INDEX($O$1:$O$99,SMALL(IF($O$1:$O$99&lt;&gt;"",ROW($O$1:$O$99),999),ROW(23:23))),"")</f>
        <v/>
      </c>
      <c r="Q23" s="732"/>
    </row>
    <row r="24" spans="1:17" ht="13.8">
      <c r="A24" s="750" t="s">
        <v>1504</v>
      </c>
      <c r="B24" s="1033"/>
      <c r="C24" s="746"/>
      <c r="D24" s="746"/>
      <c r="F24" s="748"/>
      <c r="L24" s="738" t="s">
        <v>1501</v>
      </c>
      <c r="M24" s="738" t="s">
        <v>1493</v>
      </c>
      <c r="N24" s="739">
        <v>1</v>
      </c>
      <c r="O24" s="740" t="str">
        <f>IF(Overview!$D$4=L24,M24,"")</f>
        <v/>
      </c>
      <c r="P24" s="741" t="str" cm="1">
        <f t="array" ref="P24">IFERROR(INDEX($O$1:$O$99,SMALL(IF($O$1:$O$99&lt;&gt;"",ROW($O$1:$O$99),999),ROW(24:24))),"")</f>
        <v/>
      </c>
      <c r="Q24" s="1034" t="s">
        <v>1518</v>
      </c>
    </row>
    <row r="25" spans="1:17" ht="13.8">
      <c r="A25" s="750" t="s">
        <v>1497</v>
      </c>
      <c r="B25" s="1033"/>
      <c r="C25" s="746"/>
      <c r="D25" s="746"/>
      <c r="F25" s="748"/>
      <c r="L25" s="738" t="s">
        <v>1501</v>
      </c>
      <c r="M25" s="738" t="s">
        <v>1176</v>
      </c>
      <c r="N25" s="739">
        <v>2</v>
      </c>
      <c r="O25" s="740" t="str">
        <f>IF(Overview!$D$4=L25,M25,"")</f>
        <v/>
      </c>
      <c r="P25" s="741" t="str" cm="1">
        <f t="array" ref="P25">IFERROR(INDEX($O$1:$O$99,SMALL(IF($O$1:$O$99&lt;&gt;"",ROW($O$1:$O$99),999),ROW(25:25))),"")</f>
        <v/>
      </c>
      <c r="Q25" s="1035"/>
    </row>
    <row r="26" spans="1:17" ht="13.8">
      <c r="A26" s="750" t="s">
        <v>1515</v>
      </c>
      <c r="B26" s="1033"/>
      <c r="C26" s="746"/>
      <c r="D26" s="746"/>
      <c r="F26" s="748"/>
      <c r="L26" s="738" t="s">
        <v>1501</v>
      </c>
      <c r="M26" s="738" t="s">
        <v>1299</v>
      </c>
      <c r="N26" s="739">
        <v>3</v>
      </c>
      <c r="O26" s="740" t="str">
        <f>IF(Overview!$D$4=L26,M26,"")</f>
        <v/>
      </c>
      <c r="P26" s="741" t="str" cm="1">
        <f t="array" ref="P26">IFERROR(INDEX($O$1:$O$99,SMALL(IF($O$1:$O$99&lt;&gt;"",ROW($O$1:$O$99),999),ROW(26:26))),"")</f>
        <v/>
      </c>
      <c r="Q26" s="1035"/>
    </row>
    <row r="27" spans="1:17" ht="13.95" customHeight="1">
      <c r="A27" s="750" t="s">
        <v>1501</v>
      </c>
      <c r="B27" s="1033"/>
      <c r="C27" s="746"/>
      <c r="D27" s="746"/>
      <c r="F27" s="748"/>
      <c r="L27" s="738" t="s">
        <v>1501</v>
      </c>
      <c r="M27" s="738" t="s">
        <v>1500</v>
      </c>
      <c r="N27" s="739">
        <v>4</v>
      </c>
      <c r="O27" s="740" t="str">
        <f>IF(Overview!$D$4=L27,M27,"")</f>
        <v/>
      </c>
      <c r="P27" s="741" t="str" cm="1">
        <f t="array" ref="P27">IFERROR(INDEX($O$1:$O$99,SMALL(IF($O$1:$O$99&lt;&gt;"",ROW($O$1:$O$99),999),ROW(27:27))),"")</f>
        <v/>
      </c>
      <c r="Q27" s="1035"/>
    </row>
    <row r="28" spans="1:17" ht="13.8">
      <c r="A28" s="750" t="s">
        <v>732</v>
      </c>
      <c r="B28" s="1033"/>
      <c r="C28" s="746"/>
      <c r="D28" s="746"/>
      <c r="F28" s="748"/>
      <c r="L28" s="738" t="s">
        <v>1503</v>
      </c>
      <c r="M28" s="738" t="s">
        <v>1458</v>
      </c>
      <c r="N28" s="739">
        <v>1</v>
      </c>
      <c r="O28" s="740" t="str">
        <f>IF(Overview!$D$4=L28,M28,"")</f>
        <v/>
      </c>
      <c r="P28" s="741" t="str" cm="1">
        <f t="array" ref="P28">IFERROR(INDEX($O$1:$O$99,SMALL(IF($O$1:$O$99&lt;&gt;"",ROW($O$1:$O$99),999),ROW(28:28))),"")</f>
        <v/>
      </c>
      <c r="Q28" s="1035"/>
    </row>
    <row r="29" spans="1:17" ht="13.8">
      <c r="A29" s="750" t="s">
        <v>1499</v>
      </c>
      <c r="B29" s="1033"/>
      <c r="C29" s="746"/>
      <c r="D29" s="746"/>
      <c r="F29" s="748"/>
      <c r="L29" s="738" t="s">
        <v>1503</v>
      </c>
      <c r="M29" s="738" t="s">
        <v>1474</v>
      </c>
      <c r="N29" s="739">
        <v>2</v>
      </c>
      <c r="O29" s="740" t="str">
        <f>IF(Overview!$D$4=L29,M29,"")</f>
        <v/>
      </c>
      <c r="P29" s="741" t="str" cm="1">
        <f t="array" ref="P29">IFERROR(INDEX($O$1:$O$99,SMALL(IF($O$1:$O$99&lt;&gt;"",ROW($O$1:$O$99),999),ROW(29:29))),"")</f>
        <v/>
      </c>
      <c r="Q29" s="1035"/>
    </row>
    <row r="30" spans="1:17" ht="13.8">
      <c r="A30" s="750" t="s">
        <v>1494</v>
      </c>
      <c r="B30" s="1033"/>
      <c r="C30" s="746"/>
      <c r="D30" s="746"/>
      <c r="F30" s="748"/>
      <c r="L30" s="738" t="s">
        <v>1503</v>
      </c>
      <c r="M30" s="738" t="s">
        <v>1299</v>
      </c>
      <c r="N30" s="739">
        <v>3</v>
      </c>
      <c r="O30" s="740" t="str">
        <f>IF(Overview!$D$4=L30,M30,"")</f>
        <v/>
      </c>
      <c r="P30" s="741" t="str" cm="1">
        <f t="array" ref="P30">IFERROR(INDEX($O$1:$O$99,SMALL(IF($O$1:$O$99&lt;&gt;"",ROW($O$1:$O$99),999),ROW(30:30))),"")</f>
        <v/>
      </c>
      <c r="Q30" s="1035"/>
    </row>
    <row r="31" spans="1:17" ht="13.8">
      <c r="A31" s="750" t="s">
        <v>1489</v>
      </c>
      <c r="B31" s="1033"/>
      <c r="C31" s="746"/>
      <c r="D31" s="746"/>
      <c r="F31" s="748"/>
      <c r="L31" s="738" t="s">
        <v>1503</v>
      </c>
      <c r="M31" s="738" t="s">
        <v>1176</v>
      </c>
      <c r="N31" s="739">
        <v>4</v>
      </c>
      <c r="O31" s="740" t="str">
        <f>IF(Overview!$D$4=L31,M31,"")</f>
        <v/>
      </c>
      <c r="P31" s="741" t="str" cm="1">
        <f t="array" ref="P31">IFERROR(INDEX($O$1:$O$99,SMALL(IF($O$1:$O$99&lt;&gt;"",ROW($O$1:$O$99),999),ROW(31:31))),"")</f>
        <v/>
      </c>
      <c r="Q31" s="1035"/>
    </row>
    <row r="32" spans="1:17" ht="13.8">
      <c r="A32" s="750" t="s">
        <v>1503</v>
      </c>
      <c r="B32" s="1033"/>
      <c r="C32" s="746"/>
      <c r="D32" s="746"/>
      <c r="F32" s="748"/>
      <c r="L32" s="738" t="s">
        <v>1503</v>
      </c>
      <c r="M32" s="738" t="s">
        <v>1500</v>
      </c>
      <c r="N32" s="739">
        <v>5</v>
      </c>
      <c r="O32" s="740" t="str">
        <f>IF(Overview!$D$4=L32,M32,"")</f>
        <v/>
      </c>
      <c r="P32" s="741" t="str" cm="1">
        <f t="array" ref="P32">IFERROR(INDEX($O$1:$O$99,SMALL(IF($O$1:$O$99&lt;&gt;"",ROW($O$1:$O$99),999),ROW(32:32))),"")</f>
        <v/>
      </c>
      <c r="Q32" s="1035"/>
    </row>
    <row r="33" spans="1:17" ht="13.8">
      <c r="A33" s="750" t="s">
        <v>1507</v>
      </c>
      <c r="B33" s="1033"/>
      <c r="C33" s="746"/>
      <c r="D33" s="746"/>
      <c r="F33" s="748"/>
      <c r="L33" s="738" t="s">
        <v>1504</v>
      </c>
      <c r="M33" s="738" t="s">
        <v>1493</v>
      </c>
      <c r="N33" s="739">
        <v>1</v>
      </c>
      <c r="O33" s="740" t="str">
        <f>IF(Overview!$D$4=L33,M33,"")</f>
        <v/>
      </c>
      <c r="P33" s="741" t="str" cm="1">
        <f t="array" ref="P33">IFERROR(INDEX($O$1:$O$99,SMALL(IF($O$1:$O$99&lt;&gt;"",ROW($O$1:$O$99),999),ROW(33:33))),"")</f>
        <v/>
      </c>
      <c r="Q33" s="1035"/>
    </row>
    <row r="34" spans="1:17" ht="13.8">
      <c r="A34" s="750" t="s">
        <v>1508</v>
      </c>
      <c r="B34" s="1033"/>
      <c r="C34" s="746"/>
      <c r="D34" s="746"/>
      <c r="F34" s="748"/>
      <c r="L34" s="738" t="s">
        <v>1504</v>
      </c>
      <c r="M34" s="738" t="s">
        <v>1496</v>
      </c>
      <c r="N34" s="739">
        <v>2</v>
      </c>
      <c r="O34" s="740" t="str">
        <f>IF(Overview!$D$4=L34,M34,"")</f>
        <v/>
      </c>
      <c r="P34" s="741" t="str" cm="1">
        <f t="array" ref="P34">IFERROR(INDEX($O$1:$O$99,SMALL(IF($O$1:$O$99&lt;&gt;"",ROW($O$1:$O$99),999),ROW(34:34))),"")</f>
        <v/>
      </c>
      <c r="Q34" s="1035"/>
    </row>
    <row r="35" spans="1:17" ht="13.8">
      <c r="A35" s="750" t="s">
        <v>1512</v>
      </c>
      <c r="B35" s="1033"/>
      <c r="C35" s="746"/>
      <c r="D35" s="746"/>
      <c r="F35" s="748"/>
      <c r="L35" s="738" t="s">
        <v>1504</v>
      </c>
      <c r="M35" s="738" t="s">
        <v>733</v>
      </c>
      <c r="N35" s="739">
        <v>3</v>
      </c>
      <c r="O35" s="740" t="str">
        <f>IF(Overview!$D$4=L35,M35,"")</f>
        <v/>
      </c>
      <c r="P35" s="741" t="str" cm="1">
        <f t="array" ref="P35">IFERROR(INDEX($O$1:$O$99,SMALL(IF($O$1:$O$99&lt;&gt;"",ROW($O$1:$O$99),999),ROW(35:35))),"")</f>
        <v/>
      </c>
      <c r="Q35" s="1035"/>
    </row>
    <row r="36" spans="1:17" ht="13.8">
      <c r="A36" s="750" t="s">
        <v>1514</v>
      </c>
      <c r="B36" s="1033"/>
      <c r="C36" s="746"/>
      <c r="D36" s="746"/>
      <c r="F36" s="748"/>
      <c r="L36" s="738" t="s">
        <v>1504</v>
      </c>
      <c r="M36" s="738" t="s">
        <v>1498</v>
      </c>
      <c r="N36" s="739">
        <v>4</v>
      </c>
      <c r="O36" s="740" t="str">
        <f>IF(Overview!$D$4=L36,M36,"")</f>
        <v/>
      </c>
      <c r="P36" s="741" t="str" cm="1">
        <f t="array" ref="P36">IFERROR(INDEX($O$1:$O$99,SMALL(IF($O$1:$O$99&lt;&gt;"",ROW($O$1:$O$99),999),ROW(36:36))),"")</f>
        <v/>
      </c>
      <c r="Q36" s="1035"/>
    </row>
    <row r="37" spans="1:17">
      <c r="A37" s="746" t="s">
        <v>1519</v>
      </c>
      <c r="C37" s="746"/>
      <c r="D37" s="746"/>
      <c r="F37" s="748"/>
      <c r="L37" s="738" t="s">
        <v>1504</v>
      </c>
      <c r="M37" s="738" t="s">
        <v>1491</v>
      </c>
      <c r="N37" s="739">
        <v>5</v>
      </c>
      <c r="O37" s="740" t="str">
        <f>IF(Overview!$D$4=L37,M37,"")</f>
        <v/>
      </c>
      <c r="P37" s="741" t="str" cm="1">
        <f t="array" ref="P37">IFERROR(INDEX($O$1:$O$99,SMALL(IF($O$1:$O$99&lt;&gt;"",ROW($O$1:$O$99),999),ROW(37:37))),"")</f>
        <v/>
      </c>
      <c r="Q37" s="1035"/>
    </row>
    <row r="38" spans="1:17">
      <c r="A38" s="746"/>
      <c r="C38" s="746"/>
      <c r="D38" s="746"/>
      <c r="F38" s="748"/>
      <c r="L38" s="738" t="s">
        <v>1504</v>
      </c>
      <c r="M38" s="738" t="s">
        <v>1176</v>
      </c>
      <c r="N38" s="739">
        <v>6</v>
      </c>
      <c r="O38" s="740" t="str">
        <f>IF(Overview!$D$4=L38,M38,"")</f>
        <v/>
      </c>
      <c r="P38" s="741" t="str" cm="1">
        <f t="array" ref="P38">IFERROR(INDEX($O$1:$O$99,SMALL(IF($O$1:$O$99&lt;&gt;"",ROW($O$1:$O$99),999),ROW(38:38))),"")</f>
        <v/>
      </c>
      <c r="Q38" s="1035"/>
    </row>
    <row r="39" spans="1:17">
      <c r="A39" s="751" t="s">
        <v>1520</v>
      </c>
      <c r="B39" s="751" t="s">
        <v>1521</v>
      </c>
      <c r="C39" s="746"/>
      <c r="D39" s="746"/>
      <c r="F39" s="748"/>
      <c r="L39" s="738" t="s">
        <v>1504</v>
      </c>
      <c r="M39" s="738" t="s">
        <v>1500</v>
      </c>
      <c r="N39" s="739">
        <v>7</v>
      </c>
      <c r="O39" s="740" t="str">
        <f>IF(Overview!$D$4=L39,M39,"")</f>
        <v/>
      </c>
      <c r="P39" s="741" t="str" cm="1">
        <f t="array" ref="P39">IFERROR(INDEX($O$1:$O$99,SMALL(IF($O$1:$O$99&lt;&gt;"",ROW($O$1:$O$99),999),ROW(39:39))),"")</f>
        <v/>
      </c>
      <c r="Q39" s="1035"/>
    </row>
    <row r="40" spans="1:17">
      <c r="A40" s="752" t="s">
        <v>1458</v>
      </c>
      <c r="C40" s="746"/>
      <c r="D40" s="746"/>
      <c r="F40" s="748"/>
      <c r="L40" s="738" t="s">
        <v>732</v>
      </c>
      <c r="M40" s="738" t="s">
        <v>1458</v>
      </c>
      <c r="N40" s="739">
        <v>1</v>
      </c>
      <c r="O40" s="740" t="str">
        <f>IF(Overview!$D$4=L40,M40,"")</f>
        <v/>
      </c>
      <c r="P40" s="741" t="str" cm="1">
        <f t="array" ref="P40">IFERROR(INDEX($O$1:$O$99,SMALL(IF($O$1:$O$99&lt;&gt;"",ROW($O$1:$O$99),999),ROW(40:40))),"")</f>
        <v/>
      </c>
      <c r="Q40" s="1035"/>
    </row>
    <row r="41" spans="1:17">
      <c r="A41" s="753" t="s">
        <v>1493</v>
      </c>
      <c r="C41" s="746"/>
      <c r="D41" s="746"/>
      <c r="F41" s="748"/>
      <c r="L41" s="738" t="s">
        <v>732</v>
      </c>
      <c r="M41" s="738" t="s">
        <v>733</v>
      </c>
      <c r="N41" s="739">
        <v>2</v>
      </c>
      <c r="O41" s="740" t="str">
        <f>IF(Overview!$D$4=L41,M41,"")</f>
        <v/>
      </c>
      <c r="P41" s="741" t="str" cm="1">
        <f t="array" ref="P41">IFERROR(INDEX($O$1:$O$99,SMALL(IF($O$1:$O$99&lt;&gt;"",ROW($O$1:$O$99),999),ROW(41:41))),"")</f>
        <v/>
      </c>
      <c r="Q41" s="1035"/>
    </row>
    <row r="42" spans="1:17">
      <c r="A42" s="753" t="s">
        <v>1496</v>
      </c>
      <c r="C42" s="746"/>
      <c r="D42" s="746"/>
      <c r="F42" s="748"/>
      <c r="L42" s="738" t="s">
        <v>732</v>
      </c>
      <c r="M42" s="738" t="s">
        <v>1299</v>
      </c>
      <c r="N42" s="739">
        <v>3</v>
      </c>
      <c r="O42" s="740" t="str">
        <f>IF(Overview!$D$4=L42,M42,"")</f>
        <v/>
      </c>
      <c r="P42" s="741" t="str" cm="1">
        <f t="array" ref="P42">IFERROR(INDEX($O$1:$O$99,SMALL(IF($O$1:$O$99&lt;&gt;"",ROW($O$1:$O$99),999),ROW(42:42))),"")</f>
        <v/>
      </c>
      <c r="Q42" s="1035"/>
    </row>
    <row r="43" spans="1:17">
      <c r="A43" s="752" t="s">
        <v>1474</v>
      </c>
      <c r="B43" s="747"/>
      <c r="C43" s="746"/>
      <c r="D43" s="746"/>
      <c r="F43" s="748"/>
      <c r="L43" s="738" t="s">
        <v>732</v>
      </c>
      <c r="M43" s="738" t="s">
        <v>1176</v>
      </c>
      <c r="N43" s="739">
        <v>4</v>
      </c>
      <c r="O43" s="740" t="str">
        <f>IF(Overview!$D$4=L43,M43,"")</f>
        <v/>
      </c>
      <c r="P43" s="741" t="str" cm="1">
        <f t="array" ref="P43">IFERROR(INDEX($O$1:$O$99,SMALL(IF($O$1:$O$99&lt;&gt;"",ROW($O$1:$O$99),999),ROW(43:43))),"")</f>
        <v/>
      </c>
      <c r="Q43" s="1035"/>
    </row>
    <row r="44" spans="1:17">
      <c r="A44" s="753" t="s">
        <v>1495</v>
      </c>
      <c r="B44" s="748"/>
      <c r="C44" s="746"/>
      <c r="D44" s="746"/>
      <c r="F44" s="748"/>
      <c r="L44" s="738" t="s">
        <v>732</v>
      </c>
      <c r="M44" s="738" t="s">
        <v>1500</v>
      </c>
      <c r="N44" s="739">
        <v>5</v>
      </c>
      <c r="O44" s="740" t="str">
        <f>IF(Overview!$D$4=L44,M44,"")</f>
        <v/>
      </c>
      <c r="P44" s="741" t="str" cm="1">
        <f t="array" ref="P44">IFERROR(INDEX($O$1:$O$99,SMALL(IF($O$1:$O$99&lt;&gt;"",ROW($O$1:$O$99),999),ROW(44:44))),"")</f>
        <v/>
      </c>
      <c r="Q44" s="1035"/>
    </row>
    <row r="45" spans="1:17">
      <c r="A45" s="753" t="s">
        <v>1500</v>
      </c>
      <c r="B45" s="748"/>
      <c r="C45" s="746"/>
      <c r="D45" s="746"/>
      <c r="F45" s="748"/>
      <c r="L45" s="738" t="s">
        <v>732</v>
      </c>
      <c r="M45" s="738" t="s">
        <v>1474</v>
      </c>
      <c r="N45" s="754">
        <v>6</v>
      </c>
      <c r="O45" s="740" t="str">
        <f>IF(Overview!$D$4=L45,M45,"")</f>
        <v/>
      </c>
      <c r="P45" s="741" t="str" cm="1">
        <f t="array" ref="P45">IFERROR(INDEX($O$1:$O$99,SMALL(IF($O$1:$O$99&lt;&gt;"",ROW($O$1:$O$99),999),ROW(45:45))),"")</f>
        <v/>
      </c>
      <c r="Q45" s="1035"/>
    </row>
    <row r="46" spans="1:17">
      <c r="A46" s="753" t="s">
        <v>1176</v>
      </c>
      <c r="B46" s="748"/>
      <c r="C46" s="746"/>
      <c r="D46" s="746"/>
      <c r="F46" s="755"/>
      <c r="L46" s="738" t="s">
        <v>1515</v>
      </c>
      <c r="M46" s="738" t="s">
        <v>1493</v>
      </c>
      <c r="N46" s="739">
        <v>1</v>
      </c>
      <c r="O46" s="740" t="str">
        <f>IF(Overview!$D$4=L46,M46,"")</f>
        <v/>
      </c>
      <c r="P46" s="741" t="str" cm="1">
        <f t="array" ref="P46">IFERROR(INDEX($O$1:$O$99,SMALL(IF($O$1:$O$99&lt;&gt;"",ROW($O$1:$O$99),999),ROW(46:46))),"")</f>
        <v/>
      </c>
      <c r="Q46" s="1035"/>
    </row>
    <row r="47" spans="1:17">
      <c r="A47" s="753" t="s">
        <v>1505</v>
      </c>
      <c r="B47" s="748"/>
      <c r="C47" s="746"/>
      <c r="D47" s="746"/>
      <c r="F47" s="755"/>
      <c r="L47" s="738" t="s">
        <v>1515</v>
      </c>
      <c r="M47" s="738" t="s">
        <v>733</v>
      </c>
      <c r="N47" s="739">
        <v>2</v>
      </c>
      <c r="O47" s="740" t="str">
        <f>IF(Overview!$D$4=L47,M47,"")</f>
        <v/>
      </c>
      <c r="P47" s="741" t="str" cm="1">
        <f t="array" ref="P47">IFERROR(INDEX($O$1:$O$99,SMALL(IF($O$1:$O$99&lt;&gt;"",ROW($O$1:$O$99),999),ROW(47:47))),"")</f>
        <v/>
      </c>
      <c r="Q47" s="1035"/>
    </row>
    <row r="48" spans="1:17">
      <c r="A48" s="753" t="s">
        <v>1506</v>
      </c>
      <c r="B48" s="748"/>
      <c r="C48" s="746"/>
      <c r="D48" s="746"/>
      <c r="F48" s="755"/>
      <c r="L48" s="738" t="s">
        <v>1515</v>
      </c>
      <c r="M48" s="738" t="s">
        <v>1176</v>
      </c>
      <c r="N48" s="739">
        <v>3</v>
      </c>
      <c r="O48" s="740" t="str">
        <f>IF(Overview!$D$4=L48,M48,"")</f>
        <v/>
      </c>
      <c r="P48" s="741" t="str" cm="1">
        <f t="array" ref="P48">IFERROR(INDEX($O$1:$O$99,SMALL(IF($O$1:$O$99&lt;&gt;"",ROW($O$1:$O$99),999),ROW(48:48))),"")</f>
        <v/>
      </c>
      <c r="Q48" s="732"/>
    </row>
    <row r="49" spans="1:17">
      <c r="A49" s="753" t="s">
        <v>1490</v>
      </c>
      <c r="B49" s="748"/>
      <c r="C49" s="746"/>
      <c r="D49" s="746"/>
      <c r="F49" s="755"/>
      <c r="L49" s="738" t="s">
        <v>1515</v>
      </c>
      <c r="M49" s="738" t="s">
        <v>1500</v>
      </c>
      <c r="N49" s="739">
        <v>4</v>
      </c>
      <c r="O49" s="740" t="str">
        <f>IF(Overview!$D$4=L49,M49,"")</f>
        <v/>
      </c>
      <c r="P49" s="741" t="str" cm="1">
        <f t="array" ref="P49">IFERROR(INDEX($O$1:$O$99,SMALL(IF($O$1:$O$99&lt;&gt;"",ROW($O$1:$O$99),999),ROW(49:49))),"")</f>
        <v/>
      </c>
      <c r="Q49" s="732"/>
    </row>
    <row r="50" spans="1:17">
      <c r="A50" s="753" t="s">
        <v>733</v>
      </c>
      <c r="B50" s="748"/>
      <c r="C50" s="746"/>
      <c r="D50" s="746"/>
      <c r="F50" s="755"/>
      <c r="L50" s="738" t="s">
        <v>1501</v>
      </c>
      <c r="M50" s="738" t="s">
        <v>1495</v>
      </c>
      <c r="N50" s="739">
        <v>5</v>
      </c>
      <c r="O50" s="740" t="str">
        <f>IF(Overview!$D$4=L50,M50,"")</f>
        <v/>
      </c>
      <c r="P50" s="741" t="str" cm="1">
        <f t="array" ref="P50">IFERROR(INDEX($O$1:$O$99,SMALL(IF($O$1:$O$99&lt;&gt;"",ROW($O$1:$O$99),999),ROW(50:50))),"")</f>
        <v/>
      </c>
      <c r="Q50" s="732"/>
    </row>
    <row r="51" spans="1:17">
      <c r="A51" s="753" t="s">
        <v>1498</v>
      </c>
      <c r="B51" s="748"/>
      <c r="C51" s="746"/>
      <c r="D51" s="746"/>
      <c r="F51" s="755"/>
      <c r="L51" s="738" t="s">
        <v>1514</v>
      </c>
      <c r="M51" s="738" t="s">
        <v>1458</v>
      </c>
      <c r="N51" s="739">
        <v>1</v>
      </c>
      <c r="O51" s="740" t="str">
        <f>IF(Overview!$D$4=L51,M51,"")</f>
        <v/>
      </c>
      <c r="P51" s="741" t="str" cm="1">
        <f t="array" ref="P51">IFERROR(INDEX($O$1:$O$99,SMALL(IF($O$1:$O$99&lt;&gt;"",ROW($O$1:$O$99),999),ROW(51:51))),"")</f>
        <v/>
      </c>
      <c r="Q51" s="732"/>
    </row>
    <row r="52" spans="1:17">
      <c r="A52" s="753" t="s">
        <v>1491</v>
      </c>
      <c r="B52" s="748"/>
      <c r="C52" s="746"/>
      <c r="D52" s="746"/>
      <c r="F52" s="755"/>
      <c r="L52" s="738" t="s">
        <v>1514</v>
      </c>
      <c r="M52" s="738" t="s">
        <v>1474</v>
      </c>
      <c r="N52" s="754">
        <v>2</v>
      </c>
      <c r="O52" s="740" t="str">
        <f>IF(Overview!$D$4=L52,M52,"")</f>
        <v/>
      </c>
      <c r="P52" s="741" t="str" cm="1">
        <f t="array" ref="P52">IFERROR(INDEX($O$1:$O$99,SMALL(IF($O$1:$O$99&lt;&gt;"",ROW($O$1:$O$99),999),ROW(52:52))),"")</f>
        <v/>
      </c>
      <c r="Q52" s="732"/>
    </row>
    <row r="53" spans="1:17">
      <c r="A53" s="753" t="s">
        <v>1299</v>
      </c>
      <c r="B53" s="748"/>
      <c r="C53" s="746"/>
      <c r="D53" s="746"/>
      <c r="F53" s="755"/>
      <c r="L53" s="740" t="s">
        <v>1514</v>
      </c>
      <c r="M53" s="740" t="s">
        <v>1299</v>
      </c>
      <c r="N53" s="754">
        <v>3</v>
      </c>
      <c r="O53" s="740" t="str">
        <f>IF(Overview!$D$4=L53,M53,"")</f>
        <v/>
      </c>
      <c r="P53" s="741" t="str" cm="1">
        <f t="array" ref="P53">IFERROR(INDEX($O$1:$O$99,SMALL(IF($O$1:$O$99&lt;&gt;"",ROW($O$1:$O$99),999),ROW(53:53))),"")</f>
        <v/>
      </c>
      <c r="Q53" s="732"/>
    </row>
    <row r="54" spans="1:17">
      <c r="B54" s="748"/>
      <c r="C54" s="746"/>
      <c r="D54" s="746"/>
      <c r="F54" s="755"/>
      <c r="L54" s="740" t="s">
        <v>1514</v>
      </c>
      <c r="M54" s="740" t="s">
        <v>1500</v>
      </c>
      <c r="N54" s="754">
        <v>4</v>
      </c>
      <c r="O54" s="740" t="str">
        <f>IF(Overview!$D$4=L54,M54,"")</f>
        <v/>
      </c>
      <c r="P54" s="741" t="str" cm="1">
        <f t="array" ref="P54">IFERROR(INDEX($O$1:$O$99,SMALL(IF($O$1:$O$99&lt;&gt;"",ROW($O$1:$O$99),999),ROW(54:54))),"")</f>
        <v/>
      </c>
      <c r="Q54" s="732"/>
    </row>
    <row r="55" spans="1:17">
      <c r="B55" s="748"/>
      <c r="C55" s="746"/>
      <c r="D55" s="746"/>
      <c r="F55" s="755"/>
      <c r="L55" s="740" t="s">
        <v>1514</v>
      </c>
      <c r="M55" s="740" t="s">
        <v>1176</v>
      </c>
      <c r="N55" s="754">
        <v>5</v>
      </c>
      <c r="O55" s="740" t="str">
        <f>IF(Overview!$D$4=L55,M55,"")</f>
        <v/>
      </c>
      <c r="P55" s="741" t="str" cm="1">
        <f t="array" ref="P55">IFERROR(INDEX($O$1:$O$99,SMALL(IF($O$1:$O$99&lt;&gt;"",ROW($O$1:$O$99),999),ROW(55:55))),"")</f>
        <v/>
      </c>
      <c r="Q55" s="732"/>
    </row>
    <row r="56" spans="1:17">
      <c r="B56" s="748"/>
      <c r="C56" s="746"/>
      <c r="D56" s="746"/>
      <c r="F56" s="755"/>
      <c r="L56" s="740" t="s">
        <v>1512</v>
      </c>
      <c r="M56" s="740" t="s">
        <v>1458</v>
      </c>
      <c r="N56" s="754">
        <v>1</v>
      </c>
      <c r="O56" s="740" t="str">
        <f>IF(Overview!$D$4=L56,M56,"")</f>
        <v/>
      </c>
      <c r="P56" s="741" t="str" cm="1">
        <f t="array" ref="P56">IFERROR(INDEX($O$1:$O$99,SMALL(IF($O$1:$O$99&lt;&gt;"",ROW($O$1:$O$99),999),ROW(56:56))),"")</f>
        <v/>
      </c>
      <c r="Q56" s="732"/>
    </row>
    <row r="57" spans="1:17">
      <c r="B57" s="748"/>
      <c r="C57" s="746"/>
      <c r="D57" s="746"/>
      <c r="F57" s="755"/>
      <c r="L57" s="740" t="s">
        <v>1512</v>
      </c>
      <c r="M57" s="740" t="s">
        <v>733</v>
      </c>
      <c r="N57" s="754">
        <v>2</v>
      </c>
      <c r="O57" s="740" t="str">
        <f>IF(Overview!$D$4=L57,M57,"")</f>
        <v/>
      </c>
      <c r="P57" s="741" t="str" cm="1">
        <f t="array" ref="P57">IFERROR(INDEX($O$1:$O$99,SMALL(IF($O$1:$O$99&lt;&gt;"",ROW($O$1:$O$99),999),ROW(57:57))),"")</f>
        <v/>
      </c>
      <c r="Q57" s="732"/>
    </row>
    <row r="58" spans="1:17">
      <c r="B58" s="748"/>
      <c r="C58" s="746"/>
      <c r="D58" s="746"/>
      <c r="F58" s="755"/>
      <c r="L58" s="740" t="s">
        <v>1512</v>
      </c>
      <c r="M58" s="740" t="s">
        <v>1299</v>
      </c>
      <c r="N58" s="754">
        <v>3</v>
      </c>
      <c r="O58" s="740" t="str">
        <f>IF(Overview!$D$4=L58,M58,"")</f>
        <v/>
      </c>
      <c r="P58" s="741" t="str" cm="1">
        <f t="array" ref="P58">IFERROR(INDEX($O$1:$O$99,SMALL(IF($O$1:$O$99&lt;&gt;"",ROW($O$1:$O$99),999),ROW(58:58))),"")</f>
        <v/>
      </c>
      <c r="Q58" s="732"/>
    </row>
    <row r="59" spans="1:17">
      <c r="B59" s="748"/>
      <c r="C59" s="746"/>
      <c r="D59" s="746"/>
      <c r="F59" s="755"/>
      <c r="L59" s="740" t="s">
        <v>1512</v>
      </c>
      <c r="M59" s="740" t="s">
        <v>1495</v>
      </c>
      <c r="N59" s="754">
        <v>4</v>
      </c>
      <c r="O59" s="740" t="str">
        <f>IF(Overview!$D$4=L59,M59,"")</f>
        <v/>
      </c>
      <c r="P59" s="741" t="str" cm="1">
        <f t="array" ref="P59">IFERROR(INDEX($O$1:$O$99,SMALL(IF($O$1:$O$99&lt;&gt;"",ROW($O$1:$O$99),999),ROW(59:59))),"")</f>
        <v/>
      </c>
      <c r="Q59" s="732"/>
    </row>
    <row r="60" spans="1:17">
      <c r="B60" s="748"/>
      <c r="C60" s="746"/>
      <c r="D60" s="746"/>
      <c r="F60" s="755"/>
      <c r="L60" s="740" t="s">
        <v>1512</v>
      </c>
      <c r="M60" s="740" t="s">
        <v>1176</v>
      </c>
      <c r="N60" s="754">
        <v>5</v>
      </c>
      <c r="O60" s="740" t="str">
        <f>IF(Overview!$D$4=L60,M60,"")</f>
        <v/>
      </c>
      <c r="P60" s="741" t="str" cm="1">
        <f t="array" ref="P60">IFERROR(INDEX($O$1:$O$99,SMALL(IF($O$1:$O$99&lt;&gt;"",ROW($O$1:$O$99),999),ROW(60:60))),"")</f>
        <v/>
      </c>
      <c r="Q60" s="732"/>
    </row>
    <row r="61" spans="1:17">
      <c r="B61" s="748"/>
      <c r="C61" s="746"/>
      <c r="D61" s="746"/>
      <c r="F61" s="755"/>
      <c r="L61" s="740" t="s">
        <v>1512</v>
      </c>
      <c r="M61" s="740" t="s">
        <v>1500</v>
      </c>
      <c r="N61" s="754">
        <v>6</v>
      </c>
      <c r="O61" s="740" t="str">
        <f>IF(Overview!$D$4=L61,M61,"")</f>
        <v/>
      </c>
      <c r="P61" s="741" t="str" cm="1">
        <f t="array" ref="P61">IFERROR(INDEX($O$1:$O$99,SMALL(IF($O$1:$O$99&lt;&gt;"",ROW($O$1:$O$99),999),ROW(61:61))),"")</f>
        <v/>
      </c>
      <c r="Q61" s="732"/>
    </row>
    <row r="62" spans="1:17">
      <c r="B62" s="748"/>
      <c r="C62" s="746"/>
      <c r="D62" s="746"/>
      <c r="F62" s="755"/>
      <c r="L62" s="740" t="s">
        <v>1512</v>
      </c>
      <c r="M62" s="740" t="s">
        <v>1474</v>
      </c>
      <c r="N62" s="754">
        <v>7</v>
      </c>
      <c r="O62" s="740" t="str">
        <f>IF(Overview!$D$4=L62,M62,"")</f>
        <v/>
      </c>
      <c r="P62" s="741" t="str" cm="1">
        <f t="array" ref="P62">IFERROR(INDEX($O$1:$O$99,SMALL(IF($O$1:$O$99&lt;&gt;"",ROW($O$1:$O$99),999),ROW(62:62))),"")</f>
        <v/>
      </c>
      <c r="Q62" s="732"/>
    </row>
    <row r="63" spans="1:17">
      <c r="B63" s="748"/>
      <c r="C63" s="746"/>
      <c r="D63" s="746"/>
      <c r="F63" s="755"/>
      <c r="L63" s="738" t="s">
        <v>1507</v>
      </c>
      <c r="M63" s="738" t="s">
        <v>1493</v>
      </c>
      <c r="N63" s="739">
        <v>1</v>
      </c>
      <c r="O63" s="740" t="str">
        <f>IF(Overview!$D$4=L63,M63,"")</f>
        <v/>
      </c>
      <c r="P63" s="741" t="str" cm="1">
        <f t="array" ref="P63">IFERROR(INDEX($O$1:$O$99,SMALL(IF($O$1:$O$99&lt;&gt;"",ROW($O$1:$O$99),999),ROW(63:63))),"")</f>
        <v/>
      </c>
      <c r="Q63" s="732"/>
    </row>
    <row r="64" spans="1:17">
      <c r="B64" s="748"/>
      <c r="C64" s="746"/>
      <c r="D64" s="746"/>
      <c r="F64" s="755"/>
      <c r="L64" s="738" t="s">
        <v>1507</v>
      </c>
      <c r="M64" s="738" t="s">
        <v>1496</v>
      </c>
      <c r="N64" s="739">
        <v>2</v>
      </c>
      <c r="O64" s="740" t="str">
        <f>IF(Overview!$D$4=L64,M64,"")</f>
        <v/>
      </c>
      <c r="P64" s="741" t="str" cm="1">
        <f t="array" ref="P64">IFERROR(INDEX($O$1:$O$99,SMALL(IF($O$1:$O$99&lt;&gt;"",ROW($O$1:$O$99),999),ROW(64:64))),"")</f>
        <v/>
      </c>
      <c r="Q64" s="732"/>
    </row>
    <row r="65" spans="1:17">
      <c r="B65" s="748"/>
      <c r="C65" s="746"/>
      <c r="D65" s="746"/>
      <c r="F65" s="755"/>
      <c r="L65" s="738" t="s">
        <v>1507</v>
      </c>
      <c r="M65" s="738" t="s">
        <v>733</v>
      </c>
      <c r="N65" s="739">
        <v>3</v>
      </c>
      <c r="O65" s="740" t="str">
        <f>IF(Overview!$D$4=L65,M65,"")</f>
        <v/>
      </c>
      <c r="P65" s="741" t="str" cm="1">
        <f t="array" ref="P65">IFERROR(INDEX($O$1:$O$99,SMALL(IF($O$1:$O$99&lt;&gt;"",ROW($O$1:$O$99),999),ROW(65:65))),"")</f>
        <v/>
      </c>
      <c r="Q65" s="732"/>
    </row>
    <row r="66" spans="1:17">
      <c r="B66" s="748"/>
      <c r="C66" s="746"/>
      <c r="D66" s="746"/>
      <c r="F66" s="755"/>
      <c r="L66" s="738" t="s">
        <v>1507</v>
      </c>
      <c r="M66" s="738" t="s">
        <v>1498</v>
      </c>
      <c r="N66" s="739">
        <v>4</v>
      </c>
      <c r="O66" s="740" t="str">
        <f>IF(Overview!$D$4=L66,M66,"")</f>
        <v/>
      </c>
      <c r="P66" s="741" t="str" cm="1">
        <f t="array" ref="P66">IFERROR(INDEX($O$1:$O$99,SMALL(IF($O$1:$O$99&lt;&gt;"",ROW($O$1:$O$99),999),ROW(66:66))),"")</f>
        <v/>
      </c>
      <c r="Q66" s="732"/>
    </row>
    <row r="67" spans="1:17">
      <c r="B67" s="748"/>
      <c r="C67" s="746"/>
      <c r="D67" s="746"/>
      <c r="F67" s="755"/>
      <c r="L67" s="738" t="s">
        <v>1507</v>
      </c>
      <c r="M67" s="738" t="s">
        <v>1491</v>
      </c>
      <c r="N67" s="739">
        <v>5</v>
      </c>
      <c r="O67" s="740" t="str">
        <f>IF(Overview!$D$4=L67,M67,"")</f>
        <v/>
      </c>
      <c r="P67" s="741" t="str" cm="1">
        <f t="array" ref="P67">IFERROR(INDEX($O$1:$O$99,SMALL(IF($O$1:$O$99&lt;&gt;"",ROW($O$1:$O$99),999),ROW(67:67))),"")</f>
        <v/>
      </c>
      <c r="Q67" s="732"/>
    </row>
    <row r="68" spans="1:17">
      <c r="B68" s="748"/>
      <c r="C68" s="746"/>
      <c r="D68" s="746"/>
      <c r="F68" s="755"/>
      <c r="L68" s="738" t="s">
        <v>1507</v>
      </c>
      <c r="M68" s="738" t="s">
        <v>1176</v>
      </c>
      <c r="N68" s="739">
        <v>6</v>
      </c>
      <c r="O68" s="740" t="str">
        <f>IF(Overview!$D$4=L68,M68,"")</f>
        <v/>
      </c>
      <c r="P68" s="741" t="str" cm="1">
        <f t="array" ref="P68">IFERROR(INDEX($O$1:$O$99,SMALL(IF($O$1:$O$99&lt;&gt;"",ROW($O$1:$O$99),999),ROW(68:68))),"")</f>
        <v/>
      </c>
      <c r="Q68" s="732"/>
    </row>
    <row r="69" spans="1:17">
      <c r="B69" s="748"/>
      <c r="F69" s="755"/>
      <c r="L69" s="738" t="s">
        <v>1507</v>
      </c>
      <c r="M69" s="738" t="s">
        <v>1500</v>
      </c>
      <c r="N69" s="739">
        <v>7</v>
      </c>
      <c r="O69" s="740" t="str">
        <f>IF(Overview!$D$4=L69,M69,"")</f>
        <v/>
      </c>
      <c r="P69" s="741" t="str" cm="1">
        <f t="array" ref="P69">IFERROR(INDEX($O$1:$O$99,SMALL(IF($O$1:$O$99&lt;&gt;"",ROW($O$1:$O$99),999),ROW(69:69))),"")</f>
        <v/>
      </c>
      <c r="Q69" s="732"/>
    </row>
    <row r="70" spans="1:17">
      <c r="B70" s="748"/>
      <c r="E70" s="733" t="str">
        <f>IF(Overview!$D$4=C70,D70,"")</f>
        <v/>
      </c>
      <c r="L70" s="738" t="s">
        <v>1508</v>
      </c>
      <c r="M70" s="738" t="s">
        <v>1493</v>
      </c>
      <c r="N70" s="739">
        <v>1</v>
      </c>
      <c r="O70" s="740" t="str">
        <f>IF(Overview!$D$4=L70,M70,"")</f>
        <v/>
      </c>
      <c r="P70" s="741" t="str" cm="1">
        <f t="array" ref="P70">IFERROR(INDEX($O$1:$O$99,SMALL(IF($O$1:$O$99&lt;&gt;"",ROW($O$1:$O$99),999),ROW(70:70))),"")</f>
        <v/>
      </c>
      <c r="Q70" s="732"/>
    </row>
    <row r="71" spans="1:17">
      <c r="B71" s="748"/>
      <c r="E71" s="733" t="str">
        <f>IF(Overview!$D$4=C71,D71,"")</f>
        <v/>
      </c>
      <c r="L71" s="738" t="s">
        <v>1508</v>
      </c>
      <c r="M71" s="738" t="s">
        <v>1496</v>
      </c>
      <c r="N71" s="739">
        <v>2</v>
      </c>
      <c r="O71" s="740" t="str">
        <f>IF(Overview!$D$4=L71,M71,"")</f>
        <v/>
      </c>
      <c r="P71" s="741" t="str" cm="1">
        <f t="array" ref="P71">IFERROR(INDEX($O$1:$O$99,SMALL(IF($O$1:$O$99&lt;&gt;"",ROW($O$1:$O$99),999),ROW(71:71))),"")</f>
        <v/>
      </c>
      <c r="Q71" s="732"/>
    </row>
    <row r="72" spans="1:17">
      <c r="B72" s="748"/>
      <c r="E72" s="733" t="str">
        <f>IF(Overview!$D$4=C72,D72,"")</f>
        <v/>
      </c>
      <c r="L72" s="738" t="s">
        <v>1508</v>
      </c>
      <c r="M72" s="738" t="s">
        <v>1495</v>
      </c>
      <c r="N72" s="739">
        <v>3</v>
      </c>
      <c r="O72" s="740" t="str">
        <f>IF(Overview!$D$4=L72,M72,"")</f>
        <v/>
      </c>
      <c r="P72" s="741" t="str" cm="1">
        <f t="array" ref="P72">IFERROR(INDEX($O$1:$O$99,SMALL(IF($O$1:$O$99&lt;&gt;"",ROW($O$1:$O$99),999),ROW(72:72))),"")</f>
        <v/>
      </c>
      <c r="Q72" s="732"/>
    </row>
    <row r="73" spans="1:17">
      <c r="B73" s="748"/>
      <c r="E73" s="733" t="str">
        <f>IF(Overview!$D$4=C73,D73,"")</f>
        <v/>
      </c>
      <c r="L73" s="738" t="s">
        <v>1508</v>
      </c>
      <c r="M73" s="738" t="s">
        <v>1299</v>
      </c>
      <c r="N73" s="739">
        <v>4</v>
      </c>
      <c r="O73" s="740" t="str">
        <f>IF(Overview!$D$4=L73,M73,"")</f>
        <v/>
      </c>
      <c r="P73" s="741" t="str" cm="1">
        <f t="array" ref="P73">IFERROR(INDEX($O$1:$O$99,SMALL(IF($O$1:$O$99&lt;&gt;"",ROW($O$1:$O$99),999),ROW(73:73))),"")</f>
        <v/>
      </c>
      <c r="Q73" s="732"/>
    </row>
    <row r="74" spans="1:17">
      <c r="B74" s="755"/>
      <c r="E74" s="733" t="str">
        <f>IF(Overview!$D$4=C74,D74,"")</f>
        <v/>
      </c>
      <c r="L74" s="738" t="s">
        <v>1508</v>
      </c>
      <c r="M74" s="738" t="s">
        <v>733</v>
      </c>
      <c r="N74" s="739">
        <v>5</v>
      </c>
      <c r="O74" s="740" t="str">
        <f>IF(Overview!$D$4=L74,M74,"")</f>
        <v/>
      </c>
      <c r="P74" s="741" t="str" cm="1">
        <f t="array" ref="P74">IFERROR(INDEX($O$1:$O$99,SMALL(IF($O$1:$O$99&lt;&gt;"",ROW($O$1:$O$99),999),ROW(74:74))),"")</f>
        <v/>
      </c>
      <c r="Q74" s="732"/>
    </row>
    <row r="75" spans="1:17">
      <c r="B75" s="755"/>
      <c r="E75" s="733" t="str">
        <f>IF(Overview!$D$4=C75,D75,"")</f>
        <v/>
      </c>
      <c r="L75" s="738" t="s">
        <v>1508</v>
      </c>
      <c r="M75" s="738" t="s">
        <v>1498</v>
      </c>
      <c r="N75" s="739">
        <v>6</v>
      </c>
      <c r="O75" s="740" t="str">
        <f>IF(Overview!$D$4=L75,M75,"")</f>
        <v/>
      </c>
      <c r="P75" s="741" t="str" cm="1">
        <f t="array" ref="P75">IFERROR(INDEX($O$1:$O$99,SMALL(IF($O$1:$O$99&lt;&gt;"",ROW($O$1:$O$99),999),ROW(75:75))),"")</f>
        <v/>
      </c>
      <c r="Q75" s="732"/>
    </row>
    <row r="76" spans="1:17">
      <c r="B76" s="755"/>
      <c r="E76" s="733" t="str">
        <f>IF(Overview!$D$4=C76,D76,"")</f>
        <v/>
      </c>
      <c r="L76" s="738" t="s">
        <v>1508</v>
      </c>
      <c r="M76" s="738" t="s">
        <v>1491</v>
      </c>
      <c r="N76" s="739">
        <v>7</v>
      </c>
      <c r="O76" s="740" t="str">
        <f>IF(Overview!$D$4=L76,M76,"")</f>
        <v/>
      </c>
      <c r="P76" s="741" t="str" cm="1">
        <f t="array" ref="P76">IFERROR(INDEX($O$1:$O$99,SMALL(IF($O$1:$O$99&lt;&gt;"",ROW($O$1:$O$99),999),ROW(76:76))),"")</f>
        <v/>
      </c>
      <c r="Q76" s="732"/>
    </row>
    <row r="77" spans="1:17">
      <c r="B77" s="755"/>
      <c r="E77" s="733" t="str">
        <f>IF(Overview!$D$4=C77,D77,"")</f>
        <v/>
      </c>
      <c r="L77" s="738"/>
      <c r="M77" s="738"/>
      <c r="N77" s="739"/>
      <c r="O77" s="740" t="str">
        <f>IF(Overview!$D$4=L77,M77,"")</f>
        <v/>
      </c>
      <c r="P77" s="741" t="str" cm="1">
        <f t="array" ref="P77">IFERROR(INDEX($O$1:$O$99,SMALL(IF($O$1:$O$99&lt;&gt;"",ROW($O$1:$O$99),999),ROW(77:77))),"")</f>
        <v/>
      </c>
      <c r="Q77" s="732"/>
    </row>
    <row r="78" spans="1:17">
      <c r="A78" s="733" t="str">
        <f>IF(Overview!$D$4=C54,D54,"")</f>
        <v/>
      </c>
      <c r="B78" s="755"/>
      <c r="E78" s="733" t="str">
        <f>IF(Overview!$D$4=C78,D78,"")</f>
        <v/>
      </c>
      <c r="L78" s="740"/>
      <c r="M78" s="740"/>
      <c r="N78" s="754"/>
      <c r="O78" s="740" t="str">
        <f>IF(Overview!$D$4=L78,M78,"")</f>
        <v/>
      </c>
      <c r="P78" s="741" t="str" cm="1">
        <f t="array" ref="P78">IFERROR(INDEX($O$1:$O$99,SMALL(IF($O$1:$O$99&lt;&gt;"",ROW($O$1:$O$99),999),ROW(78:78))),"")</f>
        <v/>
      </c>
      <c r="Q78" s="732"/>
    </row>
    <row r="79" spans="1:17">
      <c r="A79" s="733" t="str">
        <f>IF(Overview!$D$4=C55,D55,"")</f>
        <v/>
      </c>
      <c r="B79" s="755"/>
      <c r="E79" s="733" t="str">
        <f>IF(Overview!$D$4=C79,D79,"")</f>
        <v/>
      </c>
      <c r="L79" s="740"/>
      <c r="M79" s="740"/>
      <c r="N79" s="754"/>
      <c r="O79" s="740" t="str">
        <f>IF(Overview!$D$4=L79,M79,"")</f>
        <v/>
      </c>
      <c r="P79" s="741" t="str" cm="1">
        <f t="array" ref="P79">IFERROR(INDEX($O$1:$O$99,SMALL(IF($O$1:$O$99&lt;&gt;"",ROW($O$1:$O$99),999),ROW(79:79))),"")</f>
        <v/>
      </c>
      <c r="Q79" s="732"/>
    </row>
    <row r="80" spans="1:17">
      <c r="A80" s="733" t="str">
        <f>IF(Overview!$D$4=C56,D56,"")</f>
        <v/>
      </c>
      <c r="B80" s="755"/>
      <c r="E80" s="733" t="str">
        <f>IF(Overview!$D$4=C80,D80,"")</f>
        <v/>
      </c>
      <c r="L80" s="740"/>
      <c r="M80" s="740"/>
      <c r="N80" s="754"/>
      <c r="O80" s="740" t="str">
        <f>IF(Overview!$D$4=L80,M80,"")</f>
        <v/>
      </c>
      <c r="P80" s="741" t="str" cm="1">
        <f t="array" ref="P80">IFERROR(INDEX($O$1:$O$99,SMALL(IF($O$1:$O$99&lt;&gt;"",ROW($O$1:$O$99),999),ROW(80:80))),"")</f>
        <v/>
      </c>
      <c r="Q80" s="732"/>
    </row>
    <row r="81" spans="1:17">
      <c r="A81" s="733" t="str">
        <f>IF(Overview!$D$4=C57,D57,"")</f>
        <v/>
      </c>
      <c r="B81" s="755"/>
      <c r="E81" s="733" t="str">
        <f>IF(Overview!$D$4=C81,D81,"")</f>
        <v/>
      </c>
      <c r="L81" s="740"/>
      <c r="M81" s="740"/>
      <c r="N81" s="754"/>
      <c r="O81" s="740" t="str">
        <f>IF(Overview!$D$4=L81,M81,"")</f>
        <v/>
      </c>
      <c r="P81" s="741" t="str" cm="1">
        <f t="array" ref="P81">IFERROR(INDEX($O$1:$O$99,SMALL(IF($O$1:$O$99&lt;&gt;"",ROW($O$1:$O$99),999),ROW(81:81))),"")</f>
        <v/>
      </c>
      <c r="Q81" s="732"/>
    </row>
    <row r="82" spans="1:17">
      <c r="A82" s="733" t="str">
        <f>IF(Overview!$D$4=C58,D58,"")</f>
        <v/>
      </c>
      <c r="B82" s="755"/>
      <c r="E82" s="733" t="str">
        <f>IF(Overview!$D$4=C82,D82,"")</f>
        <v/>
      </c>
      <c r="L82" s="740"/>
      <c r="M82" s="740"/>
      <c r="N82" s="754"/>
      <c r="O82" s="740" t="str">
        <f>IF(Overview!$D$4=L82,M82,"")</f>
        <v/>
      </c>
      <c r="P82" s="741" t="str" cm="1">
        <f t="array" ref="P82">IFERROR(INDEX($O$1:$O$99,SMALL(IF($O$1:$O$99&lt;&gt;"",ROW($O$1:$O$99),999),ROW(82:82))),"")</f>
        <v/>
      </c>
      <c r="Q82" s="732"/>
    </row>
    <row r="83" spans="1:17">
      <c r="A83" s="733" t="str">
        <f>IF(Overview!$D$4=C59,D59,"")</f>
        <v/>
      </c>
      <c r="B83" s="755"/>
      <c r="L83" s="740"/>
      <c r="M83" s="740"/>
      <c r="N83" s="754"/>
      <c r="O83" s="740" t="str">
        <f>IF(Overview!$D$4=L83,M83,"")</f>
        <v/>
      </c>
      <c r="P83" s="741" t="str" cm="1">
        <f t="array" ref="P83">IFERROR(INDEX($O$1:$O$99,SMALL(IF($O$1:$O$99&lt;&gt;"",ROW($O$1:$O$99),999),ROW(83:83))),"")</f>
        <v/>
      </c>
      <c r="Q83" s="732"/>
    </row>
    <row r="84" spans="1:17">
      <c r="A84" s="733" t="str">
        <f>IF(Overview!$D$4=C60,D60,"")</f>
        <v/>
      </c>
      <c r="B84" s="755"/>
      <c r="L84" s="740"/>
      <c r="M84" s="740"/>
      <c r="N84" s="754"/>
      <c r="O84" s="740" t="str">
        <f>IF(Overview!$D$4=L84,M84,"")</f>
        <v/>
      </c>
      <c r="P84" s="741" t="str" cm="1">
        <f t="array" ref="P84">IFERROR(INDEX($O$1:$O$99,SMALL(IF($O$1:$O$99&lt;&gt;"",ROW($O$1:$O$99),999),ROW(84:84))),"")</f>
        <v/>
      </c>
      <c r="Q84" s="732"/>
    </row>
    <row r="85" spans="1:17">
      <c r="A85" s="733" t="str">
        <f>IF(Overview!$D$4=C61,D61,"")</f>
        <v/>
      </c>
      <c r="B85" s="755"/>
      <c r="L85" s="740"/>
      <c r="M85" s="740"/>
      <c r="N85" s="754"/>
      <c r="O85" s="740" t="str">
        <f>IF(Overview!$D$4=L85,M85,"")</f>
        <v/>
      </c>
      <c r="P85" s="741" t="str" cm="1">
        <f t="array" ref="P85">IFERROR(INDEX($O$1:$O$99,SMALL(IF($O$1:$O$99&lt;&gt;"",ROW($O$1:$O$99),999),ROW(85:85))),"")</f>
        <v/>
      </c>
      <c r="Q85" s="732"/>
    </row>
    <row r="86" spans="1:17">
      <c r="A86" s="733" t="str">
        <f>IF(Overview!$D$4=C62,D62,"")</f>
        <v/>
      </c>
      <c r="B86" s="755"/>
      <c r="L86" s="740"/>
      <c r="M86" s="740"/>
      <c r="N86" s="754"/>
      <c r="O86" s="740" t="str">
        <f>IF(Overview!$D$4=L86,M86,"")</f>
        <v/>
      </c>
      <c r="P86" s="741" t="str" cm="1">
        <f t="array" ref="P86">IFERROR(INDEX($O$1:$O$99,SMALL(IF($O$1:$O$99&lt;&gt;"",ROW($O$1:$O$99),999),ROW(86:86))),"")</f>
        <v/>
      </c>
      <c r="Q86" s="732"/>
    </row>
    <row r="87" spans="1:17">
      <c r="A87" s="733" t="str">
        <f>IF(Overview!$D$4=C63,D63,"")</f>
        <v/>
      </c>
      <c r="B87" s="755"/>
      <c r="L87" s="740"/>
      <c r="M87" s="740"/>
      <c r="N87" s="754"/>
      <c r="O87" s="740" t="str">
        <f>IF(Overview!$D$4=L87,M87,"")</f>
        <v/>
      </c>
      <c r="P87" s="741" t="str" cm="1">
        <f t="array" ref="P87">IFERROR(INDEX($O$1:$O$99,SMALL(IF($O$1:$O$99&lt;&gt;"",ROW($O$1:$O$99),999),ROW(87:87))),"")</f>
        <v/>
      </c>
      <c r="Q87" s="732"/>
    </row>
    <row r="88" spans="1:17">
      <c r="A88" s="733" t="str">
        <f>IF(Overview!$D$4=C64,D64,"")</f>
        <v/>
      </c>
      <c r="B88" s="755"/>
      <c r="L88" s="740"/>
      <c r="M88" s="740"/>
      <c r="N88" s="754"/>
      <c r="O88" s="740" t="str">
        <f>IF(Overview!$D$4=L88,M88,"")</f>
        <v/>
      </c>
      <c r="P88" s="741" t="str" cm="1">
        <f t="array" ref="P88">IFERROR(INDEX($O$1:$O$99,SMALL(IF($O$1:$O$99&lt;&gt;"",ROW($O$1:$O$99),999),ROW(88:88))),"")</f>
        <v/>
      </c>
      <c r="Q88" s="732"/>
    </row>
    <row r="89" spans="1:17">
      <c r="A89" s="733" t="str">
        <f>IF(Overview!$D$4=C65,D65,"")</f>
        <v/>
      </c>
      <c r="B89" s="755"/>
      <c r="L89" s="740"/>
      <c r="M89" s="740"/>
      <c r="N89" s="754"/>
      <c r="O89" s="740" t="str">
        <f>IF(Overview!$D$4=L89,M89,"")</f>
        <v/>
      </c>
      <c r="P89" s="741" t="str" cm="1">
        <f t="array" ref="P89">IFERROR(INDEX($O$1:$O$99,SMALL(IF($O$1:$O$99&lt;&gt;"",ROW($O$1:$O$99),999),ROW(89:89))),"")</f>
        <v/>
      </c>
      <c r="Q89" s="732"/>
    </row>
    <row r="90" spans="1:17">
      <c r="A90" s="733" t="str">
        <f>IF(Overview!$D$4=C66,D66,"")</f>
        <v/>
      </c>
      <c r="B90" s="755"/>
      <c r="L90" s="740"/>
      <c r="M90" s="740"/>
      <c r="N90" s="754"/>
      <c r="O90" s="740" t="str">
        <f>IF(Overview!$D$4=L90,M90,"")</f>
        <v/>
      </c>
      <c r="P90" s="741" t="str" cm="1">
        <f t="array" ref="P90">IFERROR(INDEX($O$1:$O$99,SMALL(IF($O$1:$O$99&lt;&gt;"",ROW($O$1:$O$99),999),ROW(90:90))),"")</f>
        <v/>
      </c>
      <c r="Q90" s="732"/>
    </row>
    <row r="91" spans="1:17">
      <c r="A91" s="733" t="str">
        <f>IF(Overview!$D$4=C67,D67,"")</f>
        <v/>
      </c>
      <c r="B91" s="755"/>
      <c r="P91" s="748"/>
    </row>
    <row r="92" spans="1:17">
      <c r="A92" s="733" t="str">
        <f>IF(Overview!$D$4=C68,D68,"")</f>
        <v/>
      </c>
      <c r="B92" s="755"/>
      <c r="P92" s="748"/>
    </row>
    <row r="93" spans="1:17">
      <c r="A93" s="733" t="str">
        <f>IF(Overview!$D$4=C69,D69,"")</f>
        <v/>
      </c>
      <c r="B93" s="755"/>
      <c r="P93" s="748"/>
    </row>
    <row r="94" spans="1:17">
      <c r="A94" s="733" t="str">
        <f>IF(Overview!$D$4=C70,D70,"")</f>
        <v/>
      </c>
      <c r="B94" s="755"/>
      <c r="P94" s="748"/>
    </row>
    <row r="95" spans="1:17">
      <c r="A95" s="733" t="str">
        <f>IF(Overview!$D$4=C71,D71,"")</f>
        <v/>
      </c>
      <c r="B95" s="755"/>
      <c r="P95" s="748"/>
    </row>
    <row r="96" spans="1:17">
      <c r="A96" s="733" t="str">
        <f>IF(Overview!$D$4=C72,D72,"")</f>
        <v/>
      </c>
      <c r="B96" s="755"/>
      <c r="P96" s="748"/>
    </row>
    <row r="97" spans="1:16">
      <c r="A97" s="733" t="str">
        <f>IF(Overview!$D$4=C73,D73,"")</f>
        <v/>
      </c>
      <c r="B97" s="755"/>
      <c r="P97" s="748"/>
    </row>
    <row r="98" spans="1:16">
      <c r="P98" s="748"/>
    </row>
    <row r="99" spans="1:16">
      <c r="P99" s="748"/>
    </row>
    <row r="100" spans="1:16">
      <c r="P100" s="748"/>
    </row>
    <row r="101" spans="1:16">
      <c r="P101" s="748"/>
    </row>
    <row r="102" spans="1:16">
      <c r="P102" s="748"/>
    </row>
    <row r="103" spans="1:16">
      <c r="P103" s="748"/>
    </row>
    <row r="104" spans="1:16">
      <c r="P104" s="748"/>
    </row>
  </sheetData>
  <mergeCells count="9">
    <mergeCell ref="A16:A17"/>
    <mergeCell ref="B23:B36"/>
    <mergeCell ref="Q24:Q47"/>
    <mergeCell ref="F1:F10"/>
    <mergeCell ref="Q2:Q11"/>
    <mergeCell ref="H11:H13"/>
    <mergeCell ref="I11:I13"/>
    <mergeCell ref="J11:J13"/>
    <mergeCell ref="Q12:Q21"/>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45D4F0D0E403418323386A6DEF913B" ma:contentTypeVersion="15" ma:contentTypeDescription="Create a new document." ma:contentTypeScope="" ma:versionID="d73230de593661ac945a28fe943eb809">
  <xsd:schema xmlns:xsd="http://www.w3.org/2001/XMLSchema" xmlns:xs="http://www.w3.org/2001/XMLSchema" xmlns:p="http://schemas.microsoft.com/office/2006/metadata/properties" xmlns:ns2="e3836035-195c-43bc-9e52-05ef18e3392f" xmlns:ns3="e660c906-94f1-406e-bb81-ae03b9b76a1b" targetNamespace="http://schemas.microsoft.com/office/2006/metadata/properties" ma:root="true" ma:fieldsID="bd9be7083ca5ff668bd19ab3b8bcb07b" ns2:_="" ns3:_="">
    <xsd:import namespace="e3836035-195c-43bc-9e52-05ef18e3392f"/>
    <xsd:import namespace="e660c906-94f1-406e-bb81-ae03b9b76a1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836035-195c-43bc-9e52-05ef18e339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dfcda72-0628-4071-a0aa-9935384ed9fb"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60c906-94f1-406e-bb81-ae03b9b76a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6a9c80-10e0-491e-bc15-a3a5b7d3255d}" ma:internalName="TaxCatchAll" ma:showField="CatchAllData" ma:web="e660c906-94f1-406e-bb81-ae03b9b76a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660c906-94f1-406e-bb81-ae03b9b76a1b" xsi:nil="true"/>
    <lcf76f155ced4ddcb4097134ff3c332f xmlns="e3836035-195c-43bc-9e52-05ef18e3392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553E64-8824-4743-BE57-5766A3777D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836035-195c-43bc-9e52-05ef18e3392f"/>
    <ds:schemaRef ds:uri="e660c906-94f1-406e-bb81-ae03b9b76a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B39900-6997-4DD0-B58A-23AA516B2455}">
  <ds:schemaRefs>
    <ds:schemaRef ds:uri="http://schemas.microsoft.com/office/2006/metadata/properties"/>
    <ds:schemaRef ds:uri="http://schemas.microsoft.com/office/infopath/2007/PartnerControls"/>
    <ds:schemaRef ds:uri="8c79cc72-76bf-4dd0-939e-d297603e945d"/>
    <ds:schemaRef ds:uri="e660c906-94f1-406e-bb81-ae03b9b76a1b"/>
    <ds:schemaRef ds:uri="e3836035-195c-43bc-9e52-05ef18e3392f"/>
  </ds:schemaRefs>
</ds:datastoreItem>
</file>

<file path=customXml/itemProps3.xml><?xml version="1.0" encoding="utf-8"?>
<ds:datastoreItem xmlns:ds="http://schemas.openxmlformats.org/officeDocument/2006/customXml" ds:itemID="{AD24D7B5-CABE-4BEC-A831-A1EB31618B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Overview</vt:lpstr>
      <vt:lpstr>Review Comments</vt:lpstr>
      <vt:lpstr>LookUpData</vt:lpstr>
      <vt:lpstr>v2p_Air</vt:lpstr>
      <vt:lpstr>v2p_Water</vt:lpstr>
      <vt:lpstr>v2p_Light</vt:lpstr>
      <vt:lpstr>v2p_Thermal</vt:lpstr>
      <vt:lpstr>v2p_Sound</vt:lpstr>
      <vt:lpstr>Lists</vt:lpstr>
      <vt:lpstr>Overview!Print_Area</vt:lpstr>
      <vt:lpstr>'Review Comments'!Print_Area</vt:lpstr>
      <vt:lpstr>v2p_Air!Print_Area</vt:lpstr>
      <vt:lpstr>v2p_Light!Print_Area</vt:lpstr>
      <vt:lpstr>v2p_Sound!Print_Area</vt:lpstr>
      <vt:lpstr>v2p_Thermal!Print_Area</vt:lpstr>
      <vt:lpstr>v2p_Water!Print_Area</vt:lpstr>
      <vt:lpstr>Overview!Print_Titles</vt:lpstr>
      <vt:lpstr>'Review Comments'!Print_Titles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Oak Ragette</dc:creator>
  <cp:lastModifiedBy>Heather Riley</cp:lastModifiedBy>
  <cp:lastPrinted>2024-02-16T00:49:32Z</cp:lastPrinted>
  <dcterms:created xsi:type="dcterms:W3CDTF">2023-04-23T23:33:19Z</dcterms:created>
  <dcterms:modified xsi:type="dcterms:W3CDTF">2024-02-16T20:23:08Z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0x0101001531BB55817C4E4BB050D0453D4C8A79</vt:lpwstr>
  </property>
  <property fmtid="{D5CDD505-2E9C-101B-9397-08002B2CF9AE}" pid="3" name="MediaServiceImageTags">
    <vt:lpwstr/>
  </property>
</Properties>
</file>